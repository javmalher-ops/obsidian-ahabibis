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Fee bill1" sheetId="1" r:id="rId1"/>
    <sheet name="Hoja8" sheetId="8" r:id="rId2"/>
    <sheet name="Pick Up Fee Details1" sheetId="2" state="hidden" r:id="rId3"/>
    <sheet name="Storage Fee Details1" sheetId="3" state="hidden" r:id="rId4"/>
    <sheet name="First Mile Fee Details1" sheetId="4" state="hidden" r:id="rId5"/>
    <sheet name="Stock Storage Fee Details1" sheetId="5" state="hidden" r:id="rId6"/>
    <sheet name="Labeling Fee Details1" sheetId="6" state="hidden" r:id="rId7"/>
    <sheet name="Air Waybill Fee Detail1" sheetId="7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<sst xmlns="http://schemas.openxmlformats.org/spreadsheetml/2006/main" count="669" uniqueCount="322">
  <si>
    <t>Billing No.</t>
  </si>
  <si>
    <t>Billing Date</t>
  </si>
  <si>
    <t>Billing Cycle</t>
  </si>
  <si>
    <t>Waybill No.</t>
  </si>
  <si>
    <t>Main Waybill No.</t>
  </si>
  <si>
    <t>Reference No.</t>
  </si>
  <si>
    <t>Client Code</t>
  </si>
  <si>
    <t>Client Name</t>
  </si>
  <si>
    <t>User Code</t>
  </si>
  <si>
    <t>User Name</t>
  </si>
  <si>
    <t>Shipper Contact</t>
  </si>
  <si>
    <t>Shipper Country</t>
  </si>
  <si>
    <t>Shipper City</t>
  </si>
  <si>
    <t>Shipper UF</t>
  </si>
  <si>
    <t>Customer UF</t>
  </si>
  <si>
    <t>Customer Country</t>
  </si>
  <si>
    <t>Customer City</t>
  </si>
  <si>
    <t>Remote Area</t>
  </si>
  <si>
    <t>Tier</t>
  </si>
  <si>
    <t>Customer Name</t>
  </si>
  <si>
    <t>Product Description</t>
  </si>
  <si>
    <t>Closed Date</t>
  </si>
  <si>
    <t>Created Date</t>
  </si>
  <si>
    <t>Order Type</t>
  </si>
  <si>
    <t>Product Type</t>
  </si>
  <si>
    <t>Consignor Zip Code</t>
  </si>
  <si>
    <t>Consignee Zip Code</t>
  </si>
  <si>
    <t>Status</t>
  </si>
  <si>
    <t>Product Name</t>
  </si>
  <si>
    <t>Product No.</t>
  </si>
  <si>
    <t>Chargeable Weight</t>
  </si>
  <si>
    <t>Declared Value (Local)</t>
  </si>
  <si>
    <t>Declared Value (USD)</t>
  </si>
  <si>
    <t>Invoice Amount</t>
  </si>
  <si>
    <t>COD</t>
  </si>
  <si>
    <t>POS Amount</t>
  </si>
  <si>
    <t>COD Service Fee</t>
  </si>
  <si>
    <t>POS Fee</t>
  </si>
  <si>
    <t>Delivery Fee-local</t>
  </si>
  <si>
    <t>Delivery Fee-international</t>
  </si>
  <si>
    <t>Customs Clearance</t>
  </si>
  <si>
    <t>Customs Duty</t>
  </si>
  <si>
    <t>Import VAT</t>
  </si>
  <si>
    <t>Packing Fee</t>
  </si>
  <si>
    <t>Order Storage Fee</t>
  </si>
  <si>
    <t>Stock Storage Fee</t>
  </si>
  <si>
    <t>Bulk First Mile Fee</t>
  </si>
  <si>
    <t>First Mile Fee</t>
  </si>
  <si>
    <t>Pick Up Fee</t>
  </si>
  <si>
    <t>Handing Fee</t>
  </si>
  <si>
    <t>Unpacking Fee</t>
  </si>
  <si>
    <t>Labeling Fee</t>
  </si>
  <si>
    <t>Fine</t>
  </si>
  <si>
    <t>Covid Surcharge Fee</t>
  </si>
  <si>
    <t>Manual Other Fee</t>
  </si>
  <si>
    <t>Order First Mile Fee</t>
  </si>
  <si>
    <t>Bayan Fee</t>
  </si>
  <si>
    <t>Package Operation Fee</t>
  </si>
  <si>
    <t>Collection Fee</t>
  </si>
  <si>
    <t>Warehouse Operation Fee</t>
  </si>
  <si>
    <t>Truck Transport Fee</t>
  </si>
  <si>
    <t>Ad Valorem Fee</t>
  </si>
  <si>
    <t>Gris Fee</t>
  </si>
  <si>
    <t>Ad Valorem Fee-Return</t>
  </si>
  <si>
    <t>Gris Fee-Return</t>
  </si>
  <si>
    <t>Inventory Management Fee</t>
  </si>
  <si>
    <t>Handling Fee</t>
  </si>
  <si>
    <t>Fuel Surcharge Fee</t>
  </si>
  <si>
    <t>Returned item fee</t>
  </si>
  <si>
    <t>Bayan VAT</t>
  </si>
  <si>
    <t>Customs clearance document fee</t>
  </si>
  <si>
    <t>Peak season air transport surcharge</t>
  </si>
  <si>
    <t>Storage operation fee</t>
  </si>
  <si>
    <t>Quality inspection fee</t>
  </si>
  <si>
    <t>Pickup freight fee</t>
  </si>
  <si>
    <t>Regional Management Fee</t>
  </si>
  <si>
    <t>Online Pay Service Fee</t>
  </si>
  <si>
    <t>COD Extra Delivery Fee</t>
  </si>
  <si>
    <t>Stamp Duty Fee</t>
  </si>
  <si>
    <t>Import Tax Handle Fee</t>
  </si>
  <si>
    <t>COD Extra Clearance Fee</t>
  </si>
  <si>
    <t>Storage Fee</t>
  </si>
  <si>
    <t>Abaondon Fee</t>
  </si>
  <si>
    <t>Over Additional Fee</t>
  </si>
  <si>
    <t>Anti Dumping Duty</t>
  </si>
  <si>
    <t>DDP Customs Clearance Fee</t>
  </si>
  <si>
    <t>Insurance Fee</t>
  </si>
  <si>
    <t>Tax amount</t>
  </si>
  <si>
    <t>Additional Charges</t>
  </si>
  <si>
    <t>Total Fees</t>
  </si>
  <si>
    <t>Currency</t>
  </si>
  <si>
    <t>ZD10429C2104216501121260630</t>
  </si>
  <si>
    <t>2026-07-01</t>
  </si>
  <si>
    <t>2026/06/16-2026/06/30</t>
  </si>
  <si>
    <t>6062326172278</t>
  </si>
  <si>
    <t/>
  </si>
  <si>
    <t>envia-285117-6a397ffb1164d</t>
  </si>
  <si>
    <t>C2104216501</t>
  </si>
  <si>
    <t>TENDENCYS INNOVATIONS S.A.P.I. DE C.V.</t>
  </si>
  <si>
    <t>envia.com ( Tendencys)</t>
  </si>
  <si>
    <t>MEX</t>
  </si>
  <si>
    <t>Xochimilco</t>
  </si>
  <si>
    <t>Ciudad de Mexico</t>
  </si>
  <si>
    <t>Puebla</t>
  </si>
  <si>
    <t>San Martin Texmelucan</t>
  </si>
  <si>
    <t>No</t>
  </si>
  <si>
    <t>Tier2</t>
  </si>
  <si>
    <t>Obed Hernandez Zamora</t>
  </si>
  <si>
    <t>Acrilicos - Fragil -*1</t>
  </si>
  <si>
    <t>2026-06-26 10:27:23</t>
  </si>
  <si>
    <t>2026-06-22 12:33:32</t>
  </si>
  <si>
    <t>Dropship Order</t>
  </si>
  <si>
    <t>Normal Product</t>
  </si>
  <si>
    <t>16090</t>
  </si>
  <si>
    <t>74120</t>
  </si>
  <si>
    <t>Successful delivery</t>
  </si>
  <si>
    <t>Domestic Dropship(MEX)</t>
  </si>
  <si>
    <t>LP210016</t>
  </si>
  <si>
    <t>MXN</t>
  </si>
  <si>
    <t>6062326497967</t>
  </si>
  <si>
    <t>envia-570437-6a398601651bf</t>
  </si>
  <si>
    <t>Miguel Hidalgo</t>
  </si>
  <si>
    <t>Mexico</t>
  </si>
  <si>
    <t>Tepotzotlan</t>
  </si>
  <si>
    <t>Alicia FIAVTIWY</t>
  </si>
  <si>
    <t>Aire*1</t>
  </si>
  <si>
    <t>2026-06-25 08:51:06</t>
  </si>
  <si>
    <t>2026-06-22 12:59:15</t>
  </si>
  <si>
    <t>11450</t>
  </si>
  <si>
    <t>54614</t>
  </si>
  <si>
    <t>6062326657294</t>
  </si>
  <si>
    <t>envia-476672-6a3994fb2fa8f</t>
  </si>
  <si>
    <t>Tamaulipas</t>
  </si>
  <si>
    <t>Aldama</t>
  </si>
  <si>
    <t>Tier4</t>
  </si>
  <si>
    <t>NP MODELORAMA LILI Blanca Eli</t>
  </si>
  <si>
    <t>31808300-MX8335*1</t>
  </si>
  <si>
    <t>2026-06-28 14:40:07</t>
  </si>
  <si>
    <t>2026-06-22 14:03:08</t>
  </si>
  <si>
    <t>89670</t>
  </si>
  <si>
    <t>6062326664164</t>
  </si>
  <si>
    <t>envia-476672-6a397dd294950</t>
  </si>
  <si>
    <t>Sinaloa</t>
  </si>
  <si>
    <t>Culiacan</t>
  </si>
  <si>
    <t>Felizardo flores sanchez</t>
  </si>
  <si>
    <t>31789754-MX8342*1</t>
  </si>
  <si>
    <t>2026-06-29 15:56:19</t>
  </si>
  <si>
    <t>2026-06-22 12:24:19</t>
  </si>
  <si>
    <t>80430</t>
  </si>
  <si>
    <t>6062426593970</t>
  </si>
  <si>
    <t>envia-285117-6a3ac932d680c</t>
  </si>
  <si>
    <t>Tlaxcala</t>
  </si>
  <si>
    <t>Tetla de la Solidaridad</t>
  </si>
  <si>
    <t>Tier3</t>
  </si>
  <si>
    <t>Josue Javier Hernandez Suarez</t>
  </si>
  <si>
    <t>Acrilicos*1</t>
  </si>
  <si>
    <t>2026-06-25 19:34:14</t>
  </si>
  <si>
    <t>2026-06-23 11:58:12</t>
  </si>
  <si>
    <t>90430</t>
  </si>
  <si>
    <t>6062426614645</t>
  </si>
  <si>
    <t>envia-138226-6a3ac2c5e287f</t>
  </si>
  <si>
    <t>Guadalajara</t>
  </si>
  <si>
    <t>Jalisco</t>
  </si>
  <si>
    <t>San Jose del Rincon</t>
  </si>
  <si>
    <t>Jose Alfredo Diaz Nieto</t>
  </si>
  <si>
    <t>Bisuteria *1</t>
  </si>
  <si>
    <t>2026-06-26 23:10:52</t>
  </si>
  <si>
    <t>2026-06-23 11:30:47</t>
  </si>
  <si>
    <t>44240</t>
  </si>
  <si>
    <t>50668</t>
  </si>
  <si>
    <t>6062526141953</t>
  </si>
  <si>
    <t>envia-179975-6a3c6b20cf339</t>
  </si>
  <si>
    <t>Guanajuato</t>
  </si>
  <si>
    <t>Salvatierra</t>
  </si>
  <si>
    <t>Vanessa Lopez Lopez</t>
  </si>
  <si>
    <t>Mold Killing Primer Zinsser (fondo Eliminador Hongo Y Moho) Blanco*1</t>
  </si>
  <si>
    <t>2026-06-27 14:13:03</t>
  </si>
  <si>
    <t>2026-06-24 17:41:22</t>
  </si>
  <si>
    <t>44950</t>
  </si>
  <si>
    <t>38900</t>
  </si>
  <si>
    <t>6062526237246</t>
  </si>
  <si>
    <t>envia-672579-6a3c435cb1728</t>
  </si>
  <si>
    <t>Cuauhtemoc</t>
  </si>
  <si>
    <t>Chihuahua</t>
  </si>
  <si>
    <t>Galeana</t>
  </si>
  <si>
    <t>Jose Alberto Ontiveros Marquez</t>
  </si>
  <si>
    <t>Articulos del hogar*1</t>
  </si>
  <si>
    <t>2026-06-27 17:31:48</t>
  </si>
  <si>
    <t>2026-06-24 14:51:42</t>
  </si>
  <si>
    <t>06080</t>
  </si>
  <si>
    <t>31870</t>
  </si>
  <si>
    <t>6062526297080</t>
  </si>
  <si>
    <t>envia-179975-6a3c663dbe69d</t>
  </si>
  <si>
    <t>Guerrero</t>
  </si>
  <si>
    <t>Tecpan de Galeana</t>
  </si>
  <si>
    <t>Sergio Rosas Rendon</t>
  </si>
  <si>
    <t>Esmalte Protector Anticorrosivo Antioxido - Metal Protection*1</t>
  </si>
  <si>
    <t>2026-06-27 16:35:29</t>
  </si>
  <si>
    <t>2026-06-24 17:20:31</t>
  </si>
  <si>
    <t>40900</t>
  </si>
  <si>
    <t>6062526357125</t>
  </si>
  <si>
    <t>envia-672579-6a3c20ba20d92</t>
  </si>
  <si>
    <t>Veracruz</t>
  </si>
  <si>
    <t>Misantla</t>
  </si>
  <si>
    <t>Evelia Gracia Barrera</t>
  </si>
  <si>
    <t>2026-06-27 11:23:26</t>
  </si>
  <si>
    <t>2026-06-24 12:23:55</t>
  </si>
  <si>
    <t>93829</t>
  </si>
  <si>
    <t>6062526886207</t>
  </si>
  <si>
    <t>envia-672579-6a3c256f9d2dc</t>
  </si>
  <si>
    <t>Nuevo Leon</t>
  </si>
  <si>
    <t>Aramberri</t>
  </si>
  <si>
    <t>Alfonso arguello</t>
  </si>
  <si>
    <t>2026-06-29 09:14:15</t>
  </si>
  <si>
    <t>2026-06-24 12:44:00</t>
  </si>
  <si>
    <t>67940</t>
  </si>
  <si>
    <t>6062626444717</t>
  </si>
  <si>
    <t>envia-672579-6a3d72cb47f07</t>
  </si>
  <si>
    <t>San Luis Potosi</t>
  </si>
  <si>
    <t>Villa de Reyes</t>
  </si>
  <si>
    <t>Oscar Javier Molina ramos</t>
  </si>
  <si>
    <t>2026-06-27 17:25:36</t>
  </si>
  <si>
    <t>2026-06-25 12:26:20</t>
  </si>
  <si>
    <t>79505</t>
  </si>
  <si>
    <t>6062626693878</t>
  </si>
  <si>
    <t>envia-672579-6a3d71f0c51aa</t>
  </si>
  <si>
    <t>Rosales</t>
  </si>
  <si>
    <t>Salvador Chavez Garcia</t>
  </si>
  <si>
    <t>2026-06-28 22:13:38</t>
  </si>
  <si>
    <t>2026-06-25 12:22:42</t>
  </si>
  <si>
    <t>33120</t>
  </si>
  <si>
    <t>6062626891416</t>
  </si>
  <si>
    <t>envia-22957-6a3dd44579cd4</t>
  </si>
  <si>
    <t>Lerma</t>
  </si>
  <si>
    <t>Cuautitlan Izcalli</t>
  </si>
  <si>
    <t>Gustavo Herrera</t>
  </si>
  <si>
    <t>accesorios bebe*1</t>
  </si>
  <si>
    <t>2026-06-27 14:25:38</t>
  </si>
  <si>
    <t>2026-06-25 19:22:14</t>
  </si>
  <si>
    <t>52005</t>
  </si>
  <si>
    <t>54740</t>
  </si>
  <si>
    <t>6062926817300</t>
  </si>
  <si>
    <t>envia-735293-6a41f17cf0370</t>
  </si>
  <si>
    <t>Azcapotzalco</t>
  </si>
  <si>
    <t>Villa de Allende</t>
  </si>
  <si>
    <t>Rosa yolanda sanchez rojas</t>
  </si>
  <si>
    <t>Accesorios*1</t>
  </si>
  <si>
    <t>2026-06-30 23:03:29</t>
  </si>
  <si>
    <t>2026-06-28 22:15:58</t>
  </si>
  <si>
    <t>02459</t>
  </si>
  <si>
    <t>51000</t>
  </si>
  <si>
    <t>proforma invoice or not</t>
  </si>
  <si>
    <t>NO</t>
  </si>
  <si>
    <t>Issue official invoice</t>
  </si>
  <si>
    <t>Check with TMS billing</t>
  </si>
  <si>
    <t>YES</t>
  </si>
  <si>
    <t>Check with Bank account</t>
  </si>
  <si>
    <t>Basic information</t>
  </si>
  <si>
    <t>Client code</t>
  </si>
  <si>
    <t>Tax number</t>
  </si>
  <si>
    <t>Client address</t>
  </si>
  <si>
    <t>Billing number</t>
  </si>
  <si>
    <t>Billing amount</t>
  </si>
  <si>
    <t>Invoice amount</t>
  </si>
  <si>
    <t>Delivery fee-Local</t>
  </si>
  <si>
    <t>Delivery fee-International</t>
  </si>
  <si>
    <t>compensation</t>
  </si>
  <si>
    <t>Tax Rate</t>
  </si>
  <si>
    <t>Invoice total amount</t>
  </si>
  <si>
    <t>Month</t>
  </si>
  <si>
    <t>2026-07</t>
  </si>
  <si>
    <t>Amount received</t>
  </si>
  <si>
    <t>Amount received currency</t>
  </si>
  <si>
    <t>Remark</t>
  </si>
  <si>
    <t>客户编码/Client Code</t>
  </si>
  <si>
    <t>客户名称/Client Name</t>
  </si>
  <si>
    <t>金额/Amount</t>
  </si>
  <si>
    <t>币种/Currency</t>
  </si>
  <si>
    <t>提货时间/Pick Up Date</t>
  </si>
  <si>
    <t>提货批次号/Pick up No.</t>
  </si>
  <si>
    <t>提货国家/Pick up Country</t>
  </si>
  <si>
    <t>提货票数/Pick up Batch</t>
  </si>
  <si>
    <t>Waybill No</t>
  </si>
  <si>
    <t>Client No</t>
  </si>
  <si>
    <t>RC arrive date</t>
  </si>
  <si>
    <t>Closed date</t>
  </si>
  <si>
    <t>Location</t>
  </si>
  <si>
    <t>Billing days</t>
  </si>
  <si>
    <t>Cumulative storage days</t>
  </si>
  <si>
    <t>Amount</t>
  </si>
  <si>
    <t>业务单号/Business No</t>
  </si>
  <si>
    <t>目的国/Destination country</t>
  </si>
  <si>
    <t>深圳收货日期/CHN received date</t>
  </si>
  <si>
    <t>箱号/Box No.</t>
  </si>
  <si>
    <t>长(CM)/Longth</t>
  </si>
  <si>
    <t>宽(CM)/Width</t>
  </si>
  <si>
    <t>高(CM)/Height</t>
  </si>
  <si>
    <t>实重/Actual weight</t>
  </si>
  <si>
    <t>体积重/Volumn weight</t>
  </si>
  <si>
    <t>计费重/Chargeable weight</t>
  </si>
  <si>
    <t>库位编号/Location Code</t>
  </si>
  <si>
    <t>商家SKU编码/SKU Customize Code</t>
  </si>
  <si>
    <t>SKU名称/SKU Customize Code</t>
  </si>
  <si>
    <t>库存数量/Inventory Quantity</t>
  </si>
  <si>
    <t>体积/CBM</t>
  </si>
  <si>
    <t>标识号码/Business No.</t>
  </si>
  <si>
    <t>贴标数量/No. of Pcs</t>
  </si>
  <si>
    <t>客户编码 / Client Code</t>
  </si>
  <si>
    <t>客户名称 / Client Name</t>
  </si>
  <si>
    <t>主单号 / Main Waybill No</t>
  </si>
  <si>
    <t>运单数量 / Waybill Count</t>
  </si>
  <si>
    <t>发件国家 / Shipper Country</t>
  </si>
  <si>
    <t>目的国家 / Customer Country</t>
  </si>
  <si>
    <t>清关完成时间 / Clearance Complete Date</t>
  </si>
  <si>
    <t>计费重 / Chargeable Weight</t>
  </si>
  <si>
    <t>毛重 / Gross Weight</t>
  </si>
  <si>
    <t>小包头程运费 / Order First Mile Fee</t>
  </si>
  <si>
    <t>清关操作费 / Clearance Fee</t>
  </si>
  <si>
    <t>清关文件费 / Customs Clearance Document Fee</t>
  </si>
  <si>
    <t>税额 / Tax Amount</t>
  </si>
  <si>
    <t>总金额 / Total Fees</t>
  </si>
  <si>
    <t>币种 / Currency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</si>
</sst>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 * #,##0.00_ ;_ * \-#,##0.00_ ;_ * &quot;-&quot;??_ ;_ @_ "/>
    <numFmt numFmtId="179" formatCode="0.00_);[Red]\(0.00\)"/>
  </numFmts>
  <fonts count="28">
    <font>
      <sz val="11"/>
      <color indexed="8"/>
      <name val="Calibri"/>
      <charset val="134"/>
      <scheme val="minor"/>
    </font>
    <font>
      <sz val="11"/>
      <name val="Tahoma"/>
      <charset val="134"/>
    </font>
    <font>
      <sz val="11"/>
      <color indexed="8"/>
      <name val="Calibri"/>
      <charset val="134"/>
      <scheme val="minor"/>
    </font>
    <font>
      <sz val="11"/>
      <color indexed="8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6"/>
  <sheetViews>
    <sheetView workbookViewId="0">
      <selection activeCell="A2" sqref="A2"/>
    </sheetView>
  </sheetViews>
  <sheetFormatPr defaultColWidth="9" defaultRowHeight="14.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s="18" t="s">
        <v>91</v>
      </c>
      <c r="B2" s="18" t="s">
        <v>92</v>
      </c>
      <c r="C2" s="18" t="s">
        <v>93</v>
      </c>
      <c r="D2" s="18" t="s">
        <v>94</v>
      </c>
      <c r="E2" s="19" t="s">
        <v>95</v>
      </c>
      <c r="F2" s="18" t="s">
        <v>96</v>
      </c>
      <c r="G2" s="18" t="s">
        <v>97</v>
      </c>
      <c r="H2" s="18" t="s">
        <v>98</v>
      </c>
      <c r="I2" s="18" t="s">
        <v>97</v>
      </c>
      <c r="J2" s="18" t="s">
        <v>99</v>
      </c>
      <c r="K2" s="18" t="s">
        <v>99</v>
      </c>
      <c r="L2" s="18" t="s">
        <v>100</v>
      </c>
      <c r="M2" s="18" t="s">
        <v>101</v>
      </c>
      <c r="N2" s="18" t="s">
        <v>102</v>
      </c>
      <c r="O2" s="18" t="s">
        <v>103</v>
      </c>
      <c r="P2" s="18" t="s">
        <v>100</v>
      </c>
      <c r="Q2" s="18" t="s">
        <v>104</v>
      </c>
      <c r="R2" s="18" t="s">
        <v>105</v>
      </c>
      <c r="S2" s="18" t="s">
        <v>106</v>
      </c>
      <c r="T2" s="18" t="s">
        <v>107</v>
      </c>
      <c r="U2" s="18" t="s">
        <v>108</v>
      </c>
      <c r="V2" s="18" t="s">
        <v>109</v>
      </c>
      <c r="W2" s="18" t="s">
        <v>110</v>
      </c>
      <c r="X2" s="18" t="s">
        <v>111</v>
      </c>
      <c r="Y2" s="18" t="s">
        <v>112</v>
      </c>
      <c r="Z2" s="18" t="s">
        <v>113</v>
      </c>
      <c r="AA2" s="18" t="s">
        <v>114</v>
      </c>
      <c r="AB2" s="18" t="s">
        <v>115</v>
      </c>
      <c r="AC2" s="18" t="s">
        <v>116</v>
      </c>
      <c r="AD2" s="18" t="s">
        <v>117</v>
      </c>
      <c r="AE2" s="19">
        <v>2.82</v>
      </c>
      <c r="AF2" s="19">
        <v>1200</v>
      </c>
      <c r="AG2" s="19">
        <v>60.24</v>
      </c>
      <c r="AH2" s="19" t="s">
        <v>95</v>
      </c>
      <c r="AI2" s="19">
        <v>0</v>
      </c>
      <c r="AJ2" s="19">
        <v>0</v>
      </c>
      <c r="AK2" s="19">
        <v>0</v>
      </c>
      <c r="AL2" s="19">
        <v>0</v>
      </c>
      <c r="AM2" s="19">
        <v>62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  <c r="AX2" s="19">
        <v>0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0</v>
      </c>
      <c r="BE2" s="19">
        <v>0</v>
      </c>
      <c r="BF2" s="19">
        <v>0</v>
      </c>
      <c r="BG2" s="19">
        <v>0</v>
      </c>
      <c r="BH2" s="19">
        <v>0</v>
      </c>
      <c r="BI2" s="19">
        <v>0</v>
      </c>
      <c r="BJ2" s="19">
        <v>0</v>
      </c>
      <c r="BK2" s="19">
        <v>0</v>
      </c>
      <c r="BL2" s="19">
        <v>0</v>
      </c>
      <c r="BM2" s="19">
        <v>0</v>
      </c>
      <c r="BN2" s="19">
        <v>0</v>
      </c>
      <c r="BO2" s="19">
        <v>0</v>
      </c>
      <c r="BP2" s="19">
        <v>0</v>
      </c>
      <c r="BQ2" s="19">
        <v>0</v>
      </c>
      <c r="BR2" s="19">
        <v>0</v>
      </c>
      <c r="BS2" s="19">
        <v>0</v>
      </c>
      <c r="BT2" s="19">
        <v>0</v>
      </c>
      <c r="BU2" s="19">
        <v>0</v>
      </c>
      <c r="BV2" s="19">
        <v>0</v>
      </c>
      <c r="BW2" s="19">
        <v>0</v>
      </c>
      <c r="BX2" s="19">
        <v>0</v>
      </c>
      <c r="BY2" s="19">
        <v>0</v>
      </c>
      <c r="BZ2" s="19">
        <v>0</v>
      </c>
      <c r="CA2" s="19">
        <v>0</v>
      </c>
      <c r="CB2" s="19">
        <v>0</v>
      </c>
      <c r="CC2" s="19">
        <v>0</v>
      </c>
      <c r="CD2" s="19">
        <v>0</v>
      </c>
      <c r="CE2" s="19">
        <v>0</v>
      </c>
      <c r="CF2" s="19">
        <v>0</v>
      </c>
      <c r="CG2" s="19">
        <v>0</v>
      </c>
      <c r="CH2" s="19">
        <v>0</v>
      </c>
      <c r="CI2" s="19">
        <v>0</v>
      </c>
      <c r="CJ2" s="19">
        <v>9.92</v>
      </c>
      <c r="CK2" s="19">
        <v>0</v>
      </c>
      <c r="CL2" s="19">
        <v>71.92</v>
      </c>
      <c r="CM2" s="18" t="s">
        <v>118</v>
      </c>
    </row>
    <row r="3" spans="1:91">
      <c r="A3" s="18" t="s">
        <v>91</v>
      </c>
      <c r="B3" s="18" t="s">
        <v>92</v>
      </c>
      <c r="C3" s="18" t="s">
        <v>93</v>
      </c>
      <c r="D3" s="18" t="s">
        <v>119</v>
      </c>
      <c r="E3" s="19" t="s">
        <v>95</v>
      </c>
      <c r="F3" s="18" t="s">
        <v>120</v>
      </c>
      <c r="G3" s="18" t="s">
        <v>97</v>
      </c>
      <c r="H3" s="18" t="s">
        <v>98</v>
      </c>
      <c r="I3" s="18" t="s">
        <v>97</v>
      </c>
      <c r="J3" s="18" t="s">
        <v>99</v>
      </c>
      <c r="K3" s="18" t="s">
        <v>99</v>
      </c>
      <c r="L3" s="18" t="s">
        <v>100</v>
      </c>
      <c r="M3" s="18" t="s">
        <v>121</v>
      </c>
      <c r="N3" s="18" t="s">
        <v>102</v>
      </c>
      <c r="O3" s="18" t="s">
        <v>122</v>
      </c>
      <c r="P3" s="18" t="s">
        <v>100</v>
      </c>
      <c r="Q3" s="18" t="s">
        <v>123</v>
      </c>
      <c r="R3" s="18" t="s">
        <v>105</v>
      </c>
      <c r="S3" s="18" t="s">
        <v>106</v>
      </c>
      <c r="T3" s="18" t="s">
        <v>124</v>
      </c>
      <c r="U3" s="18" t="s">
        <v>125</v>
      </c>
      <c r="V3" s="18" t="s">
        <v>126</v>
      </c>
      <c r="W3" s="18" t="s">
        <v>127</v>
      </c>
      <c r="X3" s="18" t="s">
        <v>111</v>
      </c>
      <c r="Y3" s="18" t="s">
        <v>112</v>
      </c>
      <c r="Z3" s="18" t="s">
        <v>128</v>
      </c>
      <c r="AA3" s="18" t="s">
        <v>129</v>
      </c>
      <c r="AB3" s="18" t="s">
        <v>115</v>
      </c>
      <c r="AC3" s="18" t="s">
        <v>116</v>
      </c>
      <c r="AD3" s="18" t="s">
        <v>117</v>
      </c>
      <c r="AE3" s="19">
        <v>2.01</v>
      </c>
      <c r="AF3" s="19">
        <v>3000</v>
      </c>
      <c r="AG3" s="19">
        <v>150.6</v>
      </c>
      <c r="AH3" s="19" t="s">
        <v>95</v>
      </c>
      <c r="AI3" s="19">
        <v>0</v>
      </c>
      <c r="AJ3" s="19">
        <v>0</v>
      </c>
      <c r="AK3" s="19">
        <v>0</v>
      </c>
      <c r="AL3" s="19">
        <v>0</v>
      </c>
      <c r="AM3" s="19">
        <v>49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0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7.84</v>
      </c>
      <c r="CK3" s="19">
        <v>0</v>
      </c>
      <c r="CL3" s="19">
        <v>56.84</v>
      </c>
      <c r="CM3" s="18" t="s">
        <v>118</v>
      </c>
    </row>
    <row r="4" spans="1:91">
      <c r="A4" s="18" t="s">
        <v>91</v>
      </c>
      <c r="B4" s="18" t="s">
        <v>92</v>
      </c>
      <c r="C4" s="18" t="s">
        <v>93</v>
      </c>
      <c r="D4" s="18" t="s">
        <v>130</v>
      </c>
      <c r="E4" s="19" t="s">
        <v>95</v>
      </c>
      <c r="F4" s="18" t="s">
        <v>131</v>
      </c>
      <c r="G4" s="18" t="s">
        <v>97</v>
      </c>
      <c r="H4" s="18" t="s">
        <v>98</v>
      </c>
      <c r="I4" s="18" t="s">
        <v>97</v>
      </c>
      <c r="J4" s="18" t="s">
        <v>99</v>
      </c>
      <c r="K4" s="18" t="s">
        <v>99</v>
      </c>
      <c r="L4" s="18" t="s">
        <v>100</v>
      </c>
      <c r="M4" s="18" t="s">
        <v>123</v>
      </c>
      <c r="N4" s="18" t="s">
        <v>122</v>
      </c>
      <c r="O4" s="18" t="s">
        <v>132</v>
      </c>
      <c r="P4" s="18" t="s">
        <v>100</v>
      </c>
      <c r="Q4" s="18" t="s">
        <v>133</v>
      </c>
      <c r="R4" s="18" t="s">
        <v>105</v>
      </c>
      <c r="S4" s="18" t="s">
        <v>134</v>
      </c>
      <c r="T4" s="18" t="s">
        <v>135</v>
      </c>
      <c r="U4" s="18" t="s">
        <v>136</v>
      </c>
      <c r="V4" s="18" t="s">
        <v>137</v>
      </c>
      <c r="W4" s="18" t="s">
        <v>138</v>
      </c>
      <c r="X4" s="18" t="s">
        <v>111</v>
      </c>
      <c r="Y4" s="18" t="s">
        <v>112</v>
      </c>
      <c r="Z4" s="18" t="s">
        <v>129</v>
      </c>
      <c r="AA4" s="18" t="s">
        <v>139</v>
      </c>
      <c r="AB4" s="18" t="s">
        <v>115</v>
      </c>
      <c r="AC4" s="18" t="s">
        <v>116</v>
      </c>
      <c r="AD4" s="18" t="s">
        <v>117</v>
      </c>
      <c r="AE4" s="19">
        <v>16</v>
      </c>
      <c r="AF4" s="19">
        <v>2053.2</v>
      </c>
      <c r="AG4" s="19">
        <v>103.07</v>
      </c>
      <c r="AH4" s="19" t="s">
        <v>95</v>
      </c>
      <c r="AI4" s="19">
        <v>0</v>
      </c>
      <c r="AJ4" s="19">
        <v>0</v>
      </c>
      <c r="AK4" s="19">
        <v>0</v>
      </c>
      <c r="AL4" s="19">
        <v>0</v>
      </c>
      <c r="AM4" s="19">
        <v>130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20.8</v>
      </c>
      <c r="CK4" s="19">
        <v>0</v>
      </c>
      <c r="CL4" s="19">
        <v>150.8</v>
      </c>
      <c r="CM4" s="18" t="s">
        <v>118</v>
      </c>
    </row>
    <row r="5" spans="1:91">
      <c r="A5" s="18" t="s">
        <v>91</v>
      </c>
      <c r="B5" s="18" t="s">
        <v>92</v>
      </c>
      <c r="C5" s="18" t="s">
        <v>93</v>
      </c>
      <c r="D5" s="18" t="s">
        <v>140</v>
      </c>
      <c r="E5" s="19" t="s">
        <v>95</v>
      </c>
      <c r="F5" s="18" t="s">
        <v>141</v>
      </c>
      <c r="G5" s="18" t="s">
        <v>97</v>
      </c>
      <c r="H5" s="18" t="s">
        <v>98</v>
      </c>
      <c r="I5" s="18" t="s">
        <v>97</v>
      </c>
      <c r="J5" s="18" t="s">
        <v>99</v>
      </c>
      <c r="K5" s="18" t="s">
        <v>99</v>
      </c>
      <c r="L5" s="18" t="s">
        <v>100</v>
      </c>
      <c r="M5" s="18" t="s">
        <v>123</v>
      </c>
      <c r="N5" s="18" t="s">
        <v>122</v>
      </c>
      <c r="O5" s="18" t="s">
        <v>142</v>
      </c>
      <c r="P5" s="18" t="s">
        <v>100</v>
      </c>
      <c r="Q5" s="18" t="s">
        <v>143</v>
      </c>
      <c r="R5" s="18" t="s">
        <v>105</v>
      </c>
      <c r="S5" s="18" t="s">
        <v>134</v>
      </c>
      <c r="T5" s="18" t="s">
        <v>144</v>
      </c>
      <c r="U5" s="18" t="s">
        <v>145</v>
      </c>
      <c r="V5" s="18" t="s">
        <v>146</v>
      </c>
      <c r="W5" s="18" t="s">
        <v>147</v>
      </c>
      <c r="X5" s="18" t="s">
        <v>111</v>
      </c>
      <c r="Y5" s="18" t="s">
        <v>112</v>
      </c>
      <c r="Z5" s="18" t="s">
        <v>129</v>
      </c>
      <c r="AA5" s="18" t="s">
        <v>148</v>
      </c>
      <c r="AB5" s="18" t="s">
        <v>115</v>
      </c>
      <c r="AC5" s="18" t="s">
        <v>116</v>
      </c>
      <c r="AD5" s="18" t="s">
        <v>117</v>
      </c>
      <c r="AE5" s="19">
        <v>9</v>
      </c>
      <c r="AF5" s="19">
        <v>1086.92</v>
      </c>
      <c r="AG5" s="19">
        <v>54.56</v>
      </c>
      <c r="AH5" s="19" t="s">
        <v>95</v>
      </c>
      <c r="AI5" s="19">
        <v>0</v>
      </c>
      <c r="AJ5" s="19">
        <v>0</v>
      </c>
      <c r="AK5" s="19">
        <v>0</v>
      </c>
      <c r="AL5" s="19">
        <v>0</v>
      </c>
      <c r="AM5" s="19">
        <v>95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15.2</v>
      </c>
      <c r="CK5" s="19">
        <v>0</v>
      </c>
      <c r="CL5" s="19">
        <v>110.2</v>
      </c>
      <c r="CM5" s="18" t="s">
        <v>118</v>
      </c>
    </row>
    <row r="6" spans="1:91">
      <c r="A6" s="18" t="s">
        <v>91</v>
      </c>
      <c r="B6" s="18" t="s">
        <v>92</v>
      </c>
      <c r="C6" s="18" t="s">
        <v>93</v>
      </c>
      <c r="D6" s="18" t="s">
        <v>149</v>
      </c>
      <c r="E6" s="19" t="s">
        <v>95</v>
      </c>
      <c r="F6" s="18" t="s">
        <v>150</v>
      </c>
      <c r="G6" s="18" t="s">
        <v>97</v>
      </c>
      <c r="H6" s="18" t="s">
        <v>98</v>
      </c>
      <c r="I6" s="18" t="s">
        <v>97</v>
      </c>
      <c r="J6" s="18" t="s">
        <v>99</v>
      </c>
      <c r="K6" s="18" t="s">
        <v>99</v>
      </c>
      <c r="L6" s="18" t="s">
        <v>100</v>
      </c>
      <c r="M6" s="18" t="s">
        <v>101</v>
      </c>
      <c r="N6" s="18" t="s">
        <v>102</v>
      </c>
      <c r="O6" s="18" t="s">
        <v>151</v>
      </c>
      <c r="P6" s="18" t="s">
        <v>100</v>
      </c>
      <c r="Q6" s="18" t="s">
        <v>152</v>
      </c>
      <c r="R6" s="18" t="s">
        <v>105</v>
      </c>
      <c r="S6" s="18" t="s">
        <v>153</v>
      </c>
      <c r="T6" s="18" t="s">
        <v>154</v>
      </c>
      <c r="U6" s="18" t="s">
        <v>155</v>
      </c>
      <c r="V6" s="18" t="s">
        <v>156</v>
      </c>
      <c r="W6" s="18" t="s">
        <v>157</v>
      </c>
      <c r="X6" s="18" t="s">
        <v>111</v>
      </c>
      <c r="Y6" s="18" t="s">
        <v>112</v>
      </c>
      <c r="Z6" s="18" t="s">
        <v>113</v>
      </c>
      <c r="AA6" s="18" t="s">
        <v>158</v>
      </c>
      <c r="AB6" s="18" t="s">
        <v>115</v>
      </c>
      <c r="AC6" s="18" t="s">
        <v>116</v>
      </c>
      <c r="AD6" s="18" t="s">
        <v>117</v>
      </c>
      <c r="AE6" s="19">
        <v>2.03</v>
      </c>
      <c r="AF6" s="19">
        <v>950</v>
      </c>
      <c r="AG6" s="19">
        <v>47.69</v>
      </c>
      <c r="AH6" s="19" t="s">
        <v>95</v>
      </c>
      <c r="AI6" s="19">
        <v>0</v>
      </c>
      <c r="AJ6" s="19">
        <v>0</v>
      </c>
      <c r="AK6" s="19">
        <v>0</v>
      </c>
      <c r="AL6" s="19">
        <v>0</v>
      </c>
      <c r="AM6" s="19">
        <v>65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10.4</v>
      </c>
      <c r="CK6" s="19">
        <v>0</v>
      </c>
      <c r="CL6" s="19">
        <v>75.4</v>
      </c>
      <c r="CM6" s="18" t="s">
        <v>118</v>
      </c>
    </row>
    <row r="7" spans="1:91">
      <c r="A7" s="18" t="s">
        <v>91</v>
      </c>
      <c r="B7" s="18" t="s">
        <v>92</v>
      </c>
      <c r="C7" s="18" t="s">
        <v>93</v>
      </c>
      <c r="D7" s="18" t="s">
        <v>159</v>
      </c>
      <c r="E7" s="19" t="s">
        <v>95</v>
      </c>
      <c r="F7" s="18" t="s">
        <v>160</v>
      </c>
      <c r="G7" s="18" t="s">
        <v>97</v>
      </c>
      <c r="H7" s="18" t="s">
        <v>98</v>
      </c>
      <c r="I7" s="18" t="s">
        <v>97</v>
      </c>
      <c r="J7" s="18" t="s">
        <v>99</v>
      </c>
      <c r="K7" s="18" t="s">
        <v>99</v>
      </c>
      <c r="L7" s="18" t="s">
        <v>100</v>
      </c>
      <c r="M7" s="18" t="s">
        <v>161</v>
      </c>
      <c r="N7" s="18" t="s">
        <v>162</v>
      </c>
      <c r="O7" s="18" t="s">
        <v>122</v>
      </c>
      <c r="P7" s="18" t="s">
        <v>100</v>
      </c>
      <c r="Q7" s="18" t="s">
        <v>163</v>
      </c>
      <c r="R7" s="18" t="s">
        <v>105</v>
      </c>
      <c r="S7" s="18" t="s">
        <v>106</v>
      </c>
      <c r="T7" s="18" t="s">
        <v>164</v>
      </c>
      <c r="U7" s="18" t="s">
        <v>165</v>
      </c>
      <c r="V7" s="18" t="s">
        <v>166</v>
      </c>
      <c r="W7" s="18" t="s">
        <v>167</v>
      </c>
      <c r="X7" s="18" t="s">
        <v>111</v>
      </c>
      <c r="Y7" s="18" t="s">
        <v>112</v>
      </c>
      <c r="Z7" s="18" t="s">
        <v>168</v>
      </c>
      <c r="AA7" s="18" t="s">
        <v>169</v>
      </c>
      <c r="AB7" s="18" t="s">
        <v>115</v>
      </c>
      <c r="AC7" s="18" t="s">
        <v>116</v>
      </c>
      <c r="AD7" s="18" t="s">
        <v>117</v>
      </c>
      <c r="AE7" s="19">
        <v>0.08</v>
      </c>
      <c r="AF7" s="19">
        <v>3000</v>
      </c>
      <c r="AG7" s="19">
        <v>150.6</v>
      </c>
      <c r="AH7" s="19" t="s">
        <v>95</v>
      </c>
      <c r="AI7" s="19">
        <v>0</v>
      </c>
      <c r="AJ7" s="19">
        <v>0</v>
      </c>
      <c r="AK7" s="19">
        <v>0</v>
      </c>
      <c r="AL7" s="19">
        <v>0</v>
      </c>
      <c r="AM7" s="19">
        <v>53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8.48</v>
      </c>
      <c r="CK7" s="19">
        <v>0</v>
      </c>
      <c r="CL7" s="19">
        <v>61.48</v>
      </c>
      <c r="CM7" s="18" t="s">
        <v>118</v>
      </c>
    </row>
    <row r="8" spans="1:91">
      <c r="A8" s="18" t="s">
        <v>91</v>
      </c>
      <c r="B8" s="18" t="s">
        <v>92</v>
      </c>
      <c r="C8" s="18" t="s">
        <v>93</v>
      </c>
      <c r="D8" s="18" t="s">
        <v>170</v>
      </c>
      <c r="E8" s="19" t="s">
        <v>95</v>
      </c>
      <c r="F8" s="18" t="s">
        <v>171</v>
      </c>
      <c r="G8" s="18" t="s">
        <v>97</v>
      </c>
      <c r="H8" s="18" t="s">
        <v>98</v>
      </c>
      <c r="I8" s="18" t="s">
        <v>97</v>
      </c>
      <c r="J8" s="18" t="s">
        <v>99</v>
      </c>
      <c r="K8" s="18" t="s">
        <v>99</v>
      </c>
      <c r="L8" s="18" t="s">
        <v>100</v>
      </c>
      <c r="M8" s="18" t="s">
        <v>161</v>
      </c>
      <c r="N8" s="18" t="s">
        <v>162</v>
      </c>
      <c r="O8" s="18" t="s">
        <v>172</v>
      </c>
      <c r="P8" s="18" t="s">
        <v>100</v>
      </c>
      <c r="Q8" s="18" t="s">
        <v>173</v>
      </c>
      <c r="R8" s="18" t="s">
        <v>105</v>
      </c>
      <c r="S8" s="18" t="s">
        <v>153</v>
      </c>
      <c r="T8" s="18" t="s">
        <v>174</v>
      </c>
      <c r="U8" s="18" t="s">
        <v>175</v>
      </c>
      <c r="V8" s="18" t="s">
        <v>176</v>
      </c>
      <c r="W8" s="18" t="s">
        <v>177</v>
      </c>
      <c r="X8" s="18" t="s">
        <v>111</v>
      </c>
      <c r="Y8" s="18" t="s">
        <v>112</v>
      </c>
      <c r="Z8" s="18" t="s">
        <v>178</v>
      </c>
      <c r="AA8" s="18" t="s">
        <v>179</v>
      </c>
      <c r="AB8" s="18" t="s">
        <v>115</v>
      </c>
      <c r="AC8" s="18" t="s">
        <v>116</v>
      </c>
      <c r="AD8" s="18" t="s">
        <v>117</v>
      </c>
      <c r="AE8" s="19">
        <v>1.52</v>
      </c>
      <c r="AF8" s="19">
        <v>550</v>
      </c>
      <c r="AG8" s="19">
        <v>27.61</v>
      </c>
      <c r="AH8" s="19" t="s">
        <v>95</v>
      </c>
      <c r="AI8" s="19">
        <v>0</v>
      </c>
      <c r="AJ8" s="19">
        <v>0</v>
      </c>
      <c r="AK8" s="19">
        <v>0</v>
      </c>
      <c r="AL8" s="19">
        <v>0</v>
      </c>
      <c r="AM8" s="19">
        <v>58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9.28</v>
      </c>
      <c r="CK8" s="19">
        <v>0</v>
      </c>
      <c r="CL8" s="19">
        <v>67.28</v>
      </c>
      <c r="CM8" s="18" t="s">
        <v>118</v>
      </c>
    </row>
    <row r="9" spans="1:91">
      <c r="A9" s="18" t="s">
        <v>91</v>
      </c>
      <c r="B9" s="18" t="s">
        <v>92</v>
      </c>
      <c r="C9" s="18" t="s">
        <v>93</v>
      </c>
      <c r="D9" s="18" t="s">
        <v>180</v>
      </c>
      <c r="E9" s="19" t="s">
        <v>95</v>
      </c>
      <c r="F9" s="18" t="s">
        <v>181</v>
      </c>
      <c r="G9" s="18" t="s">
        <v>97</v>
      </c>
      <c r="H9" s="18" t="s">
        <v>98</v>
      </c>
      <c r="I9" s="18" t="s">
        <v>97</v>
      </c>
      <c r="J9" s="18" t="s">
        <v>99</v>
      </c>
      <c r="K9" s="18" t="s">
        <v>99</v>
      </c>
      <c r="L9" s="18" t="s">
        <v>100</v>
      </c>
      <c r="M9" s="18" t="s">
        <v>182</v>
      </c>
      <c r="N9" s="18" t="s">
        <v>102</v>
      </c>
      <c r="O9" s="18" t="s">
        <v>183</v>
      </c>
      <c r="P9" s="18" t="s">
        <v>100</v>
      </c>
      <c r="Q9" s="18" t="s">
        <v>184</v>
      </c>
      <c r="R9" s="18" t="s">
        <v>105</v>
      </c>
      <c r="S9" s="18" t="s">
        <v>134</v>
      </c>
      <c r="T9" s="18" t="s">
        <v>185</v>
      </c>
      <c r="U9" s="18" t="s">
        <v>186</v>
      </c>
      <c r="V9" s="18" t="s">
        <v>187</v>
      </c>
      <c r="W9" s="18" t="s">
        <v>188</v>
      </c>
      <c r="X9" s="18" t="s">
        <v>111</v>
      </c>
      <c r="Y9" s="18" t="s">
        <v>112</v>
      </c>
      <c r="Z9" s="18" t="s">
        <v>189</v>
      </c>
      <c r="AA9" s="18" t="s">
        <v>190</v>
      </c>
      <c r="AB9" s="18" t="s">
        <v>115</v>
      </c>
      <c r="AC9" s="18" t="s">
        <v>116</v>
      </c>
      <c r="AD9" s="18" t="s">
        <v>117</v>
      </c>
      <c r="AE9" s="19">
        <v>1.28</v>
      </c>
      <c r="AF9" s="19">
        <v>3000</v>
      </c>
      <c r="AG9" s="19">
        <v>150.6</v>
      </c>
      <c r="AH9" s="19" t="s">
        <v>95</v>
      </c>
      <c r="AI9" s="19">
        <v>0</v>
      </c>
      <c r="AJ9" s="19">
        <v>0</v>
      </c>
      <c r="AK9" s="19">
        <v>0</v>
      </c>
      <c r="AL9" s="19">
        <v>0</v>
      </c>
      <c r="AM9" s="19">
        <v>60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9.6</v>
      </c>
      <c r="CK9" s="19">
        <v>0</v>
      </c>
      <c r="CL9" s="19">
        <v>69.6</v>
      </c>
      <c r="CM9" s="18" t="s">
        <v>118</v>
      </c>
    </row>
    <row r="10" spans="1:91">
      <c r="A10" s="18" t="s">
        <v>91</v>
      </c>
      <c r="B10" s="18" t="s">
        <v>92</v>
      </c>
      <c r="C10" s="18" t="s">
        <v>93</v>
      </c>
      <c r="D10" s="18" t="s">
        <v>191</v>
      </c>
      <c r="E10" s="19" t="s">
        <v>95</v>
      </c>
      <c r="F10" s="18" t="s">
        <v>192</v>
      </c>
      <c r="G10" s="18" t="s">
        <v>97</v>
      </c>
      <c r="H10" s="18" t="s">
        <v>98</v>
      </c>
      <c r="I10" s="18" t="s">
        <v>97</v>
      </c>
      <c r="J10" s="18" t="s">
        <v>99</v>
      </c>
      <c r="K10" s="18" t="s">
        <v>99</v>
      </c>
      <c r="L10" s="18" t="s">
        <v>100</v>
      </c>
      <c r="M10" s="18" t="s">
        <v>161</v>
      </c>
      <c r="N10" s="18" t="s">
        <v>162</v>
      </c>
      <c r="O10" s="18" t="s">
        <v>193</v>
      </c>
      <c r="P10" s="18" t="s">
        <v>100</v>
      </c>
      <c r="Q10" s="18" t="s">
        <v>194</v>
      </c>
      <c r="R10" s="18" t="s">
        <v>105</v>
      </c>
      <c r="S10" s="18" t="s">
        <v>134</v>
      </c>
      <c r="T10" s="18" t="s">
        <v>195</v>
      </c>
      <c r="U10" s="18" t="s">
        <v>196</v>
      </c>
      <c r="V10" s="18" t="s">
        <v>197</v>
      </c>
      <c r="W10" s="18" t="s">
        <v>198</v>
      </c>
      <c r="X10" s="18" t="s">
        <v>111</v>
      </c>
      <c r="Y10" s="18" t="s">
        <v>112</v>
      </c>
      <c r="Z10" s="18" t="s">
        <v>178</v>
      </c>
      <c r="AA10" s="18" t="s">
        <v>199</v>
      </c>
      <c r="AB10" s="18" t="s">
        <v>115</v>
      </c>
      <c r="AC10" s="18" t="s">
        <v>116</v>
      </c>
      <c r="AD10" s="18" t="s">
        <v>117</v>
      </c>
      <c r="AE10" s="19">
        <v>1.24</v>
      </c>
      <c r="AF10" s="19">
        <v>665</v>
      </c>
      <c r="AG10" s="19">
        <v>33.38</v>
      </c>
      <c r="AH10" s="19" t="s">
        <v>95</v>
      </c>
      <c r="AI10" s="19">
        <v>0</v>
      </c>
      <c r="AJ10" s="19">
        <v>0</v>
      </c>
      <c r="AK10" s="19">
        <v>0</v>
      </c>
      <c r="AL10" s="19">
        <v>0</v>
      </c>
      <c r="AM10" s="19">
        <v>58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9.28</v>
      </c>
      <c r="CK10" s="19">
        <v>0</v>
      </c>
      <c r="CL10" s="19">
        <v>67.28</v>
      </c>
      <c r="CM10" s="18" t="s">
        <v>118</v>
      </c>
    </row>
    <row r="11" spans="1:91">
      <c r="A11" s="18" t="s">
        <v>91</v>
      </c>
      <c r="B11" s="18" t="s">
        <v>92</v>
      </c>
      <c r="C11" s="18" t="s">
        <v>93</v>
      </c>
      <c r="D11" s="18" t="s">
        <v>200</v>
      </c>
      <c r="E11" s="19" t="s">
        <v>95</v>
      </c>
      <c r="F11" s="18" t="s">
        <v>201</v>
      </c>
      <c r="G11" s="18" t="s">
        <v>97</v>
      </c>
      <c r="H11" s="18" t="s">
        <v>98</v>
      </c>
      <c r="I11" s="18" t="s">
        <v>97</v>
      </c>
      <c r="J11" s="18" t="s">
        <v>99</v>
      </c>
      <c r="K11" s="18" t="s">
        <v>99</v>
      </c>
      <c r="L11" s="18" t="s">
        <v>100</v>
      </c>
      <c r="M11" s="18" t="s">
        <v>182</v>
      </c>
      <c r="N11" s="18" t="s">
        <v>102</v>
      </c>
      <c r="O11" s="18" t="s">
        <v>202</v>
      </c>
      <c r="P11" s="18" t="s">
        <v>100</v>
      </c>
      <c r="Q11" s="18" t="s">
        <v>203</v>
      </c>
      <c r="R11" s="18" t="s">
        <v>105</v>
      </c>
      <c r="S11" s="18" t="s">
        <v>153</v>
      </c>
      <c r="T11" s="18" t="s">
        <v>204</v>
      </c>
      <c r="U11" s="18" t="s">
        <v>186</v>
      </c>
      <c r="V11" s="18" t="s">
        <v>205</v>
      </c>
      <c r="W11" s="18" t="s">
        <v>206</v>
      </c>
      <c r="X11" s="18" t="s">
        <v>111</v>
      </c>
      <c r="Y11" s="18" t="s">
        <v>112</v>
      </c>
      <c r="Z11" s="18" t="s">
        <v>189</v>
      </c>
      <c r="AA11" s="18" t="s">
        <v>207</v>
      </c>
      <c r="AB11" s="18" t="s">
        <v>115</v>
      </c>
      <c r="AC11" s="18" t="s">
        <v>116</v>
      </c>
      <c r="AD11" s="18" t="s">
        <v>117</v>
      </c>
      <c r="AE11" s="19">
        <v>1.19</v>
      </c>
      <c r="AF11" s="19">
        <v>3000</v>
      </c>
      <c r="AG11" s="19">
        <v>150.6</v>
      </c>
      <c r="AH11" s="19" t="s">
        <v>95</v>
      </c>
      <c r="AI11" s="19">
        <v>0</v>
      </c>
      <c r="AJ11" s="19">
        <v>0</v>
      </c>
      <c r="AK11" s="19">
        <v>0</v>
      </c>
      <c r="AL11" s="19">
        <v>0</v>
      </c>
      <c r="AM11" s="19">
        <v>60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9.6</v>
      </c>
      <c r="CK11" s="19">
        <v>0</v>
      </c>
      <c r="CL11" s="19">
        <v>69.6</v>
      </c>
      <c r="CM11" s="18" t="s">
        <v>118</v>
      </c>
    </row>
    <row r="12" spans="1:91">
      <c r="A12" s="18" t="s">
        <v>91</v>
      </c>
      <c r="B12" s="18" t="s">
        <v>92</v>
      </c>
      <c r="C12" s="18" t="s">
        <v>93</v>
      </c>
      <c r="D12" s="18" t="s">
        <v>208</v>
      </c>
      <c r="E12" s="19" t="s">
        <v>95</v>
      </c>
      <c r="F12" s="18" t="s">
        <v>209</v>
      </c>
      <c r="G12" s="18" t="s">
        <v>97</v>
      </c>
      <c r="H12" s="18" t="s">
        <v>98</v>
      </c>
      <c r="I12" s="18" t="s">
        <v>97</v>
      </c>
      <c r="J12" s="18" t="s">
        <v>99</v>
      </c>
      <c r="K12" s="18" t="s">
        <v>99</v>
      </c>
      <c r="L12" s="18" t="s">
        <v>100</v>
      </c>
      <c r="M12" s="18" t="s">
        <v>182</v>
      </c>
      <c r="N12" s="18" t="s">
        <v>102</v>
      </c>
      <c r="O12" s="18" t="s">
        <v>210</v>
      </c>
      <c r="P12" s="18" t="s">
        <v>100</v>
      </c>
      <c r="Q12" s="18" t="s">
        <v>211</v>
      </c>
      <c r="R12" s="18" t="s">
        <v>105</v>
      </c>
      <c r="S12" s="18" t="s">
        <v>106</v>
      </c>
      <c r="T12" s="18" t="s">
        <v>212</v>
      </c>
      <c r="U12" s="18" t="s">
        <v>186</v>
      </c>
      <c r="V12" s="18" t="s">
        <v>213</v>
      </c>
      <c r="W12" s="18" t="s">
        <v>214</v>
      </c>
      <c r="X12" s="18" t="s">
        <v>111</v>
      </c>
      <c r="Y12" s="18" t="s">
        <v>112</v>
      </c>
      <c r="Z12" s="18" t="s">
        <v>189</v>
      </c>
      <c r="AA12" s="18" t="s">
        <v>215</v>
      </c>
      <c r="AB12" s="18" t="s">
        <v>115</v>
      </c>
      <c r="AC12" s="18" t="s">
        <v>116</v>
      </c>
      <c r="AD12" s="18" t="s">
        <v>117</v>
      </c>
      <c r="AE12" s="19">
        <v>0.63</v>
      </c>
      <c r="AF12" s="19">
        <v>3000</v>
      </c>
      <c r="AG12" s="19">
        <v>150.6</v>
      </c>
      <c r="AH12" s="19" t="s">
        <v>95</v>
      </c>
      <c r="AI12" s="19">
        <v>0</v>
      </c>
      <c r="AJ12" s="19">
        <v>0</v>
      </c>
      <c r="AK12" s="19">
        <v>0</v>
      </c>
      <c r="AL12" s="19">
        <v>0</v>
      </c>
      <c r="AM12" s="19">
        <v>52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8.32</v>
      </c>
      <c r="CK12" s="19">
        <v>0</v>
      </c>
      <c r="CL12" s="19">
        <v>60.32</v>
      </c>
      <c r="CM12" s="18" t="s">
        <v>118</v>
      </c>
    </row>
    <row r="13" spans="1:91">
      <c r="A13" s="18" t="s">
        <v>91</v>
      </c>
      <c r="B13" s="18" t="s">
        <v>92</v>
      </c>
      <c r="C13" s="18" t="s">
        <v>93</v>
      </c>
      <c r="D13" s="18" t="s">
        <v>216</v>
      </c>
      <c r="E13" s="19" t="s">
        <v>95</v>
      </c>
      <c r="F13" s="18" t="s">
        <v>217</v>
      </c>
      <c r="G13" s="18" t="s">
        <v>97</v>
      </c>
      <c r="H13" s="18" t="s">
        <v>98</v>
      </c>
      <c r="I13" s="18" t="s">
        <v>97</v>
      </c>
      <c r="J13" s="18" t="s">
        <v>99</v>
      </c>
      <c r="K13" s="18" t="s">
        <v>99</v>
      </c>
      <c r="L13" s="18" t="s">
        <v>100</v>
      </c>
      <c r="M13" s="18" t="s">
        <v>182</v>
      </c>
      <c r="N13" s="18" t="s">
        <v>102</v>
      </c>
      <c r="O13" s="18" t="s">
        <v>218</v>
      </c>
      <c r="P13" s="18" t="s">
        <v>100</v>
      </c>
      <c r="Q13" s="18" t="s">
        <v>219</v>
      </c>
      <c r="R13" s="18" t="s">
        <v>105</v>
      </c>
      <c r="S13" s="18" t="s">
        <v>153</v>
      </c>
      <c r="T13" s="18" t="s">
        <v>220</v>
      </c>
      <c r="U13" s="18" t="s">
        <v>186</v>
      </c>
      <c r="V13" s="18" t="s">
        <v>221</v>
      </c>
      <c r="W13" s="18" t="s">
        <v>222</v>
      </c>
      <c r="X13" s="18" t="s">
        <v>111</v>
      </c>
      <c r="Y13" s="18" t="s">
        <v>112</v>
      </c>
      <c r="Z13" s="18" t="s">
        <v>189</v>
      </c>
      <c r="AA13" s="18" t="s">
        <v>223</v>
      </c>
      <c r="AB13" s="18" t="s">
        <v>115</v>
      </c>
      <c r="AC13" s="18" t="s">
        <v>116</v>
      </c>
      <c r="AD13" s="18" t="s">
        <v>117</v>
      </c>
      <c r="AE13" s="19">
        <v>0.75</v>
      </c>
      <c r="AF13" s="19">
        <v>3000</v>
      </c>
      <c r="AG13" s="19">
        <v>150.6</v>
      </c>
      <c r="AH13" s="19" t="s">
        <v>95</v>
      </c>
      <c r="AI13" s="19">
        <v>0</v>
      </c>
      <c r="AJ13" s="19">
        <v>0</v>
      </c>
      <c r="AK13" s="19">
        <v>0</v>
      </c>
      <c r="AL13" s="19">
        <v>0</v>
      </c>
      <c r="AM13" s="19">
        <v>52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8.32</v>
      </c>
      <c r="CK13" s="19">
        <v>0</v>
      </c>
      <c r="CL13" s="19">
        <v>60.32</v>
      </c>
      <c r="CM13" s="18" t="s">
        <v>118</v>
      </c>
    </row>
    <row r="14" spans="1:91">
      <c r="A14" s="18" t="s">
        <v>91</v>
      </c>
      <c r="B14" s="18" t="s">
        <v>92</v>
      </c>
      <c r="C14" s="18" t="s">
        <v>93</v>
      </c>
      <c r="D14" s="18" t="s">
        <v>224</v>
      </c>
      <c r="E14" s="19" t="s">
        <v>95</v>
      </c>
      <c r="F14" s="18" t="s">
        <v>225</v>
      </c>
      <c r="G14" s="18" t="s">
        <v>97</v>
      </c>
      <c r="H14" s="18" t="s">
        <v>98</v>
      </c>
      <c r="I14" s="18" t="s">
        <v>97</v>
      </c>
      <c r="J14" s="18" t="s">
        <v>99</v>
      </c>
      <c r="K14" s="18" t="s">
        <v>99</v>
      </c>
      <c r="L14" s="18" t="s">
        <v>100</v>
      </c>
      <c r="M14" s="18" t="s">
        <v>182</v>
      </c>
      <c r="N14" s="18" t="s">
        <v>102</v>
      </c>
      <c r="O14" s="18" t="s">
        <v>183</v>
      </c>
      <c r="P14" s="18" t="s">
        <v>100</v>
      </c>
      <c r="Q14" s="18" t="s">
        <v>226</v>
      </c>
      <c r="R14" s="18" t="s">
        <v>105</v>
      </c>
      <c r="S14" s="18" t="s">
        <v>134</v>
      </c>
      <c r="T14" s="18" t="s">
        <v>227</v>
      </c>
      <c r="U14" s="18" t="s">
        <v>186</v>
      </c>
      <c r="V14" s="18" t="s">
        <v>228</v>
      </c>
      <c r="W14" s="18" t="s">
        <v>229</v>
      </c>
      <c r="X14" s="18" t="s">
        <v>111</v>
      </c>
      <c r="Y14" s="18" t="s">
        <v>112</v>
      </c>
      <c r="Z14" s="18" t="s">
        <v>189</v>
      </c>
      <c r="AA14" s="18" t="s">
        <v>230</v>
      </c>
      <c r="AB14" s="18" t="s">
        <v>115</v>
      </c>
      <c r="AC14" s="18" t="s">
        <v>116</v>
      </c>
      <c r="AD14" s="18" t="s">
        <v>117</v>
      </c>
      <c r="AE14" s="19">
        <v>0.38</v>
      </c>
      <c r="AF14" s="19">
        <v>3000</v>
      </c>
      <c r="AG14" s="19">
        <v>150.6</v>
      </c>
      <c r="AH14" s="19" t="s">
        <v>95</v>
      </c>
      <c r="AI14" s="19">
        <v>0</v>
      </c>
      <c r="AJ14" s="19">
        <v>0</v>
      </c>
      <c r="AK14" s="19">
        <v>0</v>
      </c>
      <c r="AL14" s="19">
        <v>0</v>
      </c>
      <c r="AM14" s="19">
        <v>55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8.8</v>
      </c>
      <c r="CK14" s="19">
        <v>0</v>
      </c>
      <c r="CL14" s="19">
        <v>63.8</v>
      </c>
      <c r="CM14" s="18" t="s">
        <v>118</v>
      </c>
    </row>
    <row r="15" spans="1:91">
      <c r="A15" s="18" t="s">
        <v>91</v>
      </c>
      <c r="B15" s="18" t="s">
        <v>92</v>
      </c>
      <c r="C15" s="18" t="s">
        <v>93</v>
      </c>
      <c r="D15" s="18" t="s">
        <v>231</v>
      </c>
      <c r="E15" s="19" t="s">
        <v>95</v>
      </c>
      <c r="F15" s="18" t="s">
        <v>232</v>
      </c>
      <c r="G15" s="18" t="s">
        <v>97</v>
      </c>
      <c r="H15" s="18" t="s">
        <v>98</v>
      </c>
      <c r="I15" s="18" t="s">
        <v>97</v>
      </c>
      <c r="J15" s="18" t="s">
        <v>99</v>
      </c>
      <c r="K15" s="18" t="s">
        <v>99</v>
      </c>
      <c r="L15" s="18" t="s">
        <v>100</v>
      </c>
      <c r="M15" s="18" t="s">
        <v>233</v>
      </c>
      <c r="N15" s="18" t="s">
        <v>122</v>
      </c>
      <c r="O15" s="18" t="s">
        <v>122</v>
      </c>
      <c r="P15" s="18" t="s">
        <v>100</v>
      </c>
      <c r="Q15" s="18" t="s">
        <v>234</v>
      </c>
      <c r="R15" s="18" t="s">
        <v>105</v>
      </c>
      <c r="S15" s="18" t="s">
        <v>106</v>
      </c>
      <c r="T15" s="18" t="s">
        <v>235</v>
      </c>
      <c r="U15" s="18" t="s">
        <v>236</v>
      </c>
      <c r="V15" s="18" t="s">
        <v>237</v>
      </c>
      <c r="W15" s="18" t="s">
        <v>238</v>
      </c>
      <c r="X15" s="18" t="s">
        <v>111</v>
      </c>
      <c r="Y15" s="18" t="s">
        <v>112</v>
      </c>
      <c r="Z15" s="18" t="s">
        <v>239</v>
      </c>
      <c r="AA15" s="18" t="s">
        <v>240</v>
      </c>
      <c r="AB15" s="18" t="s">
        <v>115</v>
      </c>
      <c r="AC15" s="18" t="s">
        <v>116</v>
      </c>
      <c r="AD15" s="18" t="s">
        <v>117</v>
      </c>
      <c r="AE15" s="19">
        <v>0.52</v>
      </c>
      <c r="AF15" s="19">
        <v>3000</v>
      </c>
      <c r="AG15" s="19">
        <v>150.6</v>
      </c>
      <c r="AH15" s="19" t="s">
        <v>95</v>
      </c>
      <c r="AI15" s="19">
        <v>0</v>
      </c>
      <c r="AJ15" s="19">
        <v>0</v>
      </c>
      <c r="AK15" s="19">
        <v>0</v>
      </c>
      <c r="AL15" s="19">
        <v>0</v>
      </c>
      <c r="AM15" s="19">
        <v>43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6.88</v>
      </c>
      <c r="CK15" s="19">
        <v>0</v>
      </c>
      <c r="CL15" s="19">
        <v>49.88</v>
      </c>
      <c r="CM15" s="18" t="s">
        <v>118</v>
      </c>
    </row>
    <row r="16" spans="1:91">
      <c r="A16" s="18" t="s">
        <v>91</v>
      </c>
      <c r="B16" s="18" t="s">
        <v>92</v>
      </c>
      <c r="C16" s="18" t="s">
        <v>93</v>
      </c>
      <c r="D16" s="18" t="s">
        <v>241</v>
      </c>
      <c r="E16" s="19" t="s">
        <v>95</v>
      </c>
      <c r="F16" s="18" t="s">
        <v>242</v>
      </c>
      <c r="G16" s="18" t="s">
        <v>97</v>
      </c>
      <c r="H16" s="18" t="s">
        <v>98</v>
      </c>
      <c r="I16" s="18" t="s">
        <v>97</v>
      </c>
      <c r="J16" s="18" t="s">
        <v>99</v>
      </c>
      <c r="K16" s="18" t="s">
        <v>99</v>
      </c>
      <c r="L16" s="18" t="s">
        <v>100</v>
      </c>
      <c r="M16" s="18" t="s">
        <v>243</v>
      </c>
      <c r="N16" s="18" t="s">
        <v>102</v>
      </c>
      <c r="O16" s="18" t="s">
        <v>122</v>
      </c>
      <c r="P16" s="18" t="s">
        <v>100</v>
      </c>
      <c r="Q16" s="18" t="s">
        <v>244</v>
      </c>
      <c r="R16" s="18" t="s">
        <v>105</v>
      </c>
      <c r="S16" s="18" t="s">
        <v>106</v>
      </c>
      <c r="T16" s="18" t="s">
        <v>245</v>
      </c>
      <c r="U16" s="18" t="s">
        <v>246</v>
      </c>
      <c r="V16" s="18" t="s">
        <v>247</v>
      </c>
      <c r="W16" s="18" t="s">
        <v>248</v>
      </c>
      <c r="X16" s="18" t="s">
        <v>111</v>
      </c>
      <c r="Y16" s="18" t="s">
        <v>112</v>
      </c>
      <c r="Z16" s="18" t="s">
        <v>249</v>
      </c>
      <c r="AA16" s="18" t="s">
        <v>250</v>
      </c>
      <c r="AB16" s="18" t="s">
        <v>115</v>
      </c>
      <c r="AC16" s="18" t="s">
        <v>116</v>
      </c>
      <c r="AD16" s="18" t="s">
        <v>117</v>
      </c>
      <c r="AE16" s="19">
        <v>3.48</v>
      </c>
      <c r="AF16" s="19">
        <v>3000</v>
      </c>
      <c r="AG16" s="19">
        <v>150.6</v>
      </c>
      <c r="AH16" s="19" t="s">
        <v>95</v>
      </c>
      <c r="AI16" s="19">
        <v>0</v>
      </c>
      <c r="AJ16" s="19">
        <v>0</v>
      </c>
      <c r="AK16" s="19">
        <v>0</v>
      </c>
      <c r="AL16" s="19">
        <v>0</v>
      </c>
      <c r="AM16" s="19">
        <v>52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8.32</v>
      </c>
      <c r="CK16" s="19">
        <v>0</v>
      </c>
      <c r="CL16" s="19">
        <v>60.32</v>
      </c>
      <c r="CM16" s="18" t="s">
        <v>118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80" zoomScaleNormal="80" workbookViewId="0">
      <selection activeCell="J8" sqref="J8"/>
    </sheetView>
  </sheetViews>
  <sheetFormatPr defaultColWidth="12" defaultRowHeight="14.5" outlineLevelCol="7"/>
  <cols>
    <col min="1" max="1" width="25.8181818181818" style="2" customWidth="1"/>
    <col min="2" max="2" width="19.8727272727273" style="2" customWidth="1"/>
    <col min="3" max="3" width="27.6363636363636" style="2" customWidth="1"/>
    <col min="4" max="4" width="15.7545454545455" style="2" customWidth="1"/>
    <col min="5" max="5" width="15.0363636363636" style="2" customWidth="1"/>
    <col min="6" max="6" width="35.1454545454545" style="2" customWidth="1"/>
    <col min="7" max="7" width="21.7" style="2" customWidth="1"/>
    <col min="8" max="8" width="15.8818181818182" style="2" customWidth="1"/>
    <col min="9" max="16384" width="12" style="2"/>
  </cols>
  <sheetData>
    <row r="1" s="2" customFormat="1" spans="1:8">
      <c r="A1" s="3" t="s">
        <v>251</v>
      </c>
      <c r="B1" s="3" t="s">
        <v>252</v>
      </c>
      <c r="C1" s="3" t="s">
        <v>253</v>
      </c>
      <c r="D1" s="4"/>
      <c r="E1" s="4"/>
      <c r="F1" s="4"/>
      <c r="G1" s="4"/>
      <c r="H1" s="5"/>
    </row>
    <row r="2" s="2" customFormat="1" spans="1:8">
      <c r="A2" s="3" t="s">
        <v>254</v>
      </c>
      <c r="B2" s="3" t="s">
        <v>255</v>
      </c>
      <c r="C2" s="3"/>
      <c r="D2" s="4"/>
      <c r="E2" s="4"/>
      <c r="F2" s="4"/>
      <c r="G2" s="4"/>
      <c r="H2" s="5"/>
    </row>
    <row r="3" s="2" customFormat="1" spans="1:8">
      <c r="A3" s="3" t="s">
        <v>256</v>
      </c>
      <c r="B3" s="3" t="s">
        <v>252</v>
      </c>
      <c r="C3" s="3"/>
      <c r="D3" s="6"/>
      <c r="E3" s="6"/>
      <c r="F3" s="6"/>
      <c r="G3" s="6"/>
      <c r="H3" s="7"/>
    </row>
    <row r="4" s="2" customFormat="1" spans="1:8">
      <c r="A4" s="6"/>
      <c r="B4" s="4"/>
      <c r="C4" s="4"/>
      <c r="D4" s="6"/>
      <c r="E4" s="6"/>
      <c r="F4" s="6"/>
      <c r="G4" s="6"/>
      <c r="H4" s="7"/>
    </row>
    <row r="5" s="2" customFormat="1" spans="1:8">
      <c r="A5" s="6"/>
      <c r="B5" s="4"/>
      <c r="C5" s="4"/>
      <c r="D5" s="6"/>
      <c r="E5" s="6"/>
      <c r="F5" s="6"/>
      <c r="G5" s="6"/>
      <c r="H5" s="7"/>
    </row>
    <row r="6" s="2" customFormat="1" spans="1:8">
      <c r="A6" s="8" t="s">
        <v>257</v>
      </c>
      <c r="B6" s="9" t="s">
        <v>258</v>
      </c>
      <c r="C6" s="10" t="s">
        <v>7</v>
      </c>
      <c r="D6" s="10" t="s">
        <v>259</v>
      </c>
      <c r="E6" s="10" t="s">
        <v>260</v>
      </c>
      <c r="F6" s="10" t="s">
        <v>261</v>
      </c>
      <c r="G6" s="10" t="s">
        <v>90</v>
      </c>
      <c r="H6" s="11" t="s">
        <v>262</v>
      </c>
    </row>
    <row r="7" s="2" customFormat="1" spans="1:8">
      <c r="A7" s="12"/>
      <c r="B7" s="13" t="s">
        <v>97</v>
      </c>
      <c r="C7" s="13" t="s">
        <v>98</v>
      </c>
      <c r="D7" s="14"/>
      <c r="E7" s="14"/>
      <c r="F7" s="14" t="s">
        <v>91</v>
      </c>
      <c r="G7" s="14" t="s">
        <v>118</v>
      </c>
      <c r="H7" s="15">
        <v>1095.04</v>
      </c>
    </row>
    <row r="8" s="2" customFormat="1" spans="1:8">
      <c r="A8" s="4"/>
      <c r="B8" s="4"/>
      <c r="C8" s="4"/>
      <c r="D8" s="4"/>
      <c r="E8" s="4"/>
      <c r="F8" s="4"/>
      <c r="G8" s="4"/>
      <c r="H8" s="5"/>
    </row>
    <row r="9" s="2" customFormat="1" spans="1:8">
      <c r="A9" s="4"/>
      <c r="B9" s="4"/>
      <c r="C9" s="4"/>
      <c r="D9" s="4"/>
      <c r="E9" s="4"/>
      <c r="F9" s="4"/>
      <c r="G9" s="4"/>
      <c r="H9" s="5"/>
    </row>
    <row r="10" s="2" customFormat="1" spans="1:8">
      <c r="A10" s="16" t="s">
        <v>263</v>
      </c>
      <c r="B10" s="11" t="s">
        <v>264</v>
      </c>
      <c r="C10" s="11" t="s">
        <v>265</v>
      </c>
      <c r="D10" s="11" t="s">
        <v>266</v>
      </c>
      <c r="E10" s="11" t="s">
        <v>267</v>
      </c>
      <c r="F10" s="11" t="s">
        <v>87</v>
      </c>
      <c r="G10" s="11" t="s">
        <v>268</v>
      </c>
      <c r="H10" s="11" t="s">
        <v>269</v>
      </c>
    </row>
    <row r="11" s="2" customFormat="1" spans="1:8">
      <c r="A11" s="16"/>
      <c r="B11" s="17">
        <f>H7-F11</f>
        <v>919.8336</v>
      </c>
      <c r="C11" s="17"/>
      <c r="D11" s="17"/>
      <c r="E11" s="17">
        <v>0.16</v>
      </c>
      <c r="F11" s="17">
        <f>H7*0.16</f>
        <v>175.2064</v>
      </c>
      <c r="G11" s="17">
        <f>F11+B11</f>
        <v>1095.04</v>
      </c>
      <c r="H11" s="17" t="s">
        <v>270</v>
      </c>
    </row>
    <row r="12" s="2" customFormat="1" spans="1:8">
      <c r="A12" s="4"/>
      <c r="B12" s="4"/>
      <c r="C12" s="4"/>
      <c r="D12" s="4"/>
      <c r="E12" s="4"/>
      <c r="F12" s="4"/>
      <c r="G12" s="4"/>
      <c r="H12" s="5"/>
    </row>
    <row r="13" s="2" customFormat="1" spans="1:8">
      <c r="A13" s="4"/>
      <c r="B13" s="4"/>
      <c r="C13" s="4"/>
      <c r="D13" s="4"/>
      <c r="E13" s="4"/>
      <c r="F13" s="4"/>
      <c r="G13" s="4"/>
      <c r="H13" s="5"/>
    </row>
    <row r="14" s="2" customFormat="1" spans="1:8">
      <c r="A14" s="10" t="s">
        <v>271</v>
      </c>
      <c r="B14" s="11" t="s">
        <v>271</v>
      </c>
      <c r="C14" s="11" t="s">
        <v>272</v>
      </c>
      <c r="D14" s="11" t="s">
        <v>273</v>
      </c>
      <c r="E14" s="4"/>
      <c r="F14" s="4"/>
      <c r="G14" s="4"/>
      <c r="H14" s="5"/>
    </row>
    <row r="15" s="2" customFormat="1" spans="1:8">
      <c r="A15" s="10"/>
      <c r="B15" s="17">
        <v>0</v>
      </c>
      <c r="C15" s="17"/>
      <c r="D15" s="17"/>
      <c r="E15" s="4"/>
      <c r="F15" s="4"/>
      <c r="G15" s="4"/>
      <c r="H15" s="5"/>
    </row>
  </sheetData>
  <mergeCells count="3">
    <mergeCell ref="A6:A7"/>
    <mergeCell ref="A10:A11"/>
    <mergeCell ref="A14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"/>
    </sheetView>
  </sheetViews>
  <sheetFormatPr defaultColWidth="9" defaultRowHeight="14.5" outlineLevelCol="7"/>
  <sheetData>
    <row r="1" spans="1:8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4.5"/>
  <sheetData>
    <row r="1" spans="1:10">
      <c r="A1" s="1" t="s">
        <v>282</v>
      </c>
      <c r="B1" s="1" t="s">
        <v>283</v>
      </c>
      <c r="C1" s="1" t="s">
        <v>7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90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4.5"/>
  <sheetData>
    <row r="1" spans="1:14">
      <c r="A1" s="1" t="s">
        <v>274</v>
      </c>
      <c r="B1" s="1" t="s">
        <v>275</v>
      </c>
      <c r="C1" s="1" t="s">
        <v>290</v>
      </c>
      <c r="D1" s="1" t="s">
        <v>276</v>
      </c>
      <c r="E1" s="1" t="s">
        <v>277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A1"/>
    </sheetView>
  </sheetViews>
  <sheetFormatPr defaultColWidth="9" defaultRowHeight="14.5"/>
  <sheetData>
    <row r="1" spans="1:11">
      <c r="A1" s="1" t="s">
        <v>274</v>
      </c>
      <c r="B1" s="1" t="s">
        <v>275</v>
      </c>
      <c r="C1" s="1" t="s">
        <v>290</v>
      </c>
      <c r="D1" s="1" t="s">
        <v>276</v>
      </c>
      <c r="E1" s="1" t="s">
        <v>277</v>
      </c>
      <c r="F1" s="1" t="s">
        <v>291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4.5" outlineLevelCol="6"/>
  <sheetData>
    <row r="1" spans="1:7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291</v>
      </c>
      <c r="F1" s="1" t="s">
        <v>305</v>
      </c>
      <c r="G1" s="1" t="s">
        <v>306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4.5"/>
  <sheetData>
    <row r="1" spans="1:16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88</v>
      </c>
      <c r="O1" s="1" t="s">
        <v>320</v>
      </c>
      <c r="P1" s="1" t="s">
        <v>321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Fee bill1</vt:lpstr>
      <vt:lpstr>Hoja8</vt:lpstr>
      <vt:lpstr>Pick Up Fee Details1</vt:lpstr>
      <vt:lpstr>Storage Fee Details1</vt:lpstr>
      <vt:lpstr>First Mile Fee Details1</vt:lpstr>
      <vt:lpstr>Stock Storage Fee Details1</vt:lpstr>
      <vt:lpstr>Labeling Fee Details1</vt:lpstr>
      <vt:lpstr>Air Waybill Fee Detail1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yairo</cp:lastModifiedBy>
  <dcterms:created xsi:type="dcterms:W3CDTF">2026-07-02T21:54:00Z</dcterms:created>
  <dcterms:modified xsi:type="dcterms:W3CDTF">2026-07-02T21:57:12Z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5A5640026F4F4197997A351EFCB0AD02_13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