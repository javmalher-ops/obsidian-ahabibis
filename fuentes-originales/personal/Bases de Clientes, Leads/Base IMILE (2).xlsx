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alpica/Desktop/"/>
    </mc:Choice>
  </mc:AlternateContent>
  <xr:revisionPtr revIDLastSave="0" documentId="8_{07224C88-9876-F34E-B465-F1508E0D80D2}" xr6:coauthVersionLast="47" xr6:coauthVersionMax="47" xr10:uidLastSave="{00000000-0000-0000-0000-000000000000}"/>
  <bookViews>
    <workbookView xWindow="0" yWindow="600" windowWidth="28800" windowHeight="15840" xr2:uid="{00000000-000D-0000-FFFF-FFFF00000000}"/>
  </bookViews>
  <sheets>
    <sheet name="Hoja 1" sheetId="1" r:id="rId1"/>
    <sheet name="Hoja 2" sheetId="2" r:id="rId2"/>
  </sheets>
  <definedNames>
    <definedName name="_xlnm._FilterDatabase" localSheetId="0" hidden="1">'Hoja 1'!$A$1:$Z$2699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30" i="1" l="1"/>
  <c r="F812" i="1"/>
  <c r="F811" i="1"/>
  <c r="G797" i="1"/>
  <c r="F750" i="1"/>
  <c r="G747" i="1"/>
  <c r="G729" i="1"/>
  <c r="G728" i="1"/>
  <c r="F714" i="1"/>
  <c r="F713" i="1"/>
  <c r="F712" i="1"/>
  <c r="G655" i="1"/>
  <c r="F645" i="1"/>
  <c r="F644" i="1"/>
  <c r="F637" i="1"/>
  <c r="F635" i="1"/>
  <c r="F599" i="1"/>
  <c r="F598" i="1"/>
  <c r="F597" i="1"/>
  <c r="F596" i="1"/>
  <c r="F595" i="1"/>
  <c r="F577" i="1"/>
  <c r="F576" i="1"/>
  <c r="F560" i="1"/>
  <c r="G533" i="1"/>
  <c r="G507" i="1"/>
  <c r="G502" i="1"/>
  <c r="F495" i="1"/>
  <c r="F478" i="1"/>
  <c r="F477" i="1"/>
  <c r="G447" i="1"/>
  <c r="F429" i="1"/>
  <c r="F426" i="1"/>
  <c r="F425" i="1"/>
  <c r="F386" i="1"/>
  <c r="F380" i="1"/>
  <c r="F378" i="1"/>
  <c r="F332" i="1"/>
  <c r="G279" i="1"/>
  <c r="F279" i="1"/>
  <c r="F277" i="1"/>
  <c r="F266" i="1"/>
  <c r="F219" i="1"/>
  <c r="F218" i="1"/>
  <c r="F217" i="1"/>
  <c r="F216" i="1"/>
  <c r="G210" i="1"/>
  <c r="G206" i="1"/>
  <c r="F184" i="1"/>
  <c r="F172" i="1"/>
  <c r="G168" i="1"/>
  <c r="F163" i="1"/>
  <c r="F162" i="1"/>
  <c r="F161" i="1"/>
  <c r="G156" i="1"/>
  <c r="F149" i="1"/>
  <c r="F147" i="1"/>
  <c r="G129" i="1"/>
  <c r="F122" i="1"/>
  <c r="G116" i="1"/>
  <c r="F109" i="1"/>
  <c r="G94" i="1"/>
  <c r="F76" i="1"/>
  <c r="G75" i="1"/>
  <c r="F75" i="1"/>
  <c r="F74" i="1"/>
  <c r="F73" i="1"/>
  <c r="G62" i="1"/>
  <c r="F17" i="1"/>
  <c r="G11" i="1"/>
</calcChain>
</file>

<file path=xl/sharedStrings.xml><?xml version="1.0" encoding="utf-8"?>
<sst xmlns="http://schemas.openxmlformats.org/spreadsheetml/2006/main" count="17954" uniqueCount="10217">
  <si>
    <t>Last name</t>
  </si>
  <si>
    <t>Job title</t>
  </si>
  <si>
    <t>Linkedin URL</t>
  </si>
  <si>
    <t>Email</t>
  </si>
  <si>
    <t>Mobile</t>
  </si>
  <si>
    <t>Mobile 2</t>
  </si>
  <si>
    <t>Company name</t>
  </si>
  <si>
    <t>Lee</t>
  </si>
  <si>
    <t>Thompson</t>
  </si>
  <si>
    <t>Co-founder and CMO Flash Pack Left school</t>
  </si>
  <si>
    <t>https://www.linkedin.com/in/leethompsonflashpack</t>
  </si>
  <si>
    <t>leethompsonpix@me.com</t>
  </si>
  <si>
    <t>203.909.2433</t>
  </si>
  <si>
    <t>16lots.com</t>
  </si>
  <si>
    <t>Luis</t>
  </si>
  <si>
    <t>Haaz</t>
  </si>
  <si>
    <t>Strategic Marketing Manager</t>
  </si>
  <si>
    <t>https://www.linkedin.com/in/ferhaaz</t>
  </si>
  <si>
    <t>1nprotelecom.com</t>
  </si>
  <si>
    <t>Raquel</t>
  </si>
  <si>
    <t>Castro</t>
  </si>
  <si>
    <t>Brand and Digital Marketing Manager</t>
  </si>
  <si>
    <t>https://www.linkedin.com/in/raquel-castro-71828983</t>
  </si>
  <si>
    <t>racapo@gmail.com</t>
  </si>
  <si>
    <t>abitu.mx</t>
  </si>
  <si>
    <t>Emma</t>
  </si>
  <si>
    <t>Riley</t>
  </si>
  <si>
    <t>Social Media Marketing Manager</t>
  </si>
  <si>
    <t>https://www.linkedin.com/in/emma-riley-42b817149</t>
  </si>
  <si>
    <t>emma@accentprone.com</t>
  </si>
  <si>
    <t>336.310.4753</t>
  </si>
  <si>
    <t>888.329.0139</t>
  </si>
  <si>
    <t>accentprone.com</t>
  </si>
  <si>
    <t>Steven</t>
  </si>
  <si>
    <t>Galeano</t>
  </si>
  <si>
    <t>Director eCommerce</t>
  </si>
  <si>
    <t>https://www.linkedin.com/in/ACwAABp_ieEBxQg0q2EFCfd8T_zUlwIYQ1T5aWs</t>
  </si>
  <si>
    <t>steven@accesoriosavemaria.com</t>
  </si>
  <si>
    <t>accesoriosavemaria.com</t>
  </si>
  <si>
    <t>Miguel</t>
  </si>
  <si>
    <t>Robles</t>
  </si>
  <si>
    <t>Director eCommerce &amp; Marketing</t>
  </si>
  <si>
    <t>https://www.linkedin.com/in/miguel-palacio-robles-digitalecommerce</t>
  </si>
  <si>
    <t>(+57) 3003423657</t>
  </si>
  <si>
    <t>Ana</t>
  </si>
  <si>
    <t>Lopez</t>
  </si>
  <si>
    <t>Director de marketing</t>
  </si>
  <si>
    <t>https://www.linkedin.com/in/ana-marÃ­a-botero-lopez-4a1952163</t>
  </si>
  <si>
    <t>Araceli</t>
  </si>
  <si>
    <t>Ramirez</t>
  </si>
  <si>
    <t>Trade Category Manager Consumer and shopper Marketing Customer Marketing and Development Director</t>
  </si>
  <si>
    <t>https://www.linkedin.com/in/araceliruizramirez</t>
  </si>
  <si>
    <t>803.310.9704</t>
  </si>
  <si>
    <t>adecoco.com</t>
  </si>
  <si>
    <t>IÃ±aki</t>
  </si>
  <si>
    <t>S</t>
  </si>
  <si>
    <t>Chief Financial Officer &amp; Chief Marketing Officer</t>
  </si>
  <si>
    <t>https://www.linkedin.com/in/ACwAAAmGNBsB58mr9UkRJorUfqiA-zNB9uHAOxo</t>
  </si>
  <si>
    <t>Gabriela</t>
  </si>
  <si>
    <t>Martinez</t>
  </si>
  <si>
    <t>Marketing &amp; Trademarketing Head</t>
  </si>
  <si>
    <t>https://www.linkedin.com/in/ACwAAAdKEf4B2Lw9wZYiNegpBWfgY07SE9bzj_8</t>
  </si>
  <si>
    <t>LÃ­deres</t>
  </si>
  <si>
    <t>Adweb</t>
  </si>
  <si>
    <t>Director de Proyectos Web</t>
  </si>
  <si>
    <t>https://www.linkedin.com/in/lÃ­deres-adweb-913187150</t>
  </si>
  <si>
    <t>lideres.adweb@adwebsolutions.com</t>
  </si>
  <si>
    <t>52 33 1031 0830</t>
  </si>
  <si>
    <t>adwebsolutions.com</t>
  </si>
  <si>
    <t>Carlos</t>
  </si>
  <si>
    <t>Balmori</t>
  </si>
  <si>
    <t>Supervisor de Trade Marketing</t>
  </si>
  <si>
    <t>https://www.linkedin.com/in/ACwAABbnAgEBmYA6R0yIGsc2zDj8IP_g5GrL99o</t>
  </si>
  <si>
    <t>52 33 3134-0500</t>
  </si>
  <si>
    <t>akron.com.mx</t>
  </si>
  <si>
    <t>Alan</t>
  </si>
  <si>
    <t>NÃºÃ±ez</t>
  </si>
  <si>
    <t>marketing and Advertising Manager</t>
  </si>
  <si>
    <t>https://www.linkedin.com/in/alanmoronesmarketing</t>
  </si>
  <si>
    <t>amorones@aldoconti.com</t>
  </si>
  <si>
    <t>52 33 312 23613</t>
  </si>
  <si>
    <t>52 55 5759 0266</t>
  </si>
  <si>
    <t>aldoconti.com</t>
  </si>
  <si>
    <t>Hazel</t>
  </si>
  <si>
    <t>Zaragoza</t>
  </si>
  <si>
    <t>Assistant Marketing Manager</t>
  </si>
  <si>
    <t>https://www.linkedin.com/in/hazel-zaragoza-435aa9219</t>
  </si>
  <si>
    <t>hazel.zaragoza@aldoconti.com</t>
  </si>
  <si>
    <t>52 33 3121 0181</t>
  </si>
  <si>
    <t>Sandrine</t>
  </si>
  <si>
    <t>Audan-Desurmont</t>
  </si>
  <si>
    <t>Marketing Director</t>
  </si>
  <si>
    <t>saudan@cspirits.net</t>
  </si>
  <si>
    <t>alfredgiraudwhisky.com</t>
  </si>
  <si>
    <t>Juan Carlos</t>
  </si>
  <si>
    <t>Cortina</t>
  </si>
  <si>
    <t>Director Comercial y Marketing</t>
  </si>
  <si>
    <t>https://www.linkedin.com/in/juan-carlos-ayala-cortina</t>
  </si>
  <si>
    <t>juancarlos.cortina@alldora.com.mx</t>
  </si>
  <si>
    <t>alldora.com.mx</t>
  </si>
  <si>
    <t>Sergio</t>
  </si>
  <si>
    <t>AlanÃ­s</t>
  </si>
  <si>
    <t>Growth Marketing Strategist CEO Bramak Studio Marketing Manager</t>
  </si>
  <si>
    <t>https://www.linkedin.com/in/consergioalanis</t>
  </si>
  <si>
    <t>sergioalanis@amatruck.com.mx</t>
  </si>
  <si>
    <t>811.299.9895</t>
  </si>
  <si>
    <t>amatruck.com.mx</t>
  </si>
  <si>
    <t>Mehdi</t>
  </si>
  <si>
    <t>Errammani</t>
  </si>
  <si>
    <t>Digital Marketing Manager</t>
  </si>
  <si>
    <t>https://www.linkedin.com/in/mehdi-errammani-5aab301bb</t>
  </si>
  <si>
    <t>errammanimehdi37@gmail.com</t>
  </si>
  <si>
    <t>650.386.5457</t>
  </si>
  <si>
    <t>650.924.1612</t>
  </si>
  <si>
    <t>amazfit.com</t>
  </si>
  <si>
    <t>Isabella</t>
  </si>
  <si>
    <t>Guerra</t>
  </si>
  <si>
    <t>https://www.linkedin.com/in/isabella-garcÃ­a-guerra-44bb25120</t>
  </si>
  <si>
    <t>isabella@amvo.org.mx</t>
  </si>
  <si>
    <t>551.152.5587</t>
  </si>
  <si>
    <t>amvo.org.mx</t>
  </si>
  <si>
    <t>Sabina</t>
  </si>
  <si>
    <t>Andagency</t>
  </si>
  <si>
    <t>Sr. Marketing Communications Manager</t>
  </si>
  <si>
    <t>https://www.linkedin.com/in/sabina-andagency-a51b90117</t>
  </si>
  <si>
    <t>866.492.8300</t>
  </si>
  <si>
    <t>andishere.com</t>
  </si>
  <si>
    <t>Biljana</t>
  </si>
  <si>
    <t>Filinova</t>
  </si>
  <si>
    <t>Marketing &amp; Creative Director</t>
  </si>
  <si>
    <t>https://www.linkedin.com/in/biljanafilinova</t>
  </si>
  <si>
    <t>biljana.filinova@andishere.com</t>
  </si>
  <si>
    <t>Julian</t>
  </si>
  <si>
    <t>Prashad</t>
  </si>
  <si>
    <t>Director of Product Marketing</t>
  </si>
  <si>
    <t>https://www.linkedin.com/in/julianprashad</t>
  </si>
  <si>
    <t>julian.prashad@gmail.com</t>
  </si>
  <si>
    <t>630.329.1871</t>
  </si>
  <si>
    <t>Dan</t>
  </si>
  <si>
    <t>Tenkhoff</t>
  </si>
  <si>
    <t>Chief Marketing Officer</t>
  </si>
  <si>
    <t>https://www.linkedin.com/in/dantenkhoff</t>
  </si>
  <si>
    <t>dantenkhoff@gmail.com</t>
  </si>
  <si>
    <t>Vanessa</t>
  </si>
  <si>
    <t>G</t>
  </si>
  <si>
    <t>Product Marketing Manager Beauty</t>
  </si>
  <si>
    <t>https://www.linkedin.com/in/vanessa-g-9494a5b7</t>
  </si>
  <si>
    <t>vg@grupoandrea.com</t>
  </si>
  <si>
    <t>877.263.7320</t>
  </si>
  <si>
    <t>andrea.com</t>
  </si>
  <si>
    <t>Olga</t>
  </si>
  <si>
    <t>SÃ¡nchez</t>
  </si>
  <si>
    <t>Product Marketing Manager</t>
  </si>
  <si>
    <t>https://www.linkedin.com/in/olga-s-8b9b2330</t>
  </si>
  <si>
    <t>olga.sanchez@grupoandrea.com</t>
  </si>
  <si>
    <t>Karla</t>
  </si>
  <si>
    <t>V</t>
  </si>
  <si>
    <t>Product Marketing Manager Home</t>
  </si>
  <si>
    <t>https://www.linkedin.com/in/karla-nataly-chantal-v-39b3a2133</t>
  </si>
  <si>
    <t>kv@grupoandrea.com</t>
  </si>
  <si>
    <t>Adriana</t>
  </si>
  <si>
    <t>Ortiz</t>
  </si>
  <si>
    <t>Brand Marketing Manager</t>
  </si>
  <si>
    <t>https://www.linkedin.com/in/adriana-ortiz-202a2249</t>
  </si>
  <si>
    <t>aortiz@andrea.com</t>
  </si>
  <si>
    <t>AndrÃ©s</t>
  </si>
  <si>
    <t>VÃ¡zquez</t>
  </si>
  <si>
    <t>Marketing Sub-Director</t>
  </si>
  <si>
    <t>https://www.linkedin.com/in/andrespava</t>
  </si>
  <si>
    <t>andresv@grupoandrea.com</t>
  </si>
  <si>
    <t>52 477 787 9379</t>
  </si>
  <si>
    <t>Laura</t>
  </si>
  <si>
    <t>Valdes</t>
  </si>
  <si>
    <t>https://www.linkedin.com/in/ACwAADhoovMBpNdv2MLjr6h9dSR2JVup7QaVirA</t>
  </si>
  <si>
    <t>lvaldes@anierm.org.mx</t>
  </si>
  <si>
    <t>anierm.org.mx</t>
  </si>
  <si>
    <t>Doug</t>
  </si>
  <si>
    <t>Hughes</t>
  </si>
  <si>
    <t>Director of eCommerce</t>
  </si>
  <si>
    <t>https://www.linkedin.com/in/doug-hughes-60bb0925a</t>
  </si>
  <si>
    <t>doug@aomc.mx</t>
  </si>
  <si>
    <t>304.932.0437</t>
  </si>
  <si>
    <t>631.278.2631</t>
  </si>
  <si>
    <t>aomc.mx</t>
  </si>
  <si>
    <t>David</t>
  </si>
  <si>
    <t>Hernandez</t>
  </si>
  <si>
    <t>Director e-commerce &amp; Digital y Omnichannel</t>
  </si>
  <si>
    <t>https://www.linkedin.com/in/davidvazquezhernandez</t>
  </si>
  <si>
    <t>david.hernandez@applecosmetics.com.mx</t>
  </si>
  <si>
    <t>52 5554925067</t>
  </si>
  <si>
    <t>applecosmetics.com.mx</t>
  </si>
  <si>
    <t>Katia</t>
  </si>
  <si>
    <t>Gij</t>
  </si>
  <si>
    <t>Marketing and Commercial Director By Apple Bambo Beauty Disney by Apple</t>
  </si>
  <si>
    <t>https://www.linkedin.com/in/katia-gij-907752bb</t>
  </si>
  <si>
    <t>katia.gij@applecosmetics.com.mx</t>
  </si>
  <si>
    <t>52 55 7047 4355</t>
  </si>
  <si>
    <t>Steffany</t>
  </si>
  <si>
    <t>Perez</t>
  </si>
  <si>
    <t>Lead Generation Analyst- Sales and Marketing</t>
  </si>
  <si>
    <t>https://www.linkedin.com/in/ACwAAESADzkBu9F0U4wqAkws611ux8j5zG1KX7Q</t>
  </si>
  <si>
    <t>sperez@internet.com.mx</t>
  </si>
  <si>
    <t>apsa.com.mx</t>
  </si>
  <si>
    <t>Adrian</t>
  </si>
  <si>
    <t>Rodarte</t>
  </si>
  <si>
    <t>https://www.linkedin.com/in/adrian-rodarte-a8562b272</t>
  </si>
  <si>
    <t>33 1606 0768:003527-500</t>
  </si>
  <si>
    <t>arenaswim.com.mx</t>
  </si>
  <si>
    <t>Eleni</t>
  </si>
  <si>
    <t>Siskou</t>
  </si>
  <si>
    <t>Sales Marketing Manager</t>
  </si>
  <si>
    <t>https://www.linkedin.com/in/ACwAAB5Y0VEB6T1yQ04dg_ki5_JKHruYNB5Nb8Y</t>
  </si>
  <si>
    <t>esiskou@armatura.com.co</t>
  </si>
  <si>
    <t>313.368.3065</t>
  </si>
  <si>
    <t>armatura.com.co</t>
  </si>
  <si>
    <t>SofÃ­a</t>
  </si>
  <si>
    <t>Murillo</t>
  </si>
  <si>
    <t>Digital Art Director</t>
  </si>
  <si>
    <t>https://www.linkedin.com/in/ACwAAC076GEBniXB7mI1r7TWhpnWflglZDdMc8Q</t>
  </si>
  <si>
    <t>aromaria.mx</t>
  </si>
  <si>
    <t>Karin</t>
  </si>
  <si>
    <t>Gonzalez</t>
  </si>
  <si>
    <t>Head of Marketing</t>
  </si>
  <si>
    <t>https://www.linkedin.com/in/ACwAAA6Yw7sBPG1AspUugoqpR-_Au7dVFYPYO-Q</t>
  </si>
  <si>
    <t>karin@arrobasystem.com</t>
  </si>
  <si>
    <t>52 55 55439482</t>
  </si>
  <si>
    <t>arrobasystem.com</t>
  </si>
  <si>
    <t>Nancy</t>
  </si>
  <si>
    <t>Clarke</t>
  </si>
  <si>
    <t>Marketing Manager</t>
  </si>
  <si>
    <t>https://www.linkedin.com/in/nancy-clarke-ma-7a25607</t>
  </si>
  <si>
    <t>nclarke@ascm.org</t>
  </si>
  <si>
    <t>800.444.2742</t>
  </si>
  <si>
    <t>773.867.1779</t>
  </si>
  <si>
    <t>ascm.org</t>
  </si>
  <si>
    <t>Tony</t>
  </si>
  <si>
    <t>Davis</t>
  </si>
  <si>
    <t>Vice President Marketing</t>
  </si>
  <si>
    <t>https://www.linkedin.com/in/davis2022</t>
  </si>
  <si>
    <t>anthony.davis33@gmail.com</t>
  </si>
  <si>
    <t>Jessica</t>
  </si>
  <si>
    <t>Heraty</t>
  </si>
  <si>
    <t>Associate Director of Marketing</t>
  </si>
  <si>
    <t>https://www.linkedin.com/in/jessica-heraty-0754b111</t>
  </si>
  <si>
    <t>jheraty@ascm.org</t>
  </si>
  <si>
    <t>773.867.1758</t>
  </si>
  <si>
    <t>Nick</t>
  </si>
  <si>
    <t>D</t>
  </si>
  <si>
    <t>Senior Manager Digital Marketing</t>
  </si>
  <si>
    <t>https://www.linkedin.com/in/nick-d-b8b21611</t>
  </si>
  <si>
    <t>nd@ascm.org</t>
  </si>
  <si>
    <t>Sherri</t>
  </si>
  <si>
    <t>Goodlove</t>
  </si>
  <si>
    <t>Executive Vice President, Marketing, Communications &amp; eCommerce</t>
  </si>
  <si>
    <t>https://www.linkedin.com/in/sherrimaxson</t>
  </si>
  <si>
    <t>maxsonsherri@gmail.com</t>
  </si>
  <si>
    <t>630.886.8823</t>
  </si>
  <si>
    <t>Lobato</t>
  </si>
  <si>
    <t>Marketing Communications Director - Prepaid, New Channels &amp; Exclusive Dealers</t>
  </si>
  <si>
    <t>https://www.linkedin.com/in/luis-lobatomx</t>
  </si>
  <si>
    <t>luis.lobato@att.com</t>
  </si>
  <si>
    <t>01 800 253 7872</t>
  </si>
  <si>
    <t>At&amp;t MÃ©xico</t>
  </si>
  <si>
    <t>Graziella</t>
  </si>
  <si>
    <t>Laris</t>
  </si>
  <si>
    <t>Manager &amp; Sr. Attorney, Marketing, Business &amp; Enterprise</t>
  </si>
  <si>
    <t>https://www.linkedin.com/in/graziella-guillÃ©-laris-415a5547</t>
  </si>
  <si>
    <t>graziella.laris@att.com</t>
  </si>
  <si>
    <t>Mancilla</t>
  </si>
  <si>
    <t>https://www.linkedin.com/in/karla-mancilla-165390a5</t>
  </si>
  <si>
    <t>karla.mancilla@att.com</t>
  </si>
  <si>
    <t>Atfil</t>
  </si>
  <si>
    <t>de Aire</t>
  </si>
  <si>
    <t>https://www.linkedin.com/in/ACwAAEJ8Vc0BBxr2vNXNTGwdtVps4-2_hCSRtAM</t>
  </si>
  <si>
    <t>atfil.deaire@atfil.com.mx</t>
  </si>
  <si>
    <t>atfil.com.mx</t>
  </si>
  <si>
    <t>AngÃ©lica</t>
  </si>
  <si>
    <t>Torres</t>
  </si>
  <si>
    <t>Brand Digital Development Lead</t>
  </si>
  <si>
    <t>https://www.linkedin.com/in/ACwAADQEPusBLVZenBIS6txWbYHRIJX3Yu6Btlw</t>
  </si>
  <si>
    <t>atom-academy.mx</t>
  </si>
  <si>
    <t>Marisol</t>
  </si>
  <si>
    <t>Sosa</t>
  </si>
  <si>
    <t>Executive Marketing Manager</t>
  </si>
  <si>
    <t>https://www.linkedin.com/in/marisol-lopez-sosa</t>
  </si>
  <si>
    <t>marizols@hotmail.com</t>
  </si>
  <si>
    <t>52 241 417 6600</t>
  </si>
  <si>
    <t>52 241 118 1703</t>
  </si>
  <si>
    <t>atx.mx</t>
  </si>
  <si>
    <t>Cristian</t>
  </si>
  <si>
    <t>Morales</t>
  </si>
  <si>
    <t>Director de Transformacion Digital para Microsoft Solutions</t>
  </si>
  <si>
    <t>https://www.linkedin.com/in/cristianmoralesga</t>
  </si>
  <si>
    <t>cristian@atx.mx</t>
  </si>
  <si>
    <t>241.417.6600</t>
  </si>
  <si>
    <t>Jose</t>
  </si>
  <si>
    <t>Moll</t>
  </si>
  <si>
    <t>https://www.linkedin.com/in/jose-roberto-moll</t>
  </si>
  <si>
    <t>jose.moll@audi.mx</t>
  </si>
  <si>
    <t>52 800 849 2383</t>
  </si>
  <si>
    <t>audi.com.mx</t>
  </si>
  <si>
    <t>Juan</t>
  </si>
  <si>
    <t>Baltazar</t>
  </si>
  <si>
    <t>CMO</t>
  </si>
  <si>
    <t>https://www.linkedin.com/in/juanrarivasbaltazar</t>
  </si>
  <si>
    <t>52 800 772 8349</t>
  </si>
  <si>
    <t>52 33 3610 1754</t>
  </si>
  <si>
    <t>audioonline.com.mx</t>
  </si>
  <si>
    <t>Jenny</t>
  </si>
  <si>
    <t>Montoya</t>
  </si>
  <si>
    <t>Community Manager y marketing digital</t>
  </si>
  <si>
    <t>https://www.linkedin.com/in/jenny-montoya</t>
  </si>
  <si>
    <t>jmontoya@austromex.com.mx</t>
  </si>
  <si>
    <t>austromex.com.mx</t>
  </si>
  <si>
    <t>Edwin</t>
  </si>
  <si>
    <t>Onofre</t>
  </si>
  <si>
    <t>Marketing and Corporate Communications Manager</t>
  </si>
  <si>
    <t>https://www.linkedin.com/in/edwinonofre</t>
  </si>
  <si>
    <t>autycom.com</t>
  </si>
  <si>
    <t>Chen</t>
  </si>
  <si>
    <t>https://www.linkedin.com/in/ACwAABJHFq4BEbse1Ptcl66oFfvUANpJGWfg7U0</t>
  </si>
  <si>
    <t>jessica.chen@avantorsciences.com</t>
  </si>
  <si>
    <t>610.386.1730</t>
  </si>
  <si>
    <t>avantorsciences.com</t>
  </si>
  <si>
    <t>Eddy</t>
  </si>
  <si>
    <t>Breach</t>
  </si>
  <si>
    <t>Director de Marketing, Ecommerce &amp; Experiencia al Cliente Avis Mexico</t>
  </si>
  <si>
    <t>https://www.linkedin.com/in/eddy-breach-9224922</t>
  </si>
  <si>
    <t>ebreach@hotmail.com</t>
  </si>
  <si>
    <t>52 664 683 0605</t>
  </si>
  <si>
    <t>811.242.9536</t>
  </si>
  <si>
    <t>avis.mx</t>
  </si>
  <si>
    <t>Gilberto</t>
  </si>
  <si>
    <t>Romo</t>
  </si>
  <si>
    <t>Director de Comunicaciones y Marketing</t>
  </si>
  <si>
    <t>https://www.linkedin.com/in/ACwAAC20sTgBiQFqMx92da0elK8kcA_NTPbF3KI</t>
  </si>
  <si>
    <t>52 333 812 1511</t>
  </si>
  <si>
    <t>awasa.com.mx</t>
  </si>
  <si>
    <t>Agnieszka</t>
  </si>
  <si>
    <t>Zamojska</t>
  </si>
  <si>
    <t>Business Development / Strategic Marketing Manager / Key Account Manager</t>
  </si>
  <si>
    <t>https://www.linkedin.com/in/ACwAABqQdtYBj7aaSEJAByeY8KOofMMhXFRxxZc</t>
  </si>
  <si>
    <t>az@azconsulting.mx</t>
  </si>
  <si>
    <t>azconsulting.mx</t>
  </si>
  <si>
    <t>Eleghant</t>
  </si>
  <si>
    <t>Mkt</t>
  </si>
  <si>
    <t>https://www.linkedin.com/in/ACwAADLxpTkBWR_uf7iNOG0PzdEG6lPT8lHdlPM</t>
  </si>
  <si>
    <t>emkt@azulik.com</t>
  </si>
  <si>
    <t>52 998 216 3708</t>
  </si>
  <si>
    <t>984.980.0640</t>
  </si>
  <si>
    <t>azulik.com</t>
  </si>
  <si>
    <t>HernÃ¡n</t>
  </si>
  <si>
    <t>R</t>
  </si>
  <si>
    <t>https://www.linkedin.com/in/hernanramirezmarketing</t>
  </si>
  <si>
    <t>hr@azulik.com</t>
  </si>
  <si>
    <t>Melina</t>
  </si>
  <si>
    <t>Javkin</t>
  </si>
  <si>
    <t>https://www.linkedin.com/in/melinajavkin</t>
  </si>
  <si>
    <t>mjavkin@azulik.com</t>
  </si>
  <si>
    <t>Gonzalo</t>
  </si>
  <si>
    <t>Fragoso</t>
  </si>
  <si>
    <t>https://www.linkedin.com/in/gonzalopolis</t>
  </si>
  <si>
    <t>gfragoso@azulik.com</t>
  </si>
  <si>
    <t>Perla</t>
  </si>
  <si>
    <t>Pereyra</t>
  </si>
  <si>
    <t>https://www.linkedin.com/in/perla-gÃ³mez-pereyra-4991b3142</t>
  </si>
  <si>
    <t>baladigala.com.mx</t>
  </si>
  <si>
    <t>Noemi</t>
  </si>
  <si>
    <t>H</t>
  </si>
  <si>
    <t>Brand and Marketing Project Manager and Consultant</t>
  </si>
  <si>
    <t>balamdenim.com</t>
  </si>
  <si>
    <t>Paula</t>
  </si>
  <si>
    <t>Montes</t>
  </si>
  <si>
    <t>Operations Systems Manager and Marketing Assistant</t>
  </si>
  <si>
    <t>https://www.linkedin.com/in/paula-martÃ­nez-montes-a20498172</t>
  </si>
  <si>
    <t>01 624 143 5169:01 818 160 0109:01 818 347 2769:01 777 314 4565</t>
  </si>
  <si>
    <t>52 55 5671 4522</t>
  </si>
  <si>
    <t>bariswimwear.com</t>
  </si>
  <si>
    <t>Moreno</t>
  </si>
  <si>
    <t>https://www.linkedin.com/in/ana-karen-gutiÃ©rrez-moreno-1560a1b2</t>
  </si>
  <si>
    <t>beautyart.com.mx</t>
  </si>
  <si>
    <t>Erik</t>
  </si>
  <si>
    <t>General Manager Marketing Mexico</t>
  </si>
  <si>
    <t>https://www.linkedin.com/in/erik-arreola-1980-28196b111</t>
  </si>
  <si>
    <t>Selene</t>
  </si>
  <si>
    <t>M</t>
  </si>
  <si>
    <t>Manager Marketing Services</t>
  </si>
  <si>
    <t>https://www.linkedin.com/in/selene-m-115319152</t>
  </si>
  <si>
    <t>Nikki</t>
  </si>
  <si>
    <t>Tighe</t>
  </si>
  <si>
    <t>Director of Marketing</t>
  </si>
  <si>
    <t>https://www.linkedin.com/in/nikki-tighe-700025101</t>
  </si>
  <si>
    <t>403.896.7226</t>
  </si>
  <si>
    <t>bellisima.mx</t>
  </si>
  <si>
    <t>Fernanda</t>
  </si>
  <si>
    <t>P</t>
  </si>
  <si>
    <t>https://www.linkedin.com/in/fernanda-p-9716a927</t>
  </si>
  <si>
    <t>52 80 084 15541</t>
  </si>
  <si>
    <t>Kacy</t>
  </si>
  <si>
    <t>Chow</t>
  </si>
  <si>
    <t>Vice President Marketing, Sales, Business Development</t>
  </si>
  <si>
    <t>https://www.linkedin.com/in/kacy-chow-bn-mba-9614352</t>
  </si>
  <si>
    <t>kacyto@gmail.com</t>
  </si>
  <si>
    <t>Josefina</t>
  </si>
  <si>
    <t>RisopatrÃ³n</t>
  </si>
  <si>
    <t>https://www.linkedin.com/in/josefina-risopatrÃ³n-75361b102</t>
  </si>
  <si>
    <t>josefina.risopatron@benandfrank.com</t>
  </si>
  <si>
    <t>benandfrank.com</t>
  </si>
  <si>
    <t>Covadonga</t>
  </si>
  <si>
    <t>Llavona</t>
  </si>
  <si>
    <t>Head of Marketing Strategy</t>
  </si>
  <si>
    <t>https://www.linkedin.com/in/covadonga-gordon-llavona</t>
  </si>
  <si>
    <t>covadonga.llavona@benandfrank.com</t>
  </si>
  <si>
    <t>Jorge</t>
  </si>
  <si>
    <t>RodrÃ­guez</t>
  </si>
  <si>
    <t>https://www.linkedin.com/in/jorelr7</t>
  </si>
  <si>
    <t>jorge.rodriguez@benandfrank.com</t>
  </si>
  <si>
    <t>Ricardo</t>
  </si>
  <si>
    <t>De la Huerta</t>
  </si>
  <si>
    <t>https://www.linkedin.com/in/ricardo-de-la-huerta-a3224023</t>
  </si>
  <si>
    <t>ricardo.delahuerta@benandfrank.com</t>
  </si>
  <si>
    <t>(52) 998-283-3939</t>
  </si>
  <si>
    <t>Andrea</t>
  </si>
  <si>
    <t>Holoschutz</t>
  </si>
  <si>
    <t>https://www.linkedin.com/in/andrea-holoschutz-76a90a6a</t>
  </si>
  <si>
    <t>aholoschutz@gmail.com</t>
  </si>
  <si>
    <t>52 626-399-1674</t>
  </si>
  <si>
    <t>berger.com.mx</t>
  </si>
  <si>
    <t>Mariel</t>
  </si>
  <si>
    <t>HernÃ¡ndez</t>
  </si>
  <si>
    <t>PR &amp; Marketing Director</t>
  </si>
  <si>
    <t>https://www.linkedin.com/in/mariel-hernÃ¡ndez-a29642141</t>
  </si>
  <si>
    <t>mariellhag@gmail.com</t>
  </si>
  <si>
    <t>Gerardo</t>
  </si>
  <si>
    <t>Sacre</t>
  </si>
  <si>
    <t>Chief Marketing Officer (CMO)</t>
  </si>
  <si>
    <t>https://www.linkedin.com/in/gerardo-mieryterÃ¡n-sacre</t>
  </si>
  <si>
    <t>52 333 642 8484</t>
  </si>
  <si>
    <t>betterware.com.mx</t>
  </si>
  <si>
    <t>JosÃ©</t>
  </si>
  <si>
    <t>https://www.linkedin.com/in/josÃ©-luis-hernÃ¡ndez-494308249</t>
  </si>
  <si>
    <t>Ravish</t>
  </si>
  <si>
    <t>Arora</t>
  </si>
  <si>
    <t>Head of Digital Marketing</t>
  </si>
  <si>
    <t>https://www.linkedin.com/in/ravish-arora-a3b474251</t>
  </si>
  <si>
    <t>rarora@bfit.mx</t>
  </si>
  <si>
    <t>bfit.mx</t>
  </si>
  <si>
    <t>Milly</t>
  </si>
  <si>
    <t>Hutchcraft</t>
  </si>
  <si>
    <t>Marketing Manager Blend Deputy Editor</t>
  </si>
  <si>
    <t>https://www.linkedin.com/in/milly-hutchcraft</t>
  </si>
  <si>
    <t>bigcartel.com</t>
  </si>
  <si>
    <t>Medina</t>
  </si>
  <si>
    <t>Lead Full Stack Web Developer</t>
  </si>
  <si>
    <t>https://www.linkedin.com/in/gonzalo-medina-g</t>
  </si>
  <si>
    <t>mgmediaweb@gmail.com</t>
  </si>
  <si>
    <t>801.328.3131</t>
  </si>
  <si>
    <t>Karsyn</t>
  </si>
  <si>
    <t>Ansari</t>
  </si>
  <si>
    <t>Growth Marketing Manager</t>
  </si>
  <si>
    <t>https://www.linkedin.com/in/karsynansari</t>
  </si>
  <si>
    <t>karsyn@bigcartel.com</t>
  </si>
  <si>
    <t>Marco</t>
  </si>
  <si>
    <t>Franco</t>
  </si>
  <si>
    <t>Director de TransformaciÃ³n Digital</t>
  </si>
  <si>
    <t>https://www.linkedin.com/in/marco-paredes</t>
  </si>
  <si>
    <t>marcopf683@gmail.com</t>
  </si>
  <si>
    <t>bim.mx</t>
  </si>
  <si>
    <t>Mayorga</t>
  </si>
  <si>
    <t>https://www.linkedin.com/in/laura-mayorga</t>
  </si>
  <si>
    <t>lic.laura.mayorga@gmail.com</t>
  </si>
  <si>
    <t>52 81 3142 0216</t>
  </si>
  <si>
    <t>bind.com.mx</t>
  </si>
  <si>
    <t>Marcela</t>
  </si>
  <si>
    <t>https://www.linkedin.com/in/ACwAACtD8zYBwLG4hXjzu2KSBmE5AxKg5NtT2As</t>
  </si>
  <si>
    <t>m.torres@binden.mx</t>
  </si>
  <si>
    <t>312 207 5672:312 313 9246</t>
  </si>
  <si>
    <t>binden.mx</t>
  </si>
  <si>
    <t>Johnatan</t>
  </si>
  <si>
    <t>Nava</t>
  </si>
  <si>
    <t>B2C Marketing Manager</t>
  </si>
  <si>
    <t>https://www.linkedin.com/in/ACwAAA7REuoBcyAYg9qWcz5kUQirM-QO0rdnAjQ</t>
  </si>
  <si>
    <t>johnatannava@biob.com.mx</t>
  </si>
  <si>
    <t>biob.com.mx</t>
  </si>
  <si>
    <t>Benito</t>
  </si>
  <si>
    <t>Supervisor de Impresion Digital</t>
  </si>
  <si>
    <t>https://www.linkedin.com/in/ACwAAA7jIlgBmzWtDGrfonBV7flBeaiou73yYlg</t>
  </si>
  <si>
    <t>benito.torres@jda.com</t>
  </si>
  <si>
    <t>52-55-54906639</t>
  </si>
  <si>
    <t>blueyonder.com</t>
  </si>
  <si>
    <t>Santiago</t>
  </si>
  <si>
    <t>Calles</t>
  </si>
  <si>
    <t>Product Marketing Manager/Brand Manager/Price &amp; Product Manager</t>
  </si>
  <si>
    <t>https://www.linkedin.com/in/santiago-calles-76300ab6</t>
  </si>
  <si>
    <t>santiago.calles@bmw.com.mx</t>
  </si>
  <si>
    <t>52 55 9140 2100</t>
  </si>
  <si>
    <t>bmw.com.mx</t>
  </si>
  <si>
    <t>GascÃ³n</t>
  </si>
  <si>
    <t>Director E-Commerce</t>
  </si>
  <si>
    <t>https://www.linkedin.com/in/luis-gascÃ³n-1a26b4150</t>
  </si>
  <si>
    <t>luis@bodegasalianza.com</t>
  </si>
  <si>
    <t>52 55 5254 8007</t>
  </si>
  <si>
    <t>525558042100 |+52 55 5254 8007</t>
  </si>
  <si>
    <t>bodegasalianza.com</t>
  </si>
  <si>
    <t>Desiree</t>
  </si>
  <si>
    <t>Iturralde</t>
  </si>
  <si>
    <t>Marketing Grouper (Reporting to GM) Mkr Director interim</t>
  </si>
  <si>
    <t>https://www.linkedin.com/in/desiree-lÃ³pez-iturralde-10428915</t>
  </si>
  <si>
    <t>5255 52 58 72 00</t>
  </si>
  <si>
    <t>bonafont.com.mx</t>
  </si>
  <si>
    <t>Yanantaly</t>
  </si>
  <si>
    <t>Picazo</t>
  </si>
  <si>
    <t>https://www.linkedin.com/in/yanantalypicazo</t>
  </si>
  <si>
    <t>yanantalypicazo@gmail.com</t>
  </si>
  <si>
    <t>52 222 225 2737</t>
  </si>
  <si>
    <t>477.109.2296</t>
  </si>
  <si>
    <t>brantano.com.mx</t>
  </si>
  <si>
    <t>Karen</t>
  </si>
  <si>
    <t>Staton</t>
  </si>
  <si>
    <t>Sales &amp; Marketing Director</t>
  </si>
  <si>
    <t>https://www.linkedin.com/in/karen-staton-41374552</t>
  </si>
  <si>
    <t>karen.staton@brantano.co.uk</t>
  </si>
  <si>
    <t>Loera</t>
  </si>
  <si>
    <t>PR, Marketing &amp; Business Development Manager</t>
  </si>
  <si>
    <t>https://www.linkedin.com/in/fernanda-loera-21590830</t>
  </si>
  <si>
    <t>mloeral@hotmail.com</t>
  </si>
  <si>
    <t>52 55 6382 1270</t>
  </si>
  <si>
    <t>brnds.mx</t>
  </si>
  <si>
    <t>Nicole</t>
  </si>
  <si>
    <t>Rosier</t>
  </si>
  <si>
    <t>Manager, Digital and eCommerce Analytics</t>
  </si>
  <si>
    <t>https://www.linkedin.com/in/nicoledesrosier</t>
  </si>
  <si>
    <t>nndesrosier@gmail.com</t>
  </si>
  <si>
    <t>425.488.3131</t>
  </si>
  <si>
    <t>206.858.5709</t>
  </si>
  <si>
    <t>brooksrunning.com</t>
  </si>
  <si>
    <t>Amanda</t>
  </si>
  <si>
    <t>Pile</t>
  </si>
  <si>
    <t>Digital Marketing Analyst</t>
  </si>
  <si>
    <t>https://www.linkedin.com/in/amanda-pile</t>
  </si>
  <si>
    <t>amanda.pile@brooksrunning.com</t>
  </si>
  <si>
    <t>206.858.5700</t>
  </si>
  <si>
    <t>Kari</t>
  </si>
  <si>
    <t>Cazares</t>
  </si>
  <si>
    <t>Paid Digital Marketing Specialist</t>
  </si>
  <si>
    <t>https://www.linkedin.com/in/karischneiss</t>
  </si>
  <si>
    <t>kari.cazares@brooksrunning.com</t>
  </si>
  <si>
    <t>Alina</t>
  </si>
  <si>
    <t>Steiner</t>
  </si>
  <si>
    <t>Senior Retail Marketing Specialist</t>
  </si>
  <si>
    <t>https://www.linkedin.com/in/alina-steiner-4b32234b</t>
  </si>
  <si>
    <t>alina.steiner@brooksrunning.com</t>
  </si>
  <si>
    <t>360.333.8395</t>
  </si>
  <si>
    <t>Meredith</t>
  </si>
  <si>
    <t>Bevis</t>
  </si>
  <si>
    <t>Paid Media Marketing Manager</t>
  </si>
  <si>
    <t>https://www.linkedin.com/in/meredith-hamrick-bevis-39576a7b</t>
  </si>
  <si>
    <t>meredith.bevis@brooksrunning.com</t>
  </si>
  <si>
    <t>Jacquelyn</t>
  </si>
  <si>
    <t>Allison</t>
  </si>
  <si>
    <t>Digital Guru Supervisor</t>
  </si>
  <si>
    <t>https://www.linkedin.com/in/jacquelyn-allison-a1026b157</t>
  </si>
  <si>
    <t>jacquelyn.allison@brooksrunning.com</t>
  </si>
  <si>
    <t>Rocio</t>
  </si>
  <si>
    <t>HernÃ¡iz</t>
  </si>
  <si>
    <t>Supervisor de Marketing</t>
  </si>
  <si>
    <t>https://www.linkedin.com/in/ACwAAEBZemQBBtCtgvQegL839nAKiTkoVLKCAgg</t>
  </si>
  <si>
    <t>52 728 282 5287</t>
  </si>
  <si>
    <t>Brother MÃ©xico</t>
  </si>
  <si>
    <t>Lucelena</t>
  </si>
  <si>
    <t>https://www.linkedin.com/in/lucelenamarichi</t>
  </si>
  <si>
    <t>lucelena.rodriguez@brother.com.mx</t>
  </si>
  <si>
    <t>Diana</t>
  </si>
  <si>
    <t>Alfonsin</t>
  </si>
  <si>
    <t>Marketing Supervisor L&amp;M P&amp;H M&amp;S</t>
  </si>
  <si>
    <t>https://www.linkedin.com/in/ACwAAAXs3EwBpwNy6YhxgUFUjdnccU1EO2VSILE</t>
  </si>
  <si>
    <t>diana.alfonsin@brother.com.mx</t>
  </si>
  <si>
    <t>Jimena</t>
  </si>
  <si>
    <t>Product Marketing Manager P&amp;S D&amp;D</t>
  </si>
  <si>
    <t>https://www.linkedin.com/in/jimena-sÃ¡nchez-0bbb57142</t>
  </si>
  <si>
    <t>jimena.sanchez@brother.com.mx</t>
  </si>
  <si>
    <t>brother.com.mx</t>
  </si>
  <si>
    <t>Estrada</t>
  </si>
  <si>
    <t>Marketing Communication Manager</t>
  </si>
  <si>
    <t>https://www.linkedin.com/in/ACwAACK8tDoBJtQyDLa0oLxA30s7nQN4rocAM9c</t>
  </si>
  <si>
    <t>juan.gonzalez@broxel.com</t>
  </si>
  <si>
    <t>52 55 4433 0303</t>
  </si>
  <si>
    <t>broxel.com</t>
  </si>
  <si>
    <t>GermÃ¡n</t>
  </si>
  <si>
    <t>Guerrero</t>
  </si>
  <si>
    <t>Digital Marketing Manager Sr</t>
  </si>
  <si>
    <t>https://www.linkedin.com/in/germanrangel</t>
  </si>
  <si>
    <t>Jacobo</t>
  </si>
  <si>
    <t>Delgado</t>
  </si>
  <si>
    <t>https://www.linkedin.com/in/jacobrangel7</t>
  </si>
  <si>
    <t>Michel</t>
  </si>
  <si>
    <t>Braverman</t>
  </si>
  <si>
    <t>https://www.linkedin.com/in/michelbraverman</t>
  </si>
  <si>
    <t>mbraverman@cade.com.mx</t>
  </si>
  <si>
    <t>cade.com.mx</t>
  </si>
  <si>
    <t>Raul</t>
  </si>
  <si>
    <t>RÃ­os</t>
  </si>
  <si>
    <t>Head of eCommerce</t>
  </si>
  <si>
    <t>https://www.linkedin.com/in/raulrios23</t>
  </si>
  <si>
    <t>raul.rios@cadeco.com.mx</t>
  </si>
  <si>
    <t>52 (811) 156-9900</t>
  </si>
  <si>
    <t>cadeco.com.mx</t>
  </si>
  <si>
    <t>Santiesteban</t>
  </si>
  <si>
    <t>Director de Marketing y Bussines Intelligence</t>
  </si>
  <si>
    <t>https://www.linkedin.com/in/ACwAACdr4c8BVQ-OywfNLLQzex6k8tyttDfIwdI</t>
  </si>
  <si>
    <t>csantiesteban@cafiver.com.mx</t>
  </si>
  <si>
    <t>52 (800) 712-3058</t>
  </si>
  <si>
    <t>52 2727241255</t>
  </si>
  <si>
    <t>cafiver.com</t>
  </si>
  <si>
    <t>Covarrubias</t>
  </si>
  <si>
    <t>Director de Marketing y E-commerce Calahua</t>
  </si>
  <si>
    <t>https://www.linkedin.com/in/luis-martÃ­n-del-campo-covarrubias-74a1a830</t>
  </si>
  <si>
    <t>52 55 3640 5780</t>
  </si>
  <si>
    <t>calahua.com.mx</t>
  </si>
  <si>
    <t>Junior Marketing Manager</t>
  </si>
  <si>
    <t>https://www.linkedin.com/in/jessica-vÃ¡zquez-aa7524243</t>
  </si>
  <si>
    <t>jessica.vazquez@calimax.com.mx</t>
  </si>
  <si>
    <t>664.633.7900</t>
  </si>
  <si>
    <t>calimax.com.mx</t>
  </si>
  <si>
    <t>MarÃ­a</t>
  </si>
  <si>
    <t>Sr Marketing Manager</t>
  </si>
  <si>
    <t>https://www.linkedin.com/in/mariadelmarsanchezdelgado</t>
  </si>
  <si>
    <t>maria.delgado@calimax.com.mx</t>
  </si>
  <si>
    <t>Manuel</t>
  </si>
  <si>
    <t>Padilla</t>
  </si>
  <si>
    <t>CTO &amp; CMO</t>
  </si>
  <si>
    <t>https://www.linkedin.com/in/manuel-felipe-larrazÃ¡bal-padilla-81a8b686</t>
  </si>
  <si>
    <t>manuel@canvaslab.com</t>
  </si>
  <si>
    <t>811.366.2090</t>
  </si>
  <si>
    <t>52 81 1366 2090</t>
  </si>
  <si>
    <t>canvaslab.com</t>
  </si>
  <si>
    <t>Magdalena</t>
  </si>
  <si>
    <t>Olszewska</t>
  </si>
  <si>
    <t>Head of Marketing &amp; Growth</t>
  </si>
  <si>
    <t>https://www.linkedin.com/in/magdalena-olszewska-309263</t>
  </si>
  <si>
    <t>molszewska_1999@yahoo.com</t>
  </si>
  <si>
    <t>551.817.4471</t>
  </si>
  <si>
    <t>CÃ­rculo De Belleza</t>
  </si>
  <si>
    <t>Simone</t>
  </si>
  <si>
    <t>Franchi</t>
  </si>
  <si>
    <t>Marketing Performance Manager</t>
  </si>
  <si>
    <t>https://www.linkedin.com/in/simonefranchi</t>
  </si>
  <si>
    <t>simone.franchi1994@gmail.com</t>
  </si>
  <si>
    <t>34 933 96 71 72 ext. 100</t>
  </si>
  <si>
    <t>34 933 967 172 ext 201</t>
  </si>
  <si>
    <t>carethy.net</t>
  </si>
  <si>
    <t>Katherine</t>
  </si>
  <si>
    <t>MartÃ­nez</t>
  </si>
  <si>
    <t>Marketing / Project Manager</t>
  </si>
  <si>
    <t>katherine@casamaestri.com</t>
  </si>
  <si>
    <t>casamaestri.com</t>
  </si>
  <si>
    <t>Martha</t>
  </si>
  <si>
    <t>Herrera</t>
  </si>
  <si>
    <t>Social Media Specialist / Marketing Manager</t>
  </si>
  <si>
    <t>martha@casamaestri.com</t>
  </si>
  <si>
    <t>Saicker</t>
  </si>
  <si>
    <t>Owts</t>
  </si>
  <si>
    <t>Director Marketing y Publicodad</t>
  </si>
  <si>
    <t>https://www.linkedin.com/in/ACwAAA0n7bsBvH-Cmdfz9SjJvvl8sxKHiUekqv4</t>
  </si>
  <si>
    <t>saicker@cassavaroots.com</t>
  </si>
  <si>
    <t>52 55 5290 0365</t>
  </si>
  <si>
    <t>cassavaroots.com</t>
  </si>
  <si>
    <t>Cesar</t>
  </si>
  <si>
    <t>Alegria</t>
  </si>
  <si>
    <t>https://www.linkedin.com/in/cesar-perez-alegria-3614b4bb</t>
  </si>
  <si>
    <t>cesar.perez@cassavaroots.com</t>
  </si>
  <si>
    <t>Kimberly</t>
  </si>
  <si>
    <t>Mustri</t>
  </si>
  <si>
    <t>https://www.linkedin.com/in/ACwAABsEeb4BtxR3vK6fHoHokuLLiL9X_UR4NBQ</t>
  </si>
  <si>
    <t>castel.com.mx</t>
  </si>
  <si>
    <t>April</t>
  </si>
  <si>
    <t>https://www.linkedin.com/in/april-davis-b3802428a</t>
  </si>
  <si>
    <t>cbrands.mx</t>
  </si>
  <si>
    <t>Lynn</t>
  </si>
  <si>
    <t>Holland</t>
  </si>
  <si>
    <t>https://www.linkedin.com/in/lynn-c-holland-b062ba187</t>
  </si>
  <si>
    <t>lynncholland@outlook.com</t>
  </si>
  <si>
    <t>52 55 5422 9500</t>
  </si>
  <si>
    <t>301.525.6896</t>
  </si>
  <si>
    <t>celex.com</t>
  </si>
  <si>
    <t>Ernesto</t>
  </si>
  <si>
    <t>Laue</t>
  </si>
  <si>
    <t>https://www.linkedin.com/in/ACwAACXr2xQB-lUx1qogJUSNqfgyL6Re6D-NnXU</t>
  </si>
  <si>
    <t>celupal.com.mx</t>
  </si>
  <si>
    <t>https://www.linkedin.com/in/ACwAABiAV0ABfW1ertKcNXzw0Z4AyfXCT6fG04c</t>
  </si>
  <si>
    <t>Guaman</t>
  </si>
  <si>
    <t>Marketing Coordinator</t>
  </si>
  <si>
    <t>https://www.linkedin.com/in/jorge-guaman-a36069194</t>
  </si>
  <si>
    <t>jorge.guaman@cemix.com</t>
  </si>
  <si>
    <t>cemix.com</t>
  </si>
  <si>
    <t>Abascal</t>
  </si>
  <si>
    <t>Director of Sales and Marketing</t>
  </si>
  <si>
    <t>https://www.linkedin.com/in/ACwAAAYSdp0B4DCh3n8_sabR-uhwJYb3SRs2LR0</t>
  </si>
  <si>
    <t>mabascalsosa@gmail.com</t>
  </si>
  <si>
    <t>52 496 144 4060</t>
  </si>
  <si>
    <t>Pedrote</t>
  </si>
  <si>
    <t>Marketing, Commercial Planning &amp; Innovation Director</t>
  </si>
  <si>
    <t>https://www.linkedin.com/in/juan-josÃ©-becerra-pedrote</t>
  </si>
  <si>
    <t>juanjobp@hotmail.com</t>
  </si>
  <si>
    <t>Elias</t>
  </si>
  <si>
    <t>Bustillo</t>
  </si>
  <si>
    <t>VICEPRESIDENTE MEDICO (CMO)</t>
  </si>
  <si>
    <t>https://www.linkedin.com/in/ACwAAAYETO0BGok88eqLE3bPMJWPxY4pfkgI0M8</t>
  </si>
  <si>
    <t>ebustillo@abchospital.com</t>
  </si>
  <si>
    <t>centromedicoabc.com</t>
  </si>
  <si>
    <t>Rodrigo</t>
  </si>
  <si>
    <t>Hermosillo</t>
  </si>
  <si>
    <t>Inbound Marketing Manager</t>
  </si>
  <si>
    <t>https://www.linkedin.com/in/rodrigo-reyes-hermosillo-053796138</t>
  </si>
  <si>
    <t>rhermosillo@century3d.com.mx</t>
  </si>
  <si>
    <t>552.145.6529</t>
  </si>
  <si>
    <t>century3d.com.mx</t>
  </si>
  <si>
    <t>Jaime</t>
  </si>
  <si>
    <t>Jimenez</t>
  </si>
  <si>
    <t>https://www.linkedin.com/in/ACwAABL-HQ8Blis4iYp1LYOF0PmILUdP6nltB8g</t>
  </si>
  <si>
    <t>jjimenez@century3d.com.mx</t>
  </si>
  <si>
    <t>Maria</t>
  </si>
  <si>
    <t>Figueroa</t>
  </si>
  <si>
    <t>https://www.linkedin.com/in/mafernandagarfi</t>
  </si>
  <si>
    <t>cerveceriadecolima.com</t>
  </si>
  <si>
    <t>Francis</t>
  </si>
  <si>
    <t>Hurtado</t>
  </si>
  <si>
    <t>https://www.linkedin.com/in/ACwAABXjaKABSaj8eit_1kcCuXe0wLTK3A0qFmg</t>
  </si>
  <si>
    <t>fhurtado@cervezaminerva.mx</t>
  </si>
  <si>
    <t>52-3336820474</t>
  </si>
  <si>
    <t>cervezaminerva.mx</t>
  </si>
  <si>
    <t>XÃ³chitl</t>
  </si>
  <si>
    <t>GonzÃ¡lez</t>
  </si>
  <si>
    <t>Head of Ecommerce &amp; Marketplace</t>
  </si>
  <si>
    <t>https://www.linkedin.com/in/xochitlgonzalezg</t>
  </si>
  <si>
    <t>xochitl.gonzalez@chenson.com.mx</t>
  </si>
  <si>
    <t>800.243.6766</t>
  </si>
  <si>
    <t>chenson.com.mx</t>
  </si>
  <si>
    <t>Chong</t>
  </si>
  <si>
    <t>Marketing Content Manager</t>
  </si>
  <si>
    <t>https://www.linkedin.com/in/david-chong-2048841a8</t>
  </si>
  <si>
    <t>david.chong@chenson.com.mx</t>
  </si>
  <si>
    <t>(52333) 838-5252</t>
  </si>
  <si>
    <t>AdriÃ¡n</t>
  </si>
  <si>
    <t>Chief Marketing Manager</t>
  </si>
  <si>
    <t>https://www.linkedin.com/in/adriana-guadalupe-lÃ³pez-adriÃ¡n-05b8a6130</t>
  </si>
  <si>
    <t>adriana.lopez@chenson.com.mx</t>
  </si>
  <si>
    <t>Ale</t>
  </si>
  <si>
    <t>Bautista</t>
  </si>
  <si>
    <t>https://www.linkedin.com/in/alebautista</t>
  </si>
  <si>
    <t>alejandra.bautista@chenson.com.mx</t>
  </si>
  <si>
    <t>52 33 3617 9721</t>
  </si>
  <si>
    <t>Johanna</t>
  </si>
  <si>
    <t>Kassing</t>
  </si>
  <si>
    <t>CMO and co-founder</t>
  </si>
  <si>
    <t>https://www.linkedin.com/in/johanna-maria-kassing-729494b1</t>
  </si>
  <si>
    <t>johanna@cherish.mx</t>
  </si>
  <si>
    <t>cherish.mx</t>
  </si>
  <si>
    <t>Emanoele</t>
  </si>
  <si>
    <t>Tormem</t>
  </si>
  <si>
    <t>Marketing Communications Manager</t>
  </si>
  <si>
    <t>https://www.linkedin.com/in/ACwAABfKTXABUOzkBVTsOg5z2-BxwwfP_AIZX34</t>
  </si>
  <si>
    <t>chintglobal.mx</t>
  </si>
  <si>
    <t>Alejandro</t>
  </si>
  <si>
    <t>Mejia</t>
  </si>
  <si>
    <t>Director de Ventas y Marketing</t>
  </si>
  <si>
    <t>https://www.linkedin.com/in/alejandro-mejia-0460aa196</t>
  </si>
  <si>
    <t>alejandro@chopchopbikes.com</t>
  </si>
  <si>
    <t>52 1 55 6791 8575</t>
  </si>
  <si>
    <t>chopchopbikes.com</t>
  </si>
  <si>
    <t>Erick</t>
  </si>
  <si>
    <t>CÃ³rdova</t>
  </si>
  <si>
    <t>Sr. Marketing Manager</t>
  </si>
  <si>
    <t>https://www.linkedin.com/in/erick-ramÃ³n-cÃ³rdova-83011142</t>
  </si>
  <si>
    <t>erick.ramon@chopo.com.mx</t>
  </si>
  <si>
    <t>551.104.4888</t>
  </si>
  <si>
    <t>informes.web@chopo.com.mx</t>
  </si>
  <si>
    <t>chopo.com.mx</t>
  </si>
  <si>
    <t>Mayo</t>
  </si>
  <si>
    <t>Director Corporativo Digital</t>
  </si>
  <si>
    <t>https://www.linkedin.com/in/josÃ©-vicente-ribelles-mayo-2b83b753</t>
  </si>
  <si>
    <t>jose.mayo@proa.com.mx</t>
  </si>
  <si>
    <t>52 800 002 4676</t>
  </si>
  <si>
    <t>Pricila</t>
  </si>
  <si>
    <t>Andrade</t>
  </si>
  <si>
    <t>Multibrand Marketing Director</t>
  </si>
  <si>
    <t>https://www.linkedin.com/in/ACwAAAocVSABuo-N9Mu9mRfSxNGhTRxDA1mTPDc</t>
  </si>
  <si>
    <t>pricila.andrade.777@hotmail.com</t>
  </si>
  <si>
    <t>52 55 2558 3865</t>
  </si>
  <si>
    <t>Oscar</t>
  </si>
  <si>
    <t>Esquivel</t>
  </si>
  <si>
    <t>Supervisor E-Commerce</t>
  </si>
  <si>
    <t>https://www.linkedin.com/in/ACwAACSNg08BUgYXe0Mgi6x8vl9eLgvu4rpDBaE</t>
  </si>
  <si>
    <t>oscar.esquivel@cimaco.com.mx</t>
  </si>
  <si>
    <t>52-871-2293510</t>
  </si>
  <si>
    <t>cimaco.com.mx</t>
  </si>
  <si>
    <t>Marketing Advertising Manager</t>
  </si>
  <si>
    <t>https://www.linkedin.com/in/oscar-murra-morales-1487563b</t>
  </si>
  <si>
    <t>oscar.murra@cimaco.com.mx</t>
  </si>
  <si>
    <t>52 80 0224 6226</t>
  </si>
  <si>
    <t>Monica</t>
  </si>
  <si>
    <t>Rodriguez</t>
  </si>
  <si>
    <t>https://www.linkedin.com/in/monica-rodriguez-229644117</t>
  </si>
  <si>
    <t>monica.rodriguez@gis.com.mx</t>
  </si>
  <si>
    <t>cinsa.com.mx</t>
  </si>
  <si>
    <t>Armenta</t>
  </si>
  <si>
    <t>https://www.linkedin.com/in/ACwAACEAaxwB3GljmEytrpGF18QGyKUPXIvSd4Y</t>
  </si>
  <si>
    <t>acevedo.armenta.adrian@gmail.com</t>
  </si>
  <si>
    <t>class.com.mx</t>
  </si>
  <si>
    <t>Regional Marketing Manager</t>
  </si>
  <si>
    <t>https://www.linkedin.com/in/miguel-angel-moreno-103a3780</t>
  </si>
  <si>
    <t>cmegroup.com</t>
  </si>
  <si>
    <t>Jonathan</t>
  </si>
  <si>
    <t>MontÃºfar</t>
  </si>
  <si>
    <t>Director of Marketing and Business Development</t>
  </si>
  <si>
    <t>https://www.linkedin.com/in/jonathan-montufar</t>
  </si>
  <si>
    <t>jonathan_montufar@cncivirtual.mx</t>
  </si>
  <si>
    <t>cnci.edu.mx</t>
  </si>
  <si>
    <t>Jon</t>
  </si>
  <si>
    <t>Schultheiss</t>
  </si>
  <si>
    <t>Director - Global Digital Marketing,</t>
  </si>
  <si>
    <t>https://www.linkedin.com/in/jonschultheiss</t>
  </si>
  <si>
    <t>jonls65@gmail.com</t>
  </si>
  <si>
    <t>212.310.2000</t>
  </si>
  <si>
    <t>732.878.7142</t>
  </si>
  <si>
    <t>colgatepalmolive.com</t>
  </si>
  <si>
    <t>Marcia</t>
  </si>
  <si>
    <t>Lane</t>
  </si>
  <si>
    <t>Senior eCommerce Marketing Manager, CP Skin Health Group</t>
  </si>
  <si>
    <t>https://www.linkedin.com/in/marcia-lane-27004914</t>
  </si>
  <si>
    <t>msides88@gmail.com</t>
  </si>
  <si>
    <t>212.310.2475</t>
  </si>
  <si>
    <t>Federico</t>
  </si>
  <si>
    <t>Creative Marketing Manager</t>
  </si>
  <si>
    <t>https://www.linkedin.com/in/ACwAAAPdFs0B88aLtqK1uYjHzfgsKEOT4ORVck4</t>
  </si>
  <si>
    <t>collectivaconcepcion.com.mx</t>
  </si>
  <si>
    <t>Meghan</t>
  </si>
  <si>
    <t>Turno</t>
  </si>
  <si>
    <t>Interiors Marketing Manager</t>
  </si>
  <si>
    <t>https://www.linkedin.com/in/meghan-o-connor-turno-05311074</t>
  </si>
  <si>
    <t>503.985.4000</t>
  </si>
  <si>
    <t>columbia.edu</t>
  </si>
  <si>
    <t>Katy</t>
  </si>
  <si>
    <t>Tassmer</t>
  </si>
  <si>
    <t>Managing Director of Marketing</t>
  </si>
  <si>
    <t>https://www.linkedin.com/in/katytassmer</t>
  </si>
  <si>
    <t>katy.tassmer@columbia.com</t>
  </si>
  <si>
    <t>978.222.9584</t>
  </si>
  <si>
    <t>Ruben</t>
  </si>
  <si>
    <t>Gutierrez</t>
  </si>
  <si>
    <t>CMO, CEO, Co-Founder &amp; Chairman of the Board (current)</t>
  </si>
  <si>
    <t>https://www.linkedin.com/in/rubengutz</t>
  </si>
  <si>
    <t>rubengutz@gmail.com</t>
  </si>
  <si>
    <t>52 998 884 4905</t>
  </si>
  <si>
    <t>comeme.com.mx</t>
  </si>
  <si>
    <t>Betty</t>
  </si>
  <si>
    <t>Sun</t>
  </si>
  <si>
    <t>https://www.linkedin.com/in/betty-sun-4b84ab39</t>
  </si>
  <si>
    <t>bsun@comex.com.mx</t>
  </si>
  <si>
    <t>52 412 434 3131</t>
  </si>
  <si>
    <t>comex.com.mx</t>
  </si>
  <si>
    <t>CaÃ±edo</t>
  </si>
  <si>
    <t>Supervisor de Marketing Retail</t>
  </si>
  <si>
    <t>https://www.linkedin.com/in/ACwAAB11eIcBzy88mj8HU8-893NowwX79--ogDk</t>
  </si>
  <si>
    <t>perlacanedo@comex.com.mx</t>
  </si>
  <si>
    <t>Alberto</t>
  </si>
  <si>
    <t>Sr. Digital Marketing Manager</t>
  </si>
  <si>
    <t>https://www.linkedin.com/in/alberto-reveles-rodrÃ­guez-40925114</t>
  </si>
  <si>
    <t>albertorodriguez@comex.com.mx</t>
  </si>
  <si>
    <t>Solano</t>
  </si>
  <si>
    <t>Asesor de ventas y marketing</t>
  </si>
  <si>
    <t>https://www.linkedin.com/in/santiago-solano-0475b4298</t>
  </si>
  <si>
    <t>ssolano@comex.com.mx</t>
  </si>
  <si>
    <t>Victor</t>
  </si>
  <si>
    <t>Vazquez</t>
  </si>
  <si>
    <t>https://www.linkedin.com/in/victor-vazquez-a387137</t>
  </si>
  <si>
    <t>victor.vazquez@conekta.com</t>
  </si>
  <si>
    <t>conekta.com</t>
  </si>
  <si>
    <t>Beatriz</t>
  </si>
  <si>
    <t>Lago</t>
  </si>
  <si>
    <t>https://www.linkedin.com/in/beatriz-amaro-lago</t>
  </si>
  <si>
    <t>beatriz.lago@conekta.com</t>
  </si>
  <si>
    <t>212.640.2000</t>
  </si>
  <si>
    <t>Alvarez</t>
  </si>
  <si>
    <t>https://www.linkedin.com/in/karla-j-alvarez-008b1293</t>
  </si>
  <si>
    <t>karla.alvarez@conekta.com</t>
  </si>
  <si>
    <t>52 3331277322</t>
  </si>
  <si>
    <t>Anasofia</t>
  </si>
  <si>
    <t>Benitez</t>
  </si>
  <si>
    <t>Marketing &amp; Purchasing Manager</t>
  </si>
  <si>
    <t>https://www.linkedin.com/in/ACwAABFN8kEBK9o3ALM06E6U4iM341xOxJ7iRYg</t>
  </si>
  <si>
    <t>anasofiabena@gmail.com</t>
  </si>
  <si>
    <t>52 (81) 8335 5424:+52 (998) 234 4524:01 800 715 42 42:(81) 83 69 30 40</t>
  </si>
  <si>
    <t>contemporani.com</t>
  </si>
  <si>
    <t>Plascencia</t>
  </si>
  <si>
    <t>https://www.linkedin.com/in/victor-renÃ©-plascencia-8414b063</t>
  </si>
  <si>
    <t>52 33 32841040</t>
  </si>
  <si>
    <t>convergram.com</t>
  </si>
  <si>
    <t>coquetayaudaz.com.mx</t>
  </si>
  <si>
    <t>Usabiaga</t>
  </si>
  <si>
    <t>https://www.linkedin.com/in/juan-carlos-cashat-usabiaga-a43bba236</t>
  </si>
  <si>
    <t>Romina</t>
  </si>
  <si>
    <t>Mora</t>
  </si>
  <si>
    <t>https://www.linkedin.com/in/jrominamora</t>
  </si>
  <si>
    <t>romunker@gmail.com</t>
  </si>
  <si>
    <t>52 (987) 872-3200</t>
  </si>
  <si>
    <t>coralprincess.com</t>
  </si>
  <si>
    <t>Pablo</t>
  </si>
  <si>
    <t>del RÃ­o</t>
  </si>
  <si>
    <t>Director General Cosmos Online</t>
  </si>
  <si>
    <t>https://www.linkedin.com/in/ACwAAAjfsN8Bg9PFSylV2X7H1vDXtviKgAVLDBg</t>
  </si>
  <si>
    <t>pablo@cosmos.com.mx</t>
  </si>
  <si>
    <t>cosmos.com.mx</t>
  </si>
  <si>
    <t>Alicia</t>
  </si>
  <si>
    <t>Prado</t>
  </si>
  <si>
    <t>https://www.linkedin.com/in/ACwAAClxCaMBZnr1aUQD90iPwlYqDwfgRtjvHV0</t>
  </si>
  <si>
    <t>aprado@costco.com.mx</t>
  </si>
  <si>
    <t>52-5552-465500</t>
  </si>
  <si>
    <t>costco.com.mx</t>
  </si>
  <si>
    <t>Lizbeth</t>
  </si>
  <si>
    <t>Acevedo</t>
  </si>
  <si>
    <t>https://www.linkedin.com/in/ACwAADgIKlMBo65bgAaAKsT880SxFcFD2VA33f4</t>
  </si>
  <si>
    <t>lacevedo@costco.com.mx</t>
  </si>
  <si>
    <t>Karan</t>
  </si>
  <si>
    <t>Sharma</t>
  </si>
  <si>
    <t>Affiliate Marketing Manager</t>
  </si>
  <si>
    <t>https://www.linkedin.com/in/karan-sharma-a09976214</t>
  </si>
  <si>
    <t>karan.sharma@crickex.com.mx</t>
  </si>
  <si>
    <t>crickex.com.mx</t>
  </si>
  <si>
    <t>Stevie</t>
  </si>
  <si>
    <t>Paladini</t>
  </si>
  <si>
    <t>https://www.linkedin.com/in/ACwAACTVbYYBTxhWctGqbq5PKLhNZe5AP-ErC-o</t>
  </si>
  <si>
    <t>stevie.paladini@cristaljoyas.com</t>
  </si>
  <si>
    <t>cristaljoyas.com</t>
  </si>
  <si>
    <t>Felix</t>
  </si>
  <si>
    <t>Bobadilla</t>
  </si>
  <si>
    <t>https://www.linkedin.com/in/felixbobadilla</t>
  </si>
  <si>
    <t>fxbobadilla@gmail.com</t>
  </si>
  <si>
    <t>52 55 9199 5217</t>
  </si>
  <si>
    <t>Karina</t>
  </si>
  <si>
    <t>https://www.linkedin.com/in/ACwAABLtplEBYc6DawvMPeFvBYRZ2reaYxUq774</t>
  </si>
  <si>
    <t>karina@crownbaccara.com</t>
  </si>
  <si>
    <t>crownbaccara.com</t>
  </si>
  <si>
    <t>Rivas</t>
  </si>
  <si>
    <t>Manager Marketing</t>
  </si>
  <si>
    <t>https://www.linkedin.com/in/luis-rivas-951b47155</t>
  </si>
  <si>
    <t>luis@crownbaccara.com</t>
  </si>
  <si>
    <t>Dianne</t>
  </si>
  <si>
    <t>Supervisor operacional en Ecommerce</t>
  </si>
  <si>
    <t>https://www.linkedin.com/in/ACwAADtULaAB6gsJo496ihFeRSzCdUf6jBPhmpI</t>
  </si>
  <si>
    <t>dianne@crownbaccara.com</t>
  </si>
  <si>
    <t>Zully</t>
  </si>
  <si>
    <t>Sutuc</t>
  </si>
  <si>
    <t>https://www.linkedin.com/in/ACwAAA7cQLAB7L2gAYTvMkLrzB8mAliHwI2B_wE</t>
  </si>
  <si>
    <t>cu4dra.com</t>
  </si>
  <si>
    <t>Daniel</t>
  </si>
  <si>
    <t>Almanza</t>
  </si>
  <si>
    <t>Marketing Communications Manager - Corral Boots USA</t>
  </si>
  <si>
    <t>https://www.linkedin.com/in/daniel-almanza-10295682</t>
  </si>
  <si>
    <t>52 477 761 2138</t>
  </si>
  <si>
    <t>702.749.8805</t>
  </si>
  <si>
    <t>cuadra.com.mx</t>
  </si>
  <si>
    <t>Andres</t>
  </si>
  <si>
    <t>Tames</t>
  </si>
  <si>
    <t>https://www.linkedin.com/in/andres-fernandez-tames</t>
  </si>
  <si>
    <t>afernandez@agarcia.com.mx</t>
  </si>
  <si>
    <t>52 55 5576 4761</t>
  </si>
  <si>
    <t>52 55 5130 5730</t>
  </si>
  <si>
    <t>cuidadoconelperro.com.mx</t>
  </si>
  <si>
    <t>Sonia</t>
  </si>
  <si>
    <t>DomÃ­nguez</t>
  </si>
  <si>
    <t>https://www.linkedin.com/in/sonia-villafuerte-domÃ­nguez-26447b9a</t>
  </si>
  <si>
    <t>svillafuerted@gmail.com</t>
  </si>
  <si>
    <t>Michelle</t>
  </si>
  <si>
    <t>Project Manager Marketing</t>
  </si>
  <si>
    <t>https://www.linkedin.com/in/ACwAABSqx54BQrt3KjTbTrn-d8P50R6gmRmygfk</t>
  </si>
  <si>
    <t>mhernandez@agarcia.com.mx</t>
  </si>
  <si>
    <t>Efren</t>
  </si>
  <si>
    <t>Vera</t>
  </si>
  <si>
    <t>https://www.linkedin.com/in/ACwAADDupeUBGt_WR5AkTP2ZrQobhiCMjNP-ctI</t>
  </si>
  <si>
    <t>cuponerapp.com</t>
  </si>
  <si>
    <t>Leila</t>
  </si>
  <si>
    <t>Allaui</t>
  </si>
  <si>
    <t>leila.elallaui@gmail.com</t>
  </si>
  <si>
    <t>curatif.com</t>
  </si>
  <si>
    <t>Samantha</t>
  </si>
  <si>
    <t>Low</t>
  </si>
  <si>
    <t>samantha.low@curatif.com</t>
  </si>
  <si>
    <t>Contreras</t>
  </si>
  <si>
    <t>https://www.linkedin.com/in/ana-elena-ortiz-contreras-4ba63855</t>
  </si>
  <si>
    <t>01800700 70 50</t>
  </si>
  <si>
    <t>cvdirectomexico.com</t>
  </si>
  <si>
    <t>Maira</t>
  </si>
  <si>
    <t>Mendez</t>
  </si>
  <si>
    <t>Trade Marketing Manager</t>
  </si>
  <si>
    <t>https://www.linkedin.com/in/ACwAAEftyDUBSsYwZHF1sPmlqXMPycwtdm5CBQs</t>
  </si>
  <si>
    <t>maira_mendez@cvdirecto.mx</t>
  </si>
  <si>
    <t>Eder</t>
  </si>
  <si>
    <t>Silva</t>
  </si>
  <si>
    <t>Head Marketing &amp; Trade Mkt.</t>
  </si>
  <si>
    <t>https://www.linkedin.com/in/ACwAABrwxNMBoQFGWeL7143Z0OxhIYSzA9YuWp8</t>
  </si>
  <si>
    <t>eder.silva@cvdirecto.mx</t>
  </si>
  <si>
    <t>O</t>
  </si>
  <si>
    <t>Sr Director E Commerce for US &amp; Latam</t>
  </si>
  <si>
    <t>https://www.linkedin.com/in/gerardo-o-6350aa30</t>
  </si>
  <si>
    <t>ger_mig1@hotmail.com</t>
  </si>
  <si>
    <t>52 55 2122 7750</t>
  </si>
  <si>
    <t>Guilen</t>
  </si>
  <si>
    <t>Carrillo</t>
  </si>
  <si>
    <t>Executive Assistant to CMO, and to COO</t>
  </si>
  <si>
    <t>https://www.linkedin.com/in/guilen-n-molina-carrillo-38383b46</t>
  </si>
  <si>
    <t>gcarrillo@cyamexico.com</t>
  </si>
  <si>
    <t>52 33 3884 6610</t>
  </si>
  <si>
    <t>cyamoda.com</t>
  </si>
  <si>
    <t>Marcos</t>
  </si>
  <si>
    <t>CMO Merchandise, Marketing and Ecommerce Director</t>
  </si>
  <si>
    <t>https://www.linkedin.com/in/marcos-guerrero-951b7a57</t>
  </si>
  <si>
    <t>mguerrero@cyamexico.com</t>
  </si>
  <si>
    <t>52 55 5130 5290</t>
  </si>
  <si>
    <t>Guillermo</t>
  </si>
  <si>
    <t>Dorado</t>
  </si>
  <si>
    <t>Marketing Design Manager</t>
  </si>
  <si>
    <t>https://www.linkedin.com/in/guillermo-dorado-183a4271</t>
  </si>
  <si>
    <t>ldorado@cyamexico.com</t>
  </si>
  <si>
    <t>Peter</t>
  </si>
  <si>
    <t>Bickel</t>
  </si>
  <si>
    <t>Vice President of Sales &amp; Marketing</t>
  </si>
  <si>
    <t>https://www.linkedin.com/in/peter-bickel-b9372a21</t>
  </si>
  <si>
    <t>peter.bickel@cymaq.com</t>
  </si>
  <si>
    <t>cymaq.mx</t>
  </si>
  <si>
    <t>GarcÃ­a</t>
  </si>
  <si>
    <t>Marketing Manager &amp; Salesforce Admin</t>
  </si>
  <si>
    <t>https://www.linkedin.com/in/alejandro-cisneros</t>
  </si>
  <si>
    <t>alejandro.garxia@gmail.com</t>
  </si>
  <si>
    <t>Ericka</t>
  </si>
  <si>
    <t>Plaza</t>
  </si>
  <si>
    <t>https://www.linkedin.com/in/mercadotecniab2b</t>
  </si>
  <si>
    <t>eplaza@cymaq.mx</t>
  </si>
  <si>
    <t>George</t>
  </si>
  <si>
    <t>Marketing &amp; PR Manager</t>
  </si>
  <si>
    <t>https://www.linkedin.com/in/michellegeorgecorrea</t>
  </si>
  <si>
    <t>michelle.gc.18@gmail.com</t>
  </si>
  <si>
    <t>52 (559) 000-5222</t>
  </si>
  <si>
    <t>cynthus.com.mx</t>
  </si>
  <si>
    <t>Sarah</t>
  </si>
  <si>
    <t>Mousa</t>
  </si>
  <si>
    <t>Marketing Manager Content and Sales Enablement</t>
  </si>
  <si>
    <t>https://www.linkedin.com/in/ACwAACmVK10BKpayReohg4d9qMrjyjTNFP6EDsQ</t>
  </si>
  <si>
    <t>sarah.mousa@dacodes.com</t>
  </si>
  <si>
    <t>999.143.9146</t>
  </si>
  <si>
    <t>dacodes.com</t>
  </si>
  <si>
    <t>Camacho</t>
  </si>
  <si>
    <t>https://www.linkedin.com/in/mar0893</t>
  </si>
  <si>
    <t>danielasalcedo.com</t>
  </si>
  <si>
    <t>StephanÃ­a</t>
  </si>
  <si>
    <t>LÃ³pez</t>
  </si>
  <si>
    <t>Director Digital y Coordinador de Customer Service</t>
  </si>
  <si>
    <t>https://www.linkedin.com/in/stephanÃ­a-acosta-lÃ³pez-4a924b159</t>
  </si>
  <si>
    <t>Alex</t>
  </si>
  <si>
    <t>Pesel</t>
  </si>
  <si>
    <t>VP Sales and Marketing</t>
  </si>
  <si>
    <t>https://www.linkedin.com/in/alex-pesel-67905a5b</t>
  </si>
  <si>
    <t>alex@danpex.com.mx</t>
  </si>
  <si>
    <t>52 55 5719 0014</t>
  </si>
  <si>
    <t>danpex.com.mx</t>
  </si>
  <si>
    <t>Luz</t>
  </si>
  <si>
    <t>https://www.linkedin.com/in/ACwAAAu4gqIBznvpVExRKVqYatVXzHSd5ik_K4Q</t>
  </si>
  <si>
    <t>luz.padilla@daonsa.com</t>
  </si>
  <si>
    <t>(01).800.715.4957</t>
  </si>
  <si>
    <t>818.346.2722</t>
  </si>
  <si>
    <t>daonsa.com</t>
  </si>
  <si>
    <t>Ratnesh</t>
  </si>
  <si>
    <t>Mishra</t>
  </si>
  <si>
    <t>https://www.linkedin.com/in/ACwAAAMAF6wBMPaAqZzXkYALtLx67bNDwXQ_NI4</t>
  </si>
  <si>
    <t>mishra.ratnesh@daraju.com</t>
  </si>
  <si>
    <t>803.209.3034</t>
  </si>
  <si>
    <t>daraju.com</t>
  </si>
  <si>
    <t>Atul</t>
  </si>
  <si>
    <t>Head of Strategy- Sales &amp; Marketing</t>
  </si>
  <si>
    <t>https://www.linkedin.com/in/atulmishraaa</t>
  </si>
  <si>
    <t>atul.mishra@daraju.com</t>
  </si>
  <si>
    <t>Simon</t>
  </si>
  <si>
    <t>××‘×¨×”×</t>
  </si>
  <si>
    <t>https://www.linkedin.com/in/simonabrahama</t>
  </si>
  <si>
    <t>simon@dargenta.com</t>
  </si>
  <si>
    <t>dargenta.com</t>
  </si>
  <si>
    <t>Karli</t>
  </si>
  <si>
    <t>Bruno</t>
  </si>
  <si>
    <t>eCommerce &amp; Digital Marketing Manager</t>
  </si>
  <si>
    <t>https://www.linkedin.com/in/karli-bruno</t>
  </si>
  <si>
    <t>karlibruno94@gmail.com</t>
  </si>
  <si>
    <t>39-0521-965611</t>
  </si>
  <si>
    <t>212.924.3648</t>
  </si>
  <si>
    <t>davines.com</t>
  </si>
  <si>
    <t>Risoul</t>
  </si>
  <si>
    <t>Head of Global Marketing</t>
  </si>
  <si>
    <t>https://www.linkedin.com/in/jose-alvarado-risoul</t>
  </si>
  <si>
    <t>jrisoul@deacero.com</t>
  </si>
  <si>
    <t>317.876.3680</t>
  </si>
  <si>
    <t>deacero.com</t>
  </si>
  <si>
    <t>Angeles</t>
  </si>
  <si>
    <t>L</t>
  </si>
  <si>
    <t>Senior Marketing Manager</t>
  </si>
  <si>
    <t>https://www.linkedin.com/in/angeles-l-72a07034</t>
  </si>
  <si>
    <t>al@deacero.com</t>
  </si>
  <si>
    <t>Pedro</t>
  </si>
  <si>
    <t>Reynoso</t>
  </si>
  <si>
    <t>Performance Marketing Manager</t>
  </si>
  <si>
    <t>https://www.linkedin.com/in/petorres00</t>
  </si>
  <si>
    <t>preynoso@deacero.com</t>
  </si>
  <si>
    <t>Head of Digital</t>
  </si>
  <si>
    <t>450.970.2451</t>
  </si>
  <si>
    <t>decathlon.com.mx</t>
  </si>
  <si>
    <t>Yoann</t>
  </si>
  <si>
    <t>Kersuzan</t>
  </si>
  <si>
    <t>Head of Information Technology and E-Commerce</t>
  </si>
  <si>
    <t>https://www.linkedin.com/in/yoann-kersuzan-40a39433</t>
  </si>
  <si>
    <t>ykersuzan@gmail.com</t>
  </si>
  <si>
    <t>Clemence</t>
  </si>
  <si>
    <t>Grillet</t>
  </si>
  <si>
    <t>Head of Communications &amp; Marketing - CCO / CMO</t>
  </si>
  <si>
    <t>https://www.linkedin.com/in/clemence-grillet</t>
  </si>
  <si>
    <t>Eddie</t>
  </si>
  <si>
    <t>Ramos</t>
  </si>
  <si>
    <t>Senior Vice President Marketing Business Development</t>
  </si>
  <si>
    <t>https://www.linkedin.com/in/eddie-ramos-174b09274</t>
  </si>
  <si>
    <t>eddie@delrecords.com</t>
  </si>
  <si>
    <t>562.334.3033</t>
  </si>
  <si>
    <t>delrecords.com</t>
  </si>
  <si>
    <t>Cervantes</t>
  </si>
  <si>
    <t>Social Media Manager/ Digital Marketing</t>
  </si>
  <si>
    <t>https://www.linkedin.com/in/karla-cervantes-b-a-94199b63</t>
  </si>
  <si>
    <t>karla@delrecords.com</t>
  </si>
  <si>
    <t>562.776.1100</t>
  </si>
  <si>
    <t>Marlyn</t>
  </si>
  <si>
    <t>Curiel</t>
  </si>
  <si>
    <t>https://www.linkedin.com/in/marlyn-curiel-b180aa1a4</t>
  </si>
  <si>
    <t>marlyn@delrecords.com</t>
  </si>
  <si>
    <t>Erika</t>
  </si>
  <si>
    <t>https://www.linkedin.com/in/ACwAABWP5KIBk8j-aaH1a5xg1SU0ez93LKxzTYY</t>
  </si>
  <si>
    <t>egarcia@demesa.com.mx</t>
  </si>
  <si>
    <t>demesa.com.mx</t>
  </si>
  <si>
    <t>Rodner</t>
  </si>
  <si>
    <t>Marketing, Revenue &amp; Patient Journey Director</t>
  </si>
  <si>
    <t>https://www.linkedin.com/in/rodner-vivas-contreras-5498baa</t>
  </si>
  <si>
    <t>rvcontreras@gmail.com</t>
  </si>
  <si>
    <t>855.282.4912</t>
  </si>
  <si>
    <t>dentalia.com</t>
  </si>
  <si>
    <t>Juliana</t>
  </si>
  <si>
    <t>Quintero</t>
  </si>
  <si>
    <t>https://www.linkedin.com/in/ACwAAAR5SQIBdsokgQw8t0o70OlMvSAOD9qNP4w</t>
  </si>
  <si>
    <t>jquintero@dentalia.com</t>
  </si>
  <si>
    <t>52 18000033682</t>
  </si>
  <si>
    <t>Inaura</t>
  </si>
  <si>
    <t>Salazar</t>
  </si>
  <si>
    <t>Head of Trade Marketing</t>
  </si>
  <si>
    <t>https://www.linkedin.com/in/ACwAAApAkdEBfK_K6W2uU12ok3zCPAYVqIuNBB4</t>
  </si>
  <si>
    <t>Edgar</t>
  </si>
  <si>
    <t>Gallegos</t>
  </si>
  <si>
    <t>https://www.linkedin.com/in/edesul</t>
  </si>
  <si>
    <t>edgar_cart@hotmail.com</t>
  </si>
  <si>
    <t>Carolina</t>
  </si>
  <si>
    <t>Romero</t>
  </si>
  <si>
    <t>Supervisor de Ecommerce Fulfillment</t>
  </si>
  <si>
    <t>https://www.linkedin.com/in/ACwAADbedoQBcxZgF0ACW9KXMyI8eHhPKl3K8qw</t>
  </si>
  <si>
    <t>cromero@devlyn.com.mx</t>
  </si>
  <si>
    <t>52 81 834 28535</t>
  </si>
  <si>
    <t>devlyn.com.mx</t>
  </si>
  <si>
    <t>Ãvez</t>
  </si>
  <si>
    <t>Director eCommerce &amp; Omnicanalidad</t>
  </si>
  <si>
    <t>https://www.linkedin.com/in/marÃ­a-elena-vÃ¡zquez-chÃ¡vez-017167b</t>
  </si>
  <si>
    <t>mavez@devlyn.com.mx</t>
  </si>
  <si>
    <t>GonÃ§alves</t>
  </si>
  <si>
    <t>https://www.linkedin.com/in/samantha-pÃ©rez-de-leÃ³n-gonÃ§alves-5105b779</t>
  </si>
  <si>
    <t>gsamantha@devlyn.com.mx</t>
  </si>
  <si>
    <t>Francisco</t>
  </si>
  <si>
    <t>RomÃ¡n</t>
  </si>
  <si>
    <t>Marketing &amp; Communications Lead</t>
  </si>
  <si>
    <t>https://www.linkedin.com/in/francisco-garduno-roman-22987618</t>
  </si>
  <si>
    <t>rfrancisco@devlyn.com.mx</t>
  </si>
  <si>
    <t>Edmundo</t>
  </si>
  <si>
    <t>Coy</t>
  </si>
  <si>
    <t>Head of Digital Operations</t>
  </si>
  <si>
    <t>https://www.linkedin.com/in/edmundocoy</t>
  </si>
  <si>
    <t>coy.g.ae@gmail.com</t>
  </si>
  <si>
    <t>52 552 2690718</t>
  </si>
  <si>
    <t>Diabetes-Club MÃ©xico</t>
  </si>
  <si>
    <t>Martin</t>
  </si>
  <si>
    <t>CureÃ±o</t>
  </si>
  <si>
    <t>martin.cureno@dicipa.com.mx</t>
  </si>
  <si>
    <t>01 800 46 342472</t>
  </si>
  <si>
    <t>dicipa.com.mx</t>
  </si>
  <si>
    <t>Antonio</t>
  </si>
  <si>
    <t>Alfeiran</t>
  </si>
  <si>
    <t>antonio.alfeiran@dicipa.com.mx</t>
  </si>
  <si>
    <t>(+52)800 46 342472</t>
  </si>
  <si>
    <t>Head of E-Commerce y MKT Digital</t>
  </si>
  <si>
    <t>https://www.linkedin.com/in/marcos-ramirez-07073559</t>
  </si>
  <si>
    <t>mramirez@grupodico.com.mx</t>
  </si>
  <si>
    <t>0 800 900 1313</t>
  </si>
  <si>
    <t>dico.com.mx</t>
  </si>
  <si>
    <t>Marlen</t>
  </si>
  <si>
    <t>Malo</t>
  </si>
  <si>
    <t>https://www.linkedin.com/in/ACwAAAdDJLYBr2N1SllgygiCcmBD09NDpFcivfA</t>
  </si>
  <si>
    <t>marlen.malo@dielsa.com</t>
  </si>
  <si>
    <t>dielsa.com</t>
  </si>
  <si>
    <t>Alcira</t>
  </si>
  <si>
    <t>https://www.linkedin.com/in/alcirarodriguez</t>
  </si>
  <si>
    <t>distritomax.com</t>
  </si>
  <si>
    <t>Diego</t>
  </si>
  <si>
    <t>Global Marketing Manager</t>
  </si>
  <si>
    <t>https://www.linkedin.com/in/diego-cÃ³rdova-g-7a01412b</t>
  </si>
  <si>
    <t>305.740.7222</t>
  </si>
  <si>
    <t>distroller.com</t>
  </si>
  <si>
    <t>Paulina</t>
  </si>
  <si>
    <t>Tabanskiewicz</t>
  </si>
  <si>
    <t>https://www.linkedin.com/in/ACwAACjLKsAB_COAQ0IlcT0AOC7jrxzDblRKNVo</t>
  </si>
  <si>
    <t>Maribel</t>
  </si>
  <si>
    <t>GassÃ³s</t>
  </si>
  <si>
    <t>https://www.linkedin.com/in/maribel-prÃ©stamo-gassÃ³s-33326739</t>
  </si>
  <si>
    <t>Elena</t>
  </si>
  <si>
    <t>https://www.linkedin.com/in/elenasoulayrac</t>
  </si>
  <si>
    <t>Jason</t>
  </si>
  <si>
    <t>Du</t>
  </si>
  <si>
    <t>https://www.linkedin.com/in/jason-du-21965114b</t>
  </si>
  <si>
    <t>jason.du@docolorbrushes.com</t>
  </si>
  <si>
    <t>86-13786127356</t>
  </si>
  <si>
    <t>docolorbrushes.com</t>
  </si>
  <si>
    <t>Claudia</t>
  </si>
  <si>
    <t>GutiÃ©rrez</t>
  </si>
  <si>
    <t>https://www.linkedin.com/in/ACwAAALMissB44-LpPahD4nTgoly5OBSsJKUTNI</t>
  </si>
  <si>
    <t>claudia.gutierrez@dominion.com.mx</t>
  </si>
  <si>
    <t>dominion.com.mx</t>
  </si>
  <si>
    <t>Yessica</t>
  </si>
  <si>
    <t>Muller</t>
  </si>
  <si>
    <t>Marketing Manager/Revenue Management</t>
  </si>
  <si>
    <t>https://www.linkedin.com/in/yessica-rodriguez-muller-baa842b</t>
  </si>
  <si>
    <t>yessica.muller@doncolchon.net</t>
  </si>
  <si>
    <t>52 81 147 77619</t>
  </si>
  <si>
    <t>52 81 1631 0513</t>
  </si>
  <si>
    <t>doncolchon.com.mx</t>
  </si>
  <si>
    <t>Enrique</t>
  </si>
  <si>
    <t>Miralda</t>
  </si>
  <si>
    <t>Head of Digital Marketing eCommerce (CMO)</t>
  </si>
  <si>
    <t>https://www.linkedin.com/in/enriquemiralda</t>
  </si>
  <si>
    <t>emdcyb@gmail.com</t>
  </si>
  <si>
    <t>52 55 8897 3686</t>
  </si>
  <si>
    <t>558.897.3686</t>
  </si>
  <si>
    <t>doto.com.mx</t>
  </si>
  <si>
    <t>Leon</t>
  </si>
  <si>
    <t>Leventhal</t>
  </si>
  <si>
    <t>eCommerce Marketing Manager</t>
  </si>
  <si>
    <t>https://www.linkedin.com/in/leon-leventhal-15114b27</t>
  </si>
  <si>
    <t>leventhalito@gmail.com</t>
  </si>
  <si>
    <t>Elisa</t>
  </si>
  <si>
    <t>Avila</t>
  </si>
  <si>
    <t>Head of Culture &amp; Strategic Marketing</t>
  </si>
  <si>
    <t>https://www.linkedin.com/in/elisa-alanÃ­s-avila-a466a5bb</t>
  </si>
  <si>
    <t>elisa@drinkfitzer.com</t>
  </si>
  <si>
    <t>drinkfitzer.com</t>
  </si>
  <si>
    <t>Henrique</t>
  </si>
  <si>
    <t>E</t>
  </si>
  <si>
    <t>Senior Trade Marketing Manager - MÃ©xico</t>
  </si>
  <si>
    <t>https://www.linkedin.com/in/henrique-j-perez-e-51722b103</t>
  </si>
  <si>
    <t>henrique@drinkfitzer.com</t>
  </si>
  <si>
    <t>Palatnik</t>
  </si>
  <si>
    <t>VP of Global E-Commerce &amp; Digital Strategy</t>
  </si>
  <si>
    <t>https://www.linkedin.com/in/pablopalatnik</t>
  </si>
  <si>
    <t>paul.palatnik@gmail.com</t>
  </si>
  <si>
    <t>888.404.7770</t>
  </si>
  <si>
    <t>786.704.6774</t>
  </si>
  <si>
    <t>dslaboratories.com</t>
  </si>
  <si>
    <t>Head of Marketing &amp; E-Commerce</t>
  </si>
  <si>
    <t>https://www.linkedin.com/in/adrian-mejia</t>
  </si>
  <si>
    <t>52792880;135</t>
  </si>
  <si>
    <t>duna.com.mx</t>
  </si>
  <si>
    <t>Imanol</t>
  </si>
  <si>
    <t>Ruiz</t>
  </si>
  <si>
    <t>eCommerce &amp; Digital MKT Director (1 year project)</t>
  </si>
  <si>
    <t>https://www.linkedin.com/in/imanolpagaza</t>
  </si>
  <si>
    <t>dupuis.com.mx</t>
  </si>
  <si>
    <t>Cora</t>
  </si>
  <si>
    <t>Fierro</t>
  </si>
  <si>
    <t>Head of Marketing - Dupuis</t>
  </si>
  <si>
    <t>https://www.linkedin.com/in/cora-gonzÃ¡lez-fierro-70a96929</t>
  </si>
  <si>
    <t>52 728 284 0383</t>
  </si>
  <si>
    <t>Alejandra</t>
  </si>
  <si>
    <t>Ãlvarez</t>
  </si>
  <si>
    <t>https://www.linkedin.com/in/ACwAAB6Be7YBgOtlQRVt3W3T0iITFFezS04ogp0</t>
  </si>
  <si>
    <t>alejandra@dynaproco.com</t>
  </si>
  <si>
    <t>644.173.5867</t>
  </si>
  <si>
    <t>dynaproco.com</t>
  </si>
  <si>
    <t>Seher</t>
  </si>
  <si>
    <t>K</t>
  </si>
  <si>
    <t>https://www.linkedin.com/in/seher-k-979224276</t>
  </si>
  <si>
    <t>seher@ecwid.com</t>
  </si>
  <si>
    <t>ecwid.com</t>
  </si>
  <si>
    <t>Wilton</t>
  </si>
  <si>
    <t>Laijo</t>
  </si>
  <si>
    <t>Online Marketing Manager</t>
  </si>
  <si>
    <t>https://www.linkedin.com/in/ACwAADbhlXYB5oGBQT1ESYa5rHhDrCfCC1goBHg</t>
  </si>
  <si>
    <t>wilton@ecwid.com</t>
  </si>
  <si>
    <t>760.230.1069</t>
  </si>
  <si>
    <t>Kiflemariam</t>
  </si>
  <si>
    <t>Abraha</t>
  </si>
  <si>
    <t>https://www.linkedin.com/in/ACwAACTvdtkBeUGFGVu6qEGosFHTARvzy4j3QNI</t>
  </si>
  <si>
    <t>kiflemariam@ecwid.com</t>
  </si>
  <si>
    <t>Kseniya</t>
  </si>
  <si>
    <t>Pinkova</t>
  </si>
  <si>
    <t>https://www.linkedin.com/in/kseniya-pinkova-a53291114</t>
  </si>
  <si>
    <t>kseniya@ecwid.com</t>
  </si>
  <si>
    <t>760.390.3373</t>
  </si>
  <si>
    <t>Jesse</t>
  </si>
  <si>
    <t>Ness</t>
  </si>
  <si>
    <t>Director of Growth Marketing</t>
  </si>
  <si>
    <t>https://www.linkedin.com/in/jesseness</t>
  </si>
  <si>
    <t>jesse.ness@gmail.com</t>
  </si>
  <si>
    <t>612.708.2145</t>
  </si>
  <si>
    <t>JesÃºs</t>
  </si>
  <si>
    <t>SuÃ¡rez</t>
  </si>
  <si>
    <t>https://www.linkedin.com/in/jesus-suarez</t>
  </si>
  <si>
    <t>jesus.suarez@edebe.com.mx</t>
  </si>
  <si>
    <t>edebe.com.mx</t>
  </si>
  <si>
    <t xml:space="preserve">Raúl </t>
  </si>
  <si>
    <t>Cornejo</t>
  </si>
  <si>
    <t>Director Transformación Digital Ecommerce</t>
  </si>
  <si>
    <t>https://www.linkedin.com/in/raul-cornejo-diaz</t>
  </si>
  <si>
    <t>raul.cornejo@elektra.com.mx</t>
  </si>
  <si>
    <t>elektra.com.mx</t>
  </si>
  <si>
    <t>Gama</t>
  </si>
  <si>
    <t>Director de Marketing Digital</t>
  </si>
  <si>
    <t>https://www.linkedin.com/in/rodrigo-gama</t>
  </si>
  <si>
    <t>rod.gama79@gmail.com</t>
  </si>
  <si>
    <t>557.577.5547</t>
  </si>
  <si>
    <t>Benjamin</t>
  </si>
  <si>
    <t>https://www.linkedin.com/in/benjamin-aguirre-rivas-62a29564</t>
  </si>
  <si>
    <t>brivas@elektra.com.mx</t>
  </si>
  <si>
    <t>52 55 5990 3553</t>
  </si>
  <si>
    <t>Alonso</t>
  </si>
  <si>
    <t>CedeÃ±o</t>
  </si>
  <si>
    <t>Sr. Director de Estrategia y TransformaciÃ³n Digital</t>
  </si>
  <si>
    <t>https://www.linkedin.com/in/alonso-cedeÃ±o-5bba9851</t>
  </si>
  <si>
    <t>alonso_cedeno@hotmail.com</t>
  </si>
  <si>
    <t>52 55 5107 3652</t>
  </si>
  <si>
    <t>Piza</t>
  </si>
  <si>
    <t>Digital Marketing Sr Manager</t>
  </si>
  <si>
    <t>https://www.linkedin.com/in/ACwAABe3lVEBxXzdppqdBlrdK8Mm95utFx7mTig</t>
  </si>
  <si>
    <t>gpiza@elektra.com.mx</t>
  </si>
  <si>
    <t>Emmanuel</t>
  </si>
  <si>
    <t>https://www.linkedin.com/in/emmanuel-martinez-vazquez</t>
  </si>
  <si>
    <t>emangx1@hotmail.com</t>
  </si>
  <si>
    <t>310.288.3800</t>
  </si>
  <si>
    <t>Stojan</t>
  </si>
  <si>
    <t>Periz</t>
  </si>
  <si>
    <t>https://www.linkedin.com/in/ACwAAEI2kKcBMksQmsBv3oXeriDjMpk9RTaF8u4</t>
  </si>
  <si>
    <t>stojan.periz@elektra.com.mx</t>
  </si>
  <si>
    <t>Supply Chain Director, Retail, e commerce &amp; B2B.</t>
  </si>
  <si>
    <t>https://www.linkedin.com/in/aggilberto</t>
  </si>
  <si>
    <t>52 55 5511 6767</t>
  </si>
  <si>
    <t>embridge.mx</t>
  </si>
  <si>
    <t>Arturo</t>
  </si>
  <si>
    <t>Ornelas</t>
  </si>
  <si>
    <t>https://www.linkedin.com/in/ACwAADg2kiQBuX9svqx2ume1n2PmdWlpYQX8iY4</t>
  </si>
  <si>
    <t>811.253.3222</t>
  </si>
  <si>
    <t>empacados.com</t>
  </si>
  <si>
    <t>Horacio</t>
  </si>
  <si>
    <t>Izaguirre</t>
  </si>
  <si>
    <t>https://www.linkedin.com/in/horacio-garcÃ­a-izaguirre</t>
  </si>
  <si>
    <t>emwa.com.mx</t>
  </si>
  <si>
    <t>Lili</t>
  </si>
  <si>
    <t>https://www.linkedin.com/in/ACwAABg_7yABL12JCVh7Vue68L-klj7SpC_daE4</t>
  </si>
  <si>
    <t>Carla</t>
  </si>
  <si>
    <t>Soto</t>
  </si>
  <si>
    <t>https://www.linkedin.com/in/carla-victoria-resÃ©ndiz-soto-5a984a195</t>
  </si>
  <si>
    <t>477.729.1834</t>
  </si>
  <si>
    <t>entoslingerie.com</t>
  </si>
  <si>
    <t>Miriam</t>
  </si>
  <si>
    <t>https://www.linkedin.com/in/ingmiriammartinez</t>
  </si>
  <si>
    <t>ing.miriam.mkt@gmail.com</t>
  </si>
  <si>
    <t>650.529.1993</t>
  </si>
  <si>
    <t>envia.com</t>
  </si>
  <si>
    <t>TreviÃ±o</t>
  </si>
  <si>
    <t>Supervisor Ecommerce</t>
  </si>
  <si>
    <t>https://www.linkedin.com/in/ACwAADm-Vm4BebfsqsHaSFlNxOYZn6fDfXwAT2U</t>
  </si>
  <si>
    <t>52 81 1931 6002</t>
  </si>
  <si>
    <t>epicland.com.mx</t>
  </si>
  <si>
    <t>Maria Teresa</t>
  </si>
  <si>
    <t>Villarreal</t>
  </si>
  <si>
    <t>https://www.linkedin.com/in/maria-teresa-villarreal-658380185</t>
  </si>
  <si>
    <t>mvillarreal@grupoesquimal.mx</t>
  </si>
  <si>
    <t>esquimal.mx</t>
  </si>
  <si>
    <t>fv</t>
  </si>
  <si>
    <t>https://www.linkedin.com/in/maria-griselda-hernandez-fabregas-48b01311</t>
  </si>
  <si>
    <t>mariagriselda.hernandez@estafeta.com</t>
  </si>
  <si>
    <t>52 5 552 708300</t>
  </si>
  <si>
    <t>52 55 4390 7407</t>
  </si>
  <si>
    <t>estafeta.com</t>
  </si>
  <si>
    <t>Oliver</t>
  </si>
  <si>
    <t>Chief Marketing Officer and Sales Planner</t>
  </si>
  <si>
    <t>https://www.linkedin.com/in/olivermillermarketing</t>
  </si>
  <si>
    <t>52 222 651 2650</t>
  </si>
  <si>
    <t>eurocotton.com.mx</t>
  </si>
  <si>
    <t>Breanne</t>
  </si>
  <si>
    <t>Ng</t>
  </si>
  <si>
    <t>https://www.linkedin.com/in/ACwAAD6pG8wBNTnmK4hSRKV0JQ8t0_aEkVGFu2s</t>
  </si>
  <si>
    <t>breanne@evoluebeauty.com</t>
  </si>
  <si>
    <t>424.333.6426</t>
  </si>
  <si>
    <t>evolue.com</t>
  </si>
  <si>
    <t>Bedolla</t>
  </si>
  <si>
    <t>CEO / CMO</t>
  </si>
  <si>
    <t>https://www.linkedin.com/in/daniel-bedolla-08568034</t>
  </si>
  <si>
    <t>daniel.bedolla@excited.com.mx</t>
  </si>
  <si>
    <t>52 55 6498 6187</t>
  </si>
  <si>
    <t>excited.com.mx</t>
  </si>
  <si>
    <t>Cristiani</t>
  </si>
  <si>
    <t>Sanchez</t>
  </si>
  <si>
    <t>Digital Marketing Director</t>
  </si>
  <si>
    <t>https://www.linkedin.com/in/cristiani-paul-sanchez-02722213b</t>
  </si>
  <si>
    <t>explotumarca.com</t>
  </si>
  <si>
    <t>Jesus</t>
  </si>
  <si>
    <t>Trevino</t>
  </si>
  <si>
    <t>https://www.linkedin.com/in/jesustrevino210</t>
  </si>
  <si>
    <t>vino210@yahoo.com</t>
  </si>
  <si>
    <t>52 477 716 0902</t>
  </si>
  <si>
    <t>773.843.4100</t>
  </si>
  <si>
    <t>famsa.com</t>
  </si>
  <si>
    <t>https://www.linkedin.com/in/ricardomoralesmorales</t>
  </si>
  <si>
    <t>fanasa.com</t>
  </si>
  <si>
    <t>Candanosa</t>
  </si>
  <si>
    <t>Senior Digital Marketing Manager</t>
  </si>
  <si>
    <t>https://www.linkedin.com/in/imgrowthhacker</t>
  </si>
  <si>
    <t>Hinojosa</t>
  </si>
  <si>
    <t>https://www.linkedin.com/in/marÃ­a-angelica-assam-hinojosa-62b28732</t>
  </si>
  <si>
    <t>Shah</t>
  </si>
  <si>
    <t>https://www.linkedin.com/in/ACwAADt_PbEB0w0JiD9uMR_b9rXCpOKruvhVn58</t>
  </si>
  <si>
    <t>Gamboa</t>
  </si>
  <si>
    <t>https://www.linkedin.com/in/jimena-contreras-gamboa-015242190</t>
  </si>
  <si>
    <t>jimena.gamboa@fsanpablo.com</t>
  </si>
  <si>
    <t>farmaciasanpablo.com.mx</t>
  </si>
  <si>
    <t xml:space="preserve">Ignacio </t>
  </si>
  <si>
    <t xml:space="preserve">Segura </t>
  </si>
  <si>
    <t>Subdirector de estrategia y transformación digital</t>
  </si>
  <si>
    <t>https://www.linkedin.com/in/ignacio-segura-012a5b10/</t>
  </si>
  <si>
    <t>ignacio.segura@fsanpablo.com</t>
  </si>
  <si>
    <t>55 5354 9000</t>
  </si>
  <si>
    <t>Dorian</t>
  </si>
  <si>
    <t>Palacio</t>
  </si>
  <si>
    <t>Deputy Director, PR, Performance Marketing for eCommerce &amp; Digital Marketing</t>
  </si>
  <si>
    <t>https://www.linkedin.com/in/dorianrdrgz</t>
  </si>
  <si>
    <t>dorian.palacio@gmail.com</t>
  </si>
  <si>
    <t>52 664 688 3778</t>
  </si>
  <si>
    <t>farmaciasespecializadas.com</t>
  </si>
  <si>
    <t>Coordinadora de Capacitacin ECommerce</t>
  </si>
  <si>
    <t>https://www.linkedin.com/in/ckarla-padilla</t>
  </si>
  <si>
    <t>karlapadilla@fragua.com.mx</t>
  </si>
  <si>
    <t>52-3336-693333</t>
  </si>
  <si>
    <t>farmaciasguadalajara.com.mx</t>
  </si>
  <si>
    <t>Isay</t>
  </si>
  <si>
    <t>https://www.linkedin.com/in/isay-zarate-vera</t>
  </si>
  <si>
    <t>52 1 5555 501400</t>
  </si>
  <si>
    <t>farmapiel.com</t>
  </si>
  <si>
    <t>Pozos-Barroso</t>
  </si>
  <si>
    <t>https://www.linkedin.com/in/antoniopozosbarroso-marketing-pharmaceutical-director</t>
  </si>
  <si>
    <t>apozos@farmapiel.com</t>
  </si>
  <si>
    <t>52427.101.1227</t>
  </si>
  <si>
    <t>Katie</t>
  </si>
  <si>
    <t>Jones</t>
  </si>
  <si>
    <t>Marketing Lead</t>
  </si>
  <si>
    <t>https://www.linkedin.com/in/katieleejones</t>
  </si>
  <si>
    <t>fashionstartup.mx</t>
  </si>
  <si>
    <t>Macias</t>
  </si>
  <si>
    <t>I bring payment technology &amp; technical talent to FinTech companies who want to disrupt, and willing to adopt digital maturity in 2022 Director of New Business SERTI Director of Business Acquisitions</t>
  </si>
  <si>
    <t>https://www.linkedin.com/in/luis-macias-1843b823</t>
  </si>
  <si>
    <t>52 55 6377 3622</t>
  </si>
  <si>
    <t>feenicia.com</t>
  </si>
  <si>
    <t>Felipe</t>
  </si>
  <si>
    <t>Director VM, marketing</t>
  </si>
  <si>
    <t>https://www.linkedin.com/in/felipe-andres-sterling-p-a54883178</t>
  </si>
  <si>
    <t>ferrioni.com</t>
  </si>
  <si>
    <t>PÃ©rez</t>
  </si>
  <si>
    <t>Director de fotografÃ­a Ecommerce</t>
  </si>
  <si>
    <t>https://www.linkedin.com/in/ACwAADDGKL8BfifbrgI9B3-8gHVY2IT8ev3AOWg</t>
  </si>
  <si>
    <t>Adolfo</t>
  </si>
  <si>
    <t>Rosete</t>
  </si>
  <si>
    <t>Director Digital</t>
  </si>
  <si>
    <t>https://www.linkedin.com/in/ACwAAENKClQBh9FOel7YhZ7qR33QneNEqRO0TNw</t>
  </si>
  <si>
    <t>Elizabeth</t>
  </si>
  <si>
    <t>Mex</t>
  </si>
  <si>
    <t>https://www.linkedin.com/in/ACwAAEJ7JR0BkQMKYHOQoYtsFDgZHqJskLCCkjk</t>
  </si>
  <si>
    <t>elizabeth@flamingocancunresort.com.mx</t>
  </si>
  <si>
    <t>flamingocancun.com</t>
  </si>
  <si>
    <t>Rosas</t>
  </si>
  <si>
    <t>Director de Mercadotecnia â€¢ Chief Marketing Officer CMO</t>
  </si>
  <si>
    <t>https://www.linkedin.com/in/thejorgerosas</t>
  </si>
  <si>
    <t>correodejorgerosas@gmail.com</t>
  </si>
  <si>
    <t>0052 477 710 2500</t>
  </si>
  <si>
    <t>flexi.com.mx</t>
  </si>
  <si>
    <t>Eguiluz</t>
  </si>
  <si>
    <t>Director General Comercial / Director Ejecutivo Marketing &amp; Comercial</t>
  </si>
  <si>
    <t>https://www.linkedin.com/in/juanfranciscolopez1</t>
  </si>
  <si>
    <t>52 833 2608100</t>
  </si>
  <si>
    <t>Brenda</t>
  </si>
  <si>
    <t>BenÃ­tez</t>
  </si>
  <si>
    <t>MARKETING MANAGER QUIRELLI</t>
  </si>
  <si>
    <t>https://www.linkedin.com/in/brenda-benÃ­tez</t>
  </si>
  <si>
    <t>Rodolfo</t>
  </si>
  <si>
    <t>https://www.linkedin.com/in/rodolfo-alvarez-loeza</t>
  </si>
  <si>
    <t>52 477 7119263</t>
  </si>
  <si>
    <t>Montero</t>
  </si>
  <si>
    <t>https://www.linkedin.com/in/ACwAABSwos8ByS430v-JxcpGlF18CwiztfUBYtc</t>
  </si>
  <si>
    <t>andres.montero@fmc.com</t>
  </si>
  <si>
    <t>331.417.2497</t>
  </si>
  <si>
    <t>fmcagroquimica.com.mx</t>
  </si>
  <si>
    <t>ZÃºÃ±iga</t>
  </si>
  <si>
    <t>Head of Marketing Communications North Latin America</t>
  </si>
  <si>
    <t>https://www.linkedin.com/in/edgar-gonzÃ¡lez-zÃºÃ±iga-36030a48</t>
  </si>
  <si>
    <t>edgar.zuniga@fmc.com</t>
  </si>
  <si>
    <t>Fernando</t>
  </si>
  <si>
    <t>Legarreta</t>
  </si>
  <si>
    <t>https://www.linkedin.com/in/fergalicialegarreta</t>
  </si>
  <si>
    <t>fernando@folklore.mx</t>
  </si>
  <si>
    <t>614.259.3371</t>
  </si>
  <si>
    <t>folklore.mx</t>
  </si>
  <si>
    <t xml:space="preserve">Álvaro </t>
  </si>
  <si>
    <t>Martínez Carrillo</t>
  </si>
  <si>
    <t>Merchandising and Marketing Director</t>
  </si>
  <si>
    <t>https://www.linkedin.com/in/álvaro-martínez-carrillo-48724542</t>
  </si>
  <si>
    <t>800.003.9300</t>
  </si>
  <si>
    <t>52 (55) 5624-2952</t>
  </si>
  <si>
    <t>fuller.com.mx</t>
  </si>
  <si>
    <t>Lorena</t>
  </si>
  <si>
    <t>Brand Marketing Manager Fine Fragrance &amp; Color</t>
  </si>
  <si>
    <t>https://www.linkedin.com/in/lorenaduenasg</t>
  </si>
  <si>
    <t>JoaquÃ­n</t>
  </si>
  <si>
    <t>Matienzo</t>
  </si>
  <si>
    <t>https://www.linkedin.com/in/ACwAADSZUJIBjyHwmxcUKXbD2AmL8V39r9AL5AM</t>
  </si>
  <si>
    <t>jmatienzo@fullsand.com</t>
  </si>
  <si>
    <t>fullsand.com</t>
  </si>
  <si>
    <t>https://www.linkedin.com/in/rtrentthompson</t>
  </si>
  <si>
    <t>r@fundraisingtransformed.com</t>
  </si>
  <si>
    <t>fundraisingtransformed.com</t>
  </si>
  <si>
    <t>Bruna</t>
  </si>
  <si>
    <t>Girata</t>
  </si>
  <si>
    <t>Head of Performance Marketing</t>
  </si>
  <si>
    <t>https://www.linkedin.com/in/brunagirata</t>
  </si>
  <si>
    <t>bruna.girata@gaiadesign.com.mx</t>
  </si>
  <si>
    <t>52 55 1209 2150</t>
  </si>
  <si>
    <t>52 55 8525 0137</t>
  </si>
  <si>
    <t>gaiadesign.com.mx</t>
  </si>
  <si>
    <t>Javiera</t>
  </si>
  <si>
    <t>Zacharias</t>
  </si>
  <si>
    <t>Director Online Product Merchandising</t>
  </si>
  <si>
    <t>https://www.linkedin.com/in/ACwAAAy5IrMBswpXV3zZ9H0zBqQ3jmSa12fCadY</t>
  </si>
  <si>
    <t>56 9 8905 5072</t>
  </si>
  <si>
    <t>Brandon</t>
  </si>
  <si>
    <t>Chief Growth Officer CGO CMO</t>
  </si>
  <si>
    <t>https://www.linkedin.com/in/brandon-p-b838196</t>
  </si>
  <si>
    <t>Angel</t>
  </si>
  <si>
    <t>Marrufo</t>
  </si>
  <si>
    <t>Director de marketing y Manager de E-Commerce</t>
  </si>
  <si>
    <t>https://www.linkedin.com/in/ACwAAAUEVIgBdea1OsqrNZ1GXdAGdP7TJ_XL3qI</t>
  </si>
  <si>
    <t>marrufoyas@gmail.com</t>
  </si>
  <si>
    <t>52 81 1772 9598</t>
  </si>
  <si>
    <t>5281) 4170-0750</t>
  </si>
  <si>
    <t>gamamusic.com</t>
  </si>
  <si>
    <t>Orive</t>
  </si>
  <si>
    <t>Head of Branded Content &amp; Influencer Marketing</t>
  </si>
  <si>
    <t>https://www.linkedin.com/in/ACwAABvFuTQB3j3_MNMuDBNKDQ47o4U7HF0iiXI</t>
  </si>
  <si>
    <t>gazer73.com</t>
  </si>
  <si>
    <t>Montiel</t>
  </si>
  <si>
    <t>Head Marketing &amp; Management</t>
  </si>
  <si>
    <t>https://www.linkedin.com/in/erickmontiel</t>
  </si>
  <si>
    <t>erick.montiel@gazer73.com</t>
  </si>
  <si>
    <t>Victorria</t>
  </si>
  <si>
    <t>Wytcherley</t>
  </si>
  <si>
    <t>https://www.linkedin.com/in/victorria-wytcherley-5637735</t>
  </si>
  <si>
    <t>206.691.1685</t>
  </si>
  <si>
    <t>724.664.9154</t>
  </si>
  <si>
    <t>gehealthcare.com</t>
  </si>
  <si>
    <t>Marlene</t>
  </si>
  <si>
    <t>Channel Marketing Manager</t>
  </si>
  <si>
    <t>https://www.linkedin.com/in/marlene-hinojosa-56571739</t>
  </si>
  <si>
    <t>marlene.hinojosa@generac.com</t>
  </si>
  <si>
    <t>262.544.4811</t>
  </si>
  <si>
    <t>generaclatam.com</t>
  </si>
  <si>
    <t>Regina</t>
  </si>
  <si>
    <t>Director de comunicaciones de marketing</t>
  </si>
  <si>
    <t>https://www.linkedin.com/in/ACwAADd8XxYBSFawr2oKnW4cfMjQwLFWGZ-cqvM</t>
  </si>
  <si>
    <t>52 55 5666 9157</t>
  </si>
  <si>
    <t>georgieboy.com.mx</t>
  </si>
  <si>
    <t>SebastiÃ¡n</t>
  </si>
  <si>
    <t>Director de marketing creativo</t>
  </si>
  <si>
    <t>https://www.linkedin.com/in/ACwAADpP2i4BRQluDubDs5W7hcnOcwUJ9gcg5_w</t>
  </si>
  <si>
    <t>Alexia</t>
  </si>
  <si>
    <t>del Villar</t>
  </si>
  <si>
    <t>Director de marketing creativo y diseÃ±ador grÃ¡fico</t>
  </si>
  <si>
    <t>https://www.linkedin.com/in/alexia-del-villar-933a46281</t>
  </si>
  <si>
    <t>Eli</t>
  </si>
  <si>
    <t>Levy</t>
  </si>
  <si>
    <t>https://www.linkedin.com/in/ACwAADM5teMBGj9FvR80W1aqv86tt9TKxhVQ07Y</t>
  </si>
  <si>
    <t>Ramiro</t>
  </si>
  <si>
    <t>Rubalcava</t>
  </si>
  <si>
    <t>https://www.linkedin.com/in/ACwAACTlg60Bb3_r6YE1ZUZdy412K3jnHC_-3I4</t>
  </si>
  <si>
    <t>ghg.mx</t>
  </si>
  <si>
    <t>Guadarrama</t>
  </si>
  <si>
    <t>https://www.linkedin.com/in/ACwAABrzm4kBpgw5rir4TqbRC0NfSLtmznkdrXg</t>
  </si>
  <si>
    <t>andrea@gideas.com.mx</t>
  </si>
  <si>
    <t>gideas.com.mx</t>
  </si>
  <si>
    <t>CarreÃ³n</t>
  </si>
  <si>
    <t>https://www.linkedin.com/in/alberto-carreon</t>
  </si>
  <si>
    <t>alberto@gideas.com.mx</t>
  </si>
  <si>
    <t>JimÃ©nez</t>
  </si>
  <si>
    <t>https://www.linkedin.com/in/josem-jimÃ©nez</t>
  </si>
  <si>
    <t>52 (81) 81337000</t>
  </si>
  <si>
    <t>gilsa.mx</t>
  </si>
  <si>
    <t>Veronica</t>
  </si>
  <si>
    <t>Salas</t>
  </si>
  <si>
    <t>Director Marketing and Customer Service Mexico and US</t>
  </si>
  <si>
    <t>https://www.linkedin.com/in/veronica-salas-3106527</t>
  </si>
  <si>
    <t>verosalab@gmail.com</t>
  </si>
  <si>
    <t>https://www.linkedin.com/in/ACwAABCioo4B64H2TMzV_Qhryb3JbM8vttdegpI</t>
  </si>
  <si>
    <t>vazquez.rosas.manuel@outlook.com</t>
  </si>
  <si>
    <t>Director E-commerce &amp; Marketing</t>
  </si>
  <si>
    <t>https://www.linkedin.com/in/soniamezav</t>
  </si>
  <si>
    <t>sonia.delvillar@valtra.com.mx</t>
  </si>
  <si>
    <t>52 33 3364 9090</t>
  </si>
  <si>
    <t>41 61 816 72 72</t>
  </si>
  <si>
    <t>gnc.com.mx</t>
  </si>
  <si>
    <t>Milbrath</t>
  </si>
  <si>
    <t>https://www.linkedin.com/in/sarah-milbrath-70313a30</t>
  </si>
  <si>
    <t>sarasita076@gmail.com</t>
  </si>
  <si>
    <t>480.505.8800</t>
  </si>
  <si>
    <t>855.646.1390</t>
  </si>
  <si>
    <t>godaddy.com</t>
  </si>
  <si>
    <t>Beth</t>
  </si>
  <si>
    <t>Pope</t>
  </si>
  <si>
    <t>Senior Procurement Manager, Global Marketing</t>
  </si>
  <si>
    <t>https://www.linkedin.com/in/bethpope</t>
  </si>
  <si>
    <t>epope@godaddy.com</t>
  </si>
  <si>
    <t>404.323.3796</t>
  </si>
  <si>
    <t>Mike</t>
  </si>
  <si>
    <t>Associate Marketing Manager, Global Brand Strategy</t>
  </si>
  <si>
    <t>https://www.linkedin.com/in/iammikelyons</t>
  </si>
  <si>
    <t>ml@godaddy.com</t>
  </si>
  <si>
    <t>409.395.7508</t>
  </si>
  <si>
    <t>Yann</t>
  </si>
  <si>
    <t>Thefaine</t>
  </si>
  <si>
    <t>Senior Director, Online Marketing &amp; eCommerce</t>
  </si>
  <si>
    <t>https://www.linkedin.com/in/yannth</t>
  </si>
  <si>
    <t>ythefaine@godaddy.com</t>
  </si>
  <si>
    <t>206.379.8389</t>
  </si>
  <si>
    <t>Valdez</t>
  </si>
  <si>
    <t>Digital Marketing-Manager</t>
  </si>
  <si>
    <t>https://www.linkedin.com/in/david-parra-valdez-0a3586139</t>
  </si>
  <si>
    <t>david.valdez@gofitness.com.mx</t>
  </si>
  <si>
    <t>gofitness.com.mx</t>
  </si>
  <si>
    <t>Michael</t>
  </si>
  <si>
    <t>Vercelletto</t>
  </si>
  <si>
    <t>https://www.linkedin.com/in/michaelvercelletto</t>
  </si>
  <si>
    <t>verceman@yahoo.com</t>
  </si>
  <si>
    <t>718.599.1500</t>
  </si>
  <si>
    <t>888.345.1452</t>
  </si>
  <si>
    <t>Goli Nutrition</t>
  </si>
  <si>
    <t>Paul</t>
  </si>
  <si>
    <t>Camhi</t>
  </si>
  <si>
    <t>Director de imagen corporativa y marketing digital</t>
  </si>
  <si>
    <t>https://www.linkedin.com/in/ACwAAAxA7i8BbizejCgQ0hIV--f5rx27AuD7e8U</t>
  </si>
  <si>
    <t>52 998 883 9033</t>
  </si>
  <si>
    <t>gomexico.travel</t>
  </si>
  <si>
    <t>Roberto</t>
  </si>
  <si>
    <t>Elizalde</t>
  </si>
  <si>
    <t>Director de Ventas Online</t>
  </si>
  <si>
    <t>https://www.linkedin.com/in/ACwAADIkNekBmhezYV5lDR2jovpwtrGiJWv87S0</t>
  </si>
  <si>
    <t>roberto@gowin.com.mx</t>
  </si>
  <si>
    <t>52 81 8345 8090</t>
  </si>
  <si>
    <t>gowin.com</t>
  </si>
  <si>
    <t>Cinthia</t>
  </si>
  <si>
    <t>https://www.linkedin.com/in/ACwAAChqVacBKy93Bu2OdJBmHVyVnCt25eQGxXg</t>
  </si>
  <si>
    <t>52 (33) 3640-2519</t>
  </si>
  <si>
    <t>grancan.mx</t>
  </si>
  <si>
    <t>Celio</t>
  </si>
  <si>
    <t>Aceves</t>
  </si>
  <si>
    <t>https://www.linkedin.com/in/celio-rubÃ©n-martÃ­nez-aceves-76a1a4149</t>
  </si>
  <si>
    <t>granvia.mx</t>
  </si>
  <si>
    <t>Marketing</t>
  </si>
  <si>
    <t>Griver</t>
  </si>
  <si>
    <t>https://www.linkedin.com/in/ACwAAEFhShYBLfz0CxoAxW9qRazNUT0SVpJbcsQ</t>
  </si>
  <si>
    <t>52 229 989 7300 ext. 3429</t>
  </si>
  <si>
    <t>griver.com.mx</t>
  </si>
  <si>
    <t>Mariana</t>
  </si>
  <si>
    <t>Alba</t>
  </si>
  <si>
    <t>https://www.linkedin.com/in/ACwAADPSp-4BTfzIaqhPMZ817Mur2R2GxpObSzM</t>
  </si>
  <si>
    <t>mariana@groupkps.com</t>
  </si>
  <si>
    <t>groupkps.com</t>
  </si>
  <si>
    <t>Digital Experiences Director</t>
  </si>
  <si>
    <t>https://www.linkedin.com/in/ACwAAAPjHwUBYSqLuh_zuMCcXFQrtyK_b1Nu76A</t>
  </si>
  <si>
    <t>growjet.com.mx</t>
  </si>
  <si>
    <t>Francy</t>
  </si>
  <si>
    <t>Diaz</t>
  </si>
  <si>
    <t>Marketing Manager LatAm</t>
  </si>
  <si>
    <t>https://www.linkedin.com/in/ACwAAB8nqHwBJcIgbvw1uKB2PHW7lUXdFamWiek</t>
  </si>
  <si>
    <t>francy.diaz@grupo-deco.com</t>
  </si>
  <si>
    <t>grupo-deco.com</t>
  </si>
  <si>
    <t>Minerva</t>
  </si>
  <si>
    <t>Borja</t>
  </si>
  <si>
    <t>Supervisor de Ventas Nacionales Digital Business Commercial</t>
  </si>
  <si>
    <t>https://www.linkedin.com/in/ACwAAAeoLwwBp21mBJDuQ3GnonyNN0OF5OhWGcs</t>
  </si>
  <si>
    <t>minerva.borja@grupoabsa.com</t>
  </si>
  <si>
    <t>333.111.6800</t>
  </si>
  <si>
    <t>grupoabsa.com</t>
  </si>
  <si>
    <t>Yvonne</t>
  </si>
  <si>
    <t>Albisua</t>
  </si>
  <si>
    <t>Head of Marketing and Commercial Strategy</t>
  </si>
  <si>
    <t>https://www.linkedin.com/in/yvonnecolo</t>
  </si>
  <si>
    <t>yvonnecolo@gmail.com</t>
  </si>
  <si>
    <t>grupoalpha.com</t>
  </si>
  <si>
    <t>Dena</t>
  </si>
  <si>
    <t>https://www.linkedin.com/in/paula-olivares-dena-1a0856117</t>
  </si>
  <si>
    <t>52998193 1700</t>
  </si>
  <si>
    <t>grupoandersons.com</t>
  </si>
  <si>
    <t>CalderÃ³n</t>
  </si>
  <si>
    <t>Brand marketing manager LA VICIENTA</t>
  </si>
  <si>
    <t>https://www.linkedin.com/in/alejandra-espinosa-calderÃ³n-b52b01168</t>
  </si>
  <si>
    <t>https://www.linkedin.com/in/dr-carlos-castro-5aaa3086</t>
  </si>
  <si>
    <t>carlos.castro@andermail.com</t>
  </si>
  <si>
    <t>998.193.1700</t>
  </si>
  <si>
    <t>https://www.linkedin.com/in/maria-fernanda-gutiÃ©rrez-636780120</t>
  </si>
  <si>
    <t>52 55 2167 2908</t>
  </si>
  <si>
    <t>grupoexpansion.com</t>
  </si>
  <si>
    <t>Lourdes</t>
  </si>
  <si>
    <t>RamÃ­rez</t>
  </si>
  <si>
    <t>Head de Marketing y Estrategia de Negocio</t>
  </si>
  <si>
    <t>https://www.linkedin.com/in/lourdes-ramÃ­rez-8a982b36</t>
  </si>
  <si>
    <t>Aaron</t>
  </si>
  <si>
    <t>YaÃ±ez</t>
  </si>
  <si>
    <t>Director de marketing en Grupo ExpansiÃ³n</t>
  </si>
  <si>
    <t>https://www.linkedin.com/in/aaronyaÃ±ez</t>
  </si>
  <si>
    <t>ayanez@grupoexpansion.com</t>
  </si>
  <si>
    <t>Ugalde</t>
  </si>
  <si>
    <t>https://www.linkedin.com/in/roberto-ugalde-2a706431</t>
  </si>
  <si>
    <t>rugalde@infra.com.mx</t>
  </si>
  <si>
    <t>grupoinfra.com</t>
  </si>
  <si>
    <t>Pedroza</t>
  </si>
  <si>
    <t>Head of advanced Analytics, Big Data and Digital Transformation</t>
  </si>
  <si>
    <t>https://www.linkedin.com/in/martin-jurado-pedroza-678205182</t>
  </si>
  <si>
    <t>martin.jurado.p@gmail.com</t>
  </si>
  <si>
    <t>Ã“scar</t>
  </si>
  <si>
    <t>CMO - Corporate Marketing &amp; Ecommerce Director</t>
  </si>
  <si>
    <t>https://www.linkedin.com/in/oscarraulmartinezramirez</t>
  </si>
  <si>
    <t>oramirez@infra.com.mx</t>
  </si>
  <si>
    <t>Ramones</t>
  </si>
  <si>
    <t>https://www.linkedin.com/in/ACwAAB9__yUBUFFjMfJtXl60yRxR3OI-QewzFAc</t>
  </si>
  <si>
    <t>grupomaxima.com</t>
  </si>
  <si>
    <t>Cuervo</t>
  </si>
  <si>
    <t>Head of Marketing and Design.</t>
  </si>
  <si>
    <t>https://www.linkedin.com/in/ACwAAAvqyb0B5gqLzrErSjJzUJTuLqbBbcR8mZE</t>
  </si>
  <si>
    <t>luz.cuervo@grupomercurio.mx</t>
  </si>
  <si>
    <t>grupomercurio.mx</t>
  </si>
  <si>
    <t>Head E-commerce</t>
  </si>
  <si>
    <t>https://www.linkedin.com/in/juan-ramos-ecommerce</t>
  </si>
  <si>
    <t>jramos@gruposar.com</t>
  </si>
  <si>
    <t>800.286.7972</t>
  </si>
  <si>
    <t>Gruposar</t>
  </si>
  <si>
    <t>Joaquin</t>
  </si>
  <si>
    <t>Marketing &amp; Comms Director</t>
  </si>
  <si>
    <t>https://www.linkedin.com/in/joaquinrdzl</t>
  </si>
  <si>
    <t>442.454.1633</t>
  </si>
  <si>
    <t>gruposervex.com</t>
  </si>
  <si>
    <t>Daniela</t>
  </si>
  <si>
    <t>Brand Manager - Public Relations &amp; Marketing</t>
  </si>
  <si>
    <t>https://www.linkedin.com/in/ACwAAC7eekQB98DqwwIXXtkUEfBNxfvdGs6lr6E</t>
  </si>
  <si>
    <t>daniela.jimenez@guinnessworldrecords.com</t>
  </si>
  <si>
    <t>guinnessworldrecords.com</t>
  </si>
  <si>
    <t>de la PeÃ±a</t>
  </si>
  <si>
    <t>Hotel, Sales and Marketing Manager</t>
  </si>
  <si>
    <t>https://www.linkedin.com/in/jaime-de-la-peÃ±a-2b7034121</t>
  </si>
  <si>
    <t>jdelapena@hacienda1800.com</t>
  </si>
  <si>
    <t>hacienda1800.com</t>
  </si>
  <si>
    <t>Duarte</t>
  </si>
  <si>
    <t>https://www.linkedin.com/in/ACwAAAI44JcBpntpT48erxPgAeWgVXf2vAkpPtw</t>
  </si>
  <si>
    <t>5255 5211 6060</t>
  </si>
  <si>
    <t>harmonhall.com</t>
  </si>
  <si>
    <t>Ayala</t>
  </si>
  <si>
    <t>Subdirector TI comercio digital - Head CX Product Design Engineering</t>
  </si>
  <si>
    <t>https://www.linkedin.com/in/gerardo-ayala-71bb6837</t>
  </si>
  <si>
    <t>lllx0.dag.0xlll@gmail.com</t>
  </si>
  <si>
    <t>210.408.1641</t>
  </si>
  <si>
    <t>52 81 8153 1631</t>
  </si>
  <si>
    <t>heb.com.mx</t>
  </si>
  <si>
    <t>Aguirre</t>
  </si>
  <si>
    <t>Head of Digital Marketing &amp; ECommerce</t>
  </si>
  <si>
    <t>https://www.linkedin.com/in/kikeaguirre</t>
  </si>
  <si>
    <t>eaguirre@hebmex.com</t>
  </si>
  <si>
    <t>52 55 2772 6810</t>
  </si>
  <si>
    <t>Cardenas</t>
  </si>
  <si>
    <t>Digital Commerce Director</t>
  </si>
  <si>
    <t>https://www.linkedin.com/in/edwin-cardenas-6a799449</t>
  </si>
  <si>
    <t>ecardenas@hebmex.com</t>
  </si>
  <si>
    <t>52 81 8153 1223</t>
  </si>
  <si>
    <t>RenÃ©</t>
  </si>
  <si>
    <t>Van Reeth</t>
  </si>
  <si>
    <t>Sales&amp;Marketing Director</t>
  </si>
  <si>
    <t>https://www.linkedin.com/in/renÃ©-van-reeth-a06a445</t>
  </si>
  <si>
    <t>646.564.2577</t>
  </si>
  <si>
    <t>heelys.com</t>
  </si>
  <si>
    <t>Centeno</t>
  </si>
  <si>
    <t>Content Marketing Manager / Paid &amp; Performance</t>
  </si>
  <si>
    <t>https://www.linkedin.com/in/soniasilce</t>
  </si>
  <si>
    <t>sonia.centeno@helvex.com.mx</t>
  </si>
  <si>
    <t>800.890.0594</t>
  </si>
  <si>
    <t>helvex.com.mx</t>
  </si>
  <si>
    <t>Orozco</t>
  </si>
  <si>
    <t>https://www.linkedin.com/in/gilberto-a-alcaraz-orozco-bb01a811b</t>
  </si>
  <si>
    <t>gilberto.orozco@helvex.com.mx</t>
  </si>
  <si>
    <t>52-5553-339400</t>
  </si>
  <si>
    <t>Julio</t>
  </si>
  <si>
    <t>https://www.linkedin.com/in/juliosotomx</t>
  </si>
  <si>
    <t>juliosotomx@gmail.com</t>
  </si>
  <si>
    <t>52 55 5333 9450</t>
  </si>
  <si>
    <t>Estrella</t>
  </si>
  <si>
    <t>https://www.linkedin.com/in/estrella-pedroza-gonzÃ¡lez</t>
  </si>
  <si>
    <t>estrella@highstreet.com.mx</t>
  </si>
  <si>
    <t>highstreet.com.mx</t>
  </si>
  <si>
    <t>Bemsson</t>
  </si>
  <si>
    <t>Head of Digital Strategy</t>
  </si>
  <si>
    <t>https://www.linkedin.com/in/bemssonguerrero</t>
  </si>
  <si>
    <t>bemsson@hillflare.com</t>
  </si>
  <si>
    <t>hillflare.com</t>
  </si>
  <si>
    <t>Elmer</t>
  </si>
  <si>
    <t>Alejandre</t>
  </si>
  <si>
    <t>Online Marketing Analytics Manager</t>
  </si>
  <si>
    <t>https://www.linkedin.com/in/ACwAAB_N8zsBcPAj6S6QEEe6c4Zmh5wTnIXJhV8</t>
  </si>
  <si>
    <t>ialecxandre@gmail.com</t>
  </si>
  <si>
    <t>52 800 004 6633</t>
  </si>
  <si>
    <t>homedepot.com.mx</t>
  </si>
  <si>
    <t>A</t>
  </si>
  <si>
    <t>Digital Advertising Department Head</t>
  </si>
  <si>
    <t>https://www.linkedin.com/in/aguileraloya</t>
  </si>
  <si>
    <t>770.433.8211</t>
  </si>
  <si>
    <t>MBA - EMCO Ecommerce - Online - Digital Content Product Enrichment Lead</t>
  </si>
  <si>
    <t>https://www.linkedin.com/in/aagm111192</t>
  </si>
  <si>
    <t>Casey</t>
  </si>
  <si>
    <t>Zagaria</t>
  </si>
  <si>
    <t>Marketing Program Manager</t>
  </si>
  <si>
    <t>https://www.linkedin.com/in/ACwAAAAskNEBr2Hdxjup7F6JElkpU89Zrert4ys</t>
  </si>
  <si>
    <t>casey_zagaria@homedepot.com.mx</t>
  </si>
  <si>
    <t>52 222 623 0000</t>
  </si>
  <si>
    <t>Ulises</t>
  </si>
  <si>
    <t>GuzmÃ¡n</t>
  </si>
  <si>
    <t>eCommerce Product Management Digital Project Management E-commerce Projects Lead</t>
  </si>
  <si>
    <t>https://www.linkedin.com/in/ulisessguzman</t>
  </si>
  <si>
    <t>ulises_guzman@homedepot.com.mx</t>
  </si>
  <si>
    <t>Malcolm</t>
  </si>
  <si>
    <t>Coleman</t>
  </si>
  <si>
    <t>Co-Owner/ Art Director/ Marketing &amp; Events Manager</t>
  </si>
  <si>
    <t>https://www.linkedin.com/in/malcolm-coleman-bab5bb99</t>
  </si>
  <si>
    <t>hotch.mx</t>
  </si>
  <si>
    <t>Haro</t>
  </si>
  <si>
    <t>National Sales Marketing Manager</t>
  </si>
  <si>
    <t>https://www.linkedin.com/in/francisco-haro-48a78633</t>
  </si>
  <si>
    <t>hstcontrols.com</t>
  </si>
  <si>
    <t xml:space="preserve">Jesus </t>
  </si>
  <si>
    <t xml:space="preserve">Diaz </t>
  </si>
  <si>
    <t>Founder</t>
  </si>
  <si>
    <t>https://www.linkedin.com/in/jesusdiaz1/</t>
  </si>
  <si>
    <t>jesus@republicablanca.com</t>
  </si>
  <si>
    <t>555581-5057</t>
  </si>
  <si>
    <t>http://republicablanca.com/</t>
  </si>
  <si>
    <t xml:space="preserve">Carlos </t>
  </si>
  <si>
    <t xml:space="preserve">Mejia </t>
  </si>
  <si>
    <t>https://www.linkedin.com/in/carlosabrahamdelacruz/</t>
  </si>
  <si>
    <t>carlos.cruz@fahorro.com.mx</t>
  </si>
  <si>
    <t>http://www.fahorro.com/</t>
  </si>
  <si>
    <t xml:space="preserve">Claudia </t>
  </si>
  <si>
    <t xml:space="preserve">Ramirez </t>
  </si>
  <si>
    <t xml:space="preserve">Directora Ejecutiva de Marketing </t>
  </si>
  <si>
    <t>https://www.linkedin.com/in/claudia-m-ram%C3%ADrez-ortiz-0a444646/</t>
  </si>
  <si>
    <t>claudia.ramirez@fahorro.com.mx</t>
  </si>
  <si>
    <t xml:space="preserve">Erika </t>
  </si>
  <si>
    <t>VP Ecommerce &amp; Marketing</t>
  </si>
  <si>
    <t>https://www.linkedin.com/in/erika-diaz-89461b35/</t>
  </si>
  <si>
    <t>erika_diaz@homedepot.com.mx</t>
  </si>
  <si>
    <t>800 004-6633</t>
  </si>
  <si>
    <t>http://www.homedepot.com.mx/</t>
  </si>
  <si>
    <t>Christian</t>
  </si>
  <si>
    <t>Pro Sales Management Sr. Manager</t>
  </si>
  <si>
    <t>https://www.linkedin.com/in/christianlopezespinosa/</t>
  </si>
  <si>
    <t>christian_lopez@homedepot.com.mx</t>
  </si>
  <si>
    <t>801 004-6633</t>
  </si>
  <si>
    <t xml:space="preserve">Elmer </t>
  </si>
  <si>
    <t>https://www.linkedin.com/in/jealejandre/</t>
  </si>
  <si>
    <t>elmer_alejandre@homedepot.com.mx</t>
  </si>
  <si>
    <t>802 004-6633</t>
  </si>
  <si>
    <t xml:space="preserve">Ana Karen </t>
  </si>
  <si>
    <t>De la Garza</t>
  </si>
  <si>
    <t>Marketing &amp; Online Financial Planning</t>
  </si>
  <si>
    <t>https://www.linkedin.com/in/anakarendlgza/</t>
  </si>
  <si>
    <t>ana_delagarzagarza@homedepot.com.mx</t>
  </si>
  <si>
    <t>803 004-6633</t>
  </si>
  <si>
    <t xml:space="preserve">Cesar </t>
  </si>
  <si>
    <t xml:space="preserve">Gutierrez </t>
  </si>
  <si>
    <t>eCommerce Analyst</t>
  </si>
  <si>
    <t>https://www.linkedin.com/in/c%C3%A9sar-alejandro-guti%C3%A9rrez-casta%C3%B1eda-08aa321a9/</t>
  </si>
  <si>
    <t>cesar.gutierrez@cantia.mx</t>
  </si>
  <si>
    <t>449 590 492</t>
  </si>
  <si>
    <t>https://cantia.com.mx/</t>
  </si>
  <si>
    <t xml:space="preserve">Leonardo </t>
  </si>
  <si>
    <t xml:space="preserve">Director General </t>
  </si>
  <si>
    <t>https://www.linkedin.com/in/leonardo-romo-1213b5254/</t>
  </si>
  <si>
    <t>leonardo.romo@cantia.com.mx</t>
  </si>
  <si>
    <t>450 590 492</t>
  </si>
  <si>
    <t xml:space="preserve">Maria Fernanda </t>
  </si>
  <si>
    <t>https://www.linkedin.com/in/mar%C3%ADa-fernanda-ram%C3%ADrez-castorena-11a746183/</t>
  </si>
  <si>
    <t>maria.ramirez@cantia.mx</t>
  </si>
  <si>
    <t>451 590 492</t>
  </si>
  <si>
    <t xml:space="preserve">Eunice </t>
  </si>
  <si>
    <t xml:space="preserve">Villegas </t>
  </si>
  <si>
    <t>-</t>
  </si>
  <si>
    <t>evillegas@grupocristal.com.mx</t>
  </si>
  <si>
    <t>https://cristaljoyas.com/</t>
  </si>
  <si>
    <t xml:space="preserve">Alejandra  </t>
  </si>
  <si>
    <t xml:space="preserve">Jimenez </t>
  </si>
  <si>
    <t>Sales Manager</t>
  </si>
  <si>
    <t>a.jimenez@grupodecme.com.mx</t>
  </si>
  <si>
    <t>554 624 4515 Ext. 110</t>
  </si>
  <si>
    <t>https://grupodecme.com/</t>
  </si>
  <si>
    <t xml:space="preserve">Daniela </t>
  </si>
  <si>
    <t xml:space="preserve">Cruz </t>
  </si>
  <si>
    <t>https://www.linkedin.com/in/daniela-cruz-38b8b3215/</t>
  </si>
  <si>
    <t>dcruz@grupocristal.com.mx</t>
  </si>
  <si>
    <t>https://guvier.com/</t>
  </si>
  <si>
    <t xml:space="preserve">Arely </t>
  </si>
  <si>
    <t>Vasquez</t>
  </si>
  <si>
    <t>https://www.linkedin.com/in/arely-vasquez-3ab2709a/</t>
  </si>
  <si>
    <t>arely@soyparrillero.mx</t>
  </si>
  <si>
    <t>800 550 4000</t>
  </si>
  <si>
    <t>https://soyparrillero.mx/</t>
  </si>
  <si>
    <t xml:space="preserve">Edgar </t>
  </si>
  <si>
    <t xml:space="preserve">Perez </t>
  </si>
  <si>
    <t>E-commerce Web Content Manager</t>
  </si>
  <si>
    <t>https://www.linkedin.com/in/edgarperezjimenez/</t>
  </si>
  <si>
    <t>eperezj@costco.com.mx</t>
  </si>
  <si>
    <t>https://www.costco.com.mx/</t>
  </si>
  <si>
    <t xml:space="preserve">Lourdes </t>
  </si>
  <si>
    <t xml:space="preserve">Arias </t>
  </si>
  <si>
    <t>Maketing Subdirector</t>
  </si>
  <si>
    <t>https://www.linkedin.com/in/lourdes-arias-b0543646/</t>
  </si>
  <si>
    <t>larias@costco.com.mx</t>
  </si>
  <si>
    <t xml:space="preserve">Natalia </t>
  </si>
  <si>
    <t>Valle</t>
  </si>
  <si>
    <t>Diseño Web</t>
  </si>
  <si>
    <t>https://www.linkedin.com/in/nataliavallea/</t>
  </si>
  <si>
    <t>nvalle@costco.com.mx</t>
  </si>
  <si>
    <t>Isaac</t>
  </si>
  <si>
    <t>Nishimura</t>
  </si>
  <si>
    <t>https://www.linkedin.com/in/isaac-nishimura</t>
  </si>
  <si>
    <t>inishimura@hubbell.com.mx</t>
  </si>
  <si>
    <t>52 55 9151-9999</t>
  </si>
  <si>
    <t>hubbell.com.mx</t>
  </si>
  <si>
    <t>Iza</t>
  </si>
  <si>
    <t>Nationwide Marketing and Business Development Manager</t>
  </si>
  <si>
    <t>https://www.linkedin.com/in/ACwAABYo6BIB4aMp43z0BzPlT-94kWkTMm06BhA</t>
  </si>
  <si>
    <t>azirefam@gmail.com</t>
  </si>
  <si>
    <t>humanquality.com.mx</t>
  </si>
  <si>
    <t>Humbrall</t>
  </si>
  <si>
    <t>De</t>
  </si>
  <si>
    <t>Director Of Digital Media</t>
  </si>
  <si>
    <t>https://www.linkedin.com/in/ACwAAC_2NlEBOcr_1WPuCJ0NwTOU_Wkhi5zcEHI</t>
  </si>
  <si>
    <t>marketing@humbrall.com</t>
  </si>
  <si>
    <t>52 55 1940 0800</t>
  </si>
  <si>
    <t>humbrall.com</t>
  </si>
  <si>
    <t>Suhaib</t>
  </si>
  <si>
    <t>Bitar</t>
  </si>
  <si>
    <t>ecommerce manager</t>
  </si>
  <si>
    <t>https://www.linkedin.com/in/suhaibbitar</t>
  </si>
  <si>
    <t>suhaib@hyundaitechnology.com</t>
  </si>
  <si>
    <t>800.560.0626</t>
  </si>
  <si>
    <t>Hyundai Technology</t>
  </si>
  <si>
    <t>LimÃ³n</t>
  </si>
  <si>
    <t>https://www.linkedin.com/in/ACwAAA8_1rABu3hXIVhFzLcbNzqrHudTEjkpDx0</t>
  </si>
  <si>
    <t>hyundaicamionesybuses.com</t>
  </si>
  <si>
    <t>Beto</t>
  </si>
  <si>
    <t>Chataj</t>
  </si>
  <si>
    <t>https://www.linkedin.com/in/beto-chataj-a97864187</t>
  </si>
  <si>
    <t>beto@ibushak.com</t>
  </si>
  <si>
    <t>556.820.2050</t>
  </si>
  <si>
    <t>52 55 68202050</t>
  </si>
  <si>
    <t>ibushak.com</t>
  </si>
  <si>
    <t>Rafael</t>
  </si>
  <si>
    <t>https://www.linkedin.com/in/rafael-gonzalez-13774b124</t>
  </si>
  <si>
    <t>rafael@ibushak.com</t>
  </si>
  <si>
    <t>https://www.linkedin.com/in/gerardopadron</t>
  </si>
  <si>
    <t>gerardo.padron@hotmail.com</t>
  </si>
  <si>
    <t>Vargas</t>
  </si>
  <si>
    <t>VP Sales &amp; Marketing</t>
  </si>
  <si>
    <t>https://www.linkedin.com/in/ruben-vargas-89b23125</t>
  </si>
  <si>
    <t>ruben.vargas@icorp.com.mx</t>
  </si>
  <si>
    <t>52-4421928100</t>
  </si>
  <si>
    <t>icorp.com.mx</t>
  </si>
  <si>
    <t>MoisÃ©s</t>
  </si>
  <si>
    <t>Filigrana</t>
  </si>
  <si>
    <t>Director de ComunicaciÃ³n Digital y ReputaciÃ³n</t>
  </si>
  <si>
    <t>https://www.linkedin.com/in/ACwAABhcZMEBtZj8sv-62CJZV0k4lPFwHvNJ5VM</t>
  </si>
  <si>
    <t>filigrana.moises@iexe.edu.mx</t>
  </si>
  <si>
    <t>52 800 333 4393</t>
  </si>
  <si>
    <t>iexe.edu.mx</t>
  </si>
  <si>
    <t>Torrealba</t>
  </si>
  <si>
    <t>Director de Tecnologias de la InformaciÃ³n y TransformaciÃ³n Digital</t>
  </si>
  <si>
    <t>https://www.linkedin.com/in/pedrovirguez1808</t>
  </si>
  <si>
    <t>52 55 5626 5366</t>
  </si>
  <si>
    <t>igsa.com.mx</t>
  </si>
  <si>
    <t>Victoria</t>
  </si>
  <si>
    <t>Kozyr</t>
  </si>
  <si>
    <t>https://www.linkedin.com/in/victoria-kozyr-88a183172</t>
  </si>
  <si>
    <t>victorianokey@gmail.com</t>
  </si>
  <si>
    <t>951.616.3600</t>
  </si>
  <si>
    <t>909.735.0667</t>
  </si>
  <si>
    <t>iherb.com</t>
  </si>
  <si>
    <t>Velarde</t>
  </si>
  <si>
    <t>Marketing &amp; Content Manager</t>
  </si>
  <si>
    <t>https://www.linkedin.com/in/ACwAACo_Ci8B9pWakY77xnL-lsFgpLdtiYys3Q4</t>
  </si>
  <si>
    <t>jvelarde@iho.com.mx</t>
  </si>
  <si>
    <t>iho.com.mx</t>
  </si>
  <si>
    <t>Guevara</t>
  </si>
  <si>
    <t>https://www.linkedin.com/in/arguevarag</t>
  </si>
  <si>
    <t>aguevara@iho.com.mx</t>
  </si>
  <si>
    <t>55 55 3165-4744</t>
  </si>
  <si>
    <t>Eduardo</t>
  </si>
  <si>
    <t>https://www.linkedin.com/in/eduardo-diego</t>
  </si>
  <si>
    <t>ediego07@gmail.com</t>
  </si>
  <si>
    <t>(55) 43284008,(55) 88518714</t>
  </si>
  <si>
    <t>54 5543284008 (5588518714)</t>
  </si>
  <si>
    <t>iktatech.com</t>
  </si>
  <si>
    <t>Rojas</t>
  </si>
  <si>
    <t>https://www.linkedin.com/in/josÃ©-carlos-ramÃ­rez-rojas-bb65ba122</t>
  </si>
  <si>
    <t>illux.com.mx</t>
  </si>
  <si>
    <t>Maldonado</t>
  </si>
  <si>
    <t>Director General, Comercial y de Marketing</t>
  </si>
  <si>
    <t>https://www.linkedin.com/in/ricardolecompte</t>
  </si>
  <si>
    <t>52 81 837 02217</t>
  </si>
  <si>
    <t>imperquimia.mx</t>
  </si>
  <si>
    <t>Sophia</t>
  </si>
  <si>
    <t>Spencer</t>
  </si>
  <si>
    <t>Digital Marketing Manager para CanadÃ¡</t>
  </si>
  <si>
    <t>https://www.linkedin.com/in/ACwAADRowuYBD2OO6SzPm8ZqlugT78Sus323sGw</t>
  </si>
  <si>
    <t>https://www.linkedin.com/in/felipesanchez130386</t>
  </si>
  <si>
    <t>Saucedo</t>
  </si>
  <si>
    <t>Head of Ecommerce &amp; Growth</t>
  </si>
  <si>
    <t>https://www.linkedin.com/in/juancarlossaucedo</t>
  </si>
  <si>
    <t>52 33 3641 6590</t>
  </si>
  <si>
    <t>importbike.mx</t>
  </si>
  <si>
    <t>Liliana</t>
  </si>
  <si>
    <t>Chavarria</t>
  </si>
  <si>
    <t>https://www.linkedin.com/in/ACwAACLyhusBfgPTnWURk38ETsffLmftEqx6GTw</t>
  </si>
  <si>
    <t>lchavarria@inasa.com.mx</t>
  </si>
  <si>
    <t>inasa.mx</t>
  </si>
  <si>
    <t>https://www.linkedin.com/in/ACwAABHrBkkBlIljdlVTmayO8V9u3sZxFbEX-QU</t>
  </si>
  <si>
    <t>maria.torres@infinitekparis.com</t>
  </si>
  <si>
    <t>infinitekparis.com</t>
  </si>
  <si>
    <t>supervisor de transformaciÃ³n digital</t>
  </si>
  <si>
    <t>https://www.linkedin.com/in/ACwAACtWnP8BsSWCpkjfb3kS6JXHchyCQebgqdA</t>
  </si>
  <si>
    <t>alonso@infonavit.org.mx</t>
  </si>
  <si>
    <t>52 55 5322 6746</t>
  </si>
  <si>
    <t>infonavit.org.mx</t>
  </si>
  <si>
    <t>Olascoaga</t>
  </si>
  <si>
    <t>Senior Marketing Communications Manager</t>
  </si>
  <si>
    <t>https://www.linkedin.com/in/carlos-david-salinas-olascoaga-037a6827</t>
  </si>
  <si>
    <t>cardavso@gmail.com</t>
  </si>
  <si>
    <t>52 800 008 3900</t>
  </si>
  <si>
    <t>Arechiga</t>
  </si>
  <si>
    <t>https://www.linkedin.com/in/feracocera</t>
  </si>
  <si>
    <t>52 55 7095 1621</t>
  </si>
  <si>
    <t>innata.mx</t>
  </si>
  <si>
    <t>Alessandro</t>
  </si>
  <si>
    <t>Bolleri</t>
  </si>
  <si>
    <t>Sales and Marketing Director</t>
  </si>
  <si>
    <t>https://www.linkedin.com/in/ACwAAAruhfkBA46feYV13w8uDFo-zgqfxns6g2w</t>
  </si>
  <si>
    <t>inova.com.mx</t>
  </si>
  <si>
    <t>Jackie</t>
  </si>
  <si>
    <t>Trainor</t>
  </si>
  <si>
    <t>Marketing and Creative Director Consultant</t>
  </si>
  <si>
    <t>https://www.linkedin.com/in/jackie-trainor-83595438</t>
  </si>
  <si>
    <t>jtrainor@inova.com.mx</t>
  </si>
  <si>
    <t>Esteban</t>
  </si>
  <si>
    <t>Uribe</t>
  </si>
  <si>
    <t>Director Comercial B2C &amp; eCommerce</t>
  </si>
  <si>
    <t>https://www.linkedin.com/in/estebancontre</t>
  </si>
  <si>
    <t>monoestebant1@hotmail.com</t>
  </si>
  <si>
    <t>Zendejas</t>
  </si>
  <si>
    <t>Community Manager and email marketing specialist</t>
  </si>
  <si>
    <t>https://www.linkedin.com/in/laura-zendejas-b02520162</t>
  </si>
  <si>
    <t>laura@instafit.com</t>
  </si>
  <si>
    <t>57 317 6405783</t>
  </si>
  <si>
    <t>instafit.com</t>
  </si>
  <si>
    <t>Othniel</t>
  </si>
  <si>
    <t>Doolittle</t>
  </si>
  <si>
    <t>CMO, Medical Director</t>
  </si>
  <si>
    <t>odoolittle@integritasproviders.com</t>
  </si>
  <si>
    <t>618.833.1691</t>
  </si>
  <si>
    <t>309.868.4671</t>
  </si>
  <si>
    <t>integritasproviders.com</t>
  </si>
  <si>
    <t>Chuck</t>
  </si>
  <si>
    <t>Kirkpatrick</t>
  </si>
  <si>
    <t>Digital Director, Consulting Coach</t>
  </si>
  <si>
    <t>https://www.linkedin.com/in/chuckkirkpatrick</t>
  </si>
  <si>
    <t>ckirkmedia@gmail.com</t>
  </si>
  <si>
    <t>602.815.4836</t>
  </si>
  <si>
    <t>integrityinsurancear.com</t>
  </si>
  <si>
    <t>Amarilis</t>
  </si>
  <si>
    <t>Arteaga</t>
  </si>
  <si>
    <t>https://www.linkedin.com/in/ACwAAA9JhhgB_prgxdKm8JFZ9tYN78AshOD5-30</t>
  </si>
  <si>
    <t>52 55 5689 3994</t>
  </si>
  <si>
    <t>interferenciales.com.mx</t>
  </si>
  <si>
    <t>Chinchilla</t>
  </si>
  <si>
    <t>https://www.linkedin.com/in/ACwAACGDg7EBzZ0FIOoSv7HZ3cFAyA8Bxu_KEtY</t>
  </si>
  <si>
    <t>lchinchilla@intermoda.com.hn</t>
  </si>
  <si>
    <t>intermoda.hn</t>
  </si>
  <si>
    <t>Anne-Marie</t>
  </si>
  <si>
    <t>Blaney</t>
  </si>
  <si>
    <t>https://www.linkedin.com/in/anne-marie-blaney-309235112</t>
  </si>
  <si>
    <t>anne-marie@fashiondrapery.com</t>
  </si>
  <si>
    <t>855.552.7565</t>
  </si>
  <si>
    <t>internationalsecurityjournal.com</t>
  </si>
  <si>
    <t>Ä°qos</t>
  </si>
  <si>
    <t>Perpa</t>
  </si>
  <si>
    <t>https://www.linkedin.com/in/iqos-sigara-heets-sipariÅŸ-perpa</t>
  </si>
  <si>
    <t>i̇qos.perpa@pmi.com</t>
  </si>
  <si>
    <t>iqos.com</t>
  </si>
  <si>
    <t>Berman</t>
  </si>
  <si>
    <t>Global eCommerce CX and Optimisation Lead</t>
  </si>
  <si>
    <t>https://www.linkedin.com/in/alex-berman-a7828b63</t>
  </si>
  <si>
    <t>alex.berman@pmi.com</t>
  </si>
  <si>
    <t>Nicolas</t>
  </si>
  <si>
    <t>Bourdais</t>
  </si>
  <si>
    <t>Digital transformation, Global brands acceleration/ Head of brands, e-com, content, CRM, digital platforms &amp; data science</t>
  </si>
  <si>
    <t>https://www.linkedin.com/in/bourdaisnicolas</t>
  </si>
  <si>
    <t>bourdaisn@gmail.com</t>
  </si>
  <si>
    <t>https://www.linkedin.com/in/ACwAAEMIW_MBsth6qJojS_CTQ82YF_Xll8Qcphk</t>
  </si>
  <si>
    <t>frodriguez@italika.com.mx</t>
  </si>
  <si>
    <t>52 998 256 5237</t>
  </si>
  <si>
    <t>italika.mx</t>
  </si>
  <si>
    <t>C</t>
  </si>
  <si>
    <t>https://www.linkedin.com/in/gonzalocruzb</t>
  </si>
  <si>
    <t>gc@italika.com.mx</t>
  </si>
  <si>
    <t>Alavez</t>
  </si>
  <si>
    <t>Director de Sistemas Comercial y Digital</t>
  </si>
  <si>
    <t>https://www.linkedin.com/in/edgargarcia10</t>
  </si>
  <si>
    <t>ealavez@italika.com.mx</t>
  </si>
  <si>
    <t>52 55 3005 0694</t>
  </si>
  <si>
    <t>Gregorio</t>
  </si>
  <si>
    <t>Vega</t>
  </si>
  <si>
    <t>Abogado especializado en Derecho Digital, TecnologÃ­a e InnovaciÃ³n en Davara Abogados Director de I+D+i Privacy Expert GDPR Specialist Human Rights Defender Professor</t>
  </si>
  <si>
    <t>https://www.linkedin.com/in/gregorio-barco-vega-2362649b</t>
  </si>
  <si>
    <t>itam.mx</t>
  </si>
  <si>
    <t>https://www.linkedin.com/in/ACwAAArXH1AByc8mH2UIf56jXgXey9LvrAMD1wQ</t>
  </si>
  <si>
    <t>rp@iteso.mx</t>
  </si>
  <si>
    <t>iteso.mx</t>
  </si>
  <si>
    <t>Ximena</t>
  </si>
  <si>
    <t>Munguia</t>
  </si>
  <si>
    <t>https://www.linkedin.com/in/ACwAACYDrQgBaQELdF0yVvNn763A1VgYGow0Xe8</t>
  </si>
  <si>
    <t>52 56 1164 7838</t>
  </si>
  <si>
    <t>jemil.mx</t>
  </si>
  <si>
    <t>Tania</t>
  </si>
  <si>
    <t>PR &amp; Marketing Manager</t>
  </si>
  <si>
    <t>https://www.linkedin.com/in/ACwAABJjSPUBMwL7sZlakV69AU48bkmx0lH5J6Y</t>
  </si>
  <si>
    <t>tanchaqui@gmail.com</t>
  </si>
  <si>
    <t>52(814) 065-9333</t>
  </si>
  <si>
    <t>jetstore.com.mx</t>
  </si>
  <si>
    <t>https://www.linkedin.com/in/ACwAABTueCsBWV68ecYVhQ4sRfK7iStuS34VcKo</t>
  </si>
  <si>
    <t>emmanuel@jmdistribuidores.com</t>
  </si>
  <si>
    <t>jmdistribuidores.com</t>
  </si>
  <si>
    <t>RocÃ­o</t>
  </si>
  <si>
    <t>https://www.linkedin.com/in/rocÃ­o-l-4a589511b</t>
  </si>
  <si>
    <t>rocio_l@grupojulio.mx</t>
  </si>
  <si>
    <t>52 (55) 5538 4008</t>
  </si>
  <si>
    <t>julio.com</t>
  </si>
  <si>
    <t>Laurin</t>
  </si>
  <si>
    <t>Mayer</t>
  </si>
  <si>
    <t>https://www.linkedin.com/in/ACwAAADKK1UBtJsxy9N5MVrBfLXdzksj5Ljgg_I</t>
  </si>
  <si>
    <t>lmayer@combe.com</t>
  </si>
  <si>
    <t>800.431.2610</t>
  </si>
  <si>
    <t>justformen.com</t>
  </si>
  <si>
    <t>JoÃ£o</t>
  </si>
  <si>
    <t>Carlessi</t>
  </si>
  <si>
    <t>Head of Commercial, Trade Marketing, Planning &amp; Data</t>
  </si>
  <si>
    <t>https://www.linkedin.com/in/joÃ£o-felipe-carlessi-2a6a3554</t>
  </si>
  <si>
    <t>52 55 3418 9427</t>
  </si>
  <si>
    <t>647.794.0064</t>
  </si>
  <si>
    <t>justo.mx</t>
  </si>
  <si>
    <t>Digital Marketing Lead Sr</t>
  </si>
  <si>
    <t>https://www.linkedin.com/in/danielapliego</t>
  </si>
  <si>
    <t>Olivia</t>
  </si>
  <si>
    <t>Theron</t>
  </si>
  <si>
    <t>https://www.linkedin.com/in/ACwAAD5NNscByrNmatzOXtUxNxKHzfikGgzJy0E</t>
  </si>
  <si>
    <t>SanLuis</t>
  </si>
  <si>
    <t>https://www.linkedin.com/in/fersanluis</t>
  </si>
  <si>
    <t>Micaela</t>
  </si>
  <si>
    <t>Henderson</t>
  </si>
  <si>
    <t>Brand &amp; Marketing Manager Kabrita MÃ©xico</t>
  </si>
  <si>
    <t>52 1 55 1128 2476:+52 1 55 1987 0553</t>
  </si>
  <si>
    <t>551.937.5848</t>
  </si>
  <si>
    <t>kabrita.com.mx</t>
  </si>
  <si>
    <t>Miranda</t>
  </si>
  <si>
    <t>https://www.linkedin.com/in/karinamme</t>
  </si>
  <si>
    <t>karina.miranda@kabrita.com.mx</t>
  </si>
  <si>
    <t>52 55 1987 0553</t>
  </si>
  <si>
    <t>Macdougall</t>
  </si>
  <si>
    <t>https://www.linkedin.com/in/nancy-macdougall-74b0506</t>
  </si>
  <si>
    <t>njmacdougall@gmail.com</t>
  </si>
  <si>
    <t>201.583.8664</t>
  </si>
  <si>
    <t>212.265.1500</t>
  </si>
  <si>
    <t>kennethcole.com</t>
  </si>
  <si>
    <t>Sebastian</t>
  </si>
  <si>
    <t>Escobar</t>
  </si>
  <si>
    <t>Communications, Media &amp; Digital Marketing Manager</t>
  </si>
  <si>
    <t>https://www.linkedin.com/in/sebastian-escobar-95971a35</t>
  </si>
  <si>
    <t>800.225.5532</t>
  </si>
  <si>
    <t>kfc.com.mx</t>
  </si>
  <si>
    <t>Denise</t>
  </si>
  <si>
    <t>Belmonte</t>
  </si>
  <si>
    <t>Marketing Manager - Home Delivery &amp; CRM</t>
  </si>
  <si>
    <t>https://www.linkedin.com/in/denise-belmonte</t>
  </si>
  <si>
    <t>Sr Marketing Manager - KFC</t>
  </si>
  <si>
    <t>https://www.linkedin.com/in/gabriela-lara-chavez</t>
  </si>
  <si>
    <t>Taylor</t>
  </si>
  <si>
    <t>Marketing Associate</t>
  </si>
  <si>
    <t>https://www.linkedin.com/in/april-taylor-20b076165</t>
  </si>
  <si>
    <t>april_taylor@kitchenaid.com</t>
  </si>
  <si>
    <t>269.923.5000</t>
  </si>
  <si>
    <t>602.410.3003</t>
  </si>
  <si>
    <t>kitchenaid.com</t>
  </si>
  <si>
    <t>Sissel</t>
  </si>
  <si>
    <t>Sagmo</t>
  </si>
  <si>
    <t>Sales Marketing Representative</t>
  </si>
  <si>
    <t>https://www.linkedin.com/in/sissel-sagmo-0158854a</t>
  </si>
  <si>
    <t>sissel_l_sagmo@whirlpool.com</t>
  </si>
  <si>
    <t>Dave</t>
  </si>
  <si>
    <t>Ellerbee</t>
  </si>
  <si>
    <t>https://www.linkedin.com/in/davidellerbee</t>
  </si>
  <si>
    <t>dave.ellerbee@whirlpoolcorp.com</t>
  </si>
  <si>
    <t>303.249.9867</t>
  </si>
  <si>
    <t>https://www.linkedin.com/in/ACwAABfADhIBMuqICryqvxflu7USXdtpgWlZAdE</t>
  </si>
  <si>
    <t>fernando.morales@klokker.com.mx</t>
  </si>
  <si>
    <t>klokker.com.mx</t>
  </si>
  <si>
    <t>Xavier</t>
  </si>
  <si>
    <t>Garcia</t>
  </si>
  <si>
    <t>Marketing Digital manager</t>
  </si>
  <si>
    <t>https://www.linkedin.com/in/ACwAAAD2ZYUBqOadzEiwEzmcRFAt_-Bs44lpBJs</t>
  </si>
  <si>
    <t>xaviergarcia@knova.com.mx</t>
  </si>
  <si>
    <t>52 55 5867 4961</t>
  </si>
  <si>
    <t>knova.com.mx</t>
  </si>
  <si>
    <t>Hector</t>
  </si>
  <si>
    <t>Jardon</t>
  </si>
  <si>
    <t>https://www.linkedin.com/in/hlarajardon</t>
  </si>
  <si>
    <t>52 55 5864-0300</t>
  </si>
  <si>
    <t>koblenz.com.mx</t>
  </si>
  <si>
    <t>https://www.linkedin.com/in/jaime-david-martinez-bb6231a5</t>
  </si>
  <si>
    <t>Rene</t>
  </si>
  <si>
    <t>DeGre</t>
  </si>
  <si>
    <t>Vice President for International Sales and Marketing</t>
  </si>
  <si>
    <t>https://www.linkedin.com/in/rene-degre-34a6311</t>
  </si>
  <si>
    <t>degrer@koblenz-electric.com</t>
  </si>
  <si>
    <t>210.590.1226</t>
  </si>
  <si>
    <t>Jahun</t>
  </si>
  <si>
    <t>Im</t>
  </si>
  <si>
    <t>https://www.linkedin.com/in/ACwAAAZ8_WYB3TSU8E8ZT1rPyf2gUGlFejksDs8</t>
  </si>
  <si>
    <t>jahun.im@kompass.com</t>
  </si>
  <si>
    <t>kompass.com</t>
  </si>
  <si>
    <t>https://www.linkedin.com/in/ACwAABRvxYoBQwHKfRMBTDGVXUPhrGsT0r5lOSs</t>
  </si>
  <si>
    <t>551.021.1393</t>
  </si>
  <si>
    <t>korianatural.com</t>
  </si>
  <si>
    <t>Caudillo</t>
  </si>
  <si>
    <t>https://www.linkedin.com/in/ACwAAAkR_wUBN-UTCoimf8ZZ687jReQsH_L4VGs</t>
  </si>
  <si>
    <t>miguel.caudillo@kovparts.com</t>
  </si>
  <si>
    <t>kovparts.com</t>
  </si>
  <si>
    <t>Guadalupe</t>
  </si>
  <si>
    <t>Name</t>
  </si>
  <si>
    <t>https://www.linkedin.com/in/guadalupename</t>
  </si>
  <si>
    <t>krispykreme.mx</t>
  </si>
  <si>
    <t>https://www.linkedin.com/in/ACwAAAWqW68BdSkl34xkDvt-V63YlerOT1Z0ieo</t>
  </si>
  <si>
    <t>leon@krispykreme.mx</t>
  </si>
  <si>
    <t>52-5530005100</t>
  </si>
  <si>
    <t>https://www.linkedin.com/in/adriana-camacho-lÃ³pez-a8b55251</t>
  </si>
  <si>
    <t>la-pasiega.mx</t>
  </si>
  <si>
    <t>Yanira</t>
  </si>
  <si>
    <t>https://www.linkedin.com/in/yanira-munoz-duarte-marketing-innovation-shopper-consumption-occasions-marketinghead-innovationhead</t>
  </si>
  <si>
    <t>52 55 5004 7787</t>
  </si>
  <si>
    <t>lacastellana.com</t>
  </si>
  <si>
    <t>Hugo</t>
  </si>
  <si>
    <t>Reyna</t>
  </si>
  <si>
    <t>https://www.linkedin.com/in/hugoramosreyna</t>
  </si>
  <si>
    <t>lacetto.mx</t>
  </si>
  <si>
    <t>Emily</t>
  </si>
  <si>
    <t>Cassignac</t>
  </si>
  <si>
    <t>Head of CRM Dolce &amp; Gabbana for Mexico, Central America and The Caribbean - Former Marketing &amp; Communications Director</t>
  </si>
  <si>
    <t>https://www.linkedin.com/in/emily-cassignac-01bb5349</t>
  </si>
  <si>
    <t>emilycassignac@yahoo.com</t>
  </si>
  <si>
    <t>52 55 5511 6900</t>
  </si>
  <si>
    <t>52 33 3647 4895</t>
  </si>
  <si>
    <t>laeuropea.com.mx</t>
  </si>
  <si>
    <t>Jacqueline</t>
  </si>
  <si>
    <t>Zundel</t>
  </si>
  <si>
    <t>https://www.linkedin.com/in/ACwAABjLyg0BoZlD5NSCLpTeV8weh232e-vjBl0</t>
  </si>
  <si>
    <t>jzundel@laferre.com.mx</t>
  </si>
  <si>
    <t>52 427 264 8029</t>
  </si>
  <si>
    <t>553.000.4550</t>
  </si>
  <si>
    <t>laferre.com.mx</t>
  </si>
  <si>
    <t>Giselle</t>
  </si>
  <si>
    <t>Marketing Manager Brand Sales Ice Cream Mixtures Frozen Foods</t>
  </si>
  <si>
    <t>https://www.linkedin.com/in/ACwAABCycK0Br1OF0islBuyANy-v7pRTweH1M_E</t>
  </si>
  <si>
    <t>grodriguez@la-loma.com.mx</t>
  </si>
  <si>
    <t>52 (55) 5220-8900</t>
  </si>
  <si>
    <t>laloma.com.mx</t>
  </si>
  <si>
    <t>Nadia</t>
  </si>
  <si>
    <t>Marketing and R&amp;D Director</t>
  </si>
  <si>
    <t>https://www.linkedin.com/in/ACwAABBoy_IBn60Ph3dn7_aPVbccywS1Jo7epfE</t>
  </si>
  <si>
    <t>ngarcia@la-loma.com.mx</t>
  </si>
  <si>
    <t>800.813.6300</t>
  </si>
  <si>
    <t>Salvador</t>
  </si>
  <si>
    <t>Arias</t>
  </si>
  <si>
    <t>Head of Digital Ecommerce &amp; Marketplace</t>
  </si>
  <si>
    <t>https://www.linkedin.com/in/salvadorarias</t>
  </si>
  <si>
    <t>sariashuerta@gmail.com</t>
  </si>
  <si>
    <t>52 473 102 1800</t>
  </si>
  <si>
    <t>52 (55)3421.9752</t>
  </si>
  <si>
    <t>lamarina.com.mx</t>
  </si>
  <si>
    <t>B</t>
  </si>
  <si>
    <t>Marketing Manager en Cannwell</t>
  </si>
  <si>
    <t>https://www.linkedin.com/in/ACwAACCALYQBgGIfNlGBZNg26sSMN4kMCluCPr4</t>
  </si>
  <si>
    <t>(52) 55 5449 3690</t>
  </si>
  <si>
    <t>landsteiner.com</t>
  </si>
  <si>
    <t>Ascencio</t>
  </si>
  <si>
    <t>Web Developer &amp; Digital Marketing Manager</t>
  </si>
  <si>
    <t>https://www.linkedin.com/in/ACwAAAfuTo0B1aGyidzxer6bpYgF3wnWqmB9QKE</t>
  </si>
  <si>
    <t>monday@latinweb.com.mx</t>
  </si>
  <si>
    <t>52 (55) 53087322</t>
  </si>
  <si>
    <t>52 1 918 021 1560</t>
  </si>
  <si>
    <t>latinweb.com.mx</t>
  </si>
  <si>
    <t>ChloÃ©</t>
  </si>
  <si>
    <t>LemÃ©e</t>
  </si>
  <si>
    <t>https://www.linkedin.com/in/chlo%C3%A9-lem%C3%A9e-169085158</t>
  </si>
  <si>
    <t>lepetitgourmand.mx</t>
  </si>
  <si>
    <t>Yuria</t>
  </si>
  <si>
    <t>Inesa</t>
  </si>
  <si>
    <t>https://www.linkedin.com/in/yuria-inesa-86423072</t>
  </si>
  <si>
    <t>al452081@yahoo.com</t>
  </si>
  <si>
    <t>leroy.com.mx</t>
  </si>
  <si>
    <t>Buendia</t>
  </si>
  <si>
    <t>Head of Marketing, Trade Marketing y Wound Care BU</t>
  </si>
  <si>
    <t>https://www.linkedin.com/in/alejandrodeteresabuendia</t>
  </si>
  <si>
    <t>alexdeteresa@me.com</t>
  </si>
  <si>
    <t>AragÃ³n</t>
  </si>
  <si>
    <t>Head of Digital Analytics</t>
  </si>
  <si>
    <t>https://www.linkedin.com/in/ACwAAAiT7iMB7HLVBt3aLca0hsMuENtX0BOPEYs</t>
  </si>
  <si>
    <t>oscar@lievant.com</t>
  </si>
  <si>
    <t>52(477)1022200</t>
  </si>
  <si>
    <t>lievant.com</t>
  </si>
  <si>
    <t>Paulo</t>
  </si>
  <si>
    <t>Head of E-Commerce Operations</t>
  </si>
  <si>
    <t>https://www.linkedin.com/in/paulo-andrÃ©s-ossa-benÃ­tez-b578b65a</t>
  </si>
  <si>
    <t>paulo@lievant.com</t>
  </si>
  <si>
    <t>Arinci</t>
  </si>
  <si>
    <t>Head Digital Strategy US</t>
  </si>
  <si>
    <t>https://www.linkedin.com/in/francisco-arinci-621485</t>
  </si>
  <si>
    <t>farinci@lievant.us</t>
  </si>
  <si>
    <t>716.225.2920</t>
  </si>
  <si>
    <t>Quezadas</t>
  </si>
  <si>
    <t>https://www.linkedin.com/in/rodrigo-luna-quezadas-592a3850</t>
  </si>
  <si>
    <t>rquezadas@liverpool.com.mx</t>
  </si>
  <si>
    <t>52-55-5268-3000</t>
  </si>
  <si>
    <t>liverpool.com.mx</t>
  </si>
  <si>
    <t>Arceo</t>
  </si>
  <si>
    <t>https://www.linkedin.com/in/ACwAAA5_s0UBqpBanCvZqUNWCtWFhbdPPFWpqb4</t>
  </si>
  <si>
    <t>xcarlocka@liverpool.com.mx</t>
  </si>
  <si>
    <t>Sánchez</t>
  </si>
  <si>
    <t>Head comercial mujer ecommerce para las categorÃ­as de zapatos, ropa y accesorios</t>
  </si>
  <si>
    <t>https://www.linkedin.com/in/ACwAAB3XvZQBKrKvkbaF0UabLQ6dqq-2SgYAZSo</t>
  </si>
  <si>
    <t>csanchez@liverpool.com.mx</t>
  </si>
  <si>
    <t>Antonino</t>
  </si>
  <si>
    <t>Guichard</t>
  </si>
  <si>
    <t>Digital Director</t>
  </si>
  <si>
    <t>https://www.linkedin.com/in/antonino-guichard-8767a919a</t>
  </si>
  <si>
    <t>aguichardg@liverpool.com.mx</t>
  </si>
  <si>
    <t>52 5554801300</t>
  </si>
  <si>
    <t>Mauricio</t>
  </si>
  <si>
    <t>Pompa</t>
  </si>
  <si>
    <t>https://www.linkedin.com/in/mauriciosanchezmarketing</t>
  </si>
  <si>
    <t>msanchezp04@liverpool.com.mx</t>
  </si>
  <si>
    <t>Aldo</t>
  </si>
  <si>
    <t>Country Marketing Manager</t>
  </si>
  <si>
    <t>https://www.linkedin.com/in/ACwAAAnCAGEBz9xOtAv0_MnCEXQ6RVO1NwuL1To</t>
  </si>
  <si>
    <t>avega@llanodelatorre.com.mx</t>
  </si>
  <si>
    <t>52 55 5361 3960</t>
  </si>
  <si>
    <t>52 55 5373 2501</t>
  </si>
  <si>
    <t>llanodelatorre.com.mx</t>
  </si>
  <si>
    <t>BaÃ±uelos</t>
  </si>
  <si>
    <t>Brand Manager Planner Marketing Omnichanel</t>
  </si>
  <si>
    <t>https://www.linkedin.com/in/ACwAAA6zQS4Bhc2E3omxvXkS0Kd7yAwJNARG4yY</t>
  </si>
  <si>
    <t>loccitane.com</t>
  </si>
  <si>
    <t>Jo</t>
  </si>
  <si>
    <t>Robinson</t>
  </si>
  <si>
    <t>Director Marketing</t>
  </si>
  <si>
    <t>https://www.linkedin.com/in/jo-robinson-376109168</t>
  </si>
  <si>
    <t>049.272.4102</t>
  </si>
  <si>
    <t>Director marketing &amp; digital</t>
  </si>
  <si>
    <t>https://www.linkedin.com/in/jjbarroso</t>
  </si>
  <si>
    <t>jjbarroso@yahoo.com</t>
  </si>
  <si>
    <t>557.005.5080</t>
  </si>
  <si>
    <t>locotequila.mx</t>
  </si>
  <si>
    <t>https://www.linkedin.com/in/ACwAADfru6kBem30wAH3LGPJbjJL_Y02N26kAKI</t>
  </si>
  <si>
    <t>333.777.1800</t>
  </si>
  <si>
    <t>lubtrac.com.mx</t>
  </si>
  <si>
    <t>Abad</t>
  </si>
  <si>
    <t>e-Commerce and Stores Director</t>
  </si>
  <si>
    <t>https://www.linkedin.com/in/joseantoniopadronabad</t>
  </si>
  <si>
    <t>jabad@lumen.com.mx</t>
  </si>
  <si>
    <t>52-55-5449-6500</t>
  </si>
  <si>
    <t>lumen.com.mx</t>
  </si>
  <si>
    <t>Velandia</t>
  </si>
  <si>
    <t>Director Comercial E-commerce MÃ©xico</t>
  </si>
  <si>
    <t>https://www.linkedin.com/in/juan-velandia-b620894a</t>
  </si>
  <si>
    <t>juan.velandia@lumimexico.com.mx</t>
  </si>
  <si>
    <t>811.418.2805</t>
  </si>
  <si>
    <t>lumimexico.com.mx</t>
  </si>
  <si>
    <t>Bared</t>
  </si>
  <si>
    <t>https://www.linkedin.com/in/denisebared</t>
  </si>
  <si>
    <t>denise.bared@gmail.com</t>
  </si>
  <si>
    <t>macaflight.com</t>
  </si>
  <si>
    <t>Lisa</t>
  </si>
  <si>
    <t>Pistilli</t>
  </si>
  <si>
    <t>The Media, Audience &amp; Content Marketing Association</t>
  </si>
  <si>
    <t>https://www.linkedin.com/in/lisapistilli</t>
  </si>
  <si>
    <t>lpistilli@macma.com.mx</t>
  </si>
  <si>
    <t>610.275.6274</t>
  </si>
  <si>
    <t>macma.com.mx</t>
  </si>
  <si>
    <t>Cecilia</t>
  </si>
  <si>
    <t>Vela</t>
  </si>
  <si>
    <t>Head of Customer, Employee &amp; Digital Experience</t>
  </si>
  <si>
    <t>https://www.linkedin.com/in/cecilia-gonzÃ¡lez-vela-39a63928</t>
  </si>
  <si>
    <t>cecilia.vela@macropay.mx</t>
  </si>
  <si>
    <t>Macropay Oficial</t>
  </si>
  <si>
    <t>https://www.linkedin.com/in/carlos-hernÃ¡ndez-35b89764</t>
  </si>
  <si>
    <t>carlos.hernandez@macstore.com.mx</t>
  </si>
  <si>
    <t>macstoreonline.com.mx</t>
  </si>
  <si>
    <t>Villegas</t>
  </si>
  <si>
    <t>Marketing &amp; Planning V.P.</t>
  </si>
  <si>
    <t>https://www.linkedin.com/in/victor-villegas-1515a77</t>
  </si>
  <si>
    <t>vvillegas@madisa.com</t>
  </si>
  <si>
    <t>52-8184002000</t>
  </si>
  <si>
    <t>madisa.com</t>
  </si>
  <si>
    <t>Hanny</t>
  </si>
  <si>
    <t>Hartono</t>
  </si>
  <si>
    <t>https://www.linkedin.com/in/ACwAAB_VOecB9OFCMktM1ApnyB9tx8U7KccbnJM</t>
  </si>
  <si>
    <t>hhartono@madisa.com</t>
  </si>
  <si>
    <t>Barba</t>
  </si>
  <si>
    <t>Regional Trade Marketing Manager</t>
  </si>
  <si>
    <t>https://www.linkedin.com/in/ACwAACYXF1sB8uYXBaOHbVICJeUOUdylR3MKbSg</t>
  </si>
  <si>
    <t>dbarba@madisa.com</t>
  </si>
  <si>
    <t>Cuevas</t>
  </si>
  <si>
    <t>https://www.linkedin.com/in/juan-pablo-castillo-cuevas-17a213174</t>
  </si>
  <si>
    <t>juan.cuevas@magmalabs.io</t>
  </si>
  <si>
    <t>52 312 323 7175</t>
  </si>
  <si>
    <t>magmalabs.io</t>
  </si>
  <si>
    <t>Paola</t>
  </si>
  <si>
    <t>Zavala</t>
  </si>
  <si>
    <t>https://www.linkedin.com/in/ACwAABQQ17MBnvjpO3bZBJQt-LJ6Q7R1ZCW8ZyI</t>
  </si>
  <si>
    <t>p_mzg@yahoo.com</t>
  </si>
  <si>
    <t>33-4502-72685</t>
  </si>
  <si>
    <t>maped.com</t>
  </si>
  <si>
    <t>Emmanuelle</t>
  </si>
  <si>
    <t>Tapissier</t>
  </si>
  <si>
    <t>Marketing Group interim Manager</t>
  </si>
  <si>
    <t>https://www.linkedin.com/in/ACwAAAE66IoB1yn5rIIpiJpPUdjc9shmuawqFuY</t>
  </si>
  <si>
    <t>emmanuelle.tapissier@maped.fr</t>
  </si>
  <si>
    <t>Patudo</t>
  </si>
  <si>
    <t>https://www.linkedin.com/in/juliana-patudo</t>
  </si>
  <si>
    <t>VelÃ¡zquez</t>
  </si>
  <si>
    <t>https://www.linkedin.com/in/gabrielaperezv</t>
  </si>
  <si>
    <t>gabriela.perez.vel@gmail.com</t>
  </si>
  <si>
    <t>VÃ­ctor</t>
  </si>
  <si>
    <t>https://www.linkedin.com/in/ACwAABycMJ4BDC3bnVZ0rWvob7lFWtjGrC4fvAA</t>
  </si>
  <si>
    <t>victorg@marco.org.mx</t>
  </si>
  <si>
    <t>marco.org.mx</t>
  </si>
  <si>
    <t>Ivonne</t>
  </si>
  <si>
    <t>https://www.linkedin.com/in/ACwAABLtUXEBdw6-L_F6Fli7Ifk0FTq6xRSWZbQ</t>
  </si>
  <si>
    <t>marel.com.mx</t>
  </si>
  <si>
    <t>E-Commerce Lead</t>
  </si>
  <si>
    <t>https://www.linkedin.com/in/ACwAAAo_QKgBkVBONUnzg87-9ediov5XiU0DnBo</t>
  </si>
  <si>
    <t>daniel.gutierrezl2a@gmail.com</t>
  </si>
  <si>
    <t>551.946.0440</t>
  </si>
  <si>
    <t>marinter.com.mx</t>
  </si>
  <si>
    <t>Duprat</t>
  </si>
  <si>
    <t>CMO &amp; Omnichannel Director, Retail</t>
  </si>
  <si>
    <t>https://www.linkedin.com/in/ricardo-gonzÃ¡lez-duprat-49a6931</t>
  </si>
  <si>
    <t>ricardogduprat@yahoo.com.mx</t>
  </si>
  <si>
    <t>52 722 232 1431</t>
  </si>
  <si>
    <t>marti.mx</t>
  </si>
  <si>
    <t>N</t>
  </si>
  <si>
    <t>https://www.linkedin.com/in/ACwAAAvmO7IBGZC5QlJlxVCZkWIaMp86JcPdOmE</t>
  </si>
  <si>
    <t>luis.n@marvelsa.com</t>
  </si>
  <si>
    <t>marvelsa.com</t>
  </si>
  <si>
    <t>Luisa</t>
  </si>
  <si>
    <t>Pertierra</t>
  </si>
  <si>
    <t>https://www.linkedin.com/in/luisipert</t>
  </si>
  <si>
    <t>luisa@mascaradelatex.com</t>
  </si>
  <si>
    <t>52 55 5564 0332</t>
  </si>
  <si>
    <t>552.966.3151</t>
  </si>
  <si>
    <t>mascaradelatex.com</t>
  </si>
  <si>
    <t>Ambar</t>
  </si>
  <si>
    <t>Monserrat</t>
  </si>
  <si>
    <t>https://www.linkedin.com/in/ambar-salazar-mktmanager</t>
  </si>
  <si>
    <t>52 55 5264 0679</t>
  </si>
  <si>
    <t>masvision.mx</t>
  </si>
  <si>
    <t>Chantal</t>
  </si>
  <si>
    <t>Ortuno</t>
  </si>
  <si>
    <t>Marketing and Communication head, Trade Marketing &amp; Customer Experience Lead</t>
  </si>
  <si>
    <t>https://www.linkedin.com/in/ACwAABk52UUBFeJcLlXEoK8rtGTDb-PJ-INERLE</t>
  </si>
  <si>
    <t>chantal.ortuno@meatme.mx</t>
  </si>
  <si>
    <t>604.283.7148</t>
  </si>
  <si>
    <t>meatme.cl</t>
  </si>
  <si>
    <t>Pamela</t>
  </si>
  <si>
    <t>U</t>
  </si>
  <si>
    <t>Marketing Manager LÃ­nea GinecologÃ­a-UrologÃ­a</t>
  </si>
  <si>
    <t>https://www.linkedin.com/in/ACwAAAfWewwBM-p19ZEXhV2K3wrZWAa3KoBWELI</t>
  </si>
  <si>
    <t>pamela.u@italmex.mx</t>
  </si>
  <si>
    <t>megalabs.mx</t>
  </si>
  <si>
    <t>https://www.linkedin.com/in/guillermo-alvarez-r</t>
  </si>
  <si>
    <t>guillermo.ramirez@italmex.mx</t>
  </si>
  <si>
    <t>Javier</t>
  </si>
  <si>
    <t>Salaz</t>
  </si>
  <si>
    <t>https://www.linkedin.com/in/javiersalazar1</t>
  </si>
  <si>
    <t>jsalaz@meibi.mx</t>
  </si>
  <si>
    <t>52 479 202 8796</t>
  </si>
  <si>
    <t>52 (477) 25 25 933</t>
  </si>
  <si>
    <t>meibi.mx</t>
  </si>
  <si>
    <t>Aleksandra</t>
  </si>
  <si>
    <t>Kostrzewska</t>
  </si>
  <si>
    <t>https://www.linkedin.com/in/ACwAAC8mzkUBdk9UOF5ZSg0LW1Y75pCDYl5NIZc</t>
  </si>
  <si>
    <t>mentori.mx</t>
  </si>
  <si>
    <t>Alma</t>
  </si>
  <si>
    <t>https://www.linkedin.com/in/almarosaarteaga</t>
  </si>
  <si>
    <t>alma.arteaga@merco.mx</t>
  </si>
  <si>
    <t>800.265.6372</t>
  </si>
  <si>
    <t>merco.mx</t>
  </si>
  <si>
    <t>CMO Merkatail</t>
  </si>
  <si>
    <t>https://www.linkedin.com/in/ACwAADI0474Bl3JoaH6R10NNxBqaPj0gLmpv4Ng</t>
  </si>
  <si>
    <t>info.merkatail@gmail.com</t>
  </si>
  <si>
    <t>351.101.7604</t>
  </si>
  <si>
    <t>merkatail.com.mx</t>
  </si>
  <si>
    <t>Chief Marketing Officer LATAM &amp; EUROPE</t>
  </si>
  <si>
    <t>https://www.linkedin.com/in/hector-soto-tdd</t>
  </si>
  <si>
    <t>hector.s@merkatail.com.mx</t>
  </si>
  <si>
    <t>Manish</t>
  </si>
  <si>
    <t>Raman</t>
  </si>
  <si>
    <t>https://www.linkedin.com/in/ACwAAATbPygB5T_-MX3VkvG-QGHCI5oiBNqAxYY</t>
  </si>
  <si>
    <t>252.752.3800</t>
  </si>
  <si>
    <t>metricser.com</t>
  </si>
  <si>
    <t>Global Trade Marketing Manager</t>
  </si>
  <si>
    <t>https://www.linkedin.com/in/michelle-shadei-morales-ornelas-5a8293166</t>
  </si>
  <si>
    <t>michelle@mezcalamaras.com</t>
  </si>
  <si>
    <t>mezcalamaras.com</t>
  </si>
  <si>
    <t>Marketing Brand Manager</t>
  </si>
  <si>
    <t>https://www.linkedin.com/in/amanda-azocar-abascal</t>
  </si>
  <si>
    <t>amanda@mezcalamaras.com</t>
  </si>
  <si>
    <t>Ravina</t>
  </si>
  <si>
    <t>Soma</t>
  </si>
  <si>
    <t>Marketing and Promotions Manager</t>
  </si>
  <si>
    <t>https://www.linkedin.com/in/ravina-soma</t>
  </si>
  <si>
    <t>ravina543@gmail.com</t>
  </si>
  <si>
    <t>Bilbao</t>
  </si>
  <si>
    <t>Global Marketing Director</t>
  </si>
  <si>
    <t>https://www.linkedin.com/in/andrea-bilbao</t>
  </si>
  <si>
    <t>andreab@mezcalamaras.com</t>
  </si>
  <si>
    <t>52 55 3939 4738</t>
  </si>
  <si>
    <t>Algara</t>
  </si>
  <si>
    <t>Head of Marketing and Legal</t>
  </si>
  <si>
    <t>https://www.linkedin.com/in/angel-algara-8b91617a</t>
  </si>
  <si>
    <t>aalgara@mialegria.com.mx</t>
  </si>
  <si>
    <t>554.326.6812</t>
  </si>
  <si>
    <t>mialegria.com.mx</t>
  </si>
  <si>
    <t>Ibarraran</t>
  </si>
  <si>
    <t>https://www.linkedin.com/in/ACwAAC9v-hkB16JvG9FCy8czyCX5Z3Dn14cOR-0</t>
  </si>
  <si>
    <t>bibarraran@mikels.com.mx</t>
  </si>
  <si>
    <t>52 (55) 5361-8061 ext 3018</t>
  </si>
  <si>
    <t>525553618061ext2202/ +52016121210016/1210105</t>
  </si>
  <si>
    <t>mikels.com.mx</t>
  </si>
  <si>
    <t>Negrete</t>
  </si>
  <si>
    <t>Head of Marketing and Visual Merchandising</t>
  </si>
  <si>
    <t>https://www.linkedin.com/in/jose-antonio-delgado-negrete-87235b106</t>
  </si>
  <si>
    <t>jose.negrete@milano.com</t>
  </si>
  <si>
    <t>milano.com</t>
  </si>
  <si>
    <t>https://www.linkedin.com/in/vanessa-rojas-61b26623b</t>
  </si>
  <si>
    <t>vanessa@millora.com.mx</t>
  </si>
  <si>
    <t>millora.com.mx</t>
  </si>
  <si>
    <t>Nora</t>
  </si>
  <si>
    <t>Manager, Acquisition Marketing (Demand Gen)</t>
  </si>
  <si>
    <t>https://www.linkedin.com/in/noraestrada</t>
  </si>
  <si>
    <t>noracestrada@gmail.com</t>
  </si>
  <si>
    <t>877.755.4279</t>
  </si>
  <si>
    <t>818.681.0856</t>
  </si>
  <si>
    <t>mindbodyonline.com</t>
  </si>
  <si>
    <t>Caulfield</t>
  </si>
  <si>
    <t>Digital Engagement Manager</t>
  </si>
  <si>
    <t>https://www.linkedin.com/in/katie-caulfield-</t>
  </si>
  <si>
    <t>Patricia</t>
  </si>
  <si>
    <t>Cortez</t>
  </si>
  <si>
    <t>https://www.linkedin.com/in/patricia-cortez-0a5744176</t>
  </si>
  <si>
    <t>SantillÃ¡n</t>
  </si>
  <si>
    <t>https://www.linkedin.com/in/pausantillan</t>
  </si>
  <si>
    <t>paulina.santillan@mixup.com</t>
  </si>
  <si>
    <t>52 55 5528 1008</t>
  </si>
  <si>
    <t>mixup.com.mx</t>
  </si>
  <si>
    <t>Yoly</t>
  </si>
  <si>
    <t>Villanueva</t>
  </si>
  <si>
    <t>https://www.linkedin.com/in/yoly-von-haucke-villanueva-64350685</t>
  </si>
  <si>
    <t>yolyvhv@gmail.com</t>
  </si>
  <si>
    <t>52 55 2167 8491</t>
  </si>
  <si>
    <t>52 55 2672 7665</t>
  </si>
  <si>
    <t>mobica.com.mx</t>
  </si>
  <si>
    <t>Isis</t>
  </si>
  <si>
    <t>Contet Manager / Marketing online / DiseÃ±o GrÃ¡fico</t>
  </si>
  <si>
    <t>https://www.linkedin.com/in/isis-h-33217955</t>
  </si>
  <si>
    <t>mobiik.com</t>
  </si>
  <si>
    <t>Marian</t>
  </si>
  <si>
    <t>Suarez</t>
  </si>
  <si>
    <t>Chief Marketing Officer - CMO</t>
  </si>
  <si>
    <t>https://www.linkedin.com/in/ACwAAAHD3rYBNUTk9zT7tSTbZmLydwMxMn1iQ-8</t>
  </si>
  <si>
    <t>marian.suarez@mobiik.com</t>
  </si>
  <si>
    <t>558.500.0305</t>
  </si>
  <si>
    <t>Cosette</t>
  </si>
  <si>
    <t>VM &amp; Shopper Marketing Manager</t>
  </si>
  <si>
    <t>https://www.linkedin.com/in/cosetter</t>
  </si>
  <si>
    <t>52 55 5349 3368</t>
  </si>
  <si>
    <t>mobo.com.mx</t>
  </si>
  <si>
    <t>Chapuis</t>
  </si>
  <si>
    <t>responsable marketing</t>
  </si>
  <si>
    <t>https://www.linkedin.com/in/roberto-chapuis-39023a60</t>
  </si>
  <si>
    <t>roberto.chapuis@moleskine.com</t>
  </si>
  <si>
    <t>390.202.0202</t>
  </si>
  <si>
    <t>646.461.3018</t>
  </si>
  <si>
    <t>moleskine.com</t>
  </si>
  <si>
    <t>Sara</t>
  </si>
  <si>
    <t>Chalifoux</t>
  </si>
  <si>
    <t>Trade Marketing</t>
  </si>
  <si>
    <t>https://www.linkedin.com/in/sara-chalifoux-b1bb38191</t>
  </si>
  <si>
    <t>sara.chalifoux@moleskine.com</t>
  </si>
  <si>
    <t>347.873.0652</t>
  </si>
  <si>
    <t xml:space="preserve">David </t>
  </si>
  <si>
    <t>Ocampo</t>
  </si>
  <si>
    <t>Head of marketing and comms</t>
  </si>
  <si>
    <t>https://www.linkedin.com/in/daveocampo</t>
  </si>
  <si>
    <t>david@momijibeauty.com</t>
  </si>
  <si>
    <t>52 1 55 3101 2586:(81) 13 59 42 01:01 800 76 56 345</t>
  </si>
  <si>
    <t>momijibeauty.com</t>
  </si>
  <si>
    <t>Sandoval</t>
  </si>
  <si>
    <t>https://www.linkedin.com/in/sandoval-enrique</t>
  </si>
  <si>
    <t>esandoval@montepiedad.com.mx</t>
  </si>
  <si>
    <t>52 800 356 6683</t>
  </si>
  <si>
    <t>montepiedad.com.mx</t>
  </si>
  <si>
    <t>Garza</t>
  </si>
  <si>
    <t>Associate Director, Innovation &amp; Digital Transformation</t>
  </si>
  <si>
    <t>https://www.linkedin.com/in/adrian-o-ruiz-garza-43a1061b</t>
  </si>
  <si>
    <t>excesocreativo@gmail.com</t>
  </si>
  <si>
    <t>800.356.6683</t>
  </si>
  <si>
    <t>Sandra</t>
  </si>
  <si>
    <t>Digital Financial Products Lead</t>
  </si>
  <si>
    <t>https://www.linkedin.com/in/sandra-alvarez-8b9a9746</t>
  </si>
  <si>
    <t>Cerelibro</t>
  </si>
  <si>
    <t>Cerelaibro</t>
  </si>
  <si>
    <t>https://www.linkedin.com/in/ACwAADhqJoABvkqiBt2UMah9ZHZ-eTMAYA3tMWA</t>
  </si>
  <si>
    <t>Mohamed</t>
  </si>
  <si>
    <t>Acharki</t>
  </si>
  <si>
    <t>https://www.linkedin.com/in/ACwAACfE_P8BxJejoDTffg-mxnKiYuo2Ilcyk2E</t>
  </si>
  <si>
    <t>mood-agency.com</t>
  </si>
  <si>
    <t>Candy</t>
  </si>
  <si>
    <t>Senior Marketing Project Manager</t>
  </si>
  <si>
    <t>https://www.linkedin.com/in/candyherreralopez</t>
  </si>
  <si>
    <t>Emmert</t>
  </si>
  <si>
    <t>Marketing Department Manager</t>
  </si>
  <si>
    <t>https://www.linkedin.com/in/ACwAABlf0BQBKqMZ3FGny-fdUW0URPlt9od6e0U</t>
  </si>
  <si>
    <t>551.569.9392</t>
  </si>
  <si>
    <t>52 55 6830 3149</t>
  </si>
  <si>
    <t>moramora.mx</t>
  </si>
  <si>
    <t>Camila</t>
  </si>
  <si>
    <t>https://www.linkedin.com/in/camila-gonzalez-rubio-novoa</t>
  </si>
  <si>
    <t>camila@moramora.mx</t>
  </si>
  <si>
    <t>Stern</t>
  </si>
  <si>
    <t>https://www.linkedin.com/in/paola-camacho-stern-42611535</t>
  </si>
  <si>
    <t>paola@moramora.mx</t>
  </si>
  <si>
    <t>https://www.linkedin.com/in/ACwAADG0W98BCQNkQzFU6rIYYrt7WmyJro4g1TU</t>
  </si>
  <si>
    <t>Anguiano</t>
  </si>
  <si>
    <t>Executive Lead Generation Digital</t>
  </si>
  <si>
    <t>https://www.linkedin.com/in/erika-paola-pacheco-anguiano-7703871a9</t>
  </si>
  <si>
    <t>551.000.5505</t>
  </si>
  <si>
    <t>moreragrosso.com</t>
  </si>
  <si>
    <t>Navas</t>
  </si>
  <si>
    <t>Marketing Innovation Manager &amp; International business developement</t>
  </si>
  <si>
    <t>https://www.linkedin.com/in/antonionavas</t>
  </si>
  <si>
    <t>aenavasgarcia@gmail.com</t>
  </si>
  <si>
    <t>305.851.6025</t>
  </si>
  <si>
    <t>mosaic-media.com.mx</t>
  </si>
  <si>
    <t>https://www.linkedin.com/in/andrea-morales-1183ba57</t>
  </si>
  <si>
    <t>andreamoralesg@hotmail.com</t>
  </si>
  <si>
    <t>5218119747406,+52 1 8180107762</t>
  </si>
  <si>
    <t>mrtofu.com.mx</t>
  </si>
  <si>
    <t>Kevin</t>
  </si>
  <si>
    <t>Cassar</t>
  </si>
  <si>
    <t>https://www.linkedin.com/in/kevin-cassar</t>
  </si>
  <si>
    <t>kevin.cassar@mitekusa.com</t>
  </si>
  <si>
    <t>815.367.3000</t>
  </si>
  <si>
    <t>602.263.6011</t>
  </si>
  <si>
    <t>mtx.com</t>
  </si>
  <si>
    <t>Susana</t>
  </si>
  <si>
    <t>https://www.linkedin.com/in/ACwAABZ6AEIBo1Ze9hNkAhM9esV-qaUnqJmH4qo</t>
  </si>
  <si>
    <t>susana.ramirez@mvc.com.mx</t>
  </si>
  <si>
    <t>muebleria-villarreal.com</t>
  </si>
  <si>
    <t>Ulisses</t>
  </si>
  <si>
    <t>Ecommerce Director</t>
  </si>
  <si>
    <t>https://www.linkedin.com/in/ACwAAA2ST_oBRfksdiC2XlB8Ufuf0O9XqgKqzRw</t>
  </si>
  <si>
    <t>ulisses_rodriguez@mueblesamerica.mx</t>
  </si>
  <si>
    <t>mueblesamerica.mx</t>
  </si>
  <si>
    <t>Luna</t>
  </si>
  <si>
    <t>https://www.linkedin.com/in/ACwAADSgHkoBSR5uwXaEE4NgZn7l2f-qNNgOkUs</t>
  </si>
  <si>
    <t>52 55 5616 9002</t>
  </si>
  <si>
    <t>52 55 6422 5738</t>
  </si>
  <si>
    <t>mueblespergo.com</t>
  </si>
  <si>
    <t>Rocha</t>
  </si>
  <si>
    <t>https://www.linkedin.com/in/rochamx</t>
  </si>
  <si>
    <t>jorge.rocha@mueblespergo.com</t>
  </si>
  <si>
    <t>52 55 4631 9720</t>
  </si>
  <si>
    <t>Ecommerce manager &amp; Marketing Digital</t>
  </si>
  <si>
    <t>https://www.linkedin.com/in/javierblack</t>
  </si>
  <si>
    <t>javier.lopez@mueblesplacencia.com</t>
  </si>
  <si>
    <t>52 33 313 40303</t>
  </si>
  <si>
    <t>52 477 214 4200</t>
  </si>
  <si>
    <t>mueblesplacencia.com</t>
  </si>
  <si>
    <t>GarduÃ±o</t>
  </si>
  <si>
    <t>https://www.linkedin.com/in/ACwAAC6F3roBa638wA3um7SZR3Bu4oXjIwrqLrI</t>
  </si>
  <si>
    <t>multillantasnieto.mx</t>
  </si>
  <si>
    <t>https://www.linkedin.com/in/diego-israel-pÃ©rez-sÃ¡nchez-310779118</t>
  </si>
  <si>
    <t>diego.pols@hotmail.com</t>
  </si>
  <si>
    <t>mundoele.com.mx</t>
  </si>
  <si>
    <t>https://www.linkedin.com/in/karlanumber1</t>
  </si>
  <si>
    <t>k.ruiz@mundojoven.com</t>
  </si>
  <si>
    <t>614.430.4141</t>
  </si>
  <si>
    <t>mundojoven.com</t>
  </si>
  <si>
    <t>Garoz</t>
  </si>
  <si>
    <t>CTO &amp; E-Commerce Director</t>
  </si>
  <si>
    <t>https://www.linkedin.com/in/juan-garoz</t>
  </si>
  <si>
    <t>j.garoz@mundojoven.com</t>
  </si>
  <si>
    <t>BenjamÃ­n</t>
  </si>
  <si>
    <t>Amaya</t>
  </si>
  <si>
    <t>https://www.linkedin.com/in/bamaya</t>
  </si>
  <si>
    <t>benjamin_amaya@mvkoen.com</t>
  </si>
  <si>
    <t>703.829.0291</t>
  </si>
  <si>
    <t>mvkoen.com</t>
  </si>
  <si>
    <t>Mohammad</t>
  </si>
  <si>
    <t>Adnan</t>
  </si>
  <si>
    <t>Head of Sales Marketing</t>
  </si>
  <si>
    <t>https://www.linkedin.com/in/ACwAAEHT8a0BSmE6OnHGL1GV9eds8IUePSEre_k</t>
  </si>
  <si>
    <t>myshopify.com</t>
  </si>
  <si>
    <t>Aashveer</t>
  </si>
  <si>
    <t>Dillon</t>
  </si>
  <si>
    <t>Co-Founder &amp; Chief Marketing Officer</t>
  </si>
  <si>
    <t>https://www.linkedin.com/in/ACwAAC97bf8BS6G5IWraznBDw_CNBPfT4yTJj-8</t>
  </si>
  <si>
    <t>Todd</t>
  </si>
  <si>
    <t>Stothard</t>
  </si>
  <si>
    <t>Digital Director / Ù…Ø¯ÙŠØ± Ø§Ù„ØªØ³ÙˆÙŠÙ‚ Ø§Ù„Ø±Ù‚Ù…ÙŠ</t>
  </si>
  <si>
    <t>https://www.linkedin.com/in/jasonstothard</t>
  </si>
  <si>
    <t>jason_stothard@hotmail.com</t>
  </si>
  <si>
    <t>512.629.4334</t>
  </si>
  <si>
    <t>nap-baby.com</t>
  </si>
  <si>
    <t>https://www.linkedin.com/in/ACwAABnCwPkBmvK8L4j5aprx2BVbtIUDZsOZmrg</t>
  </si>
  <si>
    <t>ana@naturalbenefits.mx</t>
  </si>
  <si>
    <t>naturalbenefits.mx</t>
  </si>
  <si>
    <t>PeÃ±a</t>
  </si>
  <si>
    <t>https://www.linkedin.com/in/fernanda-peÃ±a</t>
  </si>
  <si>
    <t>nephosit.com</t>
  </si>
  <si>
    <t>Barbosa</t>
  </si>
  <si>
    <t>eCommerce Sales Director &amp; Strategic alliances</t>
  </si>
  <si>
    <t>https://www.linkedin.com/in/rodbarbosa</t>
  </si>
  <si>
    <t>rodrigo.barbosa@netpay.com.mx</t>
  </si>
  <si>
    <t>netpay.mx</t>
  </si>
  <si>
    <t>Nettbeat</t>
  </si>
  <si>
    <t>Audio</t>
  </si>
  <si>
    <t>https://www.linkedin.com/in/nettbeat-audio-1686ab120</t>
  </si>
  <si>
    <t>nettbeat.audio@nettbee.com</t>
  </si>
  <si>
    <t>nettbee.com</t>
  </si>
  <si>
    <t>Langlois</t>
  </si>
  <si>
    <t>https://www.linkedin.com/in/francislanglois1</t>
  </si>
  <si>
    <t>francis.langlois.3@hotmail.com</t>
  </si>
  <si>
    <t>neximo.mx</t>
  </si>
  <si>
    <t>Shaochen</t>
  </si>
  <si>
    <t>Ji</t>
  </si>
  <si>
    <t>https://www.linkedin.com/in/ACwAAANDWwgBTDrdWgwOzTfvK-IGqGzmSjbmRps</t>
  </si>
  <si>
    <t>888.598.9901</t>
  </si>
  <si>
    <t>northernep.com</t>
  </si>
  <si>
    <t>Yuhan</t>
  </si>
  <si>
    <t>EU Regional Marketing Manager</t>
  </si>
  <si>
    <t>https://www.linkedin.com/in/ACwAAC6paZoByiREHM8IRC-zwilRykQ-05HzR4E</t>
  </si>
  <si>
    <t>Beck</t>
  </si>
  <si>
    <t>Marketing Manager - Brazil</t>
  </si>
  <si>
    <t>https://www.linkedin.com/in/beckjoao</t>
  </si>
  <si>
    <t>beckjoao@hotmail.com</t>
  </si>
  <si>
    <t>Mario</t>
  </si>
  <si>
    <t>Villamar</t>
  </si>
  <si>
    <t>Marketing Technologies &amp; Digital Assets Manager</t>
  </si>
  <si>
    <t>https://www.linkedin.com/in/mariovillamarmktdigital</t>
  </si>
  <si>
    <t>mario.villamar.cobos@gmail.com</t>
  </si>
  <si>
    <t>862.778.5052</t>
  </si>
  <si>
    <t>52 55 4131 0632</t>
  </si>
  <si>
    <t>novartis.com.mx</t>
  </si>
  <si>
    <t>Marketing Manager Jr - Cardiovascular</t>
  </si>
  <si>
    <t>https://www.linkedin.com/in/alejandro-barrantes-romero</t>
  </si>
  <si>
    <t>alejandro.romero@novartis.com</t>
  </si>
  <si>
    <t>Estephani</t>
  </si>
  <si>
    <t>Mayen</t>
  </si>
  <si>
    <t>Sr. Marketing Manager Immunology</t>
  </si>
  <si>
    <t>https://www.linkedin.com/in/ACwAABNu1I4BaCugF_7kliYl1IFJ_cAXxOZKWdM</t>
  </si>
  <si>
    <t>estephani.mayen@novartis.com</t>
  </si>
  <si>
    <t>52 55 3033 7997</t>
  </si>
  <si>
    <t>Cinthya</t>
  </si>
  <si>
    <t>Argueta</t>
  </si>
  <si>
    <t>https://www.linkedin.com/in/ACwAAB9qmqYBi3zhbsLJ9s3Ij1EXWfMwHQu3g0s</t>
  </si>
  <si>
    <t>Tatiana</t>
  </si>
  <si>
    <t>Galicia</t>
  </si>
  <si>
    <t>Marketing Manager. Launching Key Therapy</t>
  </si>
  <si>
    <t>https://www.linkedin.com/in/ACwAAAWBxWkBYiEnIKwTav43WQKrn-quNcRMzw8</t>
  </si>
  <si>
    <t>tatiana.galicia@novartis.com</t>
  </si>
  <si>
    <t>ColÃ­n</t>
  </si>
  <si>
    <t>https://www.linkedin.com/in/ACwAAB6Y9qIBWDDhIQeSkVyxtBPPftYR3LjUDxM</t>
  </si>
  <si>
    <t>carlos.colin@novartis.com</t>
  </si>
  <si>
    <t>Rosa</t>
  </si>
  <si>
    <t>https://www.linkedin.com/in/ACwAABceNDwBLYe3zAH2s_XtCRUm7UKadtrvjdw</t>
  </si>
  <si>
    <t>rosa.castro@novartis.com</t>
  </si>
  <si>
    <t>Sarmiento</t>
  </si>
  <si>
    <t>https://www.linkedin.com/in/luisfernandezsarmiento</t>
  </si>
  <si>
    <t>novelty.mx</t>
  </si>
  <si>
    <t>SÃ¡nchez y SÃ¡nchez</t>
  </si>
  <si>
    <t>https://www.linkedin.com/in/alauraszsz</t>
  </si>
  <si>
    <t>554.122.5184</t>
  </si>
  <si>
    <t>52 55 4122 5185</t>
  </si>
  <si>
    <t>nubosperta.com</t>
  </si>
  <si>
    <t>Sambri</t>
  </si>
  <si>
    <t>Plata</t>
  </si>
  <si>
    <t>https://www.linkedin.com/in/ACwAABApHAABC-TM2jbiKBBVA5URAhgEX5lxrm4</t>
  </si>
  <si>
    <t>315.656.2902</t>
  </si>
  <si>
    <t>nutribits.com</t>
  </si>
  <si>
    <t>Moya</t>
  </si>
  <si>
    <t>Senior Manager Strategic Marketing</t>
  </si>
  <si>
    <t>https://www.linkedin.com/in/maria-virginia-figueroa-moya-24731a3b</t>
  </si>
  <si>
    <t>merca@o-lab.mx</t>
  </si>
  <si>
    <t>o-lab.mx</t>
  </si>
  <si>
    <t>Pastrana</t>
  </si>
  <si>
    <t>https://www.linkedin.com/in/pedro-loza-pastrana</t>
  </si>
  <si>
    <t>Kacie</t>
  </si>
  <si>
    <t>Tanea</t>
  </si>
  <si>
    <t>Marketing and Communications Manager</t>
  </si>
  <si>
    <t>https://www.linkedin.com/in/ACwAAB8T95wBMn3kyXyFU2qeohvSfU_Adw7LuD0</t>
  </si>
  <si>
    <t>kacie@oasisofhope.com</t>
  </si>
  <si>
    <t>619.690.8416</t>
  </si>
  <si>
    <t>oasisofhope.com</t>
  </si>
  <si>
    <t>Morelli</t>
  </si>
  <si>
    <t>Outbound Marketing Manager (EMEA)</t>
  </si>
  <si>
    <t>https://www.linkedin.com/in/lisa-morelli-a23903156</t>
  </si>
  <si>
    <t>lisa.morelli@odoo.com</t>
  </si>
  <si>
    <t>322.290.3490</t>
  </si>
  <si>
    <t>328.181.3700</t>
  </si>
  <si>
    <t>odoo.com</t>
  </si>
  <si>
    <t>Manga</t>
  </si>
  <si>
    <t>Tsang</t>
  </si>
  <si>
    <t>Marketing Manager (APAC)</t>
  </si>
  <si>
    <t>https://www.linkedin.com/in/manga-tsang</t>
  </si>
  <si>
    <t>mangatsang@gmail.com</t>
  </si>
  <si>
    <t>852 6358 0369</t>
  </si>
  <si>
    <t>Tanya</t>
  </si>
  <si>
    <t>Krupynska</t>
  </si>
  <si>
    <t>https://www.linkedin.com/in/tanya-krupynska</t>
  </si>
  <si>
    <t>tkrupynska@gmail.com</t>
  </si>
  <si>
    <t>971 45896470</t>
  </si>
  <si>
    <t>Kali</t>
  </si>
  <si>
    <t>Fyock</t>
  </si>
  <si>
    <t>Brand Marketing Team Lead of The Americas</t>
  </si>
  <si>
    <t>https://www.linkedin.com/in/kali-fyock</t>
  </si>
  <si>
    <t>716.379.3899</t>
  </si>
  <si>
    <t>Kong</t>
  </si>
  <si>
    <t>Meas</t>
  </si>
  <si>
    <t>https://www.linkedin.com/in/kong-meas-925113a2</t>
  </si>
  <si>
    <t>kong.meas@odoo.com</t>
  </si>
  <si>
    <t>Matthew</t>
  </si>
  <si>
    <t>https://www.linkedin.com/in/matthewtaylor111</t>
  </si>
  <si>
    <t>matthew.taylor@odoo.com</t>
  </si>
  <si>
    <t>Issac</t>
  </si>
  <si>
    <t>Supervisor de fotografa Ecommerce</t>
  </si>
  <si>
    <t>https://www.linkedin.com/in/issac-a-garc%C3%ADa-rodr%C3%ADguez-b714a4177</t>
  </si>
  <si>
    <t>issac.rodriguez@officedepot.com.mx</t>
  </si>
  <si>
    <t>officedepot.com.mx</t>
  </si>
  <si>
    <t>Pepe</t>
  </si>
  <si>
    <t>RendÃ³n</t>
  </si>
  <si>
    <t>Supervisor de imagen E-commerce</t>
  </si>
  <si>
    <t>https://www.linkedin.com/in/ACwAABSF_DkBskb1D5D3deMY1Yu8ZD6LamVzw-Q</t>
  </si>
  <si>
    <t>pepe.rendon@officedepot.com.mx</t>
  </si>
  <si>
    <t>Sr. Marketing Director</t>
  </si>
  <si>
    <t>https://www.linkedin.com/in/marcopl4</t>
  </si>
  <si>
    <t>marcoantoniope@hotmail.com</t>
  </si>
  <si>
    <t>52 8787828999</t>
  </si>
  <si>
    <t>Maricela</t>
  </si>
  <si>
    <t>Tejeda</t>
  </si>
  <si>
    <t>Supervisor soporte eCommerce</t>
  </si>
  <si>
    <t>https://www.linkedin.com/in/ACwAAEMn26MBRSqUCALpGN_9-_wdgh-1gyJJ-Bw</t>
  </si>
  <si>
    <t>800.283.7674</t>
  </si>
  <si>
    <t>officemax.com.mx</t>
  </si>
  <si>
    <t>Rolando</t>
  </si>
  <si>
    <t>eCommerce &amp; Omnichannel Director</t>
  </si>
  <si>
    <t>https://www.linkedin.com/in/rolando-armando-lopez-vazquez</t>
  </si>
  <si>
    <t>rolopezvaz71@gmail.com</t>
  </si>
  <si>
    <t>52 (55) 2722-5195</t>
  </si>
  <si>
    <t>Zamudio</t>
  </si>
  <si>
    <t>CMO, Merchandise &amp; Marketing</t>
  </si>
  <si>
    <t>https://www.linkedin.com/in/oscar-manuel-guadarrama-zamudio-2794759b</t>
  </si>
  <si>
    <t>Pacheco</t>
  </si>
  <si>
    <t>https://www.linkedin.com/in/ACwAAEPrCuYBJBxx3bIF-zOMm4j9KlngTXZkvk4</t>
  </si>
  <si>
    <t>maricela.pacheco@officemax.com.mx</t>
  </si>
  <si>
    <t>Brand Marketing &amp; Ecommerce Manager</t>
  </si>
  <si>
    <t>https://www.linkedin.com/in/carlos-guadarrama-8644a068</t>
  </si>
  <si>
    <t>cguadarrama@oggi.mx</t>
  </si>
  <si>
    <t>oggi.mx</t>
  </si>
  <si>
    <t>CompeÃ¡n</t>
  </si>
  <si>
    <t>Marketing and Admissions Director</t>
  </si>
  <si>
    <t>https://www.linkedin.com/in/ACwAAAJSuBMBizqPiKi5GWFpfGRN06Ob5K7YmHY</t>
  </si>
  <si>
    <t>olinca.edu.mx</t>
  </si>
  <si>
    <t>Omar</t>
  </si>
  <si>
    <t>Director Comercial, Operaciones y Marketing.</t>
  </si>
  <si>
    <t>https://www.linkedin.com/in/omarsanchez1708</t>
  </si>
  <si>
    <t>omar.sanchez1708@hotmail.com</t>
  </si>
  <si>
    <t>onena.mx</t>
  </si>
  <si>
    <t>Saro</t>
  </si>
  <si>
    <t>Marketing Project Manager Latam</t>
  </si>
  <si>
    <t>https://www.linkedin.com/in/xime-gastelum</t>
  </si>
  <si>
    <t>openpay.mx</t>
  </si>
  <si>
    <t>Linda</t>
  </si>
  <si>
    <t>Brand Marketing Manager Latam</t>
  </si>
  <si>
    <t>https://www.linkedin.com/in/linda-valencia-hernÃ¡ndez-6a45564b</t>
  </si>
  <si>
    <t>Georgina</t>
  </si>
  <si>
    <t>Correa</t>
  </si>
  <si>
    <t>https://www.linkedin.com/in/ACwAAAYDzyABgRTlQ2U3j6iZlucV6SCZjvzg_nk</t>
  </si>
  <si>
    <t>IvÃ¡n</t>
  </si>
  <si>
    <t>Briones</t>
  </si>
  <si>
    <t>Head of Business Line Digital Payment Openpay by BBVA LATAM</t>
  </si>
  <si>
    <t>https://www.linkedin.com/in/ivan-d-briones</t>
  </si>
  <si>
    <t>ivan.briones@openpay.mx</t>
  </si>
  <si>
    <t>Uriel</t>
  </si>
  <si>
    <t>Ibarra</t>
  </si>
  <si>
    <t>https://www.linkedin.com/in/ACwAAAszGZ4BZYQ71UjgbrGsIpgVPITuJi_mKLU</t>
  </si>
  <si>
    <t>uvalenzuelai@gmail.com</t>
  </si>
  <si>
    <t>Jillian</t>
  </si>
  <si>
    <t>Odom</t>
  </si>
  <si>
    <t>https://www.linkedin.com/in/jillian-odom-36b28327a</t>
  </si>
  <si>
    <t>33-1-44-44-22-22</t>
  </si>
  <si>
    <t>orange.com</t>
  </si>
  <si>
    <t>PuharrÃ©</t>
  </si>
  <si>
    <t>Marketing Director European Consumers</t>
  </si>
  <si>
    <t>https://www.linkedin.com/in/michel-puharr%C3%A9-a8772a4</t>
  </si>
  <si>
    <t>michel.puharre@orange.com</t>
  </si>
  <si>
    <t>Bobby</t>
  </si>
  <si>
    <t>Ikebudu</t>
  </si>
  <si>
    <t>https://www.linkedin.com/in/bobbyikebudu</t>
  </si>
  <si>
    <t>bikebudu@rethinkgroup.org</t>
  </si>
  <si>
    <t>Ochoa</t>
  </si>
  <si>
    <t>https://www.linkedin.com/in/lauochoaa</t>
  </si>
  <si>
    <t>tiendaenlinea@pacalli.com</t>
  </si>
  <si>
    <t>pacalli.com</t>
  </si>
  <si>
    <t>SUPERVISOR DE RUTAS E-COMMERCE</t>
  </si>
  <si>
    <t>https://www.linkedin.com/in/ACwAACau7SABhWN_-CBf53qzOnTESvuH2vhUZIA</t>
  </si>
  <si>
    <t>llopez@paquetexpress.com.mx</t>
  </si>
  <si>
    <t>800.821.0208</t>
  </si>
  <si>
    <t>paquetexpress.com.mx</t>
  </si>
  <si>
    <t>Tenorio</t>
  </si>
  <si>
    <t>https://www.linkedin.com/in/ACwAACCeW64Bem_Fyzoo6FYS_HKbG5mJd4_VBW8</t>
  </si>
  <si>
    <t>rtenorio@paquetexpress.com.mx</t>
  </si>
  <si>
    <t>Nicols</t>
  </si>
  <si>
    <t>Supervisor Ecommerce Operaciones</t>
  </si>
  <si>
    <t>https://www.linkedin.com/in/ACwAACnxrYkBEzwM-KGYi15nyq1R1yCYlLuJLYA</t>
  </si>
  <si>
    <t>pnicols@paquetexpress.com.mx</t>
  </si>
  <si>
    <t>Arellano</t>
  </si>
  <si>
    <t>https://www.linkedin.com/in/ACwAAC0_byUBno9BAaOyPuKmGTC4HuPI3nfmgFQ</t>
  </si>
  <si>
    <t>jarellano@paquetexpress.com.mx</t>
  </si>
  <si>
    <t>Segovia</t>
  </si>
  <si>
    <t>https://www.linkedin.com/in/alejandro-sosa-segovia-45840010b</t>
  </si>
  <si>
    <t>551.646.2465</t>
  </si>
  <si>
    <t>pardefrance.com.mx</t>
  </si>
  <si>
    <t>Calderon</t>
  </si>
  <si>
    <t>https://www.linkedin.com/in/ACwAAEFW5GQBuz5nUzy9ij8Q07wGT5zkKG1CvXE</t>
  </si>
  <si>
    <t>edgar.calderon@paviitaly.com</t>
  </si>
  <si>
    <t>52 664 769 9306</t>
  </si>
  <si>
    <t>paviitaly.com</t>
  </si>
  <si>
    <t>JuÃ¡rez</t>
  </si>
  <si>
    <t>Marketing &amp; Trademarketing Director</t>
  </si>
  <si>
    <t>https://www.linkedin.com/in/oscar-david-vargas-juÃ¡rez-1945a21a</t>
  </si>
  <si>
    <t>oscar.juarez@pedrodomecq.com</t>
  </si>
  <si>
    <t>pedrodomecq.com</t>
  </si>
  <si>
    <t>Cabral</t>
  </si>
  <si>
    <t>https://www.linkedin.com/in/fernanda-cabral-849001234</t>
  </si>
  <si>
    <t>fcabral@pedrodomecq.com</t>
  </si>
  <si>
    <t>AurÃ©lie</t>
  </si>
  <si>
    <t>Skorupa</t>
  </si>
  <si>
    <t>Marketing, Communication &amp; PR Manager (Mexican Spanish &amp; Chilean Wines)</t>
  </si>
  <si>
    <t>https://www.linkedin.com/in/aurÃ©lie-skorupa-3a28637</t>
  </si>
  <si>
    <t>askorupa@pedrodomecq.com</t>
  </si>
  <si>
    <t>Minero</t>
  </si>
  <si>
    <t>https://www.linkedin.com/in/mario-alberto-minero-53a89a143</t>
  </si>
  <si>
    <t>mminero@pedrodomecq.com</t>
  </si>
  <si>
    <t>Dutra</t>
  </si>
  <si>
    <t>Analista de Ecommerce/Marketing SÃªnior</t>
  </si>
  <si>
    <t>https://www.linkedin.com/in/carla-dutra?miniProfileUrn=urn%3Ali%3Afs_miniProfile%3AACoAACeuMPkB56LYl-VvkZ3VI6oyT3YIfbDaGDs</t>
  </si>
  <si>
    <t>carladutrapp@gmail.com</t>
  </si>
  <si>
    <t>55 11 4713-9500</t>
  </si>
  <si>
    <t>penalty.com.br</t>
  </si>
  <si>
    <t>MacÃ­as</t>
  </si>
  <si>
    <t>Sales and Marketing Manager</t>
  </si>
  <si>
    <t>https://www.linkedin.com/in/ACwAACPT1toBopMSebdzu0y9safbVG1Mb_HF_JY</t>
  </si>
  <si>
    <t>penetron.mx</t>
  </si>
  <si>
    <t>Nikolai</t>
  </si>
  <si>
    <t>MariÃ±o</t>
  </si>
  <si>
    <t>Director y arquitecto de proyecto de la implementaciÃ³n de SAP Marketing, Sales &amp; Service Cloud</t>
  </si>
  <si>
    <t>https://www.linkedin.com/in/ACwAAAVx3kkBmdx-BFFELr16UfZqw0rZMWQLkRo</t>
  </si>
  <si>
    <t>pennsylvania.com.mx</t>
  </si>
  <si>
    <t>Group Marketing Manager (Mexico, LATAM, USA)</t>
  </si>
  <si>
    <t>https://www.linkedin.com/in/fernandorosalesvilla</t>
  </si>
  <si>
    <t>Irving</t>
  </si>
  <si>
    <t>Eslava</t>
  </si>
  <si>
    <t>https://www.linkedin.com/in/irvingvme</t>
  </si>
  <si>
    <t>permachef.com</t>
  </si>
  <si>
    <t>Mendieta</t>
  </si>
  <si>
    <t>https://www.linkedin.com/in/andrea-mendieta-59031627</t>
  </si>
  <si>
    <t>andrea_mendieta@hotmail.com</t>
  </si>
  <si>
    <t>52 55 5562 9093</t>
  </si>
  <si>
    <t>petco.com.mx</t>
  </si>
  <si>
    <t>https://www.linkedin.com/in/marco-rodriguez-222bb3247</t>
  </si>
  <si>
    <t>mrodriguez@petco.com.mx</t>
  </si>
  <si>
    <t>800.327.3826</t>
  </si>
  <si>
    <t>Samuel</t>
  </si>
  <si>
    <t>Gerente de Marketing y Project manager</t>
  </si>
  <si>
    <t>https://www.linkedin.com/in/ACwAABzTVYoBNbwUp8M7hmtHhaNQVdpBzwxn__4</t>
  </si>
  <si>
    <t>800.874.4836</t>
  </si>
  <si>
    <t>phiten.com.mx</t>
  </si>
  <si>
    <t>Phiten</t>
  </si>
  <si>
    <t>Mexico</t>
  </si>
  <si>
    <t>https://www.linkedin.com/in/phiten-mexico-9b1b25120</t>
  </si>
  <si>
    <t>Leidimary</t>
  </si>
  <si>
    <t>Sierra</t>
  </si>
  <si>
    <t>E-Commerce Leader</t>
  </si>
  <si>
    <t>https://www.linkedin.com/in/leidimary-sierra-403318217</t>
  </si>
  <si>
    <t>34-965681234</t>
  </si>
  <si>
    <t>305.256.2252</t>
  </si>
  <si>
    <t>pikolinos.com</t>
  </si>
  <si>
    <t>https://www.linkedin.com/in/ACwAADYD5nQB8qnxSNemjXyDvl_jPoJ6P9Xd9Ak</t>
  </si>
  <si>
    <t>pimiola.com</t>
  </si>
  <si>
    <t>Esparza</t>
  </si>
  <si>
    <t>https://www.linkedin.com/in/ACwAABsTU-wBg1ZySYemWlYrfeAulT74bFXP4ac</t>
  </si>
  <si>
    <t>33-3253-7994:(33) 38170845:33-2541-1992</t>
  </si>
  <si>
    <t>pinkrevolver.com.mx</t>
  </si>
  <si>
    <t>Marquez</t>
  </si>
  <si>
    <t>https://www.linkedin.com/in/rodrigo-marquez-a2a13b1b0</t>
  </si>
  <si>
    <t>rodrigo.marquez@pirma.com.mx</t>
  </si>
  <si>
    <t>52 55 1068 6960</t>
  </si>
  <si>
    <t>pirma.com.mx</t>
  </si>
  <si>
    <t>Karol</t>
  </si>
  <si>
    <t>Villalobos</t>
  </si>
  <si>
    <t>https://www.linkedin.com/in/karol-fermin-villalobos-896339208</t>
  </si>
  <si>
    <t>karol.villalobos@pirma.com.mx</t>
  </si>
  <si>
    <t>52 664 626 1453</t>
  </si>
  <si>
    <t>202.466.6706</t>
  </si>
  <si>
    <t>CMO Project Manager</t>
  </si>
  <si>
    <t>https://www.linkedin.com/in/oscar-david-rodrÃ­guez-lÃ³pez-87183194</t>
  </si>
  <si>
    <t>oscar.lopez@pisa.com.mx</t>
  </si>
  <si>
    <t>52 1 33 3678 1600</t>
  </si>
  <si>
    <t>pisa.com.mx</t>
  </si>
  <si>
    <t>MartÃ­n</t>
  </si>
  <si>
    <t>CÃ¡rdenas</t>
  </si>
  <si>
    <t>Marketing Director Pharma Mexico</t>
  </si>
  <si>
    <t>https://www.linkedin.com/in/martincruzc</t>
  </si>
  <si>
    <t>martinc@pisa.com.mx</t>
  </si>
  <si>
    <t>Kobeh</t>
  </si>
  <si>
    <t>https://www.linkedin.com/in/roberto-amieva-kobeh-95244750</t>
  </si>
  <si>
    <t>r0bak@hotmail.com</t>
  </si>
  <si>
    <t>Novelo</t>
  </si>
  <si>
    <t>https://www.linkedin.com/in/ACwAAAVDuTgBZf0BbePwjmf_fnuIye58j-yuPDM</t>
  </si>
  <si>
    <t>polymershapes.com.mx</t>
  </si>
  <si>
    <t>Mayra</t>
  </si>
  <si>
    <t>https://www.linkedin.com/in/mayra-vargas-24342b29</t>
  </si>
  <si>
    <t>mayra3717@gmail.com</t>
  </si>
  <si>
    <t>portenntum.com</t>
  </si>
  <si>
    <t>Sanderson</t>
  </si>
  <si>
    <t>Manager of Marketing and Communications North America</t>
  </si>
  <si>
    <t>https://www.linkedin.com/in/maria-sanderson-406</t>
  </si>
  <si>
    <t>garyandmaria@hotmail.com</t>
  </si>
  <si>
    <t>portoalegre.com.mx</t>
  </si>
  <si>
    <t>Navarro</t>
  </si>
  <si>
    <t>https://www.linkedin.com/in/katherine-torresn</t>
  </si>
  <si>
    <t>ktorres@prada.mx</t>
  </si>
  <si>
    <t>52-55-5481-3153</t>
  </si>
  <si>
    <t>prada.mx</t>
  </si>
  <si>
    <t>https://www.linkedin.com/in/tierra8ch8</t>
  </si>
  <si>
    <t>luis@preslow.com</t>
  </si>
  <si>
    <t>preslow.com</t>
  </si>
  <si>
    <t>Nathalia</t>
  </si>
  <si>
    <t>MejÃ­a</t>
  </si>
  <si>
    <t>https://www.linkedin.com/in/nathalia-restrepo-mejÃ­a-ba220053</t>
  </si>
  <si>
    <t>nathalia.mejia@priceshoes.com</t>
  </si>
  <si>
    <t>52 800 045 0450</t>
  </si>
  <si>
    <t>priceshoes.com</t>
  </si>
  <si>
    <t>Zamores</t>
  </si>
  <si>
    <t>https://www.linkedin.com/in/carlos-ramirez-zamores-862444192</t>
  </si>
  <si>
    <t>carlos.zamores@priceshoes.com</t>
  </si>
  <si>
    <t>DanahÃ­</t>
  </si>
  <si>
    <t>Canett</t>
  </si>
  <si>
    <t>https://www.linkedin.com/in/danahÃ­-canett-a16163202</t>
  </si>
  <si>
    <t>danahi.canett@priceshoes.com</t>
  </si>
  <si>
    <t>52 477 710 6200</t>
  </si>
  <si>
    <t>Sub Director - E-Commerce &amp; Digital Businesses</t>
  </si>
  <si>
    <t>https://www.linkedin.com/in/rodrigomartineztenorio</t>
  </si>
  <si>
    <t>rodrigo.martinez@priceshoes.com</t>
  </si>
  <si>
    <t>Gamarra</t>
  </si>
  <si>
    <t>Executive Director - E-Commerce &amp; Digital Business</t>
  </si>
  <si>
    <t>https://www.linkedin.com/in/aldogamarrav</t>
  </si>
  <si>
    <t>aldo.gamarra@priceshoes.com</t>
  </si>
  <si>
    <t>52 55 6392 4080</t>
  </si>
  <si>
    <t xml:space="preserve">Fabiola </t>
  </si>
  <si>
    <t xml:space="preserve">Lazo </t>
  </si>
  <si>
    <t>eCommerce KAE</t>
  </si>
  <si>
    <t>flazo@prinsel.com</t>
  </si>
  <si>
    <t>prinsel.com.mx</t>
  </si>
  <si>
    <t xml:space="preserve">Ruben </t>
  </si>
  <si>
    <t>https://www.linkedin.com/in/ruben-sanchez-huitron-28650622/</t>
  </si>
  <si>
    <t>rsanchezh@prinsel.com</t>
  </si>
  <si>
    <t>De la Gala</t>
  </si>
  <si>
    <t>National Digital Marketing Manager</t>
  </si>
  <si>
    <t>https://www.linkedin.com/in/ACwAAA3LD28BUzIHWsA8E7FqrylrgsS_rF_dHfc</t>
  </si>
  <si>
    <t>52 81 8378 4678</t>
  </si>
  <si>
    <t>prodynamics.com.mx</t>
  </si>
  <si>
    <t>https://www.linkedin.com/in/angelescalderon</t>
  </si>
  <si>
    <t>imagenmkt@promoopcion.com</t>
  </si>
  <si>
    <t>333.673.8450</t>
  </si>
  <si>
    <t>promoopcion.com</t>
  </si>
  <si>
    <t>Gina</t>
  </si>
  <si>
    <t>Mendoza</t>
  </si>
  <si>
    <t>Sales Ops, Marketing and Ecommerce Director</t>
  </si>
  <si>
    <t>https://www.linkedin.com/in/ginamendoza</t>
  </si>
  <si>
    <t>Flores</t>
  </si>
  <si>
    <t>Head of Brand Marketing</t>
  </si>
  <si>
    <t>https://www.linkedin.com/in/migueltapiaflores</t>
  </si>
  <si>
    <t>miguel.flores@ucr.ac.cr</t>
  </si>
  <si>
    <t>52 722 481 2877</t>
  </si>
  <si>
    <t>prosic.com</t>
  </si>
  <si>
    <t>Breman</t>
  </si>
  <si>
    <t>Senior Vice President Marketing</t>
  </si>
  <si>
    <t>https://www.linkedin.com/in/matthewbreman</t>
  </si>
  <si>
    <t>oandmofficecleaning@gmail.com</t>
  </si>
  <si>
    <t>970.242.4024</t>
  </si>
  <si>
    <t>970.314.5991</t>
  </si>
  <si>
    <t>prostarcorp.com</t>
  </si>
  <si>
    <t>Stephani</t>
  </si>
  <si>
    <t>Hagembeck</t>
  </si>
  <si>
    <t>Director Mercados Masivos y Marketing</t>
  </si>
  <si>
    <t>https://www.linkedin.com/in/ACwAAAsohqsBMcS1S04B9UGB1UFvNTNwi-rhTDI</t>
  </si>
  <si>
    <t>stephanihagembeck@proteccionfamiliar.com.mx</t>
  </si>
  <si>
    <t>proteccionfamiliar.com.mx</t>
  </si>
  <si>
    <t>Becerril</t>
  </si>
  <si>
    <t>https://www.linkedin.com/in/luis-antonio-rojas-becerril-34236224</t>
  </si>
  <si>
    <t>lbecerril@puratos.com</t>
  </si>
  <si>
    <t>52 800 500 8500</t>
  </si>
  <si>
    <t>puratos.com.mx</t>
  </si>
  <si>
    <t>Lucie</t>
  </si>
  <si>
    <t>Taff</t>
  </si>
  <si>
    <t>Head Of Brands &amp; Marketing</t>
  </si>
  <si>
    <t>https://www.linkedin.com/in/lucie-taff-4b070847</t>
  </si>
  <si>
    <t>lucie@puretabletop.com</t>
  </si>
  <si>
    <t>puretabletop.com</t>
  </si>
  <si>
    <t>Marketing Manager MÃ©xico</t>
  </si>
  <si>
    <t>https://www.linkedin.com/in/francisco-rodriguezmuniz</t>
  </si>
  <si>
    <t>francisco.rodriguez@qian.mx</t>
  </si>
  <si>
    <t>qian.mx</t>
  </si>
  <si>
    <t>Taranjot</t>
  </si>
  <si>
    <t>Kaur</t>
  </si>
  <si>
    <t>Influencer Marketing Manager</t>
  </si>
  <si>
    <t>https://www.linkedin.com/in/taranjot-kaur-2b7b311a4</t>
  </si>
  <si>
    <t>52 55 1084 0378</t>
  </si>
  <si>
    <t>redlemon.com.mx</t>
  </si>
  <si>
    <t>Kara</t>
  </si>
  <si>
    <t>Kadow</t>
  </si>
  <si>
    <t>Vice President of Marketing and Business Development</t>
  </si>
  <si>
    <t>https://www.linkedin.com/in/karakadow</t>
  </si>
  <si>
    <t>karajeank@gmail.com</t>
  </si>
  <si>
    <t>425.247.0755</t>
  </si>
  <si>
    <t>714.904.8851</t>
  </si>
  <si>
    <t>regalresultsllc.com</t>
  </si>
  <si>
    <t>Sabrina</t>
  </si>
  <si>
    <t>Aspra</t>
  </si>
  <si>
    <t>Strategy, Design &amp; Marketing Director</t>
  </si>
  <si>
    <t>https://www.linkedin.com/in/sabrina-herrera-aspra-9310712</t>
  </si>
  <si>
    <t>(55) 7261 9103:55 6271 5465</t>
  </si>
  <si>
    <t>reginaromero.com</t>
  </si>
  <si>
    <t>Vivianne</t>
  </si>
  <si>
    <t>https://www.linkedin.com/in/ACwAACpkfxsBZYeZB-dEuk9LmnVDPtNAcwg2XPg</t>
  </si>
  <si>
    <t>vivianne.villegas@reginaromero.com</t>
  </si>
  <si>
    <t>Rebeca</t>
  </si>
  <si>
    <t>Huerta</t>
  </si>
  <si>
    <t>https://www.linkedin.com/in/rebeca-gonzÃ¡lez-huerta</t>
  </si>
  <si>
    <t>Zeltzin</t>
  </si>
  <si>
    <t>Quintanar</t>
  </si>
  <si>
    <t>https://www.linkedin.com/in/zeltzin-quintanar-777a661a2</t>
  </si>
  <si>
    <t>zeltzin@remediosdelbosque.com</t>
  </si>
  <si>
    <t>remediosdelbosque.com</t>
  </si>
  <si>
    <t>Berenice</t>
  </si>
  <si>
    <t>https://www.linkedin.com/in/berenice-treviÃ±o-61930683</t>
  </si>
  <si>
    <t>renattacosmetics.com</t>
  </si>
  <si>
    <t>Aftersales Marketing Manager</t>
  </si>
  <si>
    <t>https://www.linkedin.com/in/samantha-jimÃ©nez-soto-6a4a264</t>
  </si>
  <si>
    <t>samantha.soto@renault.com</t>
  </si>
  <si>
    <t>52 55 5290 0130</t>
  </si>
  <si>
    <t>renault.com.mx</t>
  </si>
  <si>
    <t>Layla</t>
  </si>
  <si>
    <t>Fraser</t>
  </si>
  <si>
    <t>Marketing and Sales Development Manager</t>
  </si>
  <si>
    <t>https://www.linkedin.com/in/laylafraser1</t>
  </si>
  <si>
    <t>layla.fraser@renogy.com</t>
  </si>
  <si>
    <t>800.330.8678</t>
  </si>
  <si>
    <t>909.287.7111</t>
  </si>
  <si>
    <t>renogy.com</t>
  </si>
  <si>
    <t>Mark</t>
  </si>
  <si>
    <t>Mathews</t>
  </si>
  <si>
    <t>Senior Channel Marketing Manager</t>
  </si>
  <si>
    <t>https://www.linkedin.com/in/markamathews</t>
  </si>
  <si>
    <t>markamathews@gmail.com</t>
  </si>
  <si>
    <t>619.252.6152</t>
  </si>
  <si>
    <t>Estefania</t>
  </si>
  <si>
    <t>Senior Product Marketing Manager</t>
  </si>
  <si>
    <t>https://www.linkedin.com/in/ariasestefania</t>
  </si>
  <si>
    <t>estefania.arias@renogy.com</t>
  </si>
  <si>
    <t xml:space="preserve">Bianca </t>
  </si>
  <si>
    <t>Reyes Arias</t>
  </si>
  <si>
    <t>https://www.linkedin.com/in/bianca-reyes-arias</t>
  </si>
  <si>
    <t>562.862.3514</t>
  </si>
  <si>
    <t>republiccosmetics.com</t>
  </si>
  <si>
    <t>Cedillo</t>
  </si>
  <si>
    <t>Supervisor E-Commerce MÃ©xico</t>
  </si>
  <si>
    <t>https://www.linkedin.com/in/urinchomiguel</t>
  </si>
  <si>
    <t>Emiliano</t>
  </si>
  <si>
    <t>Marketing Manager (LATAM)</t>
  </si>
  <si>
    <t>https://www.linkedin.com/in/emiliano-tÃ©llez</t>
  </si>
  <si>
    <t>CÃ©sar</t>
  </si>
  <si>
    <t>Senior Head of Marketing Manager</t>
  </si>
  <si>
    <t>https://www.linkedin.com/in/cesar-pena-garcia</t>
  </si>
  <si>
    <t>cesarp@reynera.com.mx</t>
  </si>
  <si>
    <t>52 1 828 2691000</t>
  </si>
  <si>
    <t>reynera.com.mx</t>
  </si>
  <si>
    <t>VP of Marketing &amp; Innovation</t>
  </si>
  <si>
    <t>https://www.linkedin.com/in/ACwAADRA69YB5QmBZ5slQA8ZbQoaYKcIY6tzpjE</t>
  </si>
  <si>
    <t>elyalvar@hotmail.com</t>
  </si>
  <si>
    <t>Fabiola</t>
  </si>
  <si>
    <t>Fuentes</t>
  </si>
  <si>
    <t>https://www.linkedin.com/in/ACwAABMx_-YB3d2zlhjfjAKOcvRCJDeaKzxYz8w</t>
  </si>
  <si>
    <t>ffuentes@rhino.mx</t>
  </si>
  <si>
    <t>52(800) 377-8242</t>
  </si>
  <si>
    <t>rhino.mx</t>
  </si>
  <si>
    <t>Gigi</t>
  </si>
  <si>
    <t>Wang</t>
  </si>
  <si>
    <t>https://www.linkedin.com/in/gigi-wang-0977a816b</t>
  </si>
  <si>
    <t>gigi@romwe.com</t>
  </si>
  <si>
    <t>888.969.8881</t>
  </si>
  <si>
    <t>romwe.com</t>
  </si>
  <si>
    <t>Montelongo</t>
  </si>
  <si>
    <t>https://www.linkedin.com/in/ACwAAAwOfrMBdDX_N975xwLxFQ3i-oJtgKxCD4c</t>
  </si>
  <si>
    <t>samuel.orta.m@gmail.com</t>
  </si>
  <si>
    <t>844.319.3011</t>
  </si>
  <si>
    <t>ror.org</t>
  </si>
  <si>
    <t>Parga</t>
  </si>
  <si>
    <t>Catalogue, Operations &amp; Inventory Supervisor (eCommerce)</t>
  </si>
  <si>
    <t>https://www.linkedin.com/in/mariana-morales-parga-72447358</t>
  </si>
  <si>
    <t>rounderwear.com</t>
  </si>
  <si>
    <t>Lena</t>
  </si>
  <si>
    <t>Jonsson</t>
  </si>
  <si>
    <t>VP of Sales and Marketing</t>
  </si>
  <si>
    <t>https://www.linkedin.com/in/lena-jonsson-6965218</t>
  </si>
  <si>
    <t>727.535.9600</t>
  </si>
  <si>
    <t>727.568.0909</t>
  </si>
  <si>
    <t>rumex.net</t>
  </si>
  <si>
    <t>Manager</t>
  </si>
  <si>
    <t>Co</t>
  </si>
  <si>
    <t>Business Development and Marketing Director</t>
  </si>
  <si>
    <t>https://www.linkedin.com/in/manager-international-co-a2583811a</t>
  </si>
  <si>
    <t>Charlotte</t>
  </si>
  <si>
    <t>Bell</t>
  </si>
  <si>
    <t>charlotteb@salamanderpumps.co.uk</t>
  </si>
  <si>
    <t>44.191.516.2002</t>
  </si>
  <si>
    <t>0191 516 2002</t>
  </si>
  <si>
    <t>salamanderpumps.co.uk</t>
  </si>
  <si>
    <t>Claire</t>
  </si>
  <si>
    <t>clairet@salamanderpumps.co.uk</t>
  </si>
  <si>
    <t>0778 631 1820</t>
  </si>
  <si>
    <t>Julia</t>
  </si>
  <si>
    <t>Vasileva</t>
  </si>
  <si>
    <t>https://www.linkedin.com/in/julia-vasileva-23422868</t>
  </si>
  <si>
    <t>juliav@salamanderpumps.co.uk</t>
  </si>
  <si>
    <t>RaÃºl</t>
  </si>
  <si>
    <t>Dentchuk</t>
  </si>
  <si>
    <t>https://www.linkedin.com/in/ACwAABO2u9YBAip8APJd_vNBg-5GMilPEdyTBBQ</t>
  </si>
  <si>
    <t>323.923.9008</t>
  </si>
  <si>
    <t>salud-digna.org</t>
  </si>
  <si>
    <t>Steph</t>
  </si>
  <si>
    <t>Meza</t>
  </si>
  <si>
    <t>https://www.linkedin.com/in/steph-meza-b72795192</t>
  </si>
  <si>
    <t>https://www.linkedin.com/in/ACwAAAUD1v4B21-Dl79xNtK4_PTe_CWe7Ju0_WQ</t>
  </si>
  <si>
    <t>Bojorquez</t>
  </si>
  <si>
    <t>https://www.linkedin.com/in/marÃ­a-josÃ©-castillo-bojorquez-8251a711a</t>
  </si>
  <si>
    <t>52 55 1822 0384</t>
  </si>
  <si>
    <t>samawifi.com.mx</t>
  </si>
  <si>
    <t>Tammye</t>
  </si>
  <si>
    <t>Team lead over marketing for SAMs club</t>
  </si>
  <si>
    <t>https://www.linkedin.com/in/tammye-riley-993ba74a</t>
  </si>
  <si>
    <t>tammye.riley@samsclub.com</t>
  </si>
  <si>
    <t>479.621.5537</t>
  </si>
  <si>
    <t>samsclub.com</t>
  </si>
  <si>
    <t>Lonnie</t>
  </si>
  <si>
    <t>Murrillo</t>
  </si>
  <si>
    <t>https://www.linkedin.com/in/lonnie-murrillo-06386478</t>
  </si>
  <si>
    <t>lonnie.murrillo@samsclub.com</t>
  </si>
  <si>
    <t>Gilbert</t>
  </si>
  <si>
    <t>https://www.linkedin.com/in/brenda-gilbert-56724513b</t>
  </si>
  <si>
    <t>brenda.gilbert@samsclub.com</t>
  </si>
  <si>
    <t>Brooke</t>
  </si>
  <si>
    <t>Marketing Team Lead</t>
  </si>
  <si>
    <t>https://www.linkedin.com/in/brooke-brooke-71348699</t>
  </si>
  <si>
    <t>brooke.brooke@samsclub.com</t>
  </si>
  <si>
    <t>Rory</t>
  </si>
  <si>
    <t>https://www.linkedin.com/in/rory-davis-9573487a</t>
  </si>
  <si>
    <t>rory.davis@samsclub.com</t>
  </si>
  <si>
    <t>Facundo</t>
  </si>
  <si>
    <t>Forgione</t>
  </si>
  <si>
    <t>https://www.linkedin.com/in/facundo-forgione-241327100</t>
  </si>
  <si>
    <t>facundo.forgione@samsonite.com</t>
  </si>
  <si>
    <t>352 50 88 51 1400</t>
  </si>
  <si>
    <t>samsonite.com</t>
  </si>
  <si>
    <t>Ferrara</t>
  </si>
  <si>
    <t>https://www.linkedin.com/in/nicole-ferrara-mba-972a381a2</t>
  </si>
  <si>
    <t>nicole.ferrara@samsonite.com</t>
  </si>
  <si>
    <t>82 31-200-1114</t>
  </si>
  <si>
    <t>61 3 9549 3400</t>
  </si>
  <si>
    <t>Tomas</t>
  </si>
  <si>
    <t>Laurito</t>
  </si>
  <si>
    <t>mbo Foreign trade commerce</t>
  </si>
  <si>
    <t>https://www.linkedin.com/in/tomas-laurito-53524a20</t>
  </si>
  <si>
    <t>samsung.com</t>
  </si>
  <si>
    <t>Yow</t>
  </si>
  <si>
    <t>E Commerce</t>
  </si>
  <si>
    <t>https://www.linkedin.com/in/jessica-yow-22478b76</t>
  </si>
  <si>
    <t>201.229.4000</t>
  </si>
  <si>
    <t>Tarr</t>
  </si>
  <si>
    <t>Vice President Marketing Operations</t>
  </si>
  <si>
    <t>https://www.linkedin.com/in/michelle-tarr-306a35203</t>
  </si>
  <si>
    <t>m.tarr@sea.samsung.com</t>
  </si>
  <si>
    <t>800.726.7864</t>
  </si>
  <si>
    <t>MarLa</t>
  </si>
  <si>
    <t>Noriega</t>
  </si>
  <si>
    <t>https://www.linkedin.com/in/marla-noriega-358a3183</t>
  </si>
  <si>
    <t>5255 58043700</t>
  </si>
  <si>
    <t>santory.com.mx</t>
  </si>
  <si>
    <t>Director Operaciones / Ventas / Marketing / Recursos Humanos</t>
  </si>
  <si>
    <t>https://www.linkedin.com/in/fernando-vera-delgado-aa222651</t>
  </si>
  <si>
    <t>verafernando@hotmail.com</t>
  </si>
  <si>
    <t>Palomino</t>
  </si>
  <si>
    <t>https://www.linkedin.com/in/juan-grimaldo-palomino-1b4a9817a</t>
  </si>
  <si>
    <t>juan@sarellysarelly.com</t>
  </si>
  <si>
    <t>sarellysarelly.com</t>
  </si>
  <si>
    <t>Nathaniel</t>
  </si>
  <si>
    <t>Smith</t>
  </si>
  <si>
    <t>https://www.linkedin.com/in/realnathanielsmith</t>
  </si>
  <si>
    <t>nate@scottsbasslessons.com</t>
  </si>
  <si>
    <t>646.303.4771</t>
  </si>
  <si>
    <t>scottsbasslessons.com</t>
  </si>
  <si>
    <t>Limones</t>
  </si>
  <si>
    <t>Head of Innovation &amp; Digital Connection</t>
  </si>
  <si>
    <t>https://www.linkedin.com/in/augusto-limones</t>
  </si>
  <si>
    <t>mlimones@sdindustrial.com.mx</t>
  </si>
  <si>
    <t>52 (81) 8100-9100</t>
  </si>
  <si>
    <t>sdindustrial.com.mx</t>
  </si>
  <si>
    <t>Pombo</t>
  </si>
  <si>
    <t>Digital Paid Media Lead</t>
  </si>
  <si>
    <t>https://www.linkedin.com/in/rominapombo</t>
  </si>
  <si>
    <t>rpombo@grupoaxo.com</t>
  </si>
  <si>
    <t>sephora.com.mx</t>
  </si>
  <si>
    <t>Scarlett</t>
  </si>
  <si>
    <t>Middleton</t>
  </si>
  <si>
    <t>Director of E-Commerce</t>
  </si>
  <si>
    <t>https://www.linkedin.com/in/ACwAAEMoFXUBO0llkU09G8yFwI9_Hp_fhI1R4CM</t>
  </si>
  <si>
    <t>smiddleton@shasa.com</t>
  </si>
  <si>
    <t>281.465.8039</t>
  </si>
  <si>
    <t>shasa.com</t>
  </si>
  <si>
    <t>Anna</t>
  </si>
  <si>
    <t>Li</t>
  </si>
  <si>
    <t>https://www.linkedin.com/in/ACwAAEMNHaEBNrwOSUTUY1Og1iAlPO1lkBQ-1Po</t>
  </si>
  <si>
    <t>ali@shasa.com</t>
  </si>
  <si>
    <t>Vivian</t>
  </si>
  <si>
    <t>Su</t>
  </si>
  <si>
    <t>https://www.linkedin.com/in/ACwAAATUDawBtYPfqW1SyFCesYsQ2IGsEvQiLIw</t>
  </si>
  <si>
    <t>Head of Marketing &amp; Merchandising</t>
  </si>
  <si>
    <t>https://www.linkedin.com/in/gabriela-fragoso-803b6730</t>
  </si>
  <si>
    <t>gbfragoso@gmail.com</t>
  </si>
  <si>
    <t>521-808-735-5122</t>
  </si>
  <si>
    <t>Bustamante</t>
  </si>
  <si>
    <t>Digital Marketing &amp; eCommerce Manager</t>
  </si>
  <si>
    <t>https://www.linkedin.com/in/ana-karen-bustamante-marketing-digital</t>
  </si>
  <si>
    <t>shyla.com</t>
  </si>
  <si>
    <t>Eliseo</t>
  </si>
  <si>
    <t>ArÃ©chiga</t>
  </si>
  <si>
    <t>https://www.linkedin.com/in/eliseodediosmx</t>
  </si>
  <si>
    <t>eliseo@sicar.mx</t>
  </si>
  <si>
    <t>52 3173826696</t>
  </si>
  <si>
    <t>sicar.mx</t>
  </si>
  <si>
    <t>Osciel</t>
  </si>
  <si>
    <t>Villafranca</t>
  </si>
  <si>
    <t>VP Commercial Sales and Marketing</t>
  </si>
  <si>
    <t>https://www.linkedin.com/in/ACwAAATUCPABzWLm9Q5nX8d-NE9p6IaffPeTtZo</t>
  </si>
  <si>
    <t>52 55 5650 6909</t>
  </si>
  <si>
    <t>sigmafoodservice.com</t>
  </si>
  <si>
    <t>Coordinador de marketing / Inbound Marketing Manager</t>
  </si>
  <si>
    <t>https://www.linkedin.com/in/ACwAAB3NRIcBftgQ0ZznDGWFJycgrADzM6AWREc</t>
  </si>
  <si>
    <t>signalhire.com</t>
  </si>
  <si>
    <t>Pato</t>
  </si>
  <si>
    <t>https://www.linkedin.com/in/pato-jimenez-a65860121</t>
  </si>
  <si>
    <t>52 9993410700</t>
  </si>
  <si>
    <t>sipse.com</t>
  </si>
  <si>
    <t>Darany</t>
  </si>
  <si>
    <t>Digital Marketing &amp; E-Commerce Manager</t>
  </si>
  <si>
    <t>https://www.linkedin.com/in/darany-alejandre-cortez</t>
  </si>
  <si>
    <t>Valentina</t>
  </si>
  <si>
    <t>Christlieb</t>
  </si>
  <si>
    <t>Head of Marketing and Communications</t>
  </si>
  <si>
    <t>https://www.linkedin.com/in/vchristlieb</t>
  </si>
  <si>
    <t>52 33 4737 5013</t>
  </si>
  <si>
    <t>sisnova.com.mx</t>
  </si>
  <si>
    <t>Marlee</t>
  </si>
  <si>
    <t>Seidman</t>
  </si>
  <si>
    <t>Cofounder, Marketing Director</t>
  </si>
  <si>
    <t>https://www.linkedin.com/in/marlee-seidman</t>
  </si>
  <si>
    <t>marlee@smartfilter.com.mx</t>
  </si>
  <si>
    <t>smartfilter.com.mx</t>
  </si>
  <si>
    <t>Cuellar</t>
  </si>
  <si>
    <t>CMO &amp; Co-Founder</t>
  </si>
  <si>
    <t>https://www.linkedin.com/in/alexascuellar</t>
  </si>
  <si>
    <t>alejandra@snowballpartners.mx</t>
  </si>
  <si>
    <t>238.121.6409</t>
  </si>
  <si>
    <t>snowballpartners.mx</t>
  </si>
  <si>
    <t>Christoff</t>
  </si>
  <si>
    <t>https://www.linkedin.com/in/christoff-leon-18425044</t>
  </si>
  <si>
    <t>soarma.com</t>
  </si>
  <si>
    <t>Gomez</t>
  </si>
  <si>
    <t>Head Of Ecommerce &amp; Omnichannel Retail</t>
  </si>
  <si>
    <t>https://www.linkedin.com/in/marcela-gomez</t>
  </si>
  <si>
    <t>gomez.marcela@hotmail.com</t>
  </si>
  <si>
    <t>sodimac.com.mx</t>
  </si>
  <si>
    <t>Carlo</t>
  </si>
  <si>
    <t>De Ita</t>
  </si>
  <si>
    <t>https://www.linkedin.com/in/carlo-magno-de-ita-98b280124</t>
  </si>
  <si>
    <t>carlo.mg@gmail.com</t>
  </si>
  <si>
    <t>someonesomewhere.mx</t>
  </si>
  <si>
    <t>Eva</t>
  </si>
  <si>
    <t>eCommerce Lead</t>
  </si>
  <si>
    <t>https://www.linkedin.com/in/eva-lopez-duenas</t>
  </si>
  <si>
    <t>eva@someonesomewhere.mx</t>
  </si>
  <si>
    <t>Ethan</t>
  </si>
  <si>
    <t>Marketing &amp; Comms Manager North America</t>
  </si>
  <si>
    <t>https://www.linkedin.com/in/ettwas</t>
  </si>
  <si>
    <t>ethan@someonesomewhere.mx</t>
  </si>
  <si>
    <t>Joe</t>
  </si>
  <si>
    <t>Asai</t>
  </si>
  <si>
    <t>Sr Director Marketing</t>
  </si>
  <si>
    <t>https://www.linkedin.com/in/joe-asai-579072240</t>
  </si>
  <si>
    <t>joe.asai@am.sony.com</t>
  </si>
  <si>
    <t>52 33 3121 6483</t>
  </si>
  <si>
    <t>sony.com.mx</t>
  </si>
  <si>
    <t>Anne-Sophie</t>
  </si>
  <si>
    <t>Hebert</t>
  </si>
  <si>
    <t>Vice-President Sales &amp; Marketing ITD division</t>
  </si>
  <si>
    <t>https://www.linkedin.com/in/anne-sophie-hebert-71522b3</t>
  </si>
  <si>
    <t>ahebert@souriau.com</t>
  </si>
  <si>
    <t>33-1 30 84 77 99</t>
  </si>
  <si>
    <t>33 1 30 84 77 41</t>
  </si>
  <si>
    <t>souriau.com</t>
  </si>
  <si>
    <t>Anne Marie</t>
  </si>
  <si>
    <t>Andrews</t>
  </si>
  <si>
    <t>https://www.linkedin.com/in/anne-marie-andrews-24105015</t>
  </si>
  <si>
    <t>717.767.6705</t>
  </si>
  <si>
    <t>James</t>
  </si>
  <si>
    <t>Huxley</t>
  </si>
  <si>
    <t>Digital Marketing &amp; Community Manager</t>
  </si>
  <si>
    <t>https://www.linkedin.com/in/ACwAAAFZ9D8BAwKuHNI8q_Sh2Ou5TpfGH5ZSM9M</t>
  </si>
  <si>
    <t>saintsandsonnets@gmail.com</t>
  </si>
  <si>
    <t>specialyoga.co.uk</t>
  </si>
  <si>
    <t>Loren</t>
  </si>
  <si>
    <t>Williams</t>
  </si>
  <si>
    <t>https://www.linkedin.com/in/loren-williams-b9a871173</t>
  </si>
  <si>
    <t>loren@spoiledsweetboutique.com</t>
  </si>
  <si>
    <t>901.757.9797</t>
  </si>
  <si>
    <t>spoiledsweetboutique.com</t>
  </si>
  <si>
    <t>Cisneros</t>
  </si>
  <si>
    <t>Head of Marketing, Sponsorship and E-commerce</t>
  </si>
  <si>
    <t>https://www.linkedin.com/in/omar-cisneros</t>
  </si>
  <si>
    <t>sporelli.com.mx</t>
  </si>
  <si>
    <t>Director comercial, marketing, nuevos negocios y experiencia del cliente</t>
  </si>
  <si>
    <t>https://www.linkedin.com/in/vegacecilia</t>
  </si>
  <si>
    <t>cecivegaislas@gmail.com</t>
  </si>
  <si>
    <t>52-55-5481 7777</t>
  </si>
  <si>
    <t>551.866.0742</t>
  </si>
  <si>
    <t>sportsworld.com.mx</t>
  </si>
  <si>
    <t>German</t>
  </si>
  <si>
    <t>Fernandez</t>
  </si>
  <si>
    <t>https://www.linkedin.com/in/german-fernandez-112a5b23</t>
  </si>
  <si>
    <t>gfernandez@springair.com.mx</t>
  </si>
  <si>
    <t>springair.com.mx</t>
  </si>
  <si>
    <t>Homero</t>
  </si>
  <si>
    <t>Cruz</t>
  </si>
  <si>
    <t>Head of Sales and Marketing of Sleep systems</t>
  </si>
  <si>
    <t>https://www.linkedin.com/in/homero-flores-cruz-20757749</t>
  </si>
  <si>
    <t>hcruz@springair.com.mx</t>
  </si>
  <si>
    <t>Ehrenstrom</t>
  </si>
  <si>
    <t>https://www.linkedin.com/in/kevinehrenstrom</t>
  </si>
  <si>
    <t>kevin.ehrenstrom@zibcg.com</t>
  </si>
  <si>
    <t>square.site</t>
  </si>
  <si>
    <t>Owejan</t>
  </si>
  <si>
    <t>https://www.linkedin.com/in/lynnowejan</t>
  </si>
  <si>
    <t>lynn.owejan@asu.edu</t>
  </si>
  <si>
    <t>Farisa</t>
  </si>
  <si>
    <t>Alam</t>
  </si>
  <si>
    <t>https://www.linkedin.com/in/alamfarisa</t>
  </si>
  <si>
    <t>farisa.alam@asu.edu</t>
  </si>
  <si>
    <t>716.830.9523</t>
  </si>
  <si>
    <t>Xi</t>
  </si>
  <si>
    <t>Head of Marketing Analytics &amp; Marketing Operations</t>
  </si>
  <si>
    <t>https://www.linkedin.com/in/xiwangci</t>
  </si>
  <si>
    <t>xwang@squarespace.com</t>
  </si>
  <si>
    <t>646.580.3456</t>
  </si>
  <si>
    <t>313.829.7507</t>
  </si>
  <si>
    <t>squarespace.com</t>
  </si>
  <si>
    <t>Gisela</t>
  </si>
  <si>
    <t>Sastre</t>
  </si>
  <si>
    <t>https://www.linkedin.com/in/ACwAAD2N9T8BxEGxYRgKx5B-mt2dl6wQxESUGYI</t>
  </si>
  <si>
    <t>gsastre@steelcase.com</t>
  </si>
  <si>
    <t>616.247.2710</t>
  </si>
  <si>
    <t>steelcase.com</t>
  </si>
  <si>
    <t>https://www.linkedin.com/in/juan-carlos-lira-luna</t>
  </si>
  <si>
    <t>juancarlosliraluna@gmail.com</t>
  </si>
  <si>
    <t>305.964.8930</t>
  </si>
  <si>
    <t>subeagenciadigital.com</t>
  </si>
  <si>
    <t>Alegre</t>
  </si>
  <si>
    <t>Director Creativo Digital</t>
  </si>
  <si>
    <t>https://www.linkedin.com/in/ACwAABSZdnsBdLMGZTuaOekgV40ksZlQTv6EU9o</t>
  </si>
  <si>
    <t>galegre@subeagenciadigital.com</t>
  </si>
  <si>
    <t>Gerente de cuentas especiales, digital marketing manager</t>
  </si>
  <si>
    <t>https://www.linkedin.com/in/ACwAAAIo-EsBp8LaW-tE7PNzwBtG_PLm1gN0LSA</t>
  </si>
  <si>
    <t>ivan.rojas@subitus.com</t>
  </si>
  <si>
    <t>Subitus S.a. De C.V.</t>
  </si>
  <si>
    <t>Pat</t>
  </si>
  <si>
    <t>Ross</t>
  </si>
  <si>
    <t>https://www.linkedin.com/in/pat-ross-39bb974</t>
  </si>
  <si>
    <t>pross@jardencs.com</t>
  </si>
  <si>
    <t>561.912.4100</t>
  </si>
  <si>
    <t>781.631.8105</t>
  </si>
  <si>
    <t>sunbeam.com</t>
  </si>
  <si>
    <t>ValdÃ©s</t>
  </si>
  <si>
    <t>Marketing Manager Retail MÃ©xico</t>
  </si>
  <si>
    <t>https://www.linkedin.com/in/mau-valdes</t>
  </si>
  <si>
    <t>mauricio.valdes@sunglasshut.com</t>
  </si>
  <si>
    <t>800.786.4527</t>
  </si>
  <si>
    <t>sunglasshut.com</t>
  </si>
  <si>
    <t>Saha</t>
  </si>
  <si>
    <t>Glassmall</t>
  </si>
  <si>
    <t>https://www.linkedin.com/in/saha-glassmall-993a05241</t>
  </si>
  <si>
    <t>saha.glassmall@sunglasshut.com</t>
  </si>
  <si>
    <t>Conner</t>
  </si>
  <si>
    <t>Yoon</t>
  </si>
  <si>
    <t>https://www.linkedin.com/in/conner-yoon-7450031a0</t>
  </si>
  <si>
    <t>cyoon@sunglasshut.com</t>
  </si>
  <si>
    <t>390.286.3341</t>
  </si>
  <si>
    <t>Tomi</t>
  </si>
  <si>
    <t>Dinsman</t>
  </si>
  <si>
    <t>Regional Director of Sales and Marketing</t>
  </si>
  <si>
    <t>https://www.linkedin.com/in/tomi-sue-dinsman-73833b20</t>
  </si>
  <si>
    <t>tomisue@sunorabacanora.com</t>
  </si>
  <si>
    <t>sunorabacanora.com</t>
  </si>
  <si>
    <t>Cruzalta</t>
  </si>
  <si>
    <t>Executive Director Sales, E-commerce &amp; Marketing</t>
  </si>
  <si>
    <t>https://www.linkedin.com/in/veronica-sanchez-cruzalta-69a72432</t>
  </si>
  <si>
    <t>veronicacruzalta@hotmail.com</t>
  </si>
  <si>
    <t>52(81)1292-7000</t>
  </si>
  <si>
    <t>supercolchones.com.mx</t>
  </si>
  <si>
    <t>https://www.linkedin.com/in/ACwAABlJtS8BShyFtMZn_oau4x7d1dk3asojzNM</t>
  </si>
  <si>
    <t>raul@supermaterias.com</t>
  </si>
  <si>
    <t>01-(55)-5350-5520</t>
  </si>
  <si>
    <t>52 55 5350 5520</t>
  </si>
  <si>
    <t>supermaterias.com</t>
  </si>
  <si>
    <t>https://www.linkedin.com/in/ACwAADY4yo0BZ8xk0npat7pYW4fDk32rCRXlTJ0</t>
  </si>
  <si>
    <t>alonso.ramos@surtidoradepartamental.com</t>
  </si>
  <si>
    <t>52 33 8000 6300</t>
  </si>
  <si>
    <t>52 33 8526 2400</t>
  </si>
  <si>
    <t>surtidoradepartamental.com</t>
  </si>
  <si>
    <t>https://www.linkedin.com/in/mauricio-david-padilla-romero-9ab8826a</t>
  </si>
  <si>
    <t>mauricio.romero@surtidoradepartamental.com</t>
  </si>
  <si>
    <t>331.294.9684</t>
  </si>
  <si>
    <t>https://www.linkedin.com/in/cesar-padilla-romero</t>
  </si>
  <si>
    <t>cromero@surtidoradepartamental.com</t>
  </si>
  <si>
    <t>Nazaed</t>
  </si>
  <si>
    <t>Salinas</t>
  </si>
  <si>
    <t>https://www.linkedin.com/in/nazaed-salinas-a7302a161</t>
  </si>
  <si>
    <t>n.salinas@surtidorelectrico.com</t>
  </si>
  <si>
    <t>52 81 8221 5100</t>
  </si>
  <si>
    <t>surtidorelectrico.com.mx</t>
  </si>
  <si>
    <t>Cuquis</t>
  </si>
  <si>
    <t>https://www.linkedin.com/in/ACwAAAPa5WMBDOi7q90TG2zy-0-kNyR2YSmPRYk</t>
  </si>
  <si>
    <t>cukismichelg@outlook.com</t>
  </si>
  <si>
    <t>52 222 223 7200</t>
  </si>
  <si>
    <t>syd.com.mx</t>
  </si>
  <si>
    <t>Jackson</t>
  </si>
  <si>
    <t>https://www.linkedin.com/in/jaime-jackson-87357542</t>
  </si>
  <si>
    <t>jj@syscomworld.com</t>
  </si>
  <si>
    <t>syscomworld.com</t>
  </si>
  <si>
    <t>Fania</t>
  </si>
  <si>
    <t>Aflalo-Costeja</t>
  </si>
  <si>
    <t>Director of Marketing and Communications</t>
  </si>
  <si>
    <t>https://www.linkedin.com/in/fania-aflalo-costeja-332620a9</t>
  </si>
  <si>
    <t>faflalo-costeja@syscom.com</t>
  </si>
  <si>
    <t>Tacea</t>
  </si>
  <si>
    <t>https://www.linkedin.com/in/diego-tacea-619522216</t>
  </si>
  <si>
    <t>81-1917-9397:833-385-0316</t>
  </si>
  <si>
    <t>taceamusic.com</t>
  </si>
  <si>
    <t>https://www.linkedin.com/in/rocio-bilbao-1425389</t>
  </si>
  <si>
    <t>rociobilbao@tane.com.mx</t>
  </si>
  <si>
    <t>52 222 225 0268</t>
  </si>
  <si>
    <t>tane.com</t>
  </si>
  <si>
    <t>Mukesh</t>
  </si>
  <si>
    <t>Gupta</t>
  </si>
  <si>
    <t>mukesh@tanyamoss.com</t>
  </si>
  <si>
    <t>52 55 5290 3809</t>
  </si>
  <si>
    <t>tanyamoss.com</t>
  </si>
  <si>
    <t>Baldovinos</t>
  </si>
  <si>
    <t>Gerente de Ventas y Marketing B2B (B2B Sales Manager)</t>
  </si>
  <si>
    <t>https://www.linkedin.com/in/pablobaldovinos</t>
  </si>
  <si>
    <t>pablo@tanyamoss.com</t>
  </si>
  <si>
    <t>52 55 5291 9102 ext. 133</t>
  </si>
  <si>
    <t>Alexandra</t>
  </si>
  <si>
    <t>Suvorova</t>
  </si>
  <si>
    <t>https://www.linkedin.com/in/alexaasuv</t>
  </si>
  <si>
    <t>alexandrasuvorova@outlook.com</t>
  </si>
  <si>
    <t>tapni.co</t>
  </si>
  <si>
    <t>Aleksandar</t>
  </si>
  <si>
    <t>Nikodijevic</t>
  </si>
  <si>
    <t>https://www.linkedin.com/in/aleksandarnikodijevic</t>
  </si>
  <si>
    <t>nikodijee@gmail.com</t>
  </si>
  <si>
    <t>DÃ¡valos</t>
  </si>
  <si>
    <t>https://www.linkedin.com/in/ACwAAD6FLYMBBaPxuoEbH7q9o2HF7RvmRwHtltc</t>
  </si>
  <si>
    <t>dperez@tec.mx</t>
  </si>
  <si>
    <t>52 818 358 2000</t>
  </si>
  <si>
    <t>tec.mx</t>
  </si>
  <si>
    <t>Gabriel</t>
  </si>
  <si>
    <t>Manzano</t>
  </si>
  <si>
    <t>https://www.linkedin.com/in/ACwAADfqJUkBtcSb0I3o9lE6KjLtkuRYBUi5IIA</t>
  </si>
  <si>
    <t>Hilda</t>
  </si>
  <si>
    <t>Gil</t>
  </si>
  <si>
    <t>https://www.linkedin.com/in/hilda-gil-5b251936</t>
  </si>
  <si>
    <t>hilda.gil@itesm.mx</t>
  </si>
  <si>
    <t>52 (81) 8625-6000</t>
  </si>
  <si>
    <t>Director of Marketing and Business Intelligence Department</t>
  </si>
  <si>
    <t>https://www.linkedin.com/in/claudia-quintanilla-d-18917aab</t>
  </si>
  <si>
    <t>claudia.d@itesm.mx</t>
  </si>
  <si>
    <t>Agredano</t>
  </si>
  <si>
    <t>https://www.linkedin.com/in/carlos-agredano-10947130</t>
  </si>
  <si>
    <t>carlosagredano@gmail.com</t>
  </si>
  <si>
    <t>Director of Bachelor of Marketing and Bachelor of Business Intelligence Tec Campus Puebla</t>
  </si>
  <si>
    <t>https://www.linkedin.com/in/ACwAAAGZF6MBpW-puCGzWa4JKTRKtRgS-9GqGbA</t>
  </si>
  <si>
    <t>eduardog@tec.mx</t>
  </si>
  <si>
    <t>NÃ©stor</t>
  </si>
  <si>
    <t>MÃ¡rquez</t>
  </si>
  <si>
    <t>Head Future of Business LAB Center for Digital Evolution Digital Transformation HUB.</t>
  </si>
  <si>
    <t>https://www.linkedin.com/in/nestormarquez</t>
  </si>
  <si>
    <t>nestormarquez@mac.com</t>
  </si>
  <si>
    <t>Marketing Manager &amp; PR</t>
  </si>
  <si>
    <t>https://www.linkedin.com/in/jorge-guzmÃ¡n-8so</t>
  </si>
  <si>
    <t>01 (55) 10 83 73 20</t>
  </si>
  <si>
    <t>techzone.com.mx</t>
  </si>
  <si>
    <t>https://www.linkedin.com/in/apcuadra</t>
  </si>
  <si>
    <t>Supervisor de marketing comercial</t>
  </si>
  <si>
    <t>https://www.linkedin.com/in/ACwAAC5ABj4BhfKnSysBBvKNUGOVP1kZY3ZeTs4</t>
  </si>
  <si>
    <t>tecnolite.mx</t>
  </si>
  <si>
    <t>Tendence</t>
  </si>
  <si>
    <t>Hogar</t>
  </si>
  <si>
    <t>https://www.linkedin.com/in/ACwAADLY0k0BIM89-ar7-gGZMGFmqltqjNdt5fE</t>
  </si>
  <si>
    <t>tendence.com.mx</t>
  </si>
  <si>
    <t>Cheryl</t>
  </si>
  <si>
    <t>Parry</t>
  </si>
  <si>
    <t>44 1772 671911</t>
  </si>
  <si>
    <t>thebarkingbakery.co.uk</t>
  </si>
  <si>
    <t>Bilawal</t>
  </si>
  <si>
    <t>Javed</t>
  </si>
  <si>
    <t>Digital Media Marketing Manager</t>
  </si>
  <si>
    <t>https://www.linkedin.com/in/bilawal-javed-720186221</t>
  </si>
  <si>
    <t>bilawal.javed@thehomestore.com.mx</t>
  </si>
  <si>
    <t>52 33 3121 5655</t>
  </si>
  <si>
    <t>thehomestore.com.mx</t>
  </si>
  <si>
    <t>Allie</t>
  </si>
  <si>
    <t>Russell</t>
  </si>
  <si>
    <t>https://www.linkedin.com/in/allierussell</t>
  </si>
  <si>
    <t>allie@thinkific.com</t>
  </si>
  <si>
    <t>888.832.2409</t>
  </si>
  <si>
    <t>207.445.4140</t>
  </si>
  <si>
    <t>thinkific.com</t>
  </si>
  <si>
    <t>Christie</t>
  </si>
  <si>
    <t>Horsman</t>
  </si>
  <si>
    <t>Director, Marketing Operations and Demand Centre</t>
  </si>
  <si>
    <t>https://www.linkedin.com/in/christie-e-horsman</t>
  </si>
  <si>
    <t>horsman.ce@gmail.com</t>
  </si>
  <si>
    <t>604.619.4499</t>
  </si>
  <si>
    <t>Shain</t>
  </si>
  <si>
    <t>Senior Manager, Marketing</t>
  </si>
  <si>
    <t>https://www.linkedin.com/in/nicole-shain</t>
  </si>
  <si>
    <t>Stephanie</t>
  </si>
  <si>
    <t>Sullivan</t>
  </si>
  <si>
    <t>https://www.linkedin.com/in/stephaniesullivan2</t>
  </si>
  <si>
    <t>Digital</t>
  </si>
  <si>
    <t>Consultant</t>
  </si>
  <si>
    <t>https://www.linkedin.com/in/ACwAAEgFplIBeZ7n3um1hAA8eoCkU3ne8b27FV4</t>
  </si>
  <si>
    <t>digital@thinkific.com</t>
  </si>
  <si>
    <t>Chukwuemeka</t>
  </si>
  <si>
    <t>Emeruwa</t>
  </si>
  <si>
    <t>Team Lead, Marketing &amp; Sales</t>
  </si>
  <si>
    <t>https://www.linkedin.com/in/ACwAAC3_uA0BysLM9SLMUN5w3X18203lAJkwV7o</t>
  </si>
  <si>
    <t>chukwuemeka@thinkific.com</t>
  </si>
  <si>
    <t>https://www.linkedin.com/in/lorena-gutiÃ©rrez-gutiÃ©rrez-55716ab5</t>
  </si>
  <si>
    <t>thomsonreutersmexico.com</t>
  </si>
  <si>
    <t>Nathan</t>
  </si>
  <si>
    <t>Hinshaw</t>
  </si>
  <si>
    <t>Director of Digital Product Development</t>
  </si>
  <si>
    <t>https://www.linkedin.com/in/nathanhinshaw</t>
  </si>
  <si>
    <t>nathan.hinshaw@gmail.com</t>
  </si>
  <si>
    <t>773.878.3557</t>
  </si>
  <si>
    <t>312.450.5909</t>
  </si>
  <si>
    <t>threadless.com</t>
  </si>
  <si>
    <t>Ashley</t>
  </si>
  <si>
    <t>Dickinson</t>
  </si>
  <si>
    <t>Ecommerce Digital Marketing Manager</t>
  </si>
  <si>
    <t>https://www.linkedin.com/in/aadickinson88</t>
  </si>
  <si>
    <t>morbid_moon_hme@yahoo.com</t>
  </si>
  <si>
    <t>607.425.9880</t>
  </si>
  <si>
    <t>https://www.linkedin.com/in/ACwAADvIZqMBvPO9NxncqM6ksl9qRKXIFa93VxU</t>
  </si>
  <si>
    <t>52 81 1937 0005</t>
  </si>
  <si>
    <t>ticsa.mx</t>
  </si>
  <si>
    <t>Head of Marketing and E-Commerce</t>
  </si>
  <si>
    <t>https://www.linkedin.com/in/santiago-r-75719312</t>
  </si>
  <si>
    <t>sr@tiendas3b.com</t>
  </si>
  <si>
    <t>52-5511021200</t>
  </si>
  <si>
    <t>52.55.4510.9999</t>
  </si>
  <si>
    <t>tiendas3b.com</t>
  </si>
  <si>
    <t>Zianya</t>
  </si>
  <si>
    <t>Senior Trade Marketing Manager</t>
  </si>
  <si>
    <t>https://www.linkedin.com/in/zianya-martÃ­nez-fuentes-0314ba92</t>
  </si>
  <si>
    <t>zianya@tintarella.com.mx</t>
  </si>
  <si>
    <t>tintarella.com.mx</t>
  </si>
  <si>
    <t>RubÃ©n</t>
  </si>
  <si>
    <t>Director Comercial y de Marketing</t>
  </si>
  <si>
    <t>https://www.linkedin.com/in/ACwAADyDJ1ABmwuMCRk7uQzSOhEtcWgnQbPF5hc</t>
  </si>
  <si>
    <t>ruben.cuevas@tolucafc.com</t>
  </si>
  <si>
    <t>tolucafc.com</t>
  </si>
  <si>
    <t>Chedraui</t>
  </si>
  <si>
    <t>https://www.linkedin.com/in/diego-sierra-chedraui-7b7b0b176</t>
  </si>
  <si>
    <t>52 998 840 2046</t>
  </si>
  <si>
    <t>tony.com.mx</t>
  </si>
  <si>
    <t>Schmutz</t>
  </si>
  <si>
    <t>https://www.linkedin.com/in/ACwAABPElkcBAVhO3KygM540XhOvhot7d_faOcI</t>
  </si>
  <si>
    <t>jonathanschmutz0@gmail.com</t>
  </si>
  <si>
    <t>52 999 944 1160</t>
  </si>
  <si>
    <t>33 7 67 01 70 17</t>
  </si>
  <si>
    <t>TopMusic</t>
  </si>
  <si>
    <t>https://www.linkedin.com/in/carlos-alejandro-alvarez-64b736152</t>
  </si>
  <si>
    <t>carlosa@totto.com</t>
  </si>
  <si>
    <t>571.607.8381</t>
  </si>
  <si>
    <t>55 (61) 3327-1178</t>
  </si>
  <si>
    <t>totto.com</t>
  </si>
  <si>
    <t>Christopher</t>
  </si>
  <si>
    <t>CaÃ±ar</t>
  </si>
  <si>
    <t>https://www.linkedin.com/in/christopher-caÃ±ar-9598ba165</t>
  </si>
  <si>
    <t>ccanar90@hotmail.com</t>
  </si>
  <si>
    <t>Damian</t>
  </si>
  <si>
    <t>Benvenuto</t>
  </si>
  <si>
    <t>https://www.linkedin.com/in/ACwAACRPUGEBYmvyfJzjlYhfp0nyQuTPu2pOGlU</t>
  </si>
  <si>
    <t>dbenvenuto@tracsa.com.mx</t>
  </si>
  <si>
    <t>01 800 561 4944</t>
  </si>
  <si>
    <t>tracsa.com.mx</t>
  </si>
  <si>
    <t>https://www.linkedin.com/in/robert-romero-mx</t>
  </si>
  <si>
    <t>rroberto@tracsa.com.mx</t>
  </si>
  <si>
    <t>Caroline</t>
  </si>
  <si>
    <t>https://www.linkedin.com/in/caroline-miranda-5464b456</t>
  </si>
  <si>
    <t>571.623.4500</t>
  </si>
  <si>
    <t>52(281) 884-3084</t>
  </si>
  <si>
    <t>tramontina.com.mx</t>
  </si>
  <si>
    <t>Senior Brand Marketing Manager</t>
  </si>
  <si>
    <t>https://www.linkedin.com/in/ACwAAA8eb8kBUfhIktbZkPVzuWA4qNJeAs0Pp-Q</t>
  </si>
  <si>
    <t>erick@tramontina.com.mx</t>
  </si>
  <si>
    <t>https://www.linkedin.com/in/ACwAAEk3EN4BA8YO3nifRLOjuv6ZC2oBEupdb3s</t>
  </si>
  <si>
    <t>juan.aceves@transcabo.com</t>
  </si>
  <si>
    <t>transcabo.com</t>
  </si>
  <si>
    <t>Eric</t>
  </si>
  <si>
    <t>Puszczewicz</t>
  </si>
  <si>
    <t>https://www.linkedin.com/in/eric-puszczewicz-78793212</t>
  </si>
  <si>
    <t>eric@transforming-technologies.com</t>
  </si>
  <si>
    <t>419.841.9552</t>
  </si>
  <si>
    <t>419.517.5060</t>
  </si>
  <si>
    <t>transforming-technologies.com</t>
  </si>
  <si>
    <t>https://www.linkedin.com/in/arturo-meza-212b099</t>
  </si>
  <si>
    <t>arturo.meza@travers.com.mx</t>
  </si>
  <si>
    <t>52 442-209-6600</t>
  </si>
  <si>
    <t>442.209.6600</t>
  </si>
  <si>
    <t>travers.com.mx</t>
  </si>
  <si>
    <t>https://www.linkedin.com/in/esteban-delgado</t>
  </si>
  <si>
    <t>ef.delateja@gmail.com</t>
  </si>
  <si>
    <t>52 800 717 2730</t>
  </si>
  <si>
    <t>Eguia</t>
  </si>
  <si>
    <t>https://www.linkedin.com/in/ACwAABIc1R4BSujaWKbC1zcJBmUQR2wNcQqjbwk</t>
  </si>
  <si>
    <t>ee@trespuntos.mx</t>
  </si>
  <si>
    <t>52 81 4160 0813</t>
  </si>
  <si>
    <t>TRESPUNTOS.MX</t>
  </si>
  <si>
    <t>Riva</t>
  </si>
  <si>
    <t>Project &amp; Marketing Lead</t>
  </si>
  <si>
    <t>https://www.linkedin.com/in/michelledelasota</t>
  </si>
  <si>
    <t>michelle@triciclo.mx</t>
  </si>
  <si>
    <t>558.854.7148</t>
  </si>
  <si>
    <t>triciclo.mx</t>
  </si>
  <si>
    <t>Olhovich</t>
  </si>
  <si>
    <t>Integrated Marketing Manager</t>
  </si>
  <si>
    <t>https://www.linkedin.com/in/ana-olhovich-15a667121</t>
  </si>
  <si>
    <t>ana.olhovich@troquer.com.mx</t>
  </si>
  <si>
    <t>52 (55) 40-00-09-99</t>
  </si>
  <si>
    <t>52 55 5351 4488</t>
  </si>
  <si>
    <t>troquer.com.mx</t>
  </si>
  <si>
    <t>https://www.linkedin.com/in/gabriela-bustamante-54b995246</t>
  </si>
  <si>
    <t>gabrielabustamante@tupperware.com</t>
  </si>
  <si>
    <t>tupperware.com.mx</t>
  </si>
  <si>
    <t>Head of Marketing Operations</t>
  </si>
  <si>
    <t>https://www.linkedin.com/in/alberto-gutiÃ©rrez-b4752ba9</t>
  </si>
  <si>
    <t>alberto.gutierrez@tupperware.com</t>
  </si>
  <si>
    <t>Ojinaga</t>
  </si>
  <si>
    <t>VP of Marketing</t>
  </si>
  <si>
    <t>https://www.linkedin.com/in/lourdes-plaisant-ojinaga-99926180</t>
  </si>
  <si>
    <t>lourdes.ojinaga@tupperware.com</t>
  </si>
  <si>
    <t>Arista</t>
  </si>
  <si>
    <t>Procurement Manager Americas (Sales &amp; Marketing)</t>
  </si>
  <si>
    <t>https://www.linkedin.com/in/danielroy-procurement</t>
  </si>
  <si>
    <t>danielarista@tupperware.com</t>
  </si>
  <si>
    <t>Canavati</t>
  </si>
  <si>
    <t>Head of Product Marketing</t>
  </si>
  <si>
    <t>https://www.linkedin.com/in/ana-sylvia-castro-canavati-36b7835a</t>
  </si>
  <si>
    <t>acanavati@ubits.com</t>
  </si>
  <si>
    <t>52 55 2906 8920</t>
  </si>
  <si>
    <t>ubits.com</t>
  </si>
  <si>
    <t>https://www.linkedin.com/in/juandagonzalezm</t>
  </si>
  <si>
    <t>oipli190@hotmail.com</t>
  </si>
  <si>
    <t>316.470.8006</t>
  </si>
  <si>
    <t>Espinoza</t>
  </si>
  <si>
    <t>Head of Marketing and Communications at Innovation Unit</t>
  </si>
  <si>
    <t>https://www.linkedin.com/in/ACwAABr2SOYBX_OuJGvsbEzG8A9dtEnHB_6I5ec</t>
  </si>
  <si>
    <t>fabiola.espinoza@alumnos.udg.mx</t>
  </si>
  <si>
    <t>52 (33) 3134 2222</t>
  </si>
  <si>
    <t>udg.mx</t>
  </si>
  <si>
    <t>https://www.linkedin.com/in/ACwAAB3Mm_sB3GTj1Oub34vWG0zRwWoSHRXpXug</t>
  </si>
  <si>
    <t>karla.cuevas2916@alumnos.udg.mx</t>
  </si>
  <si>
    <t>52 3326523165</t>
  </si>
  <si>
    <t>Himer</t>
  </si>
  <si>
    <t>Avila-George</t>
  </si>
  <si>
    <t>Director del Centro de InvestigaciÃ³n en Procesamiento Digital de SeÃ±ales</t>
  </si>
  <si>
    <t>https://www.linkedin.com/in/ACwAAAT9Nw0BrD59wZ0RG-u2XJQgZIRWhJ2UbCg</t>
  </si>
  <si>
    <t>375.758.0500</t>
  </si>
  <si>
    <t>PÃ¡ez</t>
  </si>
  <si>
    <t>https://www.linkedin.com/in/mauriciopaez-startup-mexico</t>
  </si>
  <si>
    <t>uey.mx</t>
  </si>
  <si>
    <t>Audrey</t>
  </si>
  <si>
    <t>Eaton</t>
  </si>
  <si>
    <t>https://www.linkedin.com/in/audrey-eaton-39a653223</t>
  </si>
  <si>
    <t>audrey.eaton@ubnt.com</t>
  </si>
  <si>
    <t>734.997.8800</t>
  </si>
  <si>
    <t>646.780.7958</t>
  </si>
  <si>
    <t>ui.com</t>
  </si>
  <si>
    <t>Garrido</t>
  </si>
  <si>
    <t>Head Of Digital Operations, IT &amp; Innovation</t>
  </si>
  <si>
    <t>https://www.linkedin.com/in/juan-manuel-pita-garrido-9599355a</t>
  </si>
  <si>
    <t>52 55 5001 8359</t>
  </si>
  <si>
    <t>umov.mx</t>
  </si>
  <si>
    <t>https://www.linkedin.com/in/ACwAABo0dzsBmiMrQmdly6boN397NGjVyMBafPk</t>
  </si>
  <si>
    <t>mini.rajkov@gmail.com</t>
  </si>
  <si>
    <t>52 55 5622 1353</t>
  </si>
  <si>
    <t>52 55 5623 2135</t>
  </si>
  <si>
    <t>unam.mx</t>
  </si>
  <si>
    <t>Director de Marketing y Publicidad</t>
  </si>
  <si>
    <t>https://www.linkedin.com/in/ACwAABt_Kw0Br2sQXqaHqAcgx1GyWv-8r55ULNw</t>
  </si>
  <si>
    <t>ph@unitam.com</t>
  </si>
  <si>
    <t>unitam.com</t>
  </si>
  <si>
    <t>Garza-Castillon</t>
  </si>
  <si>
    <t>Marketing Department Head</t>
  </si>
  <si>
    <t>https://www.linkedin.com/in/ACwAAAFMWaMBSS_FPa9YugboEH8IkC6ZFxyH3pI</t>
  </si>
  <si>
    <t>52 55 5482 1600</t>
  </si>
  <si>
    <t>up.edu.mx</t>
  </si>
  <si>
    <t>UP</t>
  </si>
  <si>
    <t>Institucional</t>
  </si>
  <si>
    <t>https://www.linkedin.com/in/ACwAACO4HxIBRCOTaDjUzcBYciQi5Jle9RjlR14</t>
  </si>
  <si>
    <t>Garza-CastillÃ³n</t>
  </si>
  <si>
    <t>Marketing Academy Head</t>
  </si>
  <si>
    <t>https://www.linkedin.com/in/ACwAAAEvknUBTE7OIRIBa5PjcXbO-FGeDqR-rhI</t>
  </si>
  <si>
    <t>Espinosa</t>
  </si>
  <si>
    <t>https://www.linkedin.com/in/ACwAAAUAX4AB8Rgkj6r5XIWTVsH-6P7IvZut3Rc</t>
  </si>
  <si>
    <t>Evelin</t>
  </si>
  <si>
    <t>Matcovich</t>
  </si>
  <si>
    <t>Product Marketing and sales Manager Latam</t>
  </si>
  <si>
    <t>https://www.linkedin.com/in/ACwAACFY4bgBq1bBPyRDaOEQlShLi7jNDVKOm3A</t>
  </si>
  <si>
    <t>evelin.matcovich@utel.edu.mx</t>
  </si>
  <si>
    <t>utel.edu.mx</t>
  </si>
  <si>
    <t>LucÃ­a</t>
  </si>
  <si>
    <t>Sbampato</t>
  </si>
  <si>
    <t>Communication &amp; Content Marketing Manager</t>
  </si>
  <si>
    <t>https://www.linkedin.com/in/ACwAAAcbg2YBA46b1mbn_OLdagQyYgw29y7P0OY</t>
  </si>
  <si>
    <t>lucia.sbampato@utel.edu.mx</t>
  </si>
  <si>
    <t>Marie</t>
  </si>
  <si>
    <t>Boivin</t>
  </si>
  <si>
    <t>Director of Sales &amp; Marketing for Canada</t>
  </si>
  <si>
    <t>https://www.linkedin.com/in/marie-boivin-b84616a</t>
  </si>
  <si>
    <t>marie.boivin@valentinmaya.com</t>
  </si>
  <si>
    <t>(52) 984 206 36 60</t>
  </si>
  <si>
    <t>valentinmaya.com</t>
  </si>
  <si>
    <t>Strategic Marketing SR &amp; B2C Manager</t>
  </si>
  <si>
    <t>https://www.linkedin.com/in/ACwAAA0KpCUBbz7zi7NC5_MUde7pDUiXQv9p8SU</t>
  </si>
  <si>
    <t>marco_yanezr@hotmail.com</t>
  </si>
  <si>
    <t>800.830.7930</t>
  </si>
  <si>
    <t>222.217.5980</t>
  </si>
  <si>
    <t>vallen.com.mx</t>
  </si>
  <si>
    <t>AgustÃ­n</t>
  </si>
  <si>
    <t>Picchi</t>
  </si>
  <si>
    <t>https://www.linkedin.com/in/ACwAACagBDwBcHgYz62cz4jdNADOfSqbdvGSjRY</t>
  </si>
  <si>
    <t>agustin@varlion.com</t>
  </si>
  <si>
    <t>34 916 79 17 22</t>
  </si>
  <si>
    <t>varlion.com</t>
  </si>
  <si>
    <t>Junuel</t>
  </si>
  <si>
    <t>https://www.linkedin.com/in/ACwAADZWtwoBHjXbF8W6pT09zWFOYavXJmtIN8M</t>
  </si>
  <si>
    <t>858.764.0520</t>
  </si>
  <si>
    <t>vento.com</t>
  </si>
  <si>
    <t>Leidy</t>
  </si>
  <si>
    <t>https://www.linkedin.com/in/ACwAABWLJrMB44Bt95kaXrnTxhJNCf_KSV55E-4</t>
  </si>
  <si>
    <t>52 449 971 0850</t>
  </si>
  <si>
    <t>52 998 887 9177</t>
  </si>
  <si>
    <t>vianney.com.mx</t>
  </si>
  <si>
    <t>Jasibe</t>
  </si>
  <si>
    <t>Social Media Manager - Marketing EstratÃ©gico</t>
  </si>
  <si>
    <t>https://www.linkedin.com/in/jasibecanedo</t>
  </si>
  <si>
    <t>jasibecanedo@outlook.com</t>
  </si>
  <si>
    <t>668.395.6525</t>
  </si>
  <si>
    <t>Cavazos</t>
  </si>
  <si>
    <t>Ecommerce and Performance Marketing Lead</t>
  </si>
  <si>
    <t>https://www.linkedin.com/in/jorgegarzacavazos</t>
  </si>
  <si>
    <t>(52 1) 33 22648842</t>
  </si>
  <si>
    <t>vidabirdman.com</t>
  </si>
  <si>
    <t>Fahimeh</t>
  </si>
  <si>
    <t>Rafiei</t>
  </si>
  <si>
    <t>https://www.linkedin.com/in/fahimeh-rafiei</t>
  </si>
  <si>
    <t>415.543.3830</t>
  </si>
  <si>
    <t>Basurto</t>
  </si>
  <si>
    <t>Commercial Strategy, Analytics &amp; Trade Marketing Sr Manager</t>
  </si>
  <si>
    <t>https://www.linkedin.com/in/mario-basurto-amezcua</t>
  </si>
  <si>
    <t>m.basurto@vidabirdman.com</t>
  </si>
  <si>
    <t>Alfonso</t>
  </si>
  <si>
    <t>https://www.linkedin.com/in/alfonso-gomezf</t>
  </si>
  <si>
    <t>a.gomez@vidabirdman.com</t>
  </si>
  <si>
    <t>Magda</t>
  </si>
  <si>
    <t>https://www.linkedin.com/in/ACwAAB-EGDcBENY2-67ZNzw-eyvF4lrDdtBo6qs</t>
  </si>
  <si>
    <t>52 664 608 6460</t>
  </si>
  <si>
    <t>vidawellnessandbeauty.com</t>
  </si>
  <si>
    <t>Front End and Digital Operations Head</t>
  </si>
  <si>
    <t>https://www.linkedin.com/in/ACwAAAadTFcBkEoPXti5HG0jfq4frCWh-1M32fY</t>
  </si>
  <si>
    <t>vinneren.com.mx</t>
  </si>
  <si>
    <t>Perales</t>
  </si>
  <si>
    <t>https://www.linkedin.com/in/claudia-perales-5a47b0192</t>
  </si>
  <si>
    <t>claudia@vinosamerica.com</t>
  </si>
  <si>
    <t>vinosamerica.com</t>
  </si>
  <si>
    <t>Paredes</t>
  </si>
  <si>
    <t>Director of Marketing and Public Relations</t>
  </si>
  <si>
    <t>https://www.linkedin.com/in/martha-paredes-5059a014</t>
  </si>
  <si>
    <t>marthaeparedes@hotmail.com</t>
  </si>
  <si>
    <t>52 646 688 1902</t>
  </si>
  <si>
    <t>61 3 9646 1457</t>
  </si>
  <si>
    <t>vinoselcielo.com</t>
  </si>
  <si>
    <t>Campos</t>
  </si>
  <si>
    <t>https://www.linkedin.com/in/lorena-campos-6283141a4</t>
  </si>
  <si>
    <t>lorena.campos@vinoteca.com</t>
  </si>
  <si>
    <t>52 81 835 79597</t>
  </si>
  <si>
    <t>vinoteca.com</t>
  </si>
  <si>
    <t>Alfredo</t>
  </si>
  <si>
    <t>Reyes</t>
  </si>
  <si>
    <t>https://www.linkedin.com/in/alfredo-gonzalez-reyes</t>
  </si>
  <si>
    <t>alfredo.reyes@vinoteca.com</t>
  </si>
  <si>
    <t>https://www.linkedin.com/in/jorge-guzmÃ¡n-11700814</t>
  </si>
  <si>
    <t>jorge.guzman@vinoteca.com</t>
  </si>
  <si>
    <t>Chief Marketing Officer at Viralfeed (CMO)</t>
  </si>
  <si>
    <t>https://www.linkedin.com/in/jalejandro112</t>
  </si>
  <si>
    <t>viralfeed.mx</t>
  </si>
  <si>
    <t>https://www.linkedin.com/in/ACwAAAkkzGEBp9DVUgSqtfZoyYuANSCt3OZ8eKk</t>
  </si>
  <si>
    <t>javier@wahu.com.mx</t>
  </si>
  <si>
    <t>wahu.com.mx</t>
  </si>
  <si>
    <t>Corina</t>
  </si>
  <si>
    <t>Marin</t>
  </si>
  <si>
    <t>https://www.linkedin.com/in/corinamarinmx</t>
  </si>
  <si>
    <t>waldos.com.mx</t>
  </si>
  <si>
    <t>Head of Marketing and Communication</t>
  </si>
  <si>
    <t>https://www.linkedin.com/in/annarrmarketing</t>
  </si>
  <si>
    <t>Otero</t>
  </si>
  <si>
    <t>Global Marketing Lead</t>
  </si>
  <si>
    <t>https://www.linkedin.com/in/ACwAABsaa_kBcYcQhYCtiHWJcmOLPBkQ4VBdc8c</t>
  </si>
  <si>
    <t>wayakit.com</t>
  </si>
  <si>
    <t>Tayla</t>
  </si>
  <si>
    <t>Norman</t>
  </si>
  <si>
    <t>https://www.linkedin.com/in/ACwAADNLFD8B_DmiAu54zRSO6OXyA2gPoYrzYwc</t>
  </si>
  <si>
    <t>866.858.0008</t>
  </si>
  <si>
    <t>wbcboxing.com</t>
  </si>
  <si>
    <t>Cooper</t>
  </si>
  <si>
    <t>https://www.linkedin.com/in/jason-cooper-0abb26201</t>
  </si>
  <si>
    <t>jason.cooper@webnode.com</t>
  </si>
  <si>
    <t>webnode.com</t>
  </si>
  <si>
    <t>Katka</t>
  </si>
  <si>
    <t>Å tarhovÃ¡</t>
  </si>
  <si>
    <t>https://www.linkedin.com/in/ACwAAAfPcpEBS421EMvIglTrl7HdmtkNdotuykI</t>
  </si>
  <si>
    <t>katka.starhova@webnode.com</t>
  </si>
  <si>
    <t>SoÅˆa</t>
  </si>
  <si>
    <t>PetruÅ¾elovÃ¡</t>
  </si>
  <si>
    <t>CMO Webnode</t>
  </si>
  <si>
    <t>https://www.linkedin.com/in/sonapetruzelova</t>
  </si>
  <si>
    <t>sp@webnode.com</t>
  </si>
  <si>
    <t>Boccia</t>
  </si>
  <si>
    <t>https://www.linkedin.com/in/ACwAABTE2goB4Q2glI0pym5hbRx-FGPrLJOrQPs</t>
  </si>
  <si>
    <t>wiautomation.com</t>
  </si>
  <si>
    <t>Riquet</t>
  </si>
  <si>
    <t>Garci-Crespo</t>
  </si>
  <si>
    <t>Director of eCommerce &amp; Customer Experience</t>
  </si>
  <si>
    <t>https://www.linkedin.com/in/riquet-zequeira</t>
  </si>
  <si>
    <t>riquet.garci-crespo@wildfork.mx</t>
  </si>
  <si>
    <t>56 9 7538 6016</t>
  </si>
  <si>
    <t>wildfork.mx</t>
  </si>
  <si>
    <t>Morley</t>
  </si>
  <si>
    <t>E-commerce Supervisor</t>
  </si>
  <si>
    <t>https://www.linkedin.com/in/sara-morley-684ab1a</t>
  </si>
  <si>
    <t>smorley@wsgc.com</t>
  </si>
  <si>
    <t>415.421.7900</t>
  </si>
  <si>
    <t>williams-sonomainc.com</t>
  </si>
  <si>
    <t>Mirjam</t>
  </si>
  <si>
    <t>Raaf</t>
  </si>
  <si>
    <t>https://www.linkedin.com/in/mirjam-raaf-853b02bb</t>
  </si>
  <si>
    <t>mirjam.raaf@winterhalter.de</t>
  </si>
  <si>
    <t>44 1908 359000</t>
  </si>
  <si>
    <t>winterhalter.com</t>
  </si>
  <si>
    <t>Cynthia</t>
  </si>
  <si>
    <t>https://www.linkedin.com/in/cynthia-villamil-ayala</t>
  </si>
  <si>
    <t>52 739 596 0909</t>
  </si>
  <si>
    <t>wiwiurka.com</t>
  </si>
  <si>
    <t>Araujo</t>
  </si>
  <si>
    <t>Admin Magento/Marketing Manager</t>
  </si>
  <si>
    <t>https://www.linkedin.com/in/alan-araujo-a0199b211</t>
  </si>
  <si>
    <t>alanaraujo@wolfsellers.com</t>
  </si>
  <si>
    <t>52 55 68191500</t>
  </si>
  <si>
    <t>wolfsellers.com</t>
  </si>
  <si>
    <t>Liz</t>
  </si>
  <si>
    <t>specialiste Ecommerce</t>
  </si>
  <si>
    <t>https://www.linkedin.com/in/dafne-s%C3%A1nchez</t>
  </si>
  <si>
    <t>liz.sanchez@workshoemart.com</t>
  </si>
  <si>
    <t>52 55 5363 0756</t>
  </si>
  <si>
    <t>workshoemart.com</t>
  </si>
  <si>
    <t>Leticia</t>
  </si>
  <si>
    <t>Blanco</t>
  </si>
  <si>
    <t>Marketing Project Manager</t>
  </si>
  <si>
    <t>https://www.linkedin.com/in/leticia-blanco-65197647</t>
  </si>
  <si>
    <t>52 55 6061 4336</t>
  </si>
  <si>
    <t>worqout.mx</t>
  </si>
  <si>
    <t>Cota</t>
  </si>
  <si>
    <t>https://www.linkedin.com/in/ACwAAAcGRdgBrgRYqHI8niDospZF_CD6_dWmaWQ</t>
  </si>
  <si>
    <t>bc.tania@hotmail.com</t>
  </si>
  <si>
    <t>521(55)67240778</t>
  </si>
  <si>
    <t>52 55 1854 9930</t>
  </si>
  <si>
    <t>wortev.com</t>
  </si>
  <si>
    <t>Hanssel</t>
  </si>
  <si>
    <t>Director of Web Marketing</t>
  </si>
  <si>
    <t>https://www.linkedin.com/in/ACwAAAFIY1EBgeBb171WLFdwHubj7HqIygTbjyU</t>
  </si>
  <si>
    <t>hanssel@t7marketing.com</t>
  </si>
  <si>
    <t>Harrison</t>
  </si>
  <si>
    <t>Schaen</t>
  </si>
  <si>
    <t>https://www.linkedin.com/in/hschaen</t>
  </si>
  <si>
    <t>hschaen@gmail.com</t>
  </si>
  <si>
    <t>714.765.5555</t>
  </si>
  <si>
    <t>714.575.7405</t>
  </si>
  <si>
    <t>x</t>
  </si>
  <si>
    <t>Oswaldo</t>
  </si>
  <si>
    <t>VicentÃ©</t>
  </si>
  <si>
    <t>Cultural Lead Digital Tranformation</t>
  </si>
  <si>
    <t>https://www.linkedin.com/in/oswaldo-vicentÃ©</t>
  </si>
  <si>
    <t>817.540.0200</t>
  </si>
  <si>
    <t>xid.com.mx</t>
  </si>
  <si>
    <t>Perri</t>
  </si>
  <si>
    <t>Director, Marketing and Communications</t>
  </si>
  <si>
    <t>https://www.linkedin.com/in/daniel-perri-06585466</t>
  </si>
  <si>
    <t>dperri@xn.com</t>
  </si>
  <si>
    <t>561.368.2408</t>
  </si>
  <si>
    <t>514.908.1835</t>
  </si>
  <si>
    <t>xn.com</t>
  </si>
  <si>
    <t>Weelen</t>
  </si>
  <si>
    <t>https://www.linkedin.com/in/jo-weelen-13922024</t>
  </si>
  <si>
    <t>jo.weelen@xnleisure.com</t>
  </si>
  <si>
    <t>44 870 803 0700</t>
  </si>
  <si>
    <t>44 345 512 0004</t>
  </si>
  <si>
    <t>xnleisure.com</t>
  </si>
  <si>
    <t>Truong</t>
  </si>
  <si>
    <t>Nhat</t>
  </si>
  <si>
    <t>https://www.linkedin.com/in/truong-le-vu-nhat-test-8b9172265-test</t>
  </si>
  <si>
    <t>xnlp.com</t>
  </si>
  <si>
    <t>Sam</t>
  </si>
  <si>
    <t>https://www.linkedin.com/in/samespinosa</t>
  </si>
  <si>
    <t>samuel.m.espinosa@gmail.com</t>
  </si>
  <si>
    <t>212.810.7001</t>
  </si>
  <si>
    <t>Craig</t>
  </si>
  <si>
    <t>Chait</t>
  </si>
  <si>
    <t>Senior Vice President Sales &amp; Marketing APAC</t>
  </si>
  <si>
    <t>https://www.linkedin.com/in/craigchait</t>
  </si>
  <si>
    <t>craig.chait@xnprotel.com</t>
  </si>
  <si>
    <t>44 333 006 6271</t>
  </si>
  <si>
    <t>61 3 9525 0525</t>
  </si>
  <si>
    <t>xnprotel.com</t>
  </si>
  <si>
    <t>Senior VP Sales &amp; Marketing APAC</t>
  </si>
  <si>
    <t>Shuo</t>
  </si>
  <si>
    <t>https://www.linkedin.com/in/shuo-chen-0233a9212</t>
  </si>
  <si>
    <t>yhjglobal.com</t>
  </si>
  <si>
    <t>LuÃ­za</t>
  </si>
  <si>
    <t>Gomes</t>
  </si>
  <si>
    <t>Country Marketing Manager - Brand Comms Growth and E-commerce</t>
  </si>
  <si>
    <t>https://www.linkedin.com/in/ACwAAAQXJNwBvJeZo_tG9FGaqfz8gznkkwAnj04</t>
  </si>
  <si>
    <t>luiza.gomes@zeb.mx</t>
  </si>
  <si>
    <t>zeb.mx</t>
  </si>
  <si>
    <t>BraÃ±a</t>
  </si>
  <si>
    <t>https://www.linkedin.com/in/luis-hernan-braÃ±a-93751737</t>
  </si>
  <si>
    <t>luis@zeb.mx</t>
  </si>
  <si>
    <t>Caro</t>
  </si>
  <si>
    <t>Growth Marketing Director</t>
  </si>
  <si>
    <t>https://www.linkedin.com/in/caro-soto-b736a827</t>
  </si>
  <si>
    <t>caro@zeb.mx</t>
  </si>
  <si>
    <t>https://www.linkedin.com/in/ACwAABBnNYgBYUCHa-bk4vqxML52J9oi31L4Nd0</t>
  </si>
  <si>
    <t>claudiasilvasolis@gmail.com</t>
  </si>
  <si>
    <t>zele.mx</t>
  </si>
  <si>
    <t>HÃ©ctor</t>
  </si>
  <si>
    <t>CastaÃ±eda</t>
  </si>
  <si>
    <t>CEO/CMO</t>
  </si>
  <si>
    <t>https://www.linkedin.com/in/hÃ©ctor-cruzado-castaÃ±eda-6a869a77</t>
  </si>
  <si>
    <t>52 (55) 1107 8421</t>
  </si>
  <si>
    <t>zoewater.com.mx</t>
  </si>
  <si>
    <t>Leonardo</t>
  </si>
  <si>
    <t>https://www.linkedin.com/in/ACwAABR3RTsBYxVvkCAuKPB5thzxh1fXpQIs3ik</t>
  </si>
  <si>
    <t>556.818.3780</t>
  </si>
  <si>
    <t>https://www.linkedin.com/in/victor-justo-alonso-2317b2b4</t>
  </si>
  <si>
    <t>evicalo9371@gmail.com</t>
  </si>
  <si>
    <t>https://www.linkedin.com/in/marianacervanteschavez</t>
  </si>
  <si>
    <t>Carmen</t>
  </si>
  <si>
    <t>Quiroga</t>
  </si>
  <si>
    <t>https://www.linkedin.com/in/carmen-quiroga-aa7ba9173</t>
  </si>
  <si>
    <t>carmen@zumbapica.com</t>
  </si>
  <si>
    <t>52 81-8336-9990</t>
  </si>
  <si>
    <t>zumbapica.com</t>
  </si>
  <si>
    <t>Coordinador de diseÃ±o eCommerce</t>
  </si>
  <si>
    <t>http://www.linkedin.com/in/patricia-v-7051b21b1</t>
  </si>
  <si>
    <t>patricia.vazquez@miniso.com.mx</t>
  </si>
  <si>
    <t>miniso</t>
  </si>
  <si>
    <t>Analisa</t>
  </si>
  <si>
    <t>Stankus</t>
  </si>
  <si>
    <t>http://www.linkedin.com/in/analisa-stankus-b13559227</t>
  </si>
  <si>
    <t>analisastankus@tommy.com</t>
  </si>
  <si>
    <t>+31 20 589 5409</t>
  </si>
  <si>
    <t>Tommy Hilfiger</t>
  </si>
  <si>
    <t>Hill</t>
  </si>
  <si>
    <t>Assistant marketing</t>
  </si>
  <si>
    <t>http://www.linkedin.com/in/olivia-hill-1b5284284</t>
  </si>
  <si>
    <t>olivia.hill@caudalie.com</t>
  </si>
  <si>
    <t>+33 2 38 81 22 72</t>
  </si>
  <si>
    <t>Caudalie</t>
  </si>
  <si>
    <t>Angelica</t>
  </si>
  <si>
    <t>Coordinar eCommerce</t>
  </si>
  <si>
    <t>http://www.linkedin.com/in/ang%c3%a9lica-ochoa-castro-5a4009ba</t>
  </si>
  <si>
    <t>angelicaochoa@blife.mx</t>
  </si>
  <si>
    <t>551-133-7037</t>
  </si>
  <si>
    <t>Blife suplementos alimenticios</t>
  </si>
  <si>
    <t>Coordinador e-Commerce</t>
  </si>
  <si>
    <t>http://www.linkedin.com/in/sandra-anah%c3%ad-lezama-p%c3%a9rez-07b827bb</t>
  </si>
  <si>
    <t>slezama@smn.com.mx</t>
  </si>
  <si>
    <t>+52 33 3810 6887</t>
  </si>
  <si>
    <t>SÃºper Naturista</t>
  </si>
  <si>
    <t>Shailesh</t>
  </si>
  <si>
    <t>Mendonca</t>
  </si>
  <si>
    <t>Head Of Marketing</t>
  </si>
  <si>
    <t>http://www.linkedin.com/in/shaileshmendonca</t>
  </si>
  <si>
    <t>shailesh.mendonca@underarmour.com</t>
  </si>
  <si>
    <t>+1 888-727-6687</t>
  </si>
  <si>
    <t>Under Armour</t>
  </si>
  <si>
    <t>Oksana</t>
  </si>
  <si>
    <t>Tsvigun</t>
  </si>
  <si>
    <t>E-commerce Director LATAM</t>
  </si>
  <si>
    <t>http://www.linkedin.com/in/oksana-tsvigun</t>
  </si>
  <si>
    <t>oktsv@pandora.net</t>
  </si>
  <si>
    <t>+45 36 72 00 44</t>
  </si>
  <si>
    <t>PANDORA</t>
  </si>
  <si>
    <t>Octavio</t>
  </si>
  <si>
    <t>Castillo</t>
  </si>
  <si>
    <t>digital marketing</t>
  </si>
  <si>
    <t>http://www.linkedin.com/in/octavio-castillo-aa49a9180</t>
  </si>
  <si>
    <t>castilloo@sanborns.com.mx</t>
  </si>
  <si>
    <t>Sanborns</t>
  </si>
  <si>
    <t>Gaskin</t>
  </si>
  <si>
    <t>E-Commerce, Digital</t>
  </si>
  <si>
    <t>http://www.linkedin.com/in/kara-gaskin-82248a56</t>
  </si>
  <si>
    <t>karagaskin@tommy.com</t>
  </si>
  <si>
    <t>Naitah</t>
  </si>
  <si>
    <t>Sales And Marketing</t>
  </si>
  <si>
    <t>http://www.linkedin.com/in/omar-naitah-55409221b</t>
  </si>
  <si>
    <t>omar@godaddy.com</t>
  </si>
  <si>
    <t>+1 480-505-8800</t>
  </si>
  <si>
    <t>GoDaddy Operating Company, LLC</t>
  </si>
  <si>
    <t>Adam</t>
  </si>
  <si>
    <t>Stevens</t>
  </si>
  <si>
    <t>Senior Marketing Director (Performance Marketing)</t>
  </si>
  <si>
    <t>http://www.linkedin.com/in/adamdstevens</t>
  </si>
  <si>
    <t>adam.stevens@godaddy.com</t>
  </si>
  <si>
    <t>Greg</t>
  </si>
  <si>
    <t>Chopko</t>
  </si>
  <si>
    <t>Vice President â€“ Menâ€™s Merchandising Outlet Stores / E-commerce</t>
  </si>
  <si>
    <t>http://www.linkedin.com/in/greg-chopko-6930567</t>
  </si>
  <si>
    <t>gregchopko@tommy.com</t>
  </si>
  <si>
    <t>Director Of Ecommerce</t>
  </si>
  <si>
    <t>http://www.linkedin.com/in/harrisonschaen</t>
  </si>
  <si>
    <t>hschaen@targus.com</t>
  </si>
  <si>
    <t>+1 714-765-5555</t>
  </si>
  <si>
    <t>Targus</t>
  </si>
  <si>
    <t>Hari</t>
  </si>
  <si>
    <t>Sugiharto</t>
  </si>
  <si>
    <t>Channel Marketing &amp; Marketing Operations</t>
  </si>
  <si>
    <t>http://www.linkedin.com/in/hari-sugiharto</t>
  </si>
  <si>
    <t>hsugiharto@targus.com</t>
  </si>
  <si>
    <t>Litchi</t>
  </si>
  <si>
    <t>Logistics and E-commerce Manager</t>
  </si>
  <si>
    <t>http://www.linkedin.com/in/elias-litchi</t>
  </si>
  <si>
    <t>miguel@fantasiasmiguel.com</t>
  </si>
  <si>
    <t>+52 55 5262 5270</t>
  </si>
  <si>
    <t>FANTASIAS MIGUEL</t>
  </si>
  <si>
    <t>Brian</t>
  </si>
  <si>
    <t>Ebert</t>
  </si>
  <si>
    <t>http://www.linkedin.com/in/brianebert38</t>
  </si>
  <si>
    <t>bebert@underarmour.com</t>
  </si>
  <si>
    <t>Ortega</t>
  </si>
  <si>
    <t>http://www.linkedin.com/in/andrea-tetlalmatzi-ortega</t>
  </si>
  <si>
    <t>andreao@nuestrosecreto.com.mx</t>
  </si>
  <si>
    <t>+52 55 5119 1732</t>
  </si>
  <si>
    <t>Nuestro Secreto</t>
  </si>
  <si>
    <t>Zarate</t>
  </si>
  <si>
    <t>Coordinadora de Ecommerce</t>
  </si>
  <si>
    <t>http://www.linkedin.com/in/alexandra-garc%c3%ada-z%c3%a1rate-46a084a8</t>
  </si>
  <si>
    <t>azarate@sallybeauty.com</t>
  </si>
  <si>
    <t>+52 33 3610 1974</t>
  </si>
  <si>
    <t>Sally Beauty MÃ©xico</t>
  </si>
  <si>
    <t>Gallardo</t>
  </si>
  <si>
    <t>Fraud Prevention and Payment Methods eCommerce Manager</t>
  </si>
  <si>
    <t>http://www.linkedin.com/in/yessica-gallardo-torres-73b030167</t>
  </si>
  <si>
    <t>yessica.torres@elpalaciodehierro.com.mx</t>
  </si>
  <si>
    <t>+52 55 5229 5400</t>
  </si>
  <si>
    <t>El Palacio de Hierro</t>
  </si>
  <si>
    <t>Ruchika</t>
  </si>
  <si>
    <t>Singh</t>
  </si>
  <si>
    <t>Deputy Manager â€“ Reconciliation (Ecommerce)</t>
  </si>
  <si>
    <t>http://www.linkedin.com/in/ruchika-singh-6922661a</t>
  </si>
  <si>
    <t>ruchika.singh@benetton.co.in</t>
  </si>
  <si>
    <t>+353 1 478 1799</t>
  </si>
  <si>
    <t>United Colors of Benetton India</t>
  </si>
  <si>
    <t>Kasen</t>
  </si>
  <si>
    <t>Sr. Advertising Copywriter</t>
  </si>
  <si>
    <t>http://www.linkedin.com/in/kasenjames</t>
  </si>
  <si>
    <t>jamesk@godaddy.com</t>
  </si>
  <si>
    <t>Turati</t>
  </si>
  <si>
    <t>Digital Marketing</t>
  </si>
  <si>
    <t>http://www.linkedin.com/in/alex-turati</t>
  </si>
  <si>
    <t>alejandro.turati@vanity.com.mx</t>
  </si>
  <si>
    <t>+52 55 5604 7533</t>
  </si>
  <si>
    <t>GRUPO VANITY</t>
  </si>
  <si>
    <t>Elorza</t>
  </si>
  <si>
    <t>Coordinadora Copy E-commerce / Marketplaces</t>
  </si>
  <si>
    <t>http://www.linkedin.com/in/monserrat-s%c3%b6hle-elorza-5987961a6</t>
  </si>
  <si>
    <t>monserrat.sohle@miniso.com.mx</t>
  </si>
  <si>
    <t>Rios</t>
  </si>
  <si>
    <t>Marketing Analyst</t>
  </si>
  <si>
    <t>http://www.linkedin.com/in/andrea-pe%c3%b1a-rios-78b33a1a0</t>
  </si>
  <si>
    <t>andrea.pena@gaiadesign.com.mx</t>
  </si>
  <si>
    <t>+52 55 1209 2150</t>
  </si>
  <si>
    <t>GAIA Design</t>
  </si>
  <si>
    <t>Palecia Larenas</t>
  </si>
  <si>
    <t>Head of Ecommerce</t>
  </si>
  <si>
    <t>albertop@sanborns.com.mx</t>
  </si>
  <si>
    <t>Analista de ventas e-commerce</t>
  </si>
  <si>
    <t>http://www.linkedin.com/in/paola-guadalupe-vargas-ramos-9593b6158</t>
  </si>
  <si>
    <t>paola.vargas@steren.com.mx</t>
  </si>
  <si>
    <t>+52 55 1516 6000</t>
  </si>
  <si>
    <t>ElectrÃ³nica Steren</t>
  </si>
  <si>
    <t>Geoffrey</t>
  </si>
  <si>
    <t>Brown</t>
  </si>
  <si>
    <t>http://www.linkedin.com/in/geoffreysbrown</t>
  </si>
  <si>
    <t>gbrown1@godaddy.com</t>
  </si>
  <si>
    <t>Vivo</t>
  </si>
  <si>
    <t>eCommerce Manager | Americas</t>
  </si>
  <si>
    <t>http://www.linkedin.com/in/sophiadevivo</t>
  </si>
  <si>
    <t>sdevivo@caudalie-usa.com</t>
  </si>
  <si>
    <t>Ecommerce</t>
  </si>
  <si>
    <t>jorge.garcia@miniso.com.mx</t>
  </si>
  <si>
    <t>+52 55 2314 1131</t>
  </si>
  <si>
    <t>Miniso MÃ©xico</t>
  </si>
  <si>
    <t>Ojeda</t>
  </si>
  <si>
    <t>http://www.linkedin.com/in/andrea-ojeda-garcia-ecommerce</t>
  </si>
  <si>
    <t>andrea.ojeda@lolyinthesky.com</t>
  </si>
  <si>
    <t>+52 55 8421 1241</t>
  </si>
  <si>
    <t>Loly in the Sky</t>
  </si>
  <si>
    <t>E-commerce Manager</t>
  </si>
  <si>
    <t>alejandro.sanchez@elpalaciodehierro.com.mx</t>
  </si>
  <si>
    <t>Julie</t>
  </si>
  <si>
    <t>Le Gallo</t>
  </si>
  <si>
    <t>julie@gaiadesign.com.mx</t>
  </si>
  <si>
    <t>Rico</t>
  </si>
  <si>
    <t>Analista de eCommerce</t>
  </si>
  <si>
    <t>http://www.linkedin.com/in/jos%c3%a9-eduardo-rico-vega-19bb1a204</t>
  </si>
  <si>
    <t>jose.rico@miniso.com.mx</t>
  </si>
  <si>
    <t>Yuvraj</t>
  </si>
  <si>
    <t>Gogia</t>
  </si>
  <si>
    <t>Deputy Manager - Digital Marketing &amp; D2C E-Commerce</t>
  </si>
  <si>
    <t>http://www.linkedin.com/in/yuvrajgogia</t>
  </si>
  <si>
    <t>y.gogia@benetton.co.in</t>
  </si>
  <si>
    <t>Viola</t>
  </si>
  <si>
    <t>Sales&amp;Marketing</t>
  </si>
  <si>
    <t>http://www.linkedin.com/in/viola-chen-7a699839</t>
  </si>
  <si>
    <t>vchen@targus.com</t>
  </si>
  <si>
    <t>Justin</t>
  </si>
  <si>
    <t>Olivares</t>
  </si>
  <si>
    <t>http://www.linkedin.com/in/justinolivares</t>
  </si>
  <si>
    <t>justin.olivares@underarmour.com</t>
  </si>
  <si>
    <t>Coordinador de Marketing Ecommerce</t>
  </si>
  <si>
    <t>http://www.linkedin.com/in/javier-castillo-martin-29573717</t>
  </si>
  <si>
    <t>javier.castillo@ccontrol.com.mx</t>
  </si>
  <si>
    <t>Woolworth</t>
  </si>
  <si>
    <t>Jessica Tapia</t>
  </si>
  <si>
    <t>Ecommerce Manager</t>
  </si>
  <si>
    <t>http://www.linkedin.com/in/jessica-tapia-l-119628a7</t>
  </si>
  <si>
    <t>jessica.tapia@farmalisto.com.mx</t>
  </si>
  <si>
    <t>+52 55 6732 1100</t>
  </si>
  <si>
    <t>Farmalisto</t>
  </si>
  <si>
    <t>Armando</t>
  </si>
  <si>
    <t>Melchor</t>
  </si>
  <si>
    <t>Marketing Specialist</t>
  </si>
  <si>
    <t>http://www.linkedin.com/in/armando-melchor-cercas-b7b858191</t>
  </si>
  <si>
    <t>armando.melchor@reginaromero.com</t>
  </si>
  <si>
    <t>+525215572619099</t>
  </si>
  <si>
    <t>Regina Romero</t>
  </si>
  <si>
    <t>Preetam</t>
  </si>
  <si>
    <t>Dhaneriya</t>
  </si>
  <si>
    <t>E-commerce merchandiser</t>
  </si>
  <si>
    <t>http://www.linkedin.com/in/preetam-dhaneriya-808a44122</t>
  </si>
  <si>
    <t>dhaneriya.preetam@benetton.com</t>
  </si>
  <si>
    <t>Fatima</t>
  </si>
  <si>
    <t>Quiusky</t>
  </si>
  <si>
    <t>E-commerce Marketplace + Retail Partnerships Manager</t>
  </si>
  <si>
    <t>http://www.linkedin.com/in/fquiusky</t>
  </si>
  <si>
    <t>fatima.quiusky@caudalie.com</t>
  </si>
  <si>
    <t>Carreno</t>
  </si>
  <si>
    <t>Encargada de logistica de e-commerce</t>
  </si>
  <si>
    <t>http://www.linkedin.com/in/yessica-carre%c3%b1o-0aa96115b</t>
  </si>
  <si>
    <t>yessica.carreno@fantasiasmiguel.com.mx</t>
  </si>
  <si>
    <t>Ecommerce at Chedraui</t>
  </si>
  <si>
    <t>aperezdl@chedraui.com.mx</t>
  </si>
  <si>
    <t>+52 55 2107 5971</t>
  </si>
  <si>
    <t>Phelps</t>
  </si>
  <si>
    <t>Creative Consultant; E-Commerce + Adaptive Clothing</t>
  </si>
  <si>
    <t>http://www.linkedin.com/in/saraphia</t>
  </si>
  <si>
    <t>sarah.phelps@tommy.com</t>
  </si>
  <si>
    <t>Debranna</t>
  </si>
  <si>
    <t>Hua</t>
  </si>
  <si>
    <t>Ecommerce Product Manager</t>
  </si>
  <si>
    <t>http://www.linkedin.com/in/debrannaj</t>
  </si>
  <si>
    <t>debranna.hua@underarmour.com</t>
  </si>
  <si>
    <t>Santin</t>
  </si>
  <si>
    <t>http://www.linkedin.com/in/jessica-de-le%c3%b3n-299979101</t>
  </si>
  <si>
    <t>jessica@enviaflores.com</t>
  </si>
  <si>
    <t>+52 800 600 1100</t>
  </si>
  <si>
    <t>EnviaFlores.com</t>
  </si>
  <si>
    <t>Marketing Subdirector</t>
  </si>
  <si>
    <t>http://www.linkedin.com/in/martha-gamboa-a3323417</t>
  </si>
  <si>
    <t>martha_gamboag@hotmail.com</t>
  </si>
  <si>
    <t>+52 1 55 4870 2413</t>
  </si>
  <si>
    <t>Suburbia</t>
  </si>
  <si>
    <t>LÃ­der desarrollador Ecommerce</t>
  </si>
  <si>
    <t>http://www.linkedin.com/in/oscar-linares-hern%c3%a1ndez-778b81165</t>
  </si>
  <si>
    <t>olinares@smn.com.mx</t>
  </si>
  <si>
    <t>+52 55 9140 2600</t>
  </si>
  <si>
    <t>Ecommerce Marketing Manager</t>
  </si>
  <si>
    <t>http://www.linkedin.com/in/raul-esparza</t>
  </si>
  <si>
    <t>Super Materias</t>
  </si>
  <si>
    <t>Halima</t>
  </si>
  <si>
    <t>Ouedghiri</t>
  </si>
  <si>
    <t>Assistante E-commerce europe</t>
  </si>
  <si>
    <t>http://www.linkedin.com/in/halima-bencherif-ouedghiri-592946229</t>
  </si>
  <si>
    <t>halima.ouedghiri@caudalie.com</t>
  </si>
  <si>
    <t>Vinod</t>
  </si>
  <si>
    <t>Principal Product Manager - eCommerce</t>
  </si>
  <si>
    <t>http://www.linkedin.com/in/vinodkaky</t>
  </si>
  <si>
    <t>vk@godaddy.com</t>
  </si>
  <si>
    <t>Parsons</t>
  </si>
  <si>
    <t>Advertising manager</t>
  </si>
  <si>
    <t>http://www.linkedin.com/in/lisa-parsons-7036367</t>
  </si>
  <si>
    <t>lparsons@godaddy.com</t>
  </si>
  <si>
    <t>Jared</t>
  </si>
  <si>
    <t>http://www.linkedin.com/in/jared-smith-6b69393b</t>
  </si>
  <si>
    <t>jwsmith@godaddy.com</t>
  </si>
  <si>
    <t>Miray</t>
  </si>
  <si>
    <t>Emir</t>
  </si>
  <si>
    <t>Product &amp; Ecommerce Manager</t>
  </si>
  <si>
    <t>http://www.linkedin.com/in/miraye</t>
  </si>
  <si>
    <t>miray.emir@caudalie.com</t>
  </si>
  <si>
    <t>+33(845) 409-0269</t>
  </si>
  <si>
    <t>Barbara</t>
  </si>
  <si>
    <t>Fanfani</t>
  </si>
  <si>
    <t>http://www.linkedin.com/in/barbara-fanfani-8a1a0015a</t>
  </si>
  <si>
    <t>barbara.fanfani@caudalie.com</t>
  </si>
  <si>
    <t>023-881-2272</t>
  </si>
  <si>
    <t>Gerente ecommerce</t>
  </si>
  <si>
    <t>http://www.linkedin.com/in/m%c3%b3nica-p%c3%a9rez-rivas-1376aa75</t>
  </si>
  <si>
    <t>monica.perez@radioshack.com.mx</t>
  </si>
  <si>
    <t>+52 55 5354 5500</t>
  </si>
  <si>
    <t>RadioShack MÃ©xico</t>
  </si>
  <si>
    <t>Bernardo</t>
  </si>
  <si>
    <t>Steinberg</t>
  </si>
  <si>
    <t>Influencer Marketing</t>
  </si>
  <si>
    <t>http://www.linkedin.com/in/bernardo-steinberg-19a3731b7</t>
  </si>
  <si>
    <t>bernardo.steinberg@steren.com.mx</t>
  </si>
  <si>
    <t>+52 571 823 7505</t>
  </si>
  <si>
    <t>e-Commerce Manager</t>
  </si>
  <si>
    <t>http://www.linkedin.com/in/alan-rend%c3%b3n-a14a0a96</t>
  </si>
  <si>
    <t>ecommerce@dormimundo.com.mx</t>
  </si>
  <si>
    <t>+52 55 5657 2099</t>
  </si>
  <si>
    <t>Dormimundo</t>
  </si>
  <si>
    <t>eCommerce Key Account Manager</t>
  </si>
  <si>
    <t>http://www.linkedin.com/in/alejandra-rico-de-la-rosa-a42371134</t>
  </si>
  <si>
    <t>alejandra@steren.com.mx</t>
  </si>
  <si>
    <t>Suraj</t>
  </si>
  <si>
    <t>Choudhary</t>
  </si>
  <si>
    <t>http://www.linkedin.com/in/suraj-choudhary-4b209215b</t>
  </si>
  <si>
    <t>schoudhary@godaddy.com</t>
  </si>
  <si>
    <t>Scott</t>
  </si>
  <si>
    <t>Matthews</t>
  </si>
  <si>
    <t>http://www.linkedin.com/in/scott-matthews-250a411aa</t>
  </si>
  <si>
    <t>smatthews@godaddy.com</t>
  </si>
  <si>
    <t>Leaw</t>
  </si>
  <si>
    <t>Director, eCommerce</t>
  </si>
  <si>
    <t>http://www.linkedin.com/in/scottleaw</t>
  </si>
  <si>
    <t>sleaw@underarmour.com</t>
  </si>
  <si>
    <t>Valeria</t>
  </si>
  <si>
    <t>Aguilar</t>
  </si>
  <si>
    <t>Gerente de E-commerce</t>
  </si>
  <si>
    <t>http://www.linkedin.com/in/valeria-aguilar-279596bb</t>
  </si>
  <si>
    <t>valeria.aguilar@reginaromero.com</t>
  </si>
  <si>
    <t>Gonvill</t>
  </si>
  <si>
    <t>soporteweb4@gonvill.com.mx</t>
  </si>
  <si>
    <t>+52 33 3837 2300</t>
  </si>
  <si>
    <t>LibrerÃ­as Gonvill</t>
  </si>
  <si>
    <t>Eugenia</t>
  </si>
  <si>
    <t>http://www.linkedin.com/in/eugenia-mejia-marketing</t>
  </si>
  <si>
    <t>emejia@prinsel.com</t>
  </si>
  <si>
    <t>+52 55 5321 4900</t>
  </si>
  <si>
    <t>Prinsel</t>
  </si>
  <si>
    <t>Amigon</t>
  </si>
  <si>
    <t>http://www.linkedin.com/in/eduardo-amig%c3%b3n-l%c3%b3pez-b15a6b30</t>
  </si>
  <si>
    <t>jamigon@bzr.com.mx</t>
  </si>
  <si>
    <t>+52 55 5518 3692</t>
  </si>
  <si>
    <t>Joyeriasbizzaro.com</t>
  </si>
  <si>
    <t>Lydia</t>
  </si>
  <si>
    <t>Zhu</t>
  </si>
  <si>
    <t>http://www.linkedin.com/in/lydia-zhu-920434a</t>
  </si>
  <si>
    <t>lzhu@underarmour.com</t>
  </si>
  <si>
    <t>Gurdian</t>
  </si>
  <si>
    <t>E-commerce Trade &amp; Analytics Specialist</t>
  </si>
  <si>
    <t>http://www.linkedin.com/in/luisa-gurdi%c3%a1n-b6b42a60</t>
  </si>
  <si>
    <t>lugur@pandora.net</t>
  </si>
  <si>
    <t>Valdez Castillo</t>
  </si>
  <si>
    <t>casc@soriana.com</t>
  </si>
  <si>
    <t>(01 81) 8329-9286</t>
  </si>
  <si>
    <t>Soriana</t>
  </si>
  <si>
    <t>Alix</t>
  </si>
  <si>
    <t>Patenotre</t>
  </si>
  <si>
    <t>E-Commerce Director</t>
  </si>
  <si>
    <t>http://www.linkedin.com/in/alix-paten%c3%b4tre-2017b350</t>
  </si>
  <si>
    <t>alix.patenotre@caudalie.com</t>
  </si>
  <si>
    <t>Hamid</t>
  </si>
  <si>
    <t>Head of eCommerce LAS</t>
  </si>
  <si>
    <t>http://www.linkedin.com/in/eduardohamid</t>
  </si>
  <si>
    <t>esilvaal@motorola.com</t>
  </si>
  <si>
    <t>+1 312-291-4000</t>
  </si>
  <si>
    <t>Motorola Mexico</t>
  </si>
  <si>
    <t>eCommerce Manager</t>
  </si>
  <si>
    <t>http://www.linkedin.com/in/h%c3%a9ctor-mart%c3%adnez-81729aa2</t>
  </si>
  <si>
    <t>hmartinez@prixz.com</t>
  </si>
  <si>
    <t>+52 55 8526 5594</t>
  </si>
  <si>
    <t>Prixz</t>
  </si>
  <si>
    <t>Ana Daniela</t>
  </si>
  <si>
    <t>Escutia Callejas Anaesca1890@Hotmail.Com</t>
  </si>
  <si>
    <t>KAM E-commerce Marketplace</t>
  </si>
  <si>
    <t>http://www.linkedin.com/in/ana-daniela-escutia-callejas-a0b358158</t>
  </si>
  <si>
    <t>aescutia@chedraui.com.mx</t>
  </si>
  <si>
    <t>+1-800-456-478-23</t>
  </si>
  <si>
    <t>Grupo Chedraui</t>
  </si>
  <si>
    <t>Alcazar</t>
  </si>
  <si>
    <t>Encargada Marketing</t>
  </si>
  <si>
    <t>carmen.alcazar@mundoin.mx</t>
  </si>
  <si>
    <t>554-192-9961</t>
  </si>
  <si>
    <t>Mundo In</t>
  </si>
  <si>
    <t>Jocelyn</t>
  </si>
  <si>
    <t>Nagy</t>
  </si>
  <si>
    <t>Director, Ecommerce</t>
  </si>
  <si>
    <t>http://www.linkedin.com/in/jocelyn-nagy-7772a71b</t>
  </si>
  <si>
    <t>jocelynnagy@tommy.com</t>
  </si>
  <si>
    <t>http://www.linkedin.com/in/rodrigoperezochoa</t>
  </si>
  <si>
    <t>rperezochoa@godaddy.com</t>
  </si>
  <si>
    <t>Sean</t>
  </si>
  <si>
    <t>Reynolds</t>
  </si>
  <si>
    <t>Vice President, eCommerce</t>
  </si>
  <si>
    <t>http://www.linkedin.com/in/seanpreynolds</t>
  </si>
  <si>
    <t>seanreynolds@tommy.com</t>
  </si>
  <si>
    <t>Gerente E-commerce</t>
  </si>
  <si>
    <t>http://www.linkedin.com/in/antonio-gregorio-vazquez</t>
  </si>
  <si>
    <t>agvazquez@juguetron.mx</t>
  </si>
  <si>
    <t>+52 55 5564 3777</t>
  </si>
  <si>
    <t>Juguetron</t>
  </si>
  <si>
    <t>Omnichannel Manager | Ecommerce Projects</t>
  </si>
  <si>
    <t>http://www.linkedin.com/in/alexgdelrio</t>
  </si>
  <si>
    <t>aguerrero@ph.com.mx</t>
  </si>
  <si>
    <t>Butron</t>
  </si>
  <si>
    <t>Marketing Supervisor</t>
  </si>
  <si>
    <t>http://www.linkedin.com/in/diana-butron-638115190</t>
  </si>
  <si>
    <t>dianabutron@logicbus.com</t>
  </si>
  <si>
    <t>+52 1 52 0323 4661</t>
  </si>
  <si>
    <t>Logicbus MÃ©xico</t>
  </si>
  <si>
    <t>Charlot</t>
  </si>
  <si>
    <t>http://www.linkedin.com/in/marie-charlot-49a6355b</t>
  </si>
  <si>
    <t>marie.charlot@caudalie.com</t>
  </si>
  <si>
    <t>Corinna</t>
  </si>
  <si>
    <t>Weidmann-Samak</t>
  </si>
  <si>
    <t>http://www.linkedin.com/in/corinna-weidmann-samak-80522267</t>
  </si>
  <si>
    <t>corinna.weidmann@godaddy.com</t>
  </si>
  <si>
    <t>Savitt</t>
  </si>
  <si>
    <t>Ecommerce and CRM Coordinator</t>
  </si>
  <si>
    <t>http://www.linkedin.com/in/brookesavitt</t>
  </si>
  <si>
    <t>brooke.savitt@caudalie.com</t>
  </si>
  <si>
    <t>Sapun</t>
  </si>
  <si>
    <t>Samarawijaya</t>
  </si>
  <si>
    <t>Ecommerce Planning Coordinator</t>
  </si>
  <si>
    <t>http://www.linkedin.com/in/sapun-samarawijaya-bb3b64a9</t>
  </si>
  <si>
    <t>sapun.samarawijaya@tommy.com</t>
  </si>
  <si>
    <t>G.</t>
  </si>
  <si>
    <t>http://www.linkedin.com/in/adam-g-283603146</t>
  </si>
  <si>
    <t>agross@godaddy.com</t>
  </si>
  <si>
    <t>Daniella</t>
  </si>
  <si>
    <t>Loza</t>
  </si>
  <si>
    <t>http://www.linkedin.com/in/daniella-loza-clausen-ab01369a</t>
  </si>
  <si>
    <t>dclausen@tommy.com</t>
  </si>
  <si>
    <t>Abi</t>
  </si>
  <si>
    <t>Laditan</t>
  </si>
  <si>
    <t>http://www.linkedin.com/in/abi-laditan</t>
  </si>
  <si>
    <t>aladitan@godaddy.com</t>
  </si>
  <si>
    <t>Pilar</t>
  </si>
  <si>
    <t>http://www.linkedin.com/in/pilar-garc%c3%ada-romo-4a337933</t>
  </si>
  <si>
    <t>pilar.r@chedraui.com.mx</t>
  </si>
  <si>
    <t>+52 55 5563 2222</t>
  </si>
  <si>
    <t>Sales and Marketing</t>
  </si>
  <si>
    <t>http://www.linkedin.com/in/christopherdbrown</t>
  </si>
  <si>
    <t>brownc@acld.org</t>
  </si>
  <si>
    <t>Shelby</t>
  </si>
  <si>
    <t>Ecommerce Omnichannel Manager</t>
  </si>
  <si>
    <t>http://www.linkedin.com/in/shelby-ramirez-9b12a248</t>
  </si>
  <si>
    <t>shelby.ramirez@dportenis.com.mx</t>
  </si>
  <si>
    <t>+52 477 713 4886</t>
  </si>
  <si>
    <t>Dportenis</t>
  </si>
  <si>
    <t>Carine</t>
  </si>
  <si>
    <t>Futselaar</t>
  </si>
  <si>
    <t>Ecommerce Planning Manager</t>
  </si>
  <si>
    <t>http://www.linkedin.com/in/carine-futselaar-998a1941</t>
  </si>
  <si>
    <t>carine.futselaar@tommy.com</t>
  </si>
  <si>
    <t>+1 212-381-3500</t>
  </si>
  <si>
    <t>Ramon</t>
  </si>
  <si>
    <t>http://www.linkedin.com/in/edsanjay</t>
  </si>
  <si>
    <t>eramon@paipai.mx</t>
  </si>
  <si>
    <t>+52 55 9155 6656</t>
  </si>
  <si>
    <t>Pai Pai</t>
  </si>
  <si>
    <t>Ecommerce and Marketing Digital manager</t>
  </si>
  <si>
    <t>http://www.linkedin.com/in/sandra-g%c3%b3mez-franco-b8937197</t>
  </si>
  <si>
    <t>atencion.clientes1@maskota.com.mx</t>
  </si>
  <si>
    <t>+52 800 910 5682</t>
  </si>
  <si>
    <t>Maskota</t>
  </si>
  <si>
    <t>Alessia</t>
  </si>
  <si>
    <t>Prez</t>
  </si>
  <si>
    <t>E-Commerce Marketing Manager</t>
  </si>
  <si>
    <t>alessia.perez@maskota.com.mx</t>
  </si>
  <si>
    <t>+52 55 9177 3300</t>
  </si>
  <si>
    <t>ZÃ¡rate</t>
  </si>
  <si>
    <t>Ecommerce Coordinator</t>
  </si>
  <si>
    <t>zarratea@sallymexico.com</t>
  </si>
  <si>
    <t>Sally Mexico</t>
  </si>
  <si>
    <t>Mona</t>
  </si>
  <si>
    <t>Leo</t>
  </si>
  <si>
    <t>http://www.linkedin.com/in/mona-leo-500179130</t>
  </si>
  <si>
    <t>mleo@godaddy.com</t>
  </si>
  <si>
    <t>Pam</t>
  </si>
  <si>
    <t>Director - Affiliates &amp; Digital Advertising</t>
  </si>
  <si>
    <t>http://www.linkedin.com/in/pam-williams-5285a2</t>
  </si>
  <si>
    <t>pwilliams@godaddy.com</t>
  </si>
  <si>
    <t>Ana Mara</t>
  </si>
  <si>
    <t>Alvarez Bujalil</t>
  </si>
  <si>
    <t>http://www.linkedin.com/in/ana-mar%c3%ada-alvarez-bujalil-00b21917</t>
  </si>
  <si>
    <t>anrojasp@chedraui.com.mx</t>
  </si>
  <si>
    <t>+52 55 4624 4515</t>
  </si>
  <si>
    <t>Grupo DECME</t>
  </si>
  <si>
    <t>Agathe</t>
  </si>
  <si>
    <t>Kalfon</t>
  </si>
  <si>
    <t>Head of e-commerce &amp; Marketing</t>
  </si>
  <si>
    <t>http://www.linkedin.com/in/agathe-kalfon-b3686836</t>
  </si>
  <si>
    <t>agathe.kalfon@salomon.com</t>
  </si>
  <si>
    <t>+52 55 3575 5163</t>
  </si>
  <si>
    <t>Salomon MÃ©xico</t>
  </si>
  <si>
    <t>Alan Gonzalez</t>
  </si>
  <si>
    <t>Head of Ecommerce LATAM</t>
  </si>
  <si>
    <t>http://www.linkedin.com/in/alan-gonzalez-arch</t>
  </si>
  <si>
    <t>algon@pandora.net</t>
  </si>
  <si>
    <t>Najera</t>
  </si>
  <si>
    <t>Gerente Contenido eCommerce</t>
  </si>
  <si>
    <t>http://www.linkedin.com/in/monserrat-n%c3%a1jera-g%c3%b3mez-5037874b</t>
  </si>
  <si>
    <t>mnajera@ph.com.mx</t>
  </si>
  <si>
    <t>Abdellatif</t>
  </si>
  <si>
    <t>Mizeb</t>
  </si>
  <si>
    <t>Developpeur SÃ©nior Ecommerce</t>
  </si>
  <si>
    <t>http://www.linkedin.com/in/abdellatif-el-mizeb-01356824</t>
  </si>
  <si>
    <t>abdellatif.mizeb@caudalie.com</t>
  </si>
  <si>
    <t>Ashutosh</t>
  </si>
  <si>
    <t>Senior General Manager E Commerce and Brand Licensing</t>
  </si>
  <si>
    <t>http://www.linkedin.com/in/ashutoshgoyal</t>
  </si>
  <si>
    <t>ashutosh.g@benetton.com</t>
  </si>
  <si>
    <t>Guilarte</t>
  </si>
  <si>
    <t>http://www.linkedin.com/in/andrea-guilarte-6b767a2a</t>
  </si>
  <si>
    <t>redesociales@cosmopolita.com.mx</t>
  </si>
  <si>
    <t>+52 55 5593 9208</t>
  </si>
  <si>
    <t>Drogueria Cosmopolita</t>
  </si>
  <si>
    <t>Juan Pablo</t>
  </si>
  <si>
    <t>Gerente de e-commerce</t>
  </si>
  <si>
    <t>http://www.linkedin.com/in/juan-pablo-velarde-83248b119</t>
  </si>
  <si>
    <t>jvelarde@dormimundo.com.mx</t>
  </si>
  <si>
    <t>Senior Director, Online Marketing &amp; Ecommerce</t>
  </si>
  <si>
    <t>http://www.linkedin.com/in/yannth</t>
  </si>
  <si>
    <t>Head Of Digital Marketing eCommerce | Omnichannel</t>
  </si>
  <si>
    <t>http://www.linkedin.com/in/javiergarcia-</t>
  </si>
  <si>
    <t>rgarcial@chedraui.com.mx</t>
  </si>
  <si>
    <t>-1756</t>
  </si>
  <si>
    <t>Resendiz</t>
  </si>
  <si>
    <t>Lider Comercial Ecommerce Belleza</t>
  </si>
  <si>
    <t>http://www.linkedin.com/in/erika-resendiz-2b379910b</t>
  </si>
  <si>
    <t>eresendiz@ph.com.mx</t>
  </si>
  <si>
    <t>Everest</t>
  </si>
  <si>
    <t>Pedrero</t>
  </si>
  <si>
    <t>E-Commerce Manager</t>
  </si>
  <si>
    <t>http://www.linkedin.com/in/everest-pedrero-2552ba6a</t>
  </si>
  <si>
    <t>epedrero@micheldomit.com</t>
  </si>
  <si>
    <t>+52 562 574 4592</t>
  </si>
  <si>
    <t>Michel Domit</t>
  </si>
  <si>
    <t>Pooja</t>
  </si>
  <si>
    <t>Tawade</t>
  </si>
  <si>
    <t>Distribution Executive and Retail &amp; E-commerce Sales Executive</t>
  </si>
  <si>
    <t>http://www.linkedin.com/in/pooja-sujay-tawade-b5b001119</t>
  </si>
  <si>
    <t>ptawade@targus.com</t>
  </si>
  <si>
    <t>Donohue</t>
  </si>
  <si>
    <t>Assistant Buyer, Womenâ€™s Ecommerce</t>
  </si>
  <si>
    <t>http://www.linkedin.com/in/julie-donohue-1a8571165</t>
  </si>
  <si>
    <t>julie.donohue@tommy.com</t>
  </si>
  <si>
    <t>Andrew</t>
  </si>
  <si>
    <t>Corkill</t>
  </si>
  <si>
    <t>Vice President, Global Marketing &amp; eCommerce</t>
  </si>
  <si>
    <t>http://www.linkedin.com/in/andrewcorkill</t>
  </si>
  <si>
    <t>acorkill@targus.com</t>
  </si>
  <si>
    <t>Recobos</t>
  </si>
  <si>
    <t>Gerente de Ecommerce</t>
  </si>
  <si>
    <t>http://www.linkedin.com/in/carolina-recobos-chavez-945059169</t>
  </si>
  <si>
    <t>carolina@airdesignusa.com</t>
  </si>
  <si>
    <t>+1 760-435-0095</t>
  </si>
  <si>
    <t>Air Design</t>
  </si>
  <si>
    <t>Kazimir</t>
  </si>
  <si>
    <t>E-Commerce Senior Copy Manager</t>
  </si>
  <si>
    <t>http://www.linkedin.com/in/kazimirkatie</t>
  </si>
  <si>
    <t>katiekazimir@tommy.com</t>
  </si>
  <si>
    <t>Rachael</t>
  </si>
  <si>
    <t>Zabkar</t>
  </si>
  <si>
    <t>Ecommerce Associate Manager</t>
  </si>
  <si>
    <t>http://www.linkedin.com/in/rachael-zabkar-8b4b04a7</t>
  </si>
  <si>
    <t>rachaelzabkar@tommy.com</t>
  </si>
  <si>
    <t>Rommel</t>
  </si>
  <si>
    <t>Subdirector de e-commerce</t>
  </si>
  <si>
    <t>http://www.linkedin.com/in/rommel-flores-ram%c3%adrez-36552521</t>
  </si>
  <si>
    <t>rommel.flores@ccontrol.com.mx</t>
  </si>
  <si>
    <t>Eduardo ArnÃºlfo</t>
  </si>
  <si>
    <t>Executive within eCommerce and Omnichannel</t>
  </si>
  <si>
    <t>http://www.linkedin.com/in/eduardo-arnulfo-garza-l%c3%b3pez-7ba26845</t>
  </si>
  <si>
    <t>egarza@chedraui.com.mx</t>
  </si>
  <si>
    <t>+55 55632222</t>
  </si>
  <si>
    <t>Cathy</t>
  </si>
  <si>
    <t>Baydianz</t>
  </si>
  <si>
    <t>Planning Manager, eCommerce</t>
  </si>
  <si>
    <t>http://www.linkedin.com/in/cathy-baydianz-93a36217</t>
  </si>
  <si>
    <t>cathybaydianz@tommy.com</t>
  </si>
  <si>
    <t>Head Of Ecommerce</t>
  </si>
  <si>
    <t>ferndanda.fragoso@epson.com.mx</t>
  </si>
  <si>
    <t>+52 55 3032 1919</t>
  </si>
  <si>
    <t>EPSON</t>
  </si>
  <si>
    <t>Palomares</t>
  </si>
  <si>
    <t>Director de TecnologÃ­a, Ecommerce &amp; Supply Chain</t>
  </si>
  <si>
    <t>http://www.linkedin.com/in/oscar-palomares-jasso-9b9a81116</t>
  </si>
  <si>
    <t>oscar.palomares@elpalaciodehierro.com.mx</t>
  </si>
  <si>
    <t>Muriel</t>
  </si>
  <si>
    <t>Matter</t>
  </si>
  <si>
    <t>Digital Virtual Merchandiser - eCom Europe</t>
  </si>
  <si>
    <t>http://www.linkedin.com/in/muriel-matter-516b43b2</t>
  </si>
  <si>
    <t>muriel.matter@tommy.com</t>
  </si>
  <si>
    <t>Chorba</t>
  </si>
  <si>
    <t>Brand &amp; Marketing</t>
  </si>
  <si>
    <t>http://www.linkedin.com/in/mike-chorba-3331bab0</t>
  </si>
  <si>
    <t>mchorba@godaddy.com</t>
  </si>
  <si>
    <t>Celine</t>
  </si>
  <si>
    <t>Andreani</t>
  </si>
  <si>
    <t>Responsable marketing</t>
  </si>
  <si>
    <t>http://www.linkedin.com/in/celine-andreani-lagneau</t>
  </si>
  <si>
    <t>celine.andreani@kompass.com</t>
  </si>
  <si>
    <t>+1 573-437-8892</t>
  </si>
  <si>
    <t>Kompass France</t>
  </si>
  <si>
    <t>Montserrat</t>
  </si>
  <si>
    <t>Lemus</t>
  </si>
  <si>
    <t>Gerente eCommerce</t>
  </si>
  <si>
    <t>http://www.linkedin.com/in/montserrat-ruiz-lemus-27a18940</t>
  </si>
  <si>
    <t>mrlemus@almacenesanfora.com.mx</t>
  </si>
  <si>
    <t>+52 55 5130 3280 ext 132</t>
  </si>
  <si>
    <t>Almacenes Anfora</t>
  </si>
  <si>
    <t>Frida</t>
  </si>
  <si>
    <t>Gachuz</t>
  </si>
  <si>
    <t>Coordinador de e-commerce</t>
  </si>
  <si>
    <t>http://www.linkedin.com/in/frida-gachuz-mercadologa</t>
  </si>
  <si>
    <t>frida.gachuz@salomon.com</t>
  </si>
  <si>
    <t>Maria Fernanda</t>
  </si>
  <si>
    <t>fernyfrr@hotmail.com</t>
  </si>
  <si>
    <t>GarcÃ­a JuÃ¡rez</t>
  </si>
  <si>
    <t>Marketing Digital</t>
  </si>
  <si>
    <t>gerardo@probell.com.mx</t>
  </si>
  <si>
    <t>+52 55 5211 7762</t>
  </si>
  <si>
    <t>Probell</t>
  </si>
  <si>
    <t>http://www.linkedin.com/in/rocio-guadalupe-rodriguez-garcia-765719130</t>
  </si>
  <si>
    <t>tienda@soyparrillero.mx</t>
  </si>
  <si>
    <t>+52 80 0022 0381</t>
  </si>
  <si>
    <t>Sociedad Mexicana De Parrilleros Smp</t>
  </si>
  <si>
    <t>Ruth</t>
  </si>
  <si>
    <t>Moronatti</t>
  </si>
  <si>
    <t>Ecommerce &amp; Marketing</t>
  </si>
  <si>
    <t>http://www.linkedin.com/in/ruth-jafet-moronatti-hernandez-75b052201</t>
  </si>
  <si>
    <t>rmoronatti@vyorsa.com.mx</t>
  </si>
  <si>
    <t>+52 55 5521 0439</t>
  </si>
  <si>
    <t>Vyorsa Insights</t>
  </si>
  <si>
    <t>Bernardo A.</t>
  </si>
  <si>
    <t>DÂ´Elia</t>
  </si>
  <si>
    <t>Ecommerce Operations, Payment Methods and Customer Service Manager LATAM</t>
  </si>
  <si>
    <t>http://www.linkedin.com/in/bernardo-a-d-elia-bauder</t>
  </si>
  <si>
    <t>bdelia@underarmour.com</t>
  </si>
  <si>
    <t>+1 410-454-6758</t>
  </si>
  <si>
    <t>Rendon</t>
  </si>
  <si>
    <t>arendon@dormimundo.com.mx</t>
  </si>
  <si>
    <t>Head of marketing</t>
  </si>
  <si>
    <t>http://www.linkedin.com/in/leonardo-daniel-barrera</t>
  </si>
  <si>
    <t>leonardo.barrera@miniso.com.mx</t>
  </si>
  <si>
    <t>Jefe de Contenido E-Commerce</t>
  </si>
  <si>
    <t>http://www.linkedin.com/in/marisol-sandoval-hern%c3%a1ndez-472572189</t>
  </si>
  <si>
    <t>msandoval@juguetron.mx</t>
  </si>
  <si>
    <t>MÃ³nica</t>
  </si>
  <si>
    <t>Encargada Ecommerce</t>
  </si>
  <si>
    <t>monica@vanvien.com.mx</t>
  </si>
  <si>
    <t>555-358-0354</t>
  </si>
  <si>
    <t>Calzado Vanvien</t>
  </si>
  <si>
    <t>Moises</t>
  </si>
  <si>
    <t>Ecommerce and Business Intelligence Supervisor</t>
  </si>
  <si>
    <t>http://www.linkedin.com/in/moises-figueroa-97725331</t>
  </si>
  <si>
    <t>moisesfigueroa@tommy.com</t>
  </si>
  <si>
    <t>Isadora</t>
  </si>
  <si>
    <t>Varricchio</t>
  </si>
  <si>
    <t>E-commerce Merchandiser</t>
  </si>
  <si>
    <t>http://www.linkedin.com/in/isadorarlvarricchio</t>
  </si>
  <si>
    <t>isadoravarricchio@tommy.com</t>
  </si>
  <si>
    <t>Leblanc</t>
  </si>
  <si>
    <t>http://www.linkedin.com/in/alicia-leblanc-833b58182</t>
  </si>
  <si>
    <t>alicia@godaddy.com</t>
  </si>
  <si>
    <t>Svetlana</t>
  </si>
  <si>
    <t>Gumarova</t>
  </si>
  <si>
    <t>Digital Marketing &amp; E-com manager</t>
  </si>
  <si>
    <t>http://www.linkedin.com/in/sgumarova</t>
  </si>
  <si>
    <t>svetlana.gumarova@caudalie.com</t>
  </si>
  <si>
    <t>So</t>
  </si>
  <si>
    <t>Yi</t>
  </si>
  <si>
    <t>http://www.linkedin.com/in/so-young-yi-16292b161</t>
  </si>
  <si>
    <t>so.yi@caudalie.com</t>
  </si>
  <si>
    <t>Grace</t>
  </si>
  <si>
    <t>Ecommerce Omnichannel &amp; Marketplace Manager</t>
  </si>
  <si>
    <t>http://www.linkedin.com/in/grace-bell-a1773043</t>
  </si>
  <si>
    <t>grbe@pandora.net</t>
  </si>
  <si>
    <t>+1 453-672-0044</t>
  </si>
  <si>
    <t>Content Marketing</t>
  </si>
  <si>
    <t>http://www.linkedin.com/in/andreaherpu-950311</t>
  </si>
  <si>
    <t>andrea.hernandez@lolyinthesky.com</t>
  </si>
  <si>
    <t>Garcia Zamora</t>
  </si>
  <si>
    <t>E-Commerce</t>
  </si>
  <si>
    <t>http://www.linkedin.com/in/ricardo-garcia-zamora-9ba22472</t>
  </si>
  <si>
    <t>garciar@sanborns.com.mx</t>
  </si>
  <si>
    <t>+52 55 1653 0828</t>
  </si>
  <si>
    <t>Jenlis</t>
  </si>
  <si>
    <t>http://www.linkedin.com/in/caroline-de-jenlis-86938235</t>
  </si>
  <si>
    <t>caroline.dejenlis@caudalie.com</t>
  </si>
  <si>
    <t>Moeun</t>
  </si>
  <si>
    <t>Sung</t>
  </si>
  <si>
    <t>http://www.linkedin.com/in/moeun-sung-2a6221106</t>
  </si>
  <si>
    <t>moeun.sung@underarmour.com</t>
  </si>
  <si>
    <t>http://www.linkedin.com/in/mmarquezm</t>
  </si>
  <si>
    <t>mmarquez@chedraui.com.mx</t>
  </si>
  <si>
    <t>+52 55 3731 0745</t>
  </si>
  <si>
    <t>Jakob</t>
  </si>
  <si>
    <t>Wictoren</t>
  </si>
  <si>
    <t>http://www.linkedin.com/in/jakobwictoren</t>
  </si>
  <si>
    <t>jakob.wictoren@underarmour.com</t>
  </si>
  <si>
    <t>Norma Leticia</t>
  </si>
  <si>
    <t>nluna@radioshack.com.mx</t>
  </si>
  <si>
    <t>+52 55 5354 5556</t>
  </si>
  <si>
    <t>Aylin</t>
  </si>
  <si>
    <t>Analista De Ecommerce</t>
  </si>
  <si>
    <t>acuevas@smn.com.mx</t>
  </si>
  <si>
    <t>+52 55 7215 1380</t>
  </si>
  <si>
    <t>Marketing Digital, Leader of Ecommerce Data and Business Strategy</t>
  </si>
  <si>
    <t>salvador@nuestrosecreto.com.mx</t>
  </si>
  <si>
    <t>+52 800 362 5387</t>
  </si>
  <si>
    <t>Subdireccion Comercial Ecommerce</t>
  </si>
  <si>
    <t>http://www.linkedin.com/in/mariana-garcia-1622abbb</t>
  </si>
  <si>
    <t>mariana.garcia@valenetwork.mx</t>
  </si>
  <si>
    <t>Zhengnan</t>
  </si>
  <si>
    <t>http://www.linkedin.com/in/zhengnan-li-015aa121b</t>
  </si>
  <si>
    <t>zhengnanli@pvh.com</t>
  </si>
  <si>
    <t>Harpreet</t>
  </si>
  <si>
    <t>Kakkar</t>
  </si>
  <si>
    <t>ECommerce WS- GM</t>
  </si>
  <si>
    <t>http://www.linkedin.com/in/harpreetbaweja</t>
  </si>
  <si>
    <t>h.kakkar@benetton.co.in</t>
  </si>
  <si>
    <t>Chase</t>
  </si>
  <si>
    <t>Watts</t>
  </si>
  <si>
    <t>http://www.linkedin.com/in/chasewatts</t>
  </si>
  <si>
    <t>cwatts@godaddy.com</t>
  </si>
  <si>
    <t>Madison</t>
  </si>
  <si>
    <t>Newman</t>
  </si>
  <si>
    <t>http://www.linkedin.com/in/madison-newman-45306948</t>
  </si>
  <si>
    <t>mnewman@targus.com</t>
  </si>
  <si>
    <t>Haena</t>
  </si>
  <si>
    <t>Kwon</t>
  </si>
  <si>
    <t>Marketing Executive</t>
  </si>
  <si>
    <t>haena.kwon@caudalie.com</t>
  </si>
  <si>
    <t>Schmitz</t>
  </si>
  <si>
    <t>http://www.linkedin.com/in/vera-schmitz-213a3b221</t>
  </si>
  <si>
    <t>vera.schmitz@caudalie.com</t>
  </si>
  <si>
    <t>http://www.linkedin.com/in/alejandro-cruz-sol%c3%b3rzano-33372110a</t>
  </si>
  <si>
    <t>alejandrocruz@petngo.com.mx</t>
  </si>
  <si>
    <t>+52 55 4172 4666</t>
  </si>
  <si>
    <t>pet n'GO</t>
  </si>
  <si>
    <t>Olivo</t>
  </si>
  <si>
    <t>Head of E-commerce</t>
  </si>
  <si>
    <t>http://www.linkedin.com/in/adriana-olivo-padilla-0449021b3</t>
  </si>
  <si>
    <t>adriana@autenticocorajillo.com</t>
  </si>
  <si>
    <t>+52 33 3377 9697</t>
  </si>
  <si>
    <t>Autentico Corajillo</t>
  </si>
  <si>
    <t>Oscar Humberto</t>
  </si>
  <si>
    <t>Lora Gonzalez</t>
  </si>
  <si>
    <t>Marketing coordinator</t>
  </si>
  <si>
    <t>oscarl@sanborns.com.mx</t>
  </si>
  <si>
    <t>Jasleen</t>
  </si>
  <si>
    <t>http://www.linkedin.com/in/jasleen-kaur-81593324b</t>
  </si>
  <si>
    <t>kaur.jasleen@benetton.com</t>
  </si>
  <si>
    <t>Kimberley</t>
  </si>
  <si>
    <t>Dehu</t>
  </si>
  <si>
    <t>E-commerce Manager - Amazon UK</t>
  </si>
  <si>
    <t>http://www.linkedin.com/in/kim-d%c3%a9hu-a38aa0b8</t>
  </si>
  <si>
    <t>kimberley.dehu@caudalie.com</t>
  </si>
  <si>
    <t>Robert</t>
  </si>
  <si>
    <t>Bruce</t>
  </si>
  <si>
    <t>eCommerce Marketplace Manager</t>
  </si>
  <si>
    <t>http://www.linkedin.com/in/robert-bruce-419067b2</t>
  </si>
  <si>
    <t>rbruce@targus.com</t>
  </si>
  <si>
    <t>NoemÃ­</t>
  </si>
  <si>
    <t>Cortes</t>
  </si>
  <si>
    <t>http://www.linkedin.com/in/noem%c3%ad-cort%c3%a9s-lamarketera</t>
  </si>
  <si>
    <t>noemi.cortes@joyeriasbizzarro.com</t>
  </si>
  <si>
    <t>+52 800 202 8283</t>
  </si>
  <si>
    <t>Yesenia</t>
  </si>
  <si>
    <t>http://www.linkedin.com/in/yesenia-rodr%c3%adguez-70704026</t>
  </si>
  <si>
    <t>yesenia.rodriguez@miniso.com.mx</t>
  </si>
  <si>
    <t>Uriel Gibran</t>
  </si>
  <si>
    <t>http://www.linkedin.com/in/uriel-gibran-garc%c3%ada-maya-368a74158</t>
  </si>
  <si>
    <t>uriel.garcia@maskota.com.mx</t>
  </si>
  <si>
    <t>http://www.linkedin.com/in/rodrigodiazw</t>
  </si>
  <si>
    <t>rediaz@motorola.com</t>
  </si>
  <si>
    <t>Izauzki</t>
  </si>
  <si>
    <t>http://www.linkedin.com/in/izauzki</t>
  </si>
  <si>
    <t>izauzki@yahoo.com</t>
  </si>
  <si>
    <t>800-362-5387</t>
  </si>
  <si>
    <t>Pratichi</t>
  </si>
  <si>
    <t>Agile Transformation Lead E-com @ Tommy Hilfiger &amp; Calvin Klein | PVH</t>
  </si>
  <si>
    <t>http://www.linkedin.com/in/pratichi-gupta-6b0238a</t>
  </si>
  <si>
    <t>pgupta@tommy.com</t>
  </si>
  <si>
    <t>Jerry</t>
  </si>
  <si>
    <t>Senior Ecommerce Manager</t>
  </si>
  <si>
    <t>http://www.linkedin.com/in/jerry-ng-87279861</t>
  </si>
  <si>
    <t>jeng@targus.com</t>
  </si>
  <si>
    <t>http://www.linkedin.com/in/fernando-garc%c3%ada-montesinos-981205bb</t>
  </si>
  <si>
    <t>fernando.garcia@fantasiasmiguel.com.mx</t>
  </si>
  <si>
    <t>Fantasias Miguel Insights</t>
  </si>
  <si>
    <t>Garca</t>
  </si>
  <si>
    <t>Marketing &amp; Comercial</t>
  </si>
  <si>
    <t>http://www.linkedin.com/in/jonathancastanedagarcia</t>
  </si>
  <si>
    <t>jcastaneda@xcaret.com</t>
  </si>
  <si>
    <t>Xcaret</t>
  </si>
  <si>
    <t>Nataly</t>
  </si>
  <si>
    <t>Vadillo</t>
  </si>
  <si>
    <t>Gerente Operativo eCommerce</t>
  </si>
  <si>
    <t>http://www.linkedin.com/in/nataly-vadillo-b9b0621a5</t>
  </si>
  <si>
    <t>nvadillo@ph.com.mx</t>
  </si>
  <si>
    <t>Hemanth</t>
  </si>
  <si>
    <t>Guntupalli</t>
  </si>
  <si>
    <t>Vice President, Engineering and Product, eCommerce, Payments and Identity Platform</t>
  </si>
  <si>
    <t>http://www.linkedin.com/in/hemanthguntupalli</t>
  </si>
  <si>
    <t>hguntupalli@godaddy.com</t>
  </si>
  <si>
    <t>Vincent</t>
  </si>
  <si>
    <t>http://www.linkedin.com/in/vincentsuntw</t>
  </si>
  <si>
    <t>vincent.sun@underarmour.com</t>
  </si>
  <si>
    <t>Brendan</t>
  </si>
  <si>
    <t>Kelleher</t>
  </si>
  <si>
    <t>Sr. Director of Product, Global Ecommerce &amp; Retail Experiences</t>
  </si>
  <si>
    <t>http://www.linkedin.com/in/brendan-kelleher-a364932</t>
  </si>
  <si>
    <t>bkelleher@underarmour.com</t>
  </si>
  <si>
    <t>http://www.linkedin.com/in/cristiancamposrodriguez</t>
  </si>
  <si>
    <t>cristian.campos@samsonite.com</t>
  </si>
  <si>
    <t>+52 55 4164 0513</t>
  </si>
  <si>
    <t>Samsonite MÃ©xico</t>
  </si>
  <si>
    <t>Joyce</t>
  </si>
  <si>
    <t>http://www.linkedin.com/in/joyce-bdilla</t>
  </si>
  <si>
    <t>joyce.bobadilla@salomon.com</t>
  </si>
  <si>
    <t>+52 667 229 3672</t>
  </si>
  <si>
    <t>Valderrama</t>
  </si>
  <si>
    <t>Lead eCommerce Customer Conversion</t>
  </si>
  <si>
    <t>http://www.linkedin.com/in/sara-valderrama</t>
  </si>
  <si>
    <t>sara.valderrama@underarmour.com</t>
  </si>
  <si>
    <t>http://www.linkedin.com/in/ernesto-robles-085987137</t>
  </si>
  <si>
    <t>ernesto.robles@deporprive.com</t>
  </si>
  <si>
    <t>+52 55 5351 4480</t>
  </si>
  <si>
    <t>Deporprive</t>
  </si>
  <si>
    <t>Vero</t>
  </si>
  <si>
    <t>Marketing And Advertising Coordinator</t>
  </si>
  <si>
    <t>http://www.linkedin.com/in/vero-rosas-01575761</t>
  </si>
  <si>
    <t>vrosas@sanborns.com.mx</t>
  </si>
  <si>
    <t>+52 55 1203 0514</t>
  </si>
  <si>
    <t>Digital &amp; E-Commerce</t>
  </si>
  <si>
    <t>gabriela.gutierrez@miniso.com.mx</t>
  </si>
  <si>
    <t>+52 55 6386 5016</t>
  </si>
  <si>
    <t>http://www.linkedin.com/in/jason-smith-1b5566235</t>
  </si>
  <si>
    <t>jsmith@godaddy.com</t>
  </si>
  <si>
    <t>Ecommerce Director Europe</t>
  </si>
  <si>
    <t>http://www.linkedin.com/in/caroline-caudalie-de-jenlis-18b61a210</t>
  </si>
  <si>
    <t>Lexi</t>
  </si>
  <si>
    <t>Singer</t>
  </si>
  <si>
    <t>Advertising Manager</t>
  </si>
  <si>
    <t>http://www.linkedin.com/in/lexi-singer-4397b2149</t>
  </si>
  <si>
    <t>lexisinger@tommy.com</t>
  </si>
  <si>
    <t>Marty</t>
  </si>
  <si>
    <t>Director - Marketing</t>
  </si>
  <si>
    <t>http://www.linkedin.com/in/steinbergmarty</t>
  </si>
  <si>
    <t>martys@godaddy.com</t>
  </si>
  <si>
    <t>Jai</t>
  </si>
  <si>
    <t>Sangha</t>
  </si>
  <si>
    <t>Team Manager - eCommerce Care</t>
  </si>
  <si>
    <t>http://www.linkedin.com/in/jaisangha</t>
  </si>
  <si>
    <t>jsangha@godaddy.com</t>
  </si>
  <si>
    <t>Nadina</t>
  </si>
  <si>
    <t>Bruvele</t>
  </si>
  <si>
    <t>Ecommerce Project Manager</t>
  </si>
  <si>
    <t>http://www.linkedin.com/in/nadina-bruvele-00926993</t>
  </si>
  <si>
    <t>nadina.bruvele@ubnt.com</t>
  </si>
  <si>
    <t>+1 646-780-7958</t>
  </si>
  <si>
    <t>Ubiquiti Inc.</t>
  </si>
  <si>
    <t>Anderson</t>
  </si>
  <si>
    <t>http://www.linkedin.com/in/alexandra-anderson-6a10bb65</t>
  </si>
  <si>
    <t>alexandra.neyman@godaddy.com</t>
  </si>
  <si>
    <t>Kay</t>
  </si>
  <si>
    <t>Burke</t>
  </si>
  <si>
    <t>Senior Director E-commerce</t>
  </si>
  <si>
    <t>http://www.linkedin.com/in/kay-burke-32b82b41</t>
  </si>
  <si>
    <t>kay.burke@tommy.com</t>
  </si>
  <si>
    <t>http://www.linkedin.com/in/jonathanjacobo</t>
  </si>
  <si>
    <t>jonhy.jac@gmail.com</t>
  </si>
  <si>
    <t>Mariela</t>
  </si>
  <si>
    <t>Portugues</t>
  </si>
  <si>
    <t>LÃ­der de ecommerce</t>
  </si>
  <si>
    <t>http://www.linkedin.com/in/mariela-portugu%c3%a9s-4a1862103</t>
  </si>
  <si>
    <t>mariela.portugues@miniso.com.mx</t>
  </si>
  <si>
    <t>+525255 6386 5016</t>
  </si>
  <si>
    <t>AndrÃ©s IbÃ¡Ã±ez Riol</t>
  </si>
  <si>
    <t>Riol</t>
  </si>
  <si>
    <t>Marketing Digital &amp; E-commerce</t>
  </si>
  <si>
    <t>http://www.linkedin.com/in/andr%c3%a9s-ib%c3%a1%c3%b1ez-riol-200a7b136</t>
  </si>
  <si>
    <t>andres.ibanez@steren.com.mx</t>
  </si>
  <si>
    <t>Darpan</t>
  </si>
  <si>
    <t>Vyas</t>
  </si>
  <si>
    <t>Director, Marketing &amp; eCommerce</t>
  </si>
  <si>
    <t>http://www.linkedin.com/in/darpanvyas</t>
  </si>
  <si>
    <t>dvyas@godaddy.com</t>
  </si>
  <si>
    <t>Palacios</t>
  </si>
  <si>
    <t>GERENCIA ECOMMERCE ELECTRONICA</t>
  </si>
  <si>
    <t>http://www.linkedin.com/in/omar-palacios-segundo-00ba998a</t>
  </si>
  <si>
    <t>opalacios@ph.com.mx</t>
  </si>
  <si>
    <t>Ecommerce Planning Analyst</t>
  </si>
  <si>
    <t>http://www.linkedin.com/in/rodrigo-ramirez-5a8291a9</t>
  </si>
  <si>
    <t>rodrigo.ramirez@elpalaciodehierro.com.mx</t>
  </si>
  <si>
    <t>Jenice</t>
  </si>
  <si>
    <t>D'Souza</t>
  </si>
  <si>
    <t>http://www.linkedin.com/in/jenicedsouza</t>
  </si>
  <si>
    <t>jenice.dsouza@ui.com</t>
  </si>
  <si>
    <t>Yasemin</t>
  </si>
  <si>
    <t>Oztemur</t>
  </si>
  <si>
    <t>E-commerce Content Specialist</t>
  </si>
  <si>
    <t>http://www.linkedin.com/in/yasemin-oztemur</t>
  </si>
  <si>
    <t>yaseminoztemur@tommy.com</t>
  </si>
  <si>
    <t>NicolÃ¡s</t>
  </si>
  <si>
    <t>Director of Ecommerce</t>
  </si>
  <si>
    <t>http://www.linkedin.com/in/nickgsimon</t>
  </si>
  <si>
    <t>nick.gsimon@gmail.com</t>
  </si>
  <si>
    <t>Sandoval Jimnez</t>
  </si>
  <si>
    <t>rodrigo.sandoval@underarmour.com</t>
  </si>
  <si>
    <t>Hyunmi</t>
  </si>
  <si>
    <t>Kim</t>
  </si>
  <si>
    <t>Ecommerce executive</t>
  </si>
  <si>
    <t>http://www.linkedin.com/in/hyunmi-kim-085306113</t>
  </si>
  <si>
    <t>hyunmi.kim@caudalie.com</t>
  </si>
  <si>
    <t>Diepeveen</t>
  </si>
  <si>
    <t>Global Ecommerce Manager</t>
  </si>
  <si>
    <t>http://www.linkedin.com/in/chris-diepeveen</t>
  </si>
  <si>
    <t>christopher.diepeveen@ui.com</t>
  </si>
  <si>
    <t>Alberto Gerardo</t>
  </si>
  <si>
    <t>SuÃ¡rez CortÃ©s</t>
  </si>
  <si>
    <t>Manager of E-Commerce and Digital Strategies</t>
  </si>
  <si>
    <t>agsuaez@juguetron.mx</t>
  </si>
  <si>
    <t>david.gomez@hawkersmexico.com</t>
  </si>
  <si>
    <t>Hawkers</t>
  </si>
  <si>
    <t>Zuccolotto</t>
  </si>
  <si>
    <t>http://www.linkedin.com/in/fernandazuccolotto</t>
  </si>
  <si>
    <t>maria.zuccolotto@mercadolibre.com.mx</t>
  </si>
  <si>
    <t>Mercado Libre MX</t>
  </si>
  <si>
    <t>http://www.linkedin.com/in/harpreet-singh-2b3005290</t>
  </si>
  <si>
    <t>harpreet.singh@tommy.com</t>
  </si>
  <si>
    <t>Danielle</t>
  </si>
  <si>
    <t>Erasmus</t>
  </si>
  <si>
    <t>http://www.linkedin.com/in/danielle-erasmus-599a17296</t>
  </si>
  <si>
    <t>danielle.erasmus@caudalie.com</t>
  </si>
  <si>
    <t>Josh</t>
  </si>
  <si>
    <t>Lynch</t>
  </si>
  <si>
    <t>Principal Product Manager - WordPress Ecommerce &amp; Payments</t>
  </si>
  <si>
    <t>http://www.linkedin.com/in/lynchjoshua</t>
  </si>
  <si>
    <t>josh.l@godaddy.com</t>
  </si>
  <si>
    <t>A.</t>
  </si>
  <si>
    <t>http://www.linkedin.com/in/raul-alanis-gonzalez</t>
  </si>
  <si>
    <t>raul.a@joyeriasbizzarro.com</t>
  </si>
  <si>
    <t>Israel</t>
  </si>
  <si>
    <t>Lopez Miranda</t>
  </si>
  <si>
    <t>israel@none.com</t>
  </si>
  <si>
    <t>+1 619-800-6038</t>
  </si>
  <si>
    <t>Director de e-commerce</t>
  </si>
  <si>
    <t>http://www.linkedin.com/in/rodrigofloresecommerce</t>
  </si>
  <si>
    <t>rodrigo.flores@gandhi.com.mx</t>
  </si>
  <si>
    <t>+52 55 1474 7465</t>
  </si>
  <si>
    <t>Librerias Gandhi</t>
  </si>
  <si>
    <t>Rene Alejandri Rosales</t>
  </si>
  <si>
    <t>Gerente De Ecommerce</t>
  </si>
  <si>
    <t>ralejandri@juguetron.mx</t>
  </si>
  <si>
    <t>+52 33 3125 2437</t>
  </si>
  <si>
    <t>Depene-Sander</t>
  </si>
  <si>
    <t>http://www.linkedin.com/in/nicole-depene-sander-a72426b8</t>
  </si>
  <si>
    <t>ndepenesander@godaddy.com</t>
  </si>
  <si>
    <t>Anabel</t>
  </si>
  <si>
    <t>Zazueta</t>
  </si>
  <si>
    <t>Ejecutivo E-commerce en Grupo Kuroda</t>
  </si>
  <si>
    <t>http://www.linkedin.com/in/anabel-zazueta-56b74412b</t>
  </si>
  <si>
    <t>azazueta@kuroda.com</t>
  </si>
  <si>
    <t>+52 800 587 6321</t>
  </si>
  <si>
    <t>Kuroda</t>
  </si>
  <si>
    <t>Joey</t>
  </si>
  <si>
    <t>Digital &amp; E-commerce Manager</t>
  </si>
  <si>
    <t>http://www.linkedin.com/in/joey-ng-b5b72a82</t>
  </si>
  <si>
    <t>joey.ng@caudalie.com</t>
  </si>
  <si>
    <t>http://www.linkedin.com/in/monserrat-n%c3%a1jera-g%c3%b3mez</t>
  </si>
  <si>
    <t>Lightman</t>
  </si>
  <si>
    <t>http://www.linkedin.com/in/andrewlightman1</t>
  </si>
  <si>
    <t>andrew.lightman@fully.com</t>
  </si>
  <si>
    <t>+1 888-508-3725</t>
  </si>
  <si>
    <t>Fully</t>
  </si>
  <si>
    <t>Richard</t>
  </si>
  <si>
    <t>Goena</t>
  </si>
  <si>
    <t>richard.goena@kuroda.com</t>
  </si>
  <si>
    <t>Oana</t>
  </si>
  <si>
    <t>Diaconu</t>
  </si>
  <si>
    <t>Team Leader Service clients logistique/ecommerce</t>
  </si>
  <si>
    <t>http://www.linkedin.com/in/oana-diaconu-22463b146</t>
  </si>
  <si>
    <t>oana.diaconu@caudalie.com</t>
  </si>
  <si>
    <t>Muijsson</t>
  </si>
  <si>
    <t>Ecommerce Buying &amp; Merchandising Manager - Menswear</t>
  </si>
  <si>
    <t>http://www.linkedin.com/in/vera-muijsson-a9682a67</t>
  </si>
  <si>
    <t>vera.muijsson@tommy.com</t>
  </si>
  <si>
    <t>Albane</t>
  </si>
  <si>
    <t>Duthoit</t>
  </si>
  <si>
    <t>Senior Manager Ecommerce Planning</t>
  </si>
  <si>
    <t>http://www.linkedin.com/in/albane-duthoit-9227553</t>
  </si>
  <si>
    <t>albane.duthoit@tommy.com</t>
  </si>
  <si>
    <t>RodrÃ­guez SÃ¡nchez</t>
  </si>
  <si>
    <t>Latam e-commerce</t>
  </si>
  <si>
    <t>http://www.linkedin.com/in/pablo-rodsa</t>
  </si>
  <si>
    <t>pablo.rodriguez.sanchez@lego.com</t>
  </si>
  <si>
    <t>Lego MÃ©xico</t>
  </si>
  <si>
    <t>Rohit</t>
  </si>
  <si>
    <t>Chawla</t>
  </si>
  <si>
    <t>http://www.linkedin.com/in/rohit-chawla-roja6340</t>
  </si>
  <si>
    <t>r.chawla@benetton.co.in</t>
  </si>
  <si>
    <t>Isabel</t>
  </si>
  <si>
    <t>Bergh</t>
  </si>
  <si>
    <t>E-Commerce Buying &amp; Merchandising Manager - Tommy Hilfiger</t>
  </si>
  <si>
    <t>http://www.linkedin.com/in/isabel-van-den-bergh-28734911</t>
  </si>
  <si>
    <t>isabelvandenbergh@tommy.com</t>
  </si>
  <si>
    <t>Gestor de Ecommerce</t>
  </si>
  <si>
    <t>http://www.linkedin.com/in/cynthia-jacqueline-diego-esparza-472761279</t>
  </si>
  <si>
    <t>cynthiadiego@inmeza.com</t>
  </si>
  <si>
    <t>+52 33 3639 6518</t>
  </si>
  <si>
    <t>INMEZA</t>
  </si>
  <si>
    <t>http://www.linkedin.com/in/sarahboyer01</t>
  </si>
  <si>
    <t>sarahthompson1@tommy.com</t>
  </si>
  <si>
    <t>Schaefer</t>
  </si>
  <si>
    <t>Ecommerce Care Sales Guide IV</t>
  </si>
  <si>
    <t>http://www.linkedin.com/in/brischaefer</t>
  </si>
  <si>
    <t>bschaefer@godaddy.com</t>
  </si>
  <si>
    <t>Divyam</t>
  </si>
  <si>
    <t>Head of D2C (E-commerce Marketplaces &amp; Brand.com)</t>
  </si>
  <si>
    <t>http://www.linkedin.com/in/divyam-singh-30a1b344</t>
  </si>
  <si>
    <t>d.singh@benetton.co.in</t>
  </si>
  <si>
    <t>http://www.linkedin.com/in/mayra-vargas-24342b29</t>
  </si>
  <si>
    <t>mayra.vargas@portenntum.com</t>
  </si>
  <si>
    <t>+52 81 8625 5300</t>
  </si>
  <si>
    <t>Portenntum de MÃ©xico</t>
  </si>
  <si>
    <t>Barajas</t>
  </si>
  <si>
    <t>Subgerente Ecommerce</t>
  </si>
  <si>
    <t>http://www.linkedin.com/in/julio-barajas-84a8a7213</t>
  </si>
  <si>
    <t>jbarajas@juguetibici.com.mx</t>
  </si>
  <si>
    <t>555-261-4141</t>
  </si>
  <si>
    <t>Juguetibici</t>
  </si>
  <si>
    <t>Barrera</t>
  </si>
  <si>
    <t>Gerente de marketing</t>
  </si>
  <si>
    <t>http://www.linkedin.com/in/jorge-barrera-vargas-5ba117105</t>
  </si>
  <si>
    <t>jorge.barrera@pacificpharma.com.mx</t>
  </si>
  <si>
    <t>+52 55 5659 9864</t>
  </si>
  <si>
    <t>Pacific Pharma</t>
  </si>
  <si>
    <t>Juannie</t>
  </si>
  <si>
    <t>Brisson</t>
  </si>
  <si>
    <t>Ecommerce Merchandising Coordinator | Outlet</t>
  </si>
  <si>
    <t>http://www.linkedin.com/in/juannie-brisson-73469b77</t>
  </si>
  <si>
    <t>jbrisson@coach.com</t>
  </si>
  <si>
    <t>+1 888-262-6224</t>
  </si>
  <si>
    <t>Coach</t>
  </si>
  <si>
    <t>Lauren</t>
  </si>
  <si>
    <t>Assistant Manager, NA Performance Marketing</t>
  </si>
  <si>
    <t>http://www.linkedin.com/in/lauren-kim-1ab380136</t>
  </si>
  <si>
    <t>lkim@coach.com</t>
  </si>
  <si>
    <t>Fulvio</t>
  </si>
  <si>
    <t>Corcione</t>
  </si>
  <si>
    <t>Sub Gerente Ventas y Marketing</t>
  </si>
  <si>
    <t>http://www.linkedin.com/in/fulvio-corcione-aleitte-85643842</t>
  </si>
  <si>
    <t>fulvio.corcione@arauco.com</t>
  </si>
  <si>
    <t>+31 71 789 0250</t>
  </si>
  <si>
    <t>ARAUCO</t>
  </si>
  <si>
    <t>Subgerente e-commerce</t>
  </si>
  <si>
    <t>http://www.linkedin.com/in/jose-francisco-sandoval-torres-0577b715b</t>
  </si>
  <si>
    <t>jsandoval@vittorioforti.com.mx</t>
  </si>
  <si>
    <t>+52 55 6600 5500</t>
  </si>
  <si>
    <t>Vittorio Forti</t>
  </si>
  <si>
    <t>Lorraine</t>
  </si>
  <si>
    <t>Herrou</t>
  </si>
  <si>
    <t>Chef de projet E-commerce</t>
  </si>
  <si>
    <t>http://www.linkedin.com/in/lorraine-herrou-5a508a95</t>
  </si>
  <si>
    <t>lorraine.herrou@vwr.com</t>
  </si>
  <si>
    <t>+1 610-386-1730</t>
  </si>
  <si>
    <t>VWR, part of Avantor</t>
  </si>
  <si>
    <t>Raquelle</t>
  </si>
  <si>
    <t>Puglisi</t>
  </si>
  <si>
    <t>http://www.linkedin.com/in/raquellepuglisi</t>
  </si>
  <si>
    <t>rpuglisi@coach.com</t>
  </si>
  <si>
    <t>Christina</t>
  </si>
  <si>
    <t>Halpin</t>
  </si>
  <si>
    <t>Manager, Marketing Transformation</t>
  </si>
  <si>
    <t>http://www.linkedin.com/in/christina-halpin-7b119314</t>
  </si>
  <si>
    <t>chalpin@fbbrands.com</t>
  </si>
  <si>
    <t>Dominguez</t>
  </si>
  <si>
    <t>E-commerce</t>
  </si>
  <si>
    <t>social@casaahued.com</t>
  </si>
  <si>
    <t>+52 800 242 4833</t>
  </si>
  <si>
    <t>Casa Ahued</t>
  </si>
  <si>
    <t>Trejo</t>
  </si>
  <si>
    <t>Coordinador de Marketing Digital</t>
  </si>
  <si>
    <t>http://www.linkedin.com/in/monica-trejo-lugo-40116a122</t>
  </si>
  <si>
    <t>monica.lugo@fraiche.com.mx</t>
  </si>
  <si>
    <t>+52 1 80 0201 0118</t>
  </si>
  <si>
    <t>Perfumes y Esencias Fraiche SA de CV</t>
  </si>
  <si>
    <t>director.mkt@tomateros.com</t>
  </si>
  <si>
    <t>+52 667 758 3400</t>
  </si>
  <si>
    <t>Tomateros</t>
  </si>
  <si>
    <t>Senior Manager Ecommerce</t>
  </si>
  <si>
    <t>http://www.linkedin.com/in/julio-ruiz-71665b53</t>
  </si>
  <si>
    <t>jruiz@juguetibici.com.mx</t>
  </si>
  <si>
    <t>Juguetibici SA de CV</t>
  </si>
  <si>
    <t>http://www.linkedin.com/in/gerardo-m-saucedo-ramirez-8b676038</t>
  </si>
  <si>
    <t>gerardo.ramirez@udlap.mx</t>
  </si>
  <si>
    <t>222-429-7704</t>
  </si>
  <si>
    <t>Cay</t>
  </si>
  <si>
    <t>Ricardo David</t>
  </si>
  <si>
    <t>Alvarez MuÃ±oz</t>
  </si>
  <si>
    <t>Ecommerce en Stuffactory</t>
  </si>
  <si>
    <t>http://www.linkedin.com/in/ricardo-david-alvarez-mu%c3%b1oz-800b43123</t>
  </si>
  <si>
    <t>ricardo@stuffactory.mx</t>
  </si>
  <si>
    <t>333-615-0392</t>
  </si>
  <si>
    <t>Stuffactory</t>
  </si>
  <si>
    <t>Leiser</t>
  </si>
  <si>
    <t>Global Head CRM, Analytics and Marketing Tech</t>
  </si>
  <si>
    <t>http://www.linkedin.com/in/todd-leiser-11384b6</t>
  </si>
  <si>
    <t>toddl@spartan.com</t>
  </si>
  <si>
    <t>+1 917-362-2530</t>
  </si>
  <si>
    <t>Spartan</t>
  </si>
  <si>
    <t>Rosario</t>
  </si>
  <si>
    <t>Dionisio</t>
  </si>
  <si>
    <t>Coordinador de marketing</t>
  </si>
  <si>
    <t>http://www.linkedin.com/in/rosmadh</t>
  </si>
  <si>
    <t>rosario.hernandez@udlap.mx</t>
  </si>
  <si>
    <t>+52 222 229 2000</t>
  </si>
  <si>
    <t>Edson</t>
  </si>
  <si>
    <t>Islas</t>
  </si>
  <si>
    <t>Desarrollador de eCommerce</t>
  </si>
  <si>
    <t>http://www.linkedin.com/in/edson-ruben-islas-perales-a666a3265</t>
  </si>
  <si>
    <t>desarrollo@kanaus.com</t>
  </si>
  <si>
    <t>+52 775 146 4749</t>
  </si>
  <si>
    <t>Kanaus</t>
  </si>
  <si>
    <t>Boix</t>
  </si>
  <si>
    <t>Especialista en marketing digital</t>
  </si>
  <si>
    <t>http://www.linkedin.com/in/davidboix-digitalmarketing-ecommerce</t>
  </si>
  <si>
    <t>david.boix@vwr.com</t>
  </si>
  <si>
    <t>Independent Marketing Consultant</t>
  </si>
  <si>
    <t>http://www.linkedin.com/in/rodartekaren</t>
  </si>
  <si>
    <t>karen@victoria147.org</t>
  </si>
  <si>
    <t>Victoria147</t>
  </si>
  <si>
    <t>Sales And Marketing Specialist</t>
  </si>
  <si>
    <t>http://www.linkedin.com/in/a-s-7586a2149</t>
  </si>
  <si>
    <t>as@coach.com</t>
  </si>
  <si>
    <t>Tyler</t>
  </si>
  <si>
    <t>Bradbury</t>
  </si>
  <si>
    <t>Sr. Director of Marketing, Brand &amp; Content // Tough Mudder &amp; Spartan Race</t>
  </si>
  <si>
    <t>http://www.linkedin.com/in/tyler-bradbury-51621542</t>
  </si>
  <si>
    <t>tyler.bradbury@spartan.com</t>
  </si>
  <si>
    <t>Sanmiguel</t>
  </si>
  <si>
    <t>Jefa de marketing</t>
  </si>
  <si>
    <t>http://www.linkedin.com/in/monica-daniela-sanmiguel-hernandez-b05919166</t>
  </si>
  <si>
    <t>mhernandez@juliocepeda.com.mx</t>
  </si>
  <si>
    <t>+52 55 3610 2459</t>
  </si>
  <si>
    <t>Julio Cepeda Jugueterias</t>
  </si>
  <si>
    <t>Rachele</t>
  </si>
  <si>
    <t>Basil</t>
  </si>
  <si>
    <t>Advertising sales agent</t>
  </si>
  <si>
    <t>http://www.linkedin.com/in/rachele-basil-048309192</t>
  </si>
  <si>
    <t>rbasil@evans.com.mx</t>
  </si>
  <si>
    <t>+52 800 003 8267</t>
  </si>
  <si>
    <t>Evans</t>
  </si>
  <si>
    <t>Shuji</t>
  </si>
  <si>
    <t>Shigeta</t>
  </si>
  <si>
    <t>Sr. Manager, CRM&amp;SP/Marketing</t>
  </si>
  <si>
    <t>http://www.linkedin.com/in/shuji-shigeta-841108135</t>
  </si>
  <si>
    <t>sshigeta@coach.com</t>
  </si>
  <si>
    <t>Coordinador de Marketing</t>
  </si>
  <si>
    <t>http://www.linkedin.com/in/erick-lopez-2227711a9</t>
  </si>
  <si>
    <t>erick.lopez@tecnosinergia.com</t>
  </si>
  <si>
    <t>+52 55 1204 8000</t>
  </si>
  <si>
    <t>Tecnosinergia</t>
  </si>
  <si>
    <t>Ejecutivo de marketing y ventas</t>
  </si>
  <si>
    <t>http://www.linkedin.com/in/karla-figueroa-covarrubias-aa5418223</t>
  </si>
  <si>
    <t>e-commerce1@maincasa.com</t>
  </si>
  <si>
    <t>+52 33 3811 1126</t>
  </si>
  <si>
    <t>MAINCASA</t>
  </si>
  <si>
    <t>Moore</t>
  </si>
  <si>
    <t>Director - Buying, Planning, Ecommerce, Retail Operations</t>
  </si>
  <si>
    <t>http://www.linkedin.com/in/katie-moore-32759023</t>
  </si>
  <si>
    <t>katiemo@spartan.com</t>
  </si>
  <si>
    <t>Regalado</t>
  </si>
  <si>
    <t>http://www.linkedin.com/in/dadrianregalado</t>
  </si>
  <si>
    <t>aregalado@martiderm.mx</t>
  </si>
  <si>
    <t>+34 936 60 50 15</t>
  </si>
  <si>
    <t>MartiDerm</t>
  </si>
  <si>
    <t>Viridiana</t>
  </si>
  <si>
    <t>Segura</t>
  </si>
  <si>
    <t>viridiana.segura@converse.com.mx</t>
  </si>
  <si>
    <t>Converse MÃ©xico</t>
  </si>
  <si>
    <t>Wendy</t>
  </si>
  <si>
    <t>wmartinez@hemsa.com</t>
  </si>
  <si>
    <t>+52 81 8318 5500</t>
  </si>
  <si>
    <t>Hemsa</t>
  </si>
  <si>
    <t>Obregon</t>
  </si>
  <si>
    <t>Enlace de marketing</t>
  </si>
  <si>
    <t>http://www.linkedin.com/in/mariana-obreg%c3%b3n-lucio-5755411b1</t>
  </si>
  <si>
    <t>mobregon@papajohnsmexico.com</t>
  </si>
  <si>
    <t>+52 55 5594 9544</t>
  </si>
  <si>
    <t>Papa John's MÃ©xico</t>
  </si>
  <si>
    <t>eCommerce Manager Kipling MÃ©xico</t>
  </si>
  <si>
    <t>http://www.linkedin.com/in/nataly-s%c3%a1nchez-65487354</t>
  </si>
  <si>
    <t>nataly@kiplingmexico.com.mx</t>
  </si>
  <si>
    <t>+52 81 8335 6159</t>
  </si>
  <si>
    <t>Kipling</t>
  </si>
  <si>
    <t>Xiaolu</t>
  </si>
  <si>
    <t>http://www.linkedin.com/in/xiaolu-li-0a186a23</t>
  </si>
  <si>
    <t>xli@coach.com</t>
  </si>
  <si>
    <t>Leanna</t>
  </si>
  <si>
    <t>Lin</t>
  </si>
  <si>
    <t>http://www.linkedin.com/in/leanna-lin-23214b87</t>
  </si>
  <si>
    <t>llin@coach.com</t>
  </si>
  <si>
    <t>http://www.linkedin.com/in/c%c3%a9sar-hern%c3%a1ndez-cuanalo-1b4614a2</t>
  </si>
  <si>
    <t>cesar.hernandez@gallantdale.com</t>
  </si>
  <si>
    <t>+52525549948527</t>
  </si>
  <si>
    <t>OPERADORA GALLANTDALE S.A. DE C.V.</t>
  </si>
  <si>
    <t>Jefatura de marketing</t>
  </si>
  <si>
    <t>http://www.linkedin.com/in/alberto-hern%c3%a1ndez-641684129</t>
  </si>
  <si>
    <t>alberto.hernandez@azulemex.com</t>
  </si>
  <si>
    <t>+52 55 2122 9292</t>
  </si>
  <si>
    <t>Azulemex</t>
  </si>
  <si>
    <t>Jefe de Ecommerce Nivel Corporativo</t>
  </si>
  <si>
    <t>http://www.linkedin.com/in/armando-sanchez-sanjuan-98b4193a</t>
  </si>
  <si>
    <t>armando.sanchez@fraiche.com.mx</t>
  </si>
  <si>
    <t>Fidel</t>
  </si>
  <si>
    <t>Sales and Marketing Director (Canada)</t>
  </si>
  <si>
    <t>http://www.linkedin.com/in/itsfideljimenez</t>
  </si>
  <si>
    <t>fidel.jimenez@spartan.com</t>
  </si>
  <si>
    <t>Gomis</t>
  </si>
  <si>
    <t>Responsable Marketing/Ventas Equipamiento</t>
  </si>
  <si>
    <t>http://www.linkedin.com/in/enrique-gomis-aznar-50b485115</t>
  </si>
  <si>
    <t>enrique.gomis@vwr.com</t>
  </si>
  <si>
    <t>Namiko</t>
  </si>
  <si>
    <t>Y.</t>
  </si>
  <si>
    <t>Director, Head of E-commerce,</t>
  </si>
  <si>
    <t>http://www.linkedin.com/in/namikoy</t>
  </si>
  <si>
    <t>ny@coach.com</t>
  </si>
  <si>
    <t>Ana de Mara</t>
  </si>
  <si>
    <t>Lorandi Herrera</t>
  </si>
  <si>
    <t>Digital Marketing Coordinator</t>
  </si>
  <si>
    <t>alorandi@ultrafemme.com</t>
  </si>
  <si>
    <t>+52 998 881 3150</t>
  </si>
  <si>
    <t>Ultrafemme</t>
  </si>
  <si>
    <t>Covadonga Alvarez Soberanis</t>
  </si>
  <si>
    <t>http://www.linkedin.com/in/covadonga-alvarez-soberanis-31896548</t>
  </si>
  <si>
    <t>covadon@lacasadelaeducadora.com</t>
  </si>
  <si>
    <t>+52 1 55 5200 4400</t>
  </si>
  <si>
    <t>La Casa de la Educadora</t>
  </si>
  <si>
    <t>Estacy</t>
  </si>
  <si>
    <t>Visual marketing</t>
  </si>
  <si>
    <t>http://www.linkedin.com/in/estacy-patricia-diaz-martinez-b961b8161</t>
  </si>
  <si>
    <t>estacy.diaz@todomoda.com</t>
  </si>
  <si>
    <t>54 9 555 741-2039</t>
  </si>
  <si>
    <t>TodoModa</t>
  </si>
  <si>
    <t>Maru</t>
  </si>
  <si>
    <t>Arroyo</t>
  </si>
  <si>
    <t>Gerente de Performance Marketing</t>
  </si>
  <si>
    <t>http://www.linkedin.com/in/maruarroyo</t>
  </si>
  <si>
    <t>maru@victoria147.org</t>
  </si>
  <si>
    <t>http://www.linkedin.com/in/jos%c3%a9-antonio-rodr%c3%adguez-duarte-867ba895</t>
  </si>
  <si>
    <t>jose.duarte@valentinmaya.com</t>
  </si>
  <si>
    <t>+52 984 206 3660</t>
  </si>
  <si>
    <t>Valentin Imperial Riviera Maya</t>
  </si>
  <si>
    <t>Karla Paola</t>
  </si>
  <si>
    <t>Arce Perez</t>
  </si>
  <si>
    <t>karla.arce@mercadolibre.com.mx</t>
  </si>
  <si>
    <t>+52 55 4973 7300</t>
  </si>
  <si>
    <t>Alejandra Artemisa</t>
  </si>
  <si>
    <t>Aceves Murillo</t>
  </si>
  <si>
    <t>Jefe de Marketing</t>
  </si>
  <si>
    <t>marketing@diako.com.mx</t>
  </si>
  <si>
    <t>+52 33 3636 2661</t>
  </si>
  <si>
    <t>Diako</t>
  </si>
  <si>
    <t>Luo</t>
  </si>
  <si>
    <t>http://www.linkedin.com/in/kevin-luo-826510277</t>
  </si>
  <si>
    <t>kluo@coach.com</t>
  </si>
  <si>
    <t>Senior Director of Marketing</t>
  </si>
  <si>
    <t>http://www.linkedin.com/in/lena-jones-285586219</t>
  </si>
  <si>
    <t>ljones@coach.com</t>
  </si>
  <si>
    <t>Jennifer</t>
  </si>
  <si>
    <t>O'Neill</t>
  </si>
  <si>
    <t>Senior Marketing Manager, North America Brand Events &amp; Experiential</t>
  </si>
  <si>
    <t>http://www.linkedin.com/in/jennifer-o-neill-b7603040</t>
  </si>
  <si>
    <t>joneill1@coach.com</t>
  </si>
  <si>
    <t>Imsho</t>
  </si>
  <si>
    <t>Marketing Manager - Stores + Wholesale</t>
  </si>
  <si>
    <t>http://www.linkedin.com/in/stevie-imsho-871444a6</t>
  </si>
  <si>
    <t>simsho@coach.com</t>
  </si>
  <si>
    <t>Judith</t>
  </si>
  <si>
    <t>Promocion y Marketing</t>
  </si>
  <si>
    <t>http://www.linkedin.com/in/judith-angel-1a83361a8</t>
  </si>
  <si>
    <t>jangel@alfaomega.com.mx</t>
  </si>
  <si>
    <t>+52 55 5575 5022</t>
  </si>
  <si>
    <t>Alfaomega Grupo Editor</t>
  </si>
  <si>
    <t>Jean-Luc</t>
  </si>
  <si>
    <t>Sansot</t>
  </si>
  <si>
    <t>Directeur marketing</t>
  </si>
  <si>
    <t>http://www.linkedin.com/in/jean-luc-sansot-23277312b</t>
  </si>
  <si>
    <t>jean-luc.sansot@vwr.com</t>
  </si>
  <si>
    <t>Amal</t>
  </si>
  <si>
    <t>Shomar</t>
  </si>
  <si>
    <t>http://www.linkedin.com/in/amal-shomar-7586a2149</t>
  </si>
  <si>
    <t>ashomar@coach.com</t>
  </si>
  <si>
    <t>Alarcon</t>
  </si>
  <si>
    <t>http://www.linkedin.com/in/estefan%c3%ada-alarc%c3%b3n-nava-25a4b9188</t>
  </si>
  <si>
    <t>estefania.nava@fraiche.com.mx</t>
  </si>
  <si>
    <t>Joshua</t>
  </si>
  <si>
    <t>Hartley</t>
  </si>
  <si>
    <t>Social Media Specialist | Coach | Local Video Marketing | SEO Expert | Web Designer | CEO Of OshKosh</t>
  </si>
  <si>
    <t>http://www.linkedin.com/in/oshkoshtvreviews</t>
  </si>
  <si>
    <t>joshua.hartley@coach.com</t>
  </si>
  <si>
    <t>Lawler</t>
  </si>
  <si>
    <t>Strategic Marketing, Global BioPharma Production</t>
  </si>
  <si>
    <t>http://www.linkedin.com/in/beth-lawler-18b520169</t>
  </si>
  <si>
    <t>beth_lawler@vwr.com</t>
  </si>
  <si>
    <t>Natanicha</t>
  </si>
  <si>
    <t>Kasaratana</t>
  </si>
  <si>
    <t>MSc Digital Marketing</t>
  </si>
  <si>
    <t>http://www.linkedin.com/in/natanicha</t>
  </si>
  <si>
    <t>nkasaratana@coach.com</t>
  </si>
  <si>
    <t>Elder</t>
  </si>
  <si>
    <t>Senior Vice President of Global Sales and Marketing</t>
  </si>
  <si>
    <t>http://www.linkedin.com/in/stevenleeelder</t>
  </si>
  <si>
    <t>selder@mannatech.com</t>
  </si>
  <si>
    <t>+1 800-281-4469</t>
  </si>
  <si>
    <t>Mannatech Incorporated</t>
  </si>
  <si>
    <t>Trade Marketing Supervisor</t>
  </si>
  <si>
    <t>http://www.linkedin.com/in/jorge-alejandro-hernandez-a819b05a</t>
  </si>
  <si>
    <t>alejandro@instagram.com</t>
  </si>
  <si>
    <t>Xiaomi MÃ©xico</t>
  </si>
  <si>
    <t>Dana</t>
  </si>
  <si>
    <t>Liu</t>
  </si>
  <si>
    <t>http://www.linkedin.com/in/dana-liu-985671144</t>
  </si>
  <si>
    <t>dliu@coach.com</t>
  </si>
  <si>
    <t>Fabian</t>
  </si>
  <si>
    <t>Coordinador LATAM de Marketing Digital &amp; E-commerce</t>
  </si>
  <si>
    <t>http://www.linkedin.com/in/fabian-gonzalez-2b48a4161</t>
  </si>
  <si>
    <t>fgonzalez@pasaimper.com</t>
  </si>
  <si>
    <t>+52 449 973 8225</t>
  </si>
  <si>
    <t>Impermeabilizantes PASAÂ®</t>
  </si>
  <si>
    <t>jarias@juguetron.mx</t>
  </si>
  <si>
    <t>Granados</t>
  </si>
  <si>
    <t>http://www.linkedin.com/in/isgra</t>
  </si>
  <si>
    <t>israel.granados@predictiva21.com</t>
  </si>
  <si>
    <t>+52 323 428 7997</t>
  </si>
  <si>
    <t>Predictiva21</t>
  </si>
  <si>
    <t>Hernndez</t>
  </si>
  <si>
    <t>selene.hernandez@hemsa.com</t>
  </si>
  <si>
    <t>Puig</t>
  </si>
  <si>
    <t>Gerente Marketing</t>
  </si>
  <si>
    <t>http://www.linkedin.com/in/paola-puig-a81b04175</t>
  </si>
  <si>
    <t>paola@lanaval.com.mx</t>
  </si>
  <si>
    <t>+52 55 5584 3500</t>
  </si>
  <si>
    <t>La Naval</t>
  </si>
  <si>
    <t>Romeo</t>
  </si>
  <si>
    <t>Zetina</t>
  </si>
  <si>
    <t>eCommerce Developer</t>
  </si>
  <si>
    <t>http://www.linkedin.com/in/romeo-zetina-minguez-588a9b20b</t>
  </si>
  <si>
    <t>ti_desarrollo01@ofix.mx</t>
  </si>
  <si>
    <t>+52 800 999 6349</t>
  </si>
  <si>
    <t>Ofix</t>
  </si>
  <si>
    <t>Tonder</t>
  </si>
  <si>
    <t>Network Marketing</t>
  </si>
  <si>
    <t>http://www.linkedin.com/in/vincent-van-tonder-82862b138</t>
  </si>
  <si>
    <t>vtonder@mannatech.com</t>
  </si>
  <si>
    <t>Pascal</t>
  </si>
  <si>
    <t>Nguyen</t>
  </si>
  <si>
    <t>Manager, Marketing &amp; Consumer Analytics</t>
  </si>
  <si>
    <t>http://www.linkedin.com/in/pascalnguyen306</t>
  </si>
  <si>
    <t>pnguyen3@coach.com</t>
  </si>
  <si>
    <t>Blakely</t>
  </si>
  <si>
    <t>Roberson</t>
  </si>
  <si>
    <t>http://www.linkedin.com/in/blakely-roberson-660208292</t>
  </si>
  <si>
    <t>broberson@coach.com</t>
  </si>
  <si>
    <t>Ingrid</t>
  </si>
  <si>
    <t>Hajek-Schinkenberger</t>
  </si>
  <si>
    <t>http://www.linkedin.com/in/ingrid-hajek-schinkenberger-51554619a</t>
  </si>
  <si>
    <t>ingrid.hajek-schinkenberger@de.vwr.com</t>
  </si>
  <si>
    <t>Mao</t>
  </si>
  <si>
    <t>Assistant Manager, CRM, Marketing</t>
  </si>
  <si>
    <t>http://www.linkedin.com/in/mao-k-04312b165</t>
  </si>
  <si>
    <t>mk@coach.com</t>
  </si>
  <si>
    <t>Erin</t>
  </si>
  <si>
    <t>Gates</t>
  </si>
  <si>
    <t>Assistant Manager, Ecommerce</t>
  </si>
  <si>
    <t>http://www.linkedin.com/in/erin-gates8</t>
  </si>
  <si>
    <t>egates@coach.com</t>
  </si>
  <si>
    <t>Hannah</t>
  </si>
  <si>
    <t>Toner</t>
  </si>
  <si>
    <t>Assistant Manager, Digital Marketing</t>
  </si>
  <si>
    <t>http://www.linkedin.com/in/hannah-toner</t>
  </si>
  <si>
    <t>htoner@coach.com</t>
  </si>
  <si>
    <t>Sicairos</t>
  </si>
  <si>
    <t>Jefe de marketing y comercial</t>
  </si>
  <si>
    <t>http://www.linkedin.com/in/diana-sicairos-883a6b119</t>
  </si>
  <si>
    <t>dsicairos@tomateros.com</t>
  </si>
  <si>
    <t>Claus</t>
  </si>
  <si>
    <t>Krombach</t>
  </si>
  <si>
    <t>Field Marketing Specialist</t>
  </si>
  <si>
    <t>http://www.linkedin.com/in/claus-krombach-3a0b49156</t>
  </si>
  <si>
    <t>claus.krombach@vwr.com</t>
  </si>
  <si>
    <t>Angela</t>
  </si>
  <si>
    <t>Wong</t>
  </si>
  <si>
    <t>Marketing Manager, CRM &amp; Retail Marketing</t>
  </si>
  <si>
    <t>http://www.linkedin.com/in/angela-wong-8ab967177</t>
  </si>
  <si>
    <t>awong@coach.com</t>
  </si>
  <si>
    <t>Head Of Digital Marketing</t>
  </si>
  <si>
    <t>http://www.linkedin.com/in/gabrielavillegassm</t>
  </si>
  <si>
    <t>gabriela@erotika.mx</t>
  </si>
  <si>
    <t>+52 55 5340 3790</t>
  </si>
  <si>
    <t>Erotika Love Store</t>
  </si>
  <si>
    <t>Sandyvel</t>
  </si>
  <si>
    <t>Gerente Ecommerce</t>
  </si>
  <si>
    <t>http://www.linkedin.com/in/sandyvelperez</t>
  </si>
  <si>
    <t>sandyvel@superaki.mx</t>
  </si>
  <si>
    <t>+529999424400,555</t>
  </si>
  <si>
    <t>Super Aki</t>
  </si>
  <si>
    <t>http://www.linkedin.com/in/jesusgr0</t>
  </si>
  <si>
    <t>jesus.guerrero@supermexdigital.com</t>
  </si>
  <si>
    <t>+52 55 5512 6973</t>
  </si>
  <si>
    <t>Supermexdigital</t>
  </si>
  <si>
    <t>Jackeline</t>
  </si>
  <si>
    <t>Head of Ecommerce &amp; Marketing</t>
  </si>
  <si>
    <t>http://www.linkedin.com/in/jackeline-perla-927891192</t>
  </si>
  <si>
    <t>jperla@juguetibici.com.mx</t>
  </si>
  <si>
    <t>Parra</t>
  </si>
  <si>
    <t>Jefe E-Commerce</t>
  </si>
  <si>
    <t>alejandra.parra@modatelas.com.mx</t>
  </si>
  <si>
    <t>+52 55 5081 6120</t>
  </si>
  <si>
    <t>Modatelas</t>
  </si>
  <si>
    <t>Marketing Manager, Critical Care</t>
  </si>
  <si>
    <t>http://www.linkedin.com/in/antonioandreuc</t>
  </si>
  <si>
    <t>jose.andreuco@udlap.mx</t>
  </si>
  <si>
    <t>+49 6172 6092525</t>
  </si>
  <si>
    <t>Bradshaw</t>
  </si>
  <si>
    <t>marketing network - sales</t>
  </si>
  <si>
    <t>http://www.linkedin.com/in/eleni-bradshaw-19a83128</t>
  </si>
  <si>
    <t>ebradshaw@mannatech.com</t>
  </si>
  <si>
    <t>Ward</t>
  </si>
  <si>
    <t>VP Marketing</t>
  </si>
  <si>
    <t>http://www.linkedin.com/in/doug-ward-5185782</t>
  </si>
  <si>
    <t>doug_ward@vwr.com</t>
  </si>
  <si>
    <t>Lucy</t>
  </si>
  <si>
    <t>Mi</t>
  </si>
  <si>
    <t>Senior Director, CRM &amp; Retail Marketing, Great China</t>
  </si>
  <si>
    <t>http://www.linkedin.com/in/lucy-mi-94757052</t>
  </si>
  <si>
    <t>lmi@coach.com</t>
  </si>
  <si>
    <t>Jese</t>
  </si>
  <si>
    <t>Brand Marketing &amp; Infrastructure Manager</t>
  </si>
  <si>
    <t>http://www.linkedin.com/in/jese-garcia-073102bb</t>
  </si>
  <si>
    <t>jgarcia@lineaitalia.com.mx</t>
  </si>
  <si>
    <t>+52 442 790 0927</t>
  </si>
  <si>
    <t>Linea Italia</t>
  </si>
  <si>
    <t>Aira</t>
  </si>
  <si>
    <t>Dantes</t>
  </si>
  <si>
    <t>E-Commerce Associate</t>
  </si>
  <si>
    <t>http://www.linkedin.com/in/acdantes</t>
  </si>
  <si>
    <t>aira.dantes@spartan.com</t>
  </si>
  <si>
    <t>Alice</t>
  </si>
  <si>
    <t>Zhao</t>
  </si>
  <si>
    <t>Associate Marketing Manager</t>
  </si>
  <si>
    <t>http://www.linkedin.com/in/alice-zhao-010838a5</t>
  </si>
  <si>
    <t>mzhao@coach.com</t>
  </si>
  <si>
    <t>Yip</t>
  </si>
  <si>
    <t>Senior Director, Marketing - Asia</t>
  </si>
  <si>
    <t>http://www.linkedin.com/in/nancy-yip-b413471a</t>
  </si>
  <si>
    <t>nyip@coach.com</t>
  </si>
  <si>
    <t>Mimi</t>
  </si>
  <si>
    <t>Gumelaty</t>
  </si>
  <si>
    <t>Vice President Marketing &amp; E-commerce</t>
  </si>
  <si>
    <t>http://www.linkedin.com/in/mimigumelaty</t>
  </si>
  <si>
    <t>mgumelaty@coach.com</t>
  </si>
  <si>
    <t>Michelle Cristina</t>
  </si>
  <si>
    <t>Abaunza GarcÂ¡A</t>
  </si>
  <si>
    <t>mabaunza@pentel.com.mx</t>
  </si>
  <si>
    <t>553-418-7114</t>
  </si>
  <si>
    <t>Pentel de Mexico</t>
  </si>
  <si>
    <t>Feryal</t>
  </si>
  <si>
    <t>Rehman</t>
  </si>
  <si>
    <t>http://www.linkedin.com/in/feryalrehman</t>
  </si>
  <si>
    <t>frehman@groupeseb.com</t>
  </si>
  <si>
    <t>+33 4 72 18 18 18</t>
  </si>
  <si>
    <t>T-fal</t>
  </si>
  <si>
    <t>Morfin</t>
  </si>
  <si>
    <t>Gerente de marketing digital</t>
  </si>
  <si>
    <t>amorfin@ticketmaster.com.mx</t>
  </si>
  <si>
    <t>+52 55 5325 9050</t>
  </si>
  <si>
    <t>Ticketmaster Mexico</t>
  </si>
  <si>
    <t>Cristhian</t>
  </si>
  <si>
    <t>Daz</t>
  </si>
  <si>
    <t>cristhian.diaz@lamarina.com.mx</t>
  </si>
  <si>
    <t>312-155-6873</t>
  </si>
  <si>
    <t>La Marina</t>
  </si>
  <si>
    <t>Einar</t>
  </si>
  <si>
    <t>einar.moreno@udlap.mx</t>
  </si>
  <si>
    <t>Coordinadora Ecommerce</t>
  </si>
  <si>
    <t>http://www.linkedin.com/in/leticia-rico-aa51a612a</t>
  </si>
  <si>
    <t>leticiarico@hemsa.com</t>
  </si>
  <si>
    <t>+52 81 1022 2118</t>
  </si>
  <si>
    <t>Gracia</t>
  </si>
  <si>
    <t>Gerente de Marketing</t>
  </si>
  <si>
    <t>http://www.linkedin.com/in/jessicagraciagzz</t>
  </si>
  <si>
    <t>jessica.gracia@petmarkt.com.mx</t>
  </si>
  <si>
    <t>+52 55 7005 5660</t>
  </si>
  <si>
    <t>Pet Markt</t>
  </si>
  <si>
    <t>Director de marketing digital</t>
  </si>
  <si>
    <t>http://www.linkedin.com/in/selene-montiel-d%c3%adaz-656851225</t>
  </si>
  <si>
    <t>selene.montiel@intesc.mx</t>
  </si>
  <si>
    <t>INTESC ElectrÃ³nica &amp; Embebidos</t>
  </si>
  <si>
    <t>Robin</t>
  </si>
  <si>
    <t>Legat</t>
  </si>
  <si>
    <t>DEKA Event Sales &amp; Marketing Manager</t>
  </si>
  <si>
    <t>http://www.linkedin.com/in/robinlegat</t>
  </si>
  <si>
    <t>robin.legat@spartan.com</t>
  </si>
  <si>
    <t>Evelyne</t>
  </si>
  <si>
    <t>Lebrun</t>
  </si>
  <si>
    <t>Sr Business Development and Marketing Manager</t>
  </si>
  <si>
    <t>http://www.linkedin.com/in/evelyne-lebrun-04881226</t>
  </si>
  <si>
    <t>evelyne.lebrun@valentinmaya.com</t>
  </si>
  <si>
    <t>Sita</t>
  </si>
  <si>
    <t>Regional Director Of Sales And Marketing</t>
  </si>
  <si>
    <t>http://www.linkedin.com/in/sita-mendoza-467675197</t>
  </si>
  <si>
    <t>sita.mendoza@coach.com</t>
  </si>
  <si>
    <t>Por</t>
  </si>
  <si>
    <t>Yan</t>
  </si>
  <si>
    <t>http://www.linkedin.com/in/por-hong-yan-8b1905187</t>
  </si>
  <si>
    <t>pyan@coach.com</t>
  </si>
  <si>
    <t>Dawn</t>
  </si>
  <si>
    <t>http://www.linkedin.com/in/dawn-li-28817577</t>
  </si>
  <si>
    <t>dli@coach.com</t>
  </si>
  <si>
    <t>Duran</t>
  </si>
  <si>
    <t>http://www.linkedin.com/in/valeria-dur%c3%a1n</t>
  </si>
  <si>
    <t>vparra@tripadvisor.com</t>
  </si>
  <si>
    <t>Delphinus</t>
  </si>
  <si>
    <t>Yonat</t>
  </si>
  <si>
    <t>Fastag</t>
  </si>
  <si>
    <t>Directora de marketing</t>
  </si>
  <si>
    <t>http://www.linkedin.com/in/yonat-fastag-7072a174</t>
  </si>
  <si>
    <t>yonat.fastag@darco.com.mx</t>
  </si>
  <si>
    <t>+52 55 5545 3550</t>
  </si>
  <si>
    <t>Darco</t>
  </si>
  <si>
    <t>Ariella</t>
  </si>
  <si>
    <t>Sziraki</t>
  </si>
  <si>
    <t>Content Marketing Manager</t>
  </si>
  <si>
    <t>http://www.linkedin.com/in/ariella-sziraki-839337a1</t>
  </si>
  <si>
    <t>ariella.sziraki@thebodyshop.com</t>
  </si>
  <si>
    <t>+44 800 092 9090</t>
  </si>
  <si>
    <t>The Body Shop</t>
  </si>
  <si>
    <t>Jefa de eCommerce El BodegÃ³n en BODESA SAPI de CV BODESA SAPI de CV</t>
  </si>
  <si>
    <t>http://www.linkedin.com/in/karla-robles-villafuerte-a3658817a</t>
  </si>
  <si>
    <t>karla.robles@lamarina.com.mx</t>
  </si>
  <si>
    <t>800-232-1212</t>
  </si>
  <si>
    <t>http://www.linkedin.com/in/alma-reyes-84a15464</t>
  </si>
  <si>
    <t>areyes@sdm.com.mx</t>
  </si>
  <si>
    <t>+52 55 8882 2804</t>
  </si>
  <si>
    <t>Grupo Scropion</t>
  </si>
  <si>
    <t>Xochitl</t>
  </si>
  <si>
    <t>http://www.linkedin.com/in/xochitlgonzalezg</t>
  </si>
  <si>
    <t>xochitl@stuffactory.mx</t>
  </si>
  <si>
    <t>+52 33 8995 2505</t>
  </si>
  <si>
    <t>Amiel</t>
  </si>
  <si>
    <t>I</t>
  </si>
  <si>
    <t>Senior Marketing Manager- Brand Partnerships and Community</t>
  </si>
  <si>
    <t>http://www.linkedin.com/in/amielingraham</t>
  </si>
  <si>
    <t>ai@coach.com</t>
  </si>
  <si>
    <t>212-594-1850</t>
  </si>
  <si>
    <t>Maison</t>
  </si>
  <si>
    <t>Peony</t>
  </si>
  <si>
    <t>info@peonyprestige.com</t>
  </si>
  <si>
    <t>+52 237 119 2851</t>
  </si>
  <si>
    <t>Maison Peony</t>
  </si>
  <si>
    <t>Dalfzen</t>
  </si>
  <si>
    <t>Juniors</t>
  </si>
  <si>
    <t>http://www.linkedin.com/in/dalfzen-juniors-0665001aa</t>
  </si>
  <si>
    <t>djuniors@coach.com</t>
  </si>
  <si>
    <t>Martinez-Velazquez</t>
  </si>
  <si>
    <t>Sr. Director, North America eCommerce</t>
  </si>
  <si>
    <t>http://www.linkedin.com/in/jennifer-martinezvelazquez</t>
  </si>
  <si>
    <t>jmartinezvelazquez@coach.com</t>
  </si>
  <si>
    <t>Hunter</t>
  </si>
  <si>
    <t>W.</t>
  </si>
  <si>
    <t>Director, Global Marketing</t>
  </si>
  <si>
    <t>http://www.linkedin.com/in/hunter-w-93a9bb91</t>
  </si>
  <si>
    <t>hw@coach.com</t>
  </si>
  <si>
    <t>Abner</t>
  </si>
  <si>
    <t>Marketing Director, Coach Trading (Shanghai) Co.</t>
  </si>
  <si>
    <t>http://www.linkedin.com/in/lin-abner-2340a433</t>
  </si>
  <si>
    <t>alin@coach.com</t>
  </si>
  <si>
    <t>Gary</t>
  </si>
  <si>
    <t>Belanger</t>
  </si>
  <si>
    <t>Social Media Marketing Specialist</t>
  </si>
  <si>
    <t>http://www.linkedin.com/in/gary-belanger-38ba8a21</t>
  </si>
  <si>
    <t>garyb@spartan.com</t>
  </si>
  <si>
    <t>Baker</t>
  </si>
  <si>
    <t>Senior Manager, eCommerce Marketplace</t>
  </si>
  <si>
    <t>http://www.linkedin.com/in/meghan-baker-30080856</t>
  </si>
  <si>
    <t>mbaker@coach.com</t>
  </si>
  <si>
    <t>+1 212-946-8400</t>
  </si>
  <si>
    <t>Libros</t>
  </si>
  <si>
    <t>Unam</t>
  </si>
  <si>
    <t>librosunam@libros.unam.mx</t>
  </si>
  <si>
    <t>Universidad Nacional Autonoma de Mexico</t>
  </si>
  <si>
    <t>Anastasiya</t>
  </si>
  <si>
    <t>M.</t>
  </si>
  <si>
    <t>Merchandise Ecommerce Manager</t>
  </si>
  <si>
    <t>http://www.linkedin.com/in/amelekhavets</t>
  </si>
  <si>
    <t>anastasiyam@spartan.com</t>
  </si>
  <si>
    <t>Ejecutivo de comunicaciÃ³n y marketing</t>
  </si>
  <si>
    <t>http://www.linkedin.com/in/alonso-alonso-ventura-940697200</t>
  </si>
  <si>
    <t>alonso@lanaval.com.mx</t>
  </si>
  <si>
    <t>Villalpando</t>
  </si>
  <si>
    <t>http://www.linkedin.com/in/judith-villalpando-4a640214a</t>
  </si>
  <si>
    <t>judith.villalpando@motocity.mx</t>
  </si>
  <si>
    <t>+52 477 299 3023</t>
  </si>
  <si>
    <t>Motocity</t>
  </si>
  <si>
    <t>Pearce</t>
  </si>
  <si>
    <t>Brand Marketing Lead - Spartan &amp; Tough Mudder UK</t>
  </si>
  <si>
    <t>http://www.linkedin.com/in/samantha-pearce-22b04a5a</t>
  </si>
  <si>
    <t>samantha.pearce@spartan.com</t>
  </si>
  <si>
    <t>Wallengren</t>
  </si>
  <si>
    <t>Vice President Marketing, North America</t>
  </si>
  <si>
    <t>http://www.linkedin.com/in/kimberly-wallengren</t>
  </si>
  <si>
    <t>kwallengren@coach.com</t>
  </si>
  <si>
    <t>Bianca</t>
  </si>
  <si>
    <t>Bareswill</t>
  </si>
  <si>
    <t>Associate Manager, eCommerce Marketplace</t>
  </si>
  <si>
    <t>http://www.linkedin.com/in/biancabareswill</t>
  </si>
  <si>
    <t>bbareswill@coach.com</t>
  </si>
  <si>
    <t>Ivanna</t>
  </si>
  <si>
    <t>Gloria</t>
  </si>
  <si>
    <t>Analista de marketing</t>
  </si>
  <si>
    <t>http://www.linkedin.com/in/ivanna-de-la-lanza-gloria-74900a1a4</t>
  </si>
  <si>
    <t>idelalanza@dico.com.mx</t>
  </si>
  <si>
    <t>+52 55 5899 7000</t>
  </si>
  <si>
    <t>Casa de las Lomas</t>
  </si>
  <si>
    <t>Circuit</t>
  </si>
  <si>
    <t>Banks</t>
  </si>
  <si>
    <t>info@circuitbank.com</t>
  </si>
  <si>
    <t>+52 55 5350 1142</t>
  </si>
  <si>
    <t>Circuit Banks</t>
  </si>
  <si>
    <t>Coordinador de ventas y marketing</t>
  </si>
  <si>
    <t>http://www.linkedin.com/in/gerardo-santa-maria-mart%c3%adnez-06bb05209</t>
  </si>
  <si>
    <t>+52 55 3176 8819</t>
  </si>
  <si>
    <t>Smart Bamboo</t>
  </si>
  <si>
    <t>http://www.linkedin.com/in/mike-jones-173a8232</t>
  </si>
  <si>
    <t>mjones@coach.com</t>
  </si>
  <si>
    <t>Compromised</t>
  </si>
  <si>
    <t>Marketing Director, Coach Trading (Shanghai) Co</t>
  </si>
  <si>
    <t>http://www.linkedin.com/in/compromised-account-lee-08555965</t>
  </si>
  <si>
    <t>clee@coach.com</t>
  </si>
  <si>
    <t>Jeong</t>
  </si>
  <si>
    <t>http://www.linkedin.com/in/jeong-yeol-evan-lee-4a7372142</t>
  </si>
  <si>
    <t>jlee@coach.com</t>
  </si>
  <si>
    <t>Neumaier</t>
  </si>
  <si>
    <t>Sales Application &amp; Solution Specialist /Field Marketing</t>
  </si>
  <si>
    <t>http://www.linkedin.com/in/miriam-neumaier</t>
  </si>
  <si>
    <t>miriam.neumaier@avantorsciences.com</t>
  </si>
  <si>
    <t>Viscelli</t>
  </si>
  <si>
    <t>Sr. Director of Retention Marketing &amp; Membership</t>
  </si>
  <si>
    <t>http://www.linkedin.com/in/amanda-viscelli-66576832</t>
  </si>
  <si>
    <t>aviscelli@coach.com</t>
  </si>
  <si>
    <t>Evelyn</t>
  </si>
  <si>
    <t>Digital Marketing Strategist at Taller CoreogrÃ¡fico de la UNAM</t>
  </si>
  <si>
    <t>http://www.linkedin.com/in/evelyn-g%c3%b3mez-8b505b124</t>
  </si>
  <si>
    <t>evelyn@unam.mx</t>
  </si>
  <si>
    <t>+52 55 5622 0678</t>
  </si>
  <si>
    <t>Samanta</t>
  </si>
  <si>
    <t>Santoscoy</t>
  </si>
  <si>
    <t>Jefe e-commerce</t>
  </si>
  <si>
    <t>http://www.linkedin.com/in/samantasantoscoy</t>
  </si>
  <si>
    <t>samanta.santoscoy@grupoavante.org</t>
  </si>
  <si>
    <t>+8009111007</t>
  </si>
  <si>
    <t>Grupo Avante Llantas y Rines</t>
  </si>
  <si>
    <t>Whalen</t>
  </si>
  <si>
    <t>http://www.linkedin.com/in/caroline-whalen-7a385385</t>
  </si>
  <si>
    <t>caroline.whalen@spartan.com</t>
  </si>
  <si>
    <t>Kaitlin</t>
  </si>
  <si>
    <t>Heck</t>
  </si>
  <si>
    <t>Director of Event Marketing</t>
  </si>
  <si>
    <t>http://www.linkedin.com/in/kaitlinheck</t>
  </si>
  <si>
    <t>kaitlin.heck@spartan.com</t>
  </si>
  <si>
    <t>Ejecutivo de marketing digital</t>
  </si>
  <si>
    <t>http://www.linkedin.com/in/mariana-franco-amador-a56818230</t>
  </si>
  <si>
    <t>mariana.franco@telmov.com.mx</t>
  </si>
  <si>
    <t>+52 55 6268 6066</t>
  </si>
  <si>
    <t>Telmov</t>
  </si>
  <si>
    <t>Miao</t>
  </si>
  <si>
    <t>R.</t>
  </si>
  <si>
    <t>E-COMMERCE Commercial Manager</t>
  </si>
  <si>
    <t>http://www.linkedin.com/in/miao-r-976572149</t>
  </si>
  <si>
    <t>mr.@coach.com</t>
  </si>
  <si>
    <t>Brittany</t>
  </si>
  <si>
    <t>Berliere</t>
  </si>
  <si>
    <t>Marketing Automation Manager</t>
  </si>
  <si>
    <t>http://www.linkedin.com/in/brittany-berliere</t>
  </si>
  <si>
    <t>brittany.berliere@vwr.com</t>
  </si>
  <si>
    <t>Gestor de procesos comerciales | Marketing</t>
  </si>
  <si>
    <t>http://www.linkedin.com/in/marco-aguilar-camarillo-649870225</t>
  </si>
  <si>
    <t>maguilar@salyeri.com.mx</t>
  </si>
  <si>
    <t>+52 81 1365 9265</t>
  </si>
  <si>
    <t>Salyeri SA de CV</t>
  </si>
  <si>
    <t>http://www.linkedin.com/in/juan-carlos-gonzalez-tinoco-574b047a</t>
  </si>
  <si>
    <t>+52 800 248 5132</t>
  </si>
  <si>
    <t>CBD Life</t>
  </si>
  <si>
    <t>Sofia</t>
  </si>
  <si>
    <t>Manjarrez</t>
  </si>
  <si>
    <t>sofia.manjarrez@pacificpharma.com.mx</t>
  </si>
  <si>
    <t>Head of Marketing &amp; E-commerce</t>
  </si>
  <si>
    <t>http://www.linkedin.com/in/rodrigoperezmares</t>
  </si>
  <si>
    <t>rodrigo@stuffactory.mx</t>
  </si>
  <si>
    <t>Amy</t>
  </si>
  <si>
    <t>http://www.linkedin.com/in/amy-wang-72219b2b</t>
  </si>
  <si>
    <t>amywang@coach.com</t>
  </si>
  <si>
    <t>Joon</t>
  </si>
  <si>
    <t>Silverstein</t>
  </si>
  <si>
    <t>SVP, Global Marketing, Creative and Sustainability and Head of Coachtopia</t>
  </si>
  <si>
    <t>http://www.linkedin.com/in/joon-silverstein-487471</t>
  </si>
  <si>
    <t>jsilverstein@coach.com</t>
  </si>
  <si>
    <t>Brooks</t>
  </si>
  <si>
    <t>Marketing and Partnerships Servicing Manager - Europe</t>
  </si>
  <si>
    <t>http://www.linkedin.com/in/dawn-brooks-4b889253</t>
  </si>
  <si>
    <t>dawn.brooks@spartan.com</t>
  </si>
  <si>
    <t>Viraj</t>
  </si>
  <si>
    <t>Somani</t>
  </si>
  <si>
    <t>Senior Digital Marketing Analyst</t>
  </si>
  <si>
    <t>http://www.linkedin.com/in/viraj-somani-9240276</t>
  </si>
  <si>
    <t>viraj.somani@avantorsciences.com</t>
  </si>
  <si>
    <t>Orihuela</t>
  </si>
  <si>
    <t>http://www.linkedin.com/in/paulina-orihuela-87309a87</t>
  </si>
  <si>
    <t>paulina.orihuela@avante.com.mx</t>
  </si>
  <si>
    <t>Christine</t>
  </si>
  <si>
    <t>Petretta</t>
  </si>
  <si>
    <t>Senior Director of Retail &amp; Brand Marketing</t>
  </si>
  <si>
    <t>http://www.linkedin.com/in/christinepetretta</t>
  </si>
  <si>
    <t>cpetretta@coach.com</t>
  </si>
  <si>
    <t>Bonilla</t>
  </si>
  <si>
    <t>Administrativo ecommerce</t>
  </si>
  <si>
    <t>http://www.linkedin.com/in/maria-samantha-bonilla-valdez-449421114</t>
  </si>
  <si>
    <t>mbonilla@perfectchoice.me</t>
  </si>
  <si>
    <t>+52 1 51 6938 1118</t>
  </si>
  <si>
    <t>Perfect Choice</t>
  </si>
  <si>
    <t>Kelly</t>
  </si>
  <si>
    <t>Product Manager - Global Product Marketing</t>
  </si>
  <si>
    <t>http://www.linkedin.com/in/kelly-moore-081aa935</t>
  </si>
  <si>
    <t>kmoore@mannatech.com</t>
  </si>
  <si>
    <t>Adella</t>
  </si>
  <si>
    <t>http://www.linkedin.com/in/adella-lin-389a8a158</t>
  </si>
  <si>
    <t>Marisa</t>
  </si>
  <si>
    <t>http://www.linkedin.com/in/marisamart%c3%adnez</t>
  </si>
  <si>
    <t>marisa@profoto.com.mx</t>
  </si>
  <si>
    <t>+52 614 575 4859</t>
  </si>
  <si>
    <t>Profoto</t>
  </si>
  <si>
    <t>Maggie</t>
  </si>
  <si>
    <t>Leung</t>
  </si>
  <si>
    <t>Manager, Advertising &amp; PR</t>
  </si>
  <si>
    <t>http://www.linkedin.com/in/maggie-leung-554b304b</t>
  </si>
  <si>
    <t>mleung@coach.com</t>
  </si>
  <si>
    <t>Ronna</t>
  </si>
  <si>
    <t>C.</t>
  </si>
  <si>
    <t>Site Operations Manager, North America Retail Ecommerce</t>
  </si>
  <si>
    <t>http://www.linkedin.com/in/ronnacabalar</t>
  </si>
  <si>
    <t>rc.@coach.com</t>
  </si>
  <si>
    <t>http://www.linkedin.com/in/maria-fernanda-baldomero-73773a66</t>
  </si>
  <si>
    <t>mbaldomero@invictastores.com</t>
  </si>
  <si>
    <t>+52 55 4613 7558</t>
  </si>
  <si>
    <t>biutest</t>
  </si>
  <si>
    <t>Karim</t>
  </si>
  <si>
    <t>Bejarano</t>
  </si>
  <si>
    <t>http://www.linkedin.com/in/karim-bejarano-8359ab217</t>
  </si>
  <si>
    <t>direccion.online@mistermascotas.com.mx</t>
  </si>
  <si>
    <t>+52 55 7955 2609</t>
  </si>
  <si>
    <t>Mister Mascotas</t>
  </si>
  <si>
    <t>Banuelos</t>
  </si>
  <si>
    <t>Marketing y Publicidad</t>
  </si>
  <si>
    <t>http://www.linkedin.com/in/ana-patricia-ba%c3%b1uelos-avalos-9489871b5</t>
  </si>
  <si>
    <t>mercadotecnia@lazzar.com.mx</t>
  </si>
  <si>
    <t>+52 55 7095 7075</t>
  </si>
  <si>
    <t>Uniformes Lazzar</t>
  </si>
  <si>
    <t>Deniz</t>
  </si>
  <si>
    <t>Ulger</t>
  </si>
  <si>
    <t>ChargÃ© de Marketing OpÃ©rationnel et Digital</t>
  </si>
  <si>
    <t>http://www.linkedin.com/in/deniz-ulger</t>
  </si>
  <si>
    <t>deniz.ulger@kompass.com</t>
  </si>
  <si>
    <t>Azusa</t>
  </si>
  <si>
    <t>Sekine</t>
  </si>
  <si>
    <t>http://www.linkedin.com/in/azusa-sekine-730422130</t>
  </si>
  <si>
    <t>asekine@coach.com</t>
  </si>
  <si>
    <t>Jordan</t>
  </si>
  <si>
    <t>Birkhead</t>
  </si>
  <si>
    <t>Senior Manager, Global Brand Marketing</t>
  </si>
  <si>
    <t>http://www.linkedin.com/in/jordan-birkhead-764603154</t>
  </si>
  <si>
    <t>jbirkhead@coach.com</t>
  </si>
  <si>
    <t>Shen</t>
  </si>
  <si>
    <t>Ecom Associate Merchandising Manager</t>
  </si>
  <si>
    <t>http://www.linkedin.com/in/hannah-shen</t>
  </si>
  <si>
    <t>hshen@coach.com</t>
  </si>
  <si>
    <t>Jaewoong</t>
  </si>
  <si>
    <t>Han</t>
  </si>
  <si>
    <t>http://www.linkedin.com/in/jaewoong-han-3bb630b4</t>
  </si>
  <si>
    <t>jhan@coach.com</t>
  </si>
  <si>
    <t>Chavez</t>
  </si>
  <si>
    <t>Especialista en marketing y relaciones pÃºblicas</t>
  </si>
  <si>
    <t>http://www.linkedin.com/in/mariana-jhoselin-ch%c3%a1vez-hern%c3%a1ndez-987705162</t>
  </si>
  <si>
    <t>+52 55 4170 8460</t>
  </si>
  <si>
    <t>Lean Construction MÃ©xico Â®</t>
  </si>
  <si>
    <t>Freckman</t>
  </si>
  <si>
    <t>Marketing Manager - Spartan Trail</t>
  </si>
  <si>
    <t>http://www.linkedin.com/in/eric-freckman-04b4a0109</t>
  </si>
  <si>
    <t>eric.freckman@spartan.com</t>
  </si>
  <si>
    <t>Barakovac</t>
  </si>
  <si>
    <t>Brand Marketing Manager - Europe</t>
  </si>
  <si>
    <t>http://www.linkedin.com/in/emma-barakovac-615788172</t>
  </si>
  <si>
    <t>ebarakovac@coach.com</t>
  </si>
  <si>
    <t>Erica</t>
  </si>
  <si>
    <t>Wertheim</t>
  </si>
  <si>
    <t>Senior Manager, Site Content, Retail eCommerce</t>
  </si>
  <si>
    <t>http://www.linkedin.com/in/erica-wertheim-522a353b</t>
  </si>
  <si>
    <t>ewertheim@coach.com</t>
  </si>
  <si>
    <t>Gustavo</t>
  </si>
  <si>
    <t>http://www.linkedin.com/in/gustavogonzalezb</t>
  </si>
  <si>
    <t>gustavo.gonzalez@clarins.com</t>
  </si>
  <si>
    <t>+52 55 2239 5152</t>
  </si>
  <si>
    <t>Clarins</t>
  </si>
  <si>
    <t>Ezer EfrÃ©n</t>
  </si>
  <si>
    <t>Performance Marketing</t>
  </si>
  <si>
    <t>http://www.linkedin.com/in/ezer-fernan-pe%c3%b1a-ram%c3%adrez-a20875128</t>
  </si>
  <si>
    <t>online.performance@limitededition.mx</t>
  </si>
  <si>
    <t>+52 55 5245 8295</t>
  </si>
  <si>
    <t>Limited Edition</t>
  </si>
  <si>
    <t>Sotres Veron</t>
  </si>
  <si>
    <t>rocio.sotres@udlap.mx</t>
  </si>
  <si>
    <t>Dwita</t>
  </si>
  <si>
    <t>Satyanti</t>
  </si>
  <si>
    <t>Ecommerce Business Manager</t>
  </si>
  <si>
    <t>http://www.linkedin.com/in/dwita-satyanti</t>
  </si>
  <si>
    <t>dwita-satyanti@thebodyshop.co.id</t>
  </si>
  <si>
    <t>Iliana</t>
  </si>
  <si>
    <t>Especialista en E-Commerce</t>
  </si>
  <si>
    <t>http://www.linkedin.com/in/iliana-amellali-marin-falcon-523993aa</t>
  </si>
  <si>
    <t>ilianam@lineaitalia.com.mx</t>
  </si>
  <si>
    <t>Alfaomega</t>
  </si>
  <si>
    <t>Grupo</t>
  </si>
  <si>
    <t>http://www.linkedin.com/in/alfaomegagrupoeditor-bb3796137</t>
  </si>
  <si>
    <t>atencionalcliente@alfaomega.com.mx</t>
  </si>
  <si>
    <t>Catherine</t>
  </si>
  <si>
    <t>Song</t>
  </si>
  <si>
    <t>http://www.linkedin.com/in/catherine-song-b9812b260</t>
  </si>
  <si>
    <t>csong@coach.com</t>
  </si>
  <si>
    <t>Zhang</t>
  </si>
  <si>
    <t>http://www.linkedin.com/in/jerry-zhang-446b7332</t>
  </si>
  <si>
    <t>jzhang@coach.com</t>
  </si>
  <si>
    <t>Viviana</t>
  </si>
  <si>
    <t>http://www.linkedin.com/in/viviana-w-b2617594</t>
  </si>
  <si>
    <t>vw.@coach.com</t>
  </si>
  <si>
    <t>Scheiner</t>
  </si>
  <si>
    <t>Director, Retention Marketing</t>
  </si>
  <si>
    <t>http://www.linkedin.com/in/emily-scheiner-1a73bb2b</t>
  </si>
  <si>
    <t>escheiner@coach.com</t>
  </si>
  <si>
    <t>Jerad</t>
  </si>
  <si>
    <t>Hulse</t>
  </si>
  <si>
    <t>Senior Manager, Global Marketing</t>
  </si>
  <si>
    <t>http://www.linkedin.com/in/jeradhulse</t>
  </si>
  <si>
    <t>jhulse@coach.com</t>
  </si>
  <si>
    <t>Kocic</t>
  </si>
  <si>
    <t>http://www.linkedin.com/in/mimi-kocic-9344a6152</t>
  </si>
  <si>
    <t>mkocic@coach.com</t>
  </si>
  <si>
    <t>Holly</t>
  </si>
  <si>
    <t>Laginess</t>
  </si>
  <si>
    <t>Senior Graphic Designer &amp; Digital Marketing Specialist</t>
  </si>
  <si>
    <t>http://www.linkedin.com/in/holly-laginess-2a121666</t>
  </si>
  <si>
    <t>holly@jbtools.com</t>
  </si>
  <si>
    <t>+1 734-744-6449</t>
  </si>
  <si>
    <t>JBTools</t>
  </si>
  <si>
    <t>Marci</t>
  </si>
  <si>
    <t>Yarrish-Smith</t>
  </si>
  <si>
    <t>Senior Product Manager - Global Marketing</t>
  </si>
  <si>
    <t>http://www.linkedin.com/in/marciyarrishsmith</t>
  </si>
  <si>
    <t>myarrish-smith@mannatech.com</t>
  </si>
  <si>
    <t>Hindle</t>
  </si>
  <si>
    <t>http://www.linkedin.com/in/michelle-hindle-9a1b455</t>
  </si>
  <si>
    <t>mhindle@coach.com</t>
  </si>
  <si>
    <t>Carly</t>
  </si>
  <si>
    <t>Lorberbaum</t>
  </si>
  <si>
    <t>Director, Global Brand Marketing</t>
  </si>
  <si>
    <t>http://www.linkedin.com/in/carly-roth-lorberbaum-995b1738</t>
  </si>
  <si>
    <t>carlylorberbaum@coach.com</t>
  </si>
  <si>
    <t>Salcedo</t>
  </si>
  <si>
    <t>Gerente general de marketing</t>
  </si>
  <si>
    <t>http://www.linkedin.com/in/alejandro-salcedo-3a6752203</t>
  </si>
  <si>
    <t>salcedo.alejandro@farmaciasgi.com.mx</t>
  </si>
  <si>
    <t>+52 800 837 0721</t>
  </si>
  <si>
    <t>Farmacias Gi S.A. de C.V.</t>
  </si>
  <si>
    <t>Especialista en ventas y marketing</t>
  </si>
  <si>
    <t>http://www.linkedin.com/in/edgar-morales-b13b2a12</t>
  </si>
  <si>
    <t>edgar_morales@vwr.com</t>
  </si>
  <si>
    <t>Ella</t>
  </si>
  <si>
    <t>Personalization &amp; Retention Marketing Manager</t>
  </si>
  <si>
    <t>http://www.linkedin.com/in/ellarockjones</t>
  </si>
  <si>
    <t>ejones@coach.com</t>
  </si>
  <si>
    <t>Renee</t>
  </si>
  <si>
    <t>Klein</t>
  </si>
  <si>
    <t>VP Global Brand Marketing</t>
  </si>
  <si>
    <t>http://www.linkedin.com/in/renee-klein-59653b3</t>
  </si>
  <si>
    <t>rklein@coach.com</t>
  </si>
  <si>
    <t>Ariel</t>
  </si>
  <si>
    <t>http://www.linkedin.com/in/ariel-jones-6b5bb5126</t>
  </si>
  <si>
    <t>ajones@coach.com</t>
  </si>
  <si>
    <t>Coordinadora de marketing</t>
  </si>
  <si>
    <t>http://www.linkedin.com/in/ingrid-soto-adorno-9b5266161</t>
  </si>
  <si>
    <t>ingrid.soto@fraiche.com.mx</t>
  </si>
  <si>
    <t>Carrasco</t>
  </si>
  <si>
    <t>Head of digital marketing</t>
  </si>
  <si>
    <t>http://www.linkedin.com/in/icarrascoalvarez</t>
  </si>
  <si>
    <t>icarrasco@ticketmaster.com.mx</t>
  </si>
  <si>
    <t>Gerente de Marketing Digital</t>
  </si>
  <si>
    <t>http://www.linkedin.com/in/hugolopezalvarez</t>
  </si>
  <si>
    <t>hugo.lopez@udlap.mx</t>
  </si>
  <si>
    <t>01 (222) 229 2000 ext: 2050</t>
  </si>
  <si>
    <t>Yadira</t>
  </si>
  <si>
    <t>ysanchez@martiderm.mx</t>
  </si>
  <si>
    <t>+52//+52 1 (55) 5395 1247</t>
  </si>
  <si>
    <t>Mosin</t>
  </si>
  <si>
    <t>Moin</t>
  </si>
  <si>
    <t>http://www.linkedin.com/in/mosin-moin-a60b74141</t>
  </si>
  <si>
    <t>mmoin@coach.com</t>
  </si>
  <si>
    <t>http://www.linkedin.com/in/linda-liu-3bab0429</t>
  </si>
  <si>
    <t>lliu@coach.com</t>
  </si>
  <si>
    <t>Bella</t>
  </si>
  <si>
    <t>http://www.linkedin.com/in/bella-zhang-4b497018</t>
  </si>
  <si>
    <t>bzhang@coach.com</t>
  </si>
  <si>
    <t>Jolie</t>
  </si>
  <si>
    <t>Wu</t>
  </si>
  <si>
    <t>http://www.linkedin.com/in/jolie-wu-01a744145</t>
  </si>
  <si>
    <t>jwu@coach.com</t>
  </si>
  <si>
    <t>Czuberny</t>
  </si>
  <si>
    <t>Director Marketing Region EMEA East</t>
  </si>
  <si>
    <t>http://www.linkedin.com/in/miriam-czuberny-24836b131</t>
  </si>
  <si>
    <t>miriam.czuberny@vwr.com</t>
  </si>
  <si>
    <t>Sorem</t>
  </si>
  <si>
    <t>http://www.linkedin.com/in/r-carlos-sorem-4177a2142</t>
  </si>
  <si>
    <t>csorem@alfaomega.com.mx</t>
  </si>
  <si>
    <t>Antony</t>
  </si>
  <si>
    <t>Rajan</t>
  </si>
  <si>
    <t>Manager, Global Web, E-Commerce Development</t>
  </si>
  <si>
    <t>http://www.linkedin.com/in/antony-rajan-13a3984</t>
  </si>
  <si>
    <t>antony_rajan@vwr.com</t>
  </si>
  <si>
    <t>Chandiramani</t>
  </si>
  <si>
    <t>VP - Marketing Analytics, Operations and Transformation</t>
  </si>
  <si>
    <t>http://www.linkedin.com/in/poojachandiramani</t>
  </si>
  <si>
    <t>pchandiramani@coach.com</t>
  </si>
  <si>
    <t>D'Amico</t>
  </si>
  <si>
    <t>Retention Marketing Manager</t>
  </si>
  <si>
    <t>http://www.linkedin.com/in/daniella-d-amico-376a59104</t>
  </si>
  <si>
    <t>ddamico@coach.com</t>
  </si>
  <si>
    <t>Nelson</t>
  </si>
  <si>
    <t>Irias</t>
  </si>
  <si>
    <t>Marketing &amp; Sales Director</t>
  </si>
  <si>
    <t>http://www.linkedin.com/in/nelson-irias-nunez</t>
  </si>
  <si>
    <t>nirias@daliaempower.com</t>
  </si>
  <si>
    <t>Dalia Empower</t>
  </si>
  <si>
    <t>http://www.linkedin.com/in/claudia-patricia-ramirez-monroy-b6a75034</t>
  </si>
  <si>
    <t>claudia.monroy@arauco.com</t>
  </si>
  <si>
    <t>Micol</t>
  </si>
  <si>
    <t>Berti</t>
  </si>
  <si>
    <t>http://www.linkedin.com/in/micol-berti</t>
  </si>
  <si>
    <t>micol.berti@spartan.com</t>
  </si>
  <si>
    <t>Munoz</t>
  </si>
  <si>
    <t>http://www.linkedin.com/in/sandra-mu%c3%b1oz-b87bb529</t>
  </si>
  <si>
    <t>sandra@victoria147.org</t>
  </si>
  <si>
    <t>Beautiful Wish</t>
  </si>
  <si>
    <t>marketing@beautifulwish.mx</t>
  </si>
  <si>
    <t>+52 55 7160 8549</t>
  </si>
  <si>
    <t>Luz Ma.</t>
  </si>
  <si>
    <t>Martinez Camacho</t>
  </si>
  <si>
    <t>eCommerce - Marketplace - Marketing Digital</t>
  </si>
  <si>
    <t>http://www.linkedin.com/in/luz-ma-martinez-camacho-a4979b194</t>
  </si>
  <si>
    <t>luz@stuffactory.mx</t>
  </si>
  <si>
    <t>Stacey</t>
  </si>
  <si>
    <t>marketing expert in training</t>
  </si>
  <si>
    <t>http://www.linkedin.com/in/james-duncan-stacey-021ab6148</t>
  </si>
  <si>
    <t>jstacey@mannatech.com</t>
  </si>
  <si>
    <t>Mireille</t>
  </si>
  <si>
    <t>Ake</t>
  </si>
  <si>
    <t>http://www.linkedin.com/in/mireille-ake-934590103</t>
  </si>
  <si>
    <t>make@coach.com</t>
  </si>
  <si>
    <t>Gabriella</t>
  </si>
  <si>
    <t>Hammer</t>
  </si>
  <si>
    <t>Senior Manager, eCommerce Product Strategy</t>
  </si>
  <si>
    <t>http://www.linkedin.com/in/gabriella-l-hammer-61b0bb1b</t>
  </si>
  <si>
    <t>ghammer@coach.com</t>
  </si>
  <si>
    <t>Rev</t>
  </si>
  <si>
    <t>Legg</t>
  </si>
  <si>
    <t>http://www.linkedin.com/in/rev-p-legg-825b97120</t>
  </si>
  <si>
    <t>rlegg@coach.com</t>
  </si>
  <si>
    <t>Roma</t>
  </si>
  <si>
    <t>Senior Marketing Executive</t>
  </si>
  <si>
    <t>http://www.linkedin.com/in/alexroma</t>
  </si>
  <si>
    <t>alex.roma@spartan.com</t>
  </si>
  <si>
    <t>Wilbur</t>
  </si>
  <si>
    <t>Director Marketing Operations and Project Management - Spartan and Tough Mudder</t>
  </si>
  <si>
    <t>http://www.linkedin.com/in/jillianwilbur</t>
  </si>
  <si>
    <t>jillian.wilbur@spartan.com</t>
  </si>
  <si>
    <t>Park</t>
  </si>
  <si>
    <t>Namu</t>
  </si>
  <si>
    <t>Retail Marketing Manager</t>
  </si>
  <si>
    <t>http://www.linkedin.com/in/park-namu-b37202a1</t>
  </si>
  <si>
    <t>pnamu@coach.com</t>
  </si>
  <si>
    <t>AdministraciÃ³n de marketing</t>
  </si>
  <si>
    <t>http://www.linkedin.com/in/mariana-martinez-cervantes-8a6b48148</t>
  </si>
  <si>
    <t>mariana@stuffactory.mx</t>
  </si>
  <si>
    <t>Dipika</t>
  </si>
  <si>
    <t>Patel</t>
  </si>
  <si>
    <t>Customer Analytics Manager - ecommerce</t>
  </si>
  <si>
    <t>http://www.linkedin.com/in/dipikap1791</t>
  </si>
  <si>
    <t>dpatel1@coach.com</t>
  </si>
  <si>
    <t>http://www.linkedin.com/in/miguel-angel-fajardo-75a38b199</t>
  </si>
  <si>
    <t>angel@shelonabel.com</t>
  </si>
  <si>
    <t>shelonabel</t>
  </si>
  <si>
    <t>Catalina</t>
  </si>
  <si>
    <t>http://www.linkedin.com/in/catalina-w-67a7661b8</t>
  </si>
  <si>
    <t>cw.@coach.com</t>
  </si>
  <si>
    <t>http://www.linkedin.com/in/yessica-guadalupe-castro-fern%c3%a1ndez-79351917b</t>
  </si>
  <si>
    <t>Roy</t>
  </si>
  <si>
    <t>Glover</t>
  </si>
  <si>
    <t>Senior Marketing Consultant</t>
  </si>
  <si>
    <t>http://www.linkedin.com/in/roy-glover-00243a214</t>
  </si>
  <si>
    <t>roy_glover@vwr.com</t>
  </si>
  <si>
    <t>Annan@Evansru</t>
  </si>
  <si>
    <t>Marketing manager</t>
  </si>
  <si>
    <t>http://www.linkedin.com/in/anna-nikitina-annan-evans-ru-a378a117</t>
  </si>
  <si>
    <t>annan@evans.ru</t>
  </si>
  <si>
    <t>Digital Marketing Specialist</t>
  </si>
  <si>
    <t>http://www.linkedin.com/in/noemi-gonzalez-gutierrez</t>
  </si>
  <si>
    <t>ngonzale@evans.com.mx</t>
  </si>
  <si>
    <t>http://www.linkedin.com/in/leonardowalker</t>
  </si>
  <si>
    <t>leonardo.w.@isu.edu.mx</t>
  </si>
  <si>
    <t>ISU Universidad</t>
  </si>
  <si>
    <t>Rachel</t>
  </si>
  <si>
    <t>Blitz</t>
  </si>
  <si>
    <t>Director of Marketing and Community, Coachtopia</t>
  </si>
  <si>
    <t>http://www.linkedin.com/in/rachel-blitz-aaa5bb48</t>
  </si>
  <si>
    <t>rblitz@coach.com</t>
  </si>
  <si>
    <t>Lindsy</t>
  </si>
  <si>
    <t>Spiegelman</t>
  </si>
  <si>
    <t>Assistant Manager of Experiential Marketing and Events</t>
  </si>
  <si>
    <t>http://www.linkedin.com/in/lindsyspiegelman</t>
  </si>
  <si>
    <t>lspiegelman@coach.com</t>
  </si>
  <si>
    <t>Administrador E commerce</t>
  </si>
  <si>
    <t>http://www.linkedin.com/in/roc%c3%ado-ch%c3%a1vez-gonz%c3%a1lez-593072246</t>
  </si>
  <si>
    <t>rgonzalez@lineaitalia.com.mx</t>
  </si>
  <si>
    <t>Jefe de marketing</t>
  </si>
  <si>
    <t>http://www.linkedin.com/in/andres-lopez-b9ab81172</t>
  </si>
  <si>
    <t>alopez@coach.com</t>
  </si>
  <si>
    <t>Marta</t>
  </si>
  <si>
    <t>Latorre</t>
  </si>
  <si>
    <t>http://www.linkedin.com/in/marta-latorre</t>
  </si>
  <si>
    <t>marta.latorre@platanomelon.com</t>
  </si>
  <si>
    <t>+34 902 12 24 24</t>
  </si>
  <si>
    <t>PlatanomelÃ³n</t>
  </si>
  <si>
    <t>http://www.linkedin.com/in/diegsl</t>
  </si>
  <si>
    <t>diego.sanchez@mabe.com.mx</t>
  </si>
  <si>
    <t>+52 55 9178 8100</t>
  </si>
  <si>
    <t>Mabe MÃ©xico</t>
  </si>
  <si>
    <t>Quintana</t>
  </si>
  <si>
    <t>Marketing e-commerce</t>
  </si>
  <si>
    <t>http://www.linkedin.com/in/fernanda-quintana07</t>
  </si>
  <si>
    <t>fquintana@industriasgsl.com</t>
  </si>
  <si>
    <t>+52 80 0315 5555</t>
  </si>
  <si>
    <t>Industrias GSL External ADS</t>
  </si>
  <si>
    <t>City</t>
  </si>
  <si>
    <t>Toys</t>
  </si>
  <si>
    <t>satisfaccion@step2.mx</t>
  </si>
  <si>
    <t>+52 55 5572 2009</t>
  </si>
  <si>
    <t>City Toys / Step2</t>
  </si>
  <si>
    <t>Nathalie</t>
  </si>
  <si>
    <t>Saumoneau</t>
  </si>
  <si>
    <t>Responsable marketing direct</t>
  </si>
  <si>
    <t>http://www.linkedin.com/in/nathalie-saumoneau</t>
  </si>
  <si>
    <t>nathalie.saumoneau@kompass.com</t>
  </si>
  <si>
    <t>Juliette</t>
  </si>
  <si>
    <t>Klipper</t>
  </si>
  <si>
    <t>Director, Marketing &amp; Consumer Analytics</t>
  </si>
  <si>
    <t>http://www.linkedin.com/in/juliette-klipper-94387323</t>
  </si>
  <si>
    <t>jklipper@coach.com</t>
  </si>
  <si>
    <t>Administrador ecommerce</t>
  </si>
  <si>
    <t>http://www.linkedin.com/in/lourdes-g-3076a5228</t>
  </si>
  <si>
    <t>lourdes.g.@samaraonline.com.mx</t>
  </si>
  <si>
    <t>+52 562 357 5934</t>
  </si>
  <si>
    <t>Samaraonline</t>
  </si>
  <si>
    <t>Gormly</t>
  </si>
  <si>
    <t>Senior Director of Marketing Operations</t>
  </si>
  <si>
    <t>http://www.linkedin.com/in/david-gormly-9374227</t>
  </si>
  <si>
    <t>dgormly@coach.com</t>
  </si>
  <si>
    <t>Becca</t>
  </si>
  <si>
    <t>Mignanelli</t>
  </si>
  <si>
    <t>http://www.linkedin.com/in/becca-rotelli-mignanelli-11855320</t>
  </si>
  <si>
    <t>bmignanelli@coach.com</t>
  </si>
  <si>
    <t>Benita</t>
  </si>
  <si>
    <t>http://www.linkedin.com/in/benitaorozco</t>
  </si>
  <si>
    <t>benita@carbotecnia.com.mx</t>
  </si>
  <si>
    <t>+52 33 3834 0906</t>
  </si>
  <si>
    <t>Carbotecnia</t>
  </si>
  <si>
    <t>Alexis</t>
  </si>
  <si>
    <t>ejecutivo de ecommerce</t>
  </si>
  <si>
    <t>http://www.linkedin.com/in/alexis-diaz-77793120a</t>
  </si>
  <si>
    <t>alexis-diaz@casadiaz.com.mx</t>
  </si>
  <si>
    <t>+52 81 8331 6613</t>
  </si>
  <si>
    <t>Casa Diaz</t>
  </si>
  <si>
    <t>Min</t>
  </si>
  <si>
    <t>Zou</t>
  </si>
  <si>
    <t>Associate Director of Global Marketing</t>
  </si>
  <si>
    <t>http://www.linkedin.com/in/min-zou-1421b4155</t>
  </si>
  <si>
    <t>mzou@coach.com</t>
  </si>
  <si>
    <t>Connie</t>
  </si>
  <si>
    <t>Tucker</t>
  </si>
  <si>
    <t>Marketing Sample Management Coordinator</t>
  </si>
  <si>
    <t>http://www.linkedin.com/in/connietucker</t>
  </si>
  <si>
    <t>ctucker@coach.com</t>
  </si>
  <si>
    <t>Melissa</t>
  </si>
  <si>
    <t>Marketing Director (Mexico Office)</t>
  </si>
  <si>
    <t>http://www.linkedin.com/in/melissa-hinojosa-956093a0</t>
  </si>
  <si>
    <t>melissa.hinojosa@arauco.com</t>
  </si>
  <si>
    <t>E-commerce Marketing Specialist</t>
  </si>
  <si>
    <t>http://www.linkedin.com/in/diana-gomezpazarin</t>
  </si>
  <si>
    <t>diana@uyubeauty.com</t>
  </si>
  <si>
    <t>+52 33 2385 9123</t>
  </si>
  <si>
    <t>Uyu Beauty</t>
  </si>
  <si>
    <t>AndrÃ¨s</t>
  </si>
  <si>
    <t>Saenz Rodriguez</t>
  </si>
  <si>
    <t>Lider de Marketing</t>
  </si>
  <si>
    <t>mercadotecnia@atlesia.com</t>
  </si>
  <si>
    <t>+52 81 1851 3684</t>
  </si>
  <si>
    <t>Atlesia</t>
  </si>
  <si>
    <t>Jehovana</t>
  </si>
  <si>
    <t>http://www.linkedin.com/in/jehovana-jacobo-a1631a73</t>
  </si>
  <si>
    <t>jehovana.jacobo@azulemex.com</t>
  </si>
  <si>
    <t>Alday</t>
  </si>
  <si>
    <t>http://www.linkedin.com/in/paola-alday-dom%c3%adnguez-567b9552</t>
  </si>
  <si>
    <t>paola.alday@telmov.com.mx</t>
  </si>
  <si>
    <t>http://www.linkedin.com/in/fernando-gonz%c3%a1lez-435713143</t>
  </si>
  <si>
    <t>fernando.gonzalez@arauco.com</t>
  </si>
  <si>
    <t>Hoffman</t>
  </si>
  <si>
    <t>http://www.linkedin.com/in/sarah-iris-hoffman-13b943162</t>
  </si>
  <si>
    <t>shoffman@coach.com</t>
  </si>
  <si>
    <t>Jade</t>
  </si>
  <si>
    <t>Feng</t>
  </si>
  <si>
    <t>Sr. eCommerce Manager, Marketing &amp; DTC Business</t>
  </si>
  <si>
    <t>http://www.linkedin.com/in/jade-feng-b57b5a9a</t>
  </si>
  <si>
    <t>jfeng@coach.com</t>
  </si>
  <si>
    <t>Cindy</t>
  </si>
  <si>
    <t>Kyungah</t>
  </si>
  <si>
    <t>http://www.linkedin.com/in/cindy-kyungah-lee</t>
  </si>
  <si>
    <t>ckyungah@coach.com</t>
  </si>
  <si>
    <t>Yuan</t>
  </si>
  <si>
    <t>http://www.linkedin.com/in/erica-yuan-b93447139</t>
  </si>
  <si>
    <t>eyuan@coach.com</t>
  </si>
  <si>
    <t>Chang</t>
  </si>
  <si>
    <t>http://www.linkedin.com/in/angel-chang-90069b253</t>
  </si>
  <si>
    <t>cangel@coach.com</t>
  </si>
  <si>
    <t>Doris</t>
  </si>
  <si>
    <t>http://www.linkedin.com/in/doris-lin-7aba5214b</t>
  </si>
  <si>
    <t>dlin@coach.com</t>
  </si>
  <si>
    <t>http://www.linkedin.com/in/bianca-w-269752142</t>
  </si>
  <si>
    <t>bw.@coach.com</t>
  </si>
  <si>
    <t>Bernadette</t>
  </si>
  <si>
    <t>Deangelis</t>
  </si>
  <si>
    <t>Director, Marketing Transformation</t>
  </si>
  <si>
    <t>http://www.linkedin.com/in/bernadette-deangelis-88702135</t>
  </si>
  <si>
    <t>bdeangelis@coach.com</t>
  </si>
  <si>
    <t>Gerente de Marketing Digital y Tradicional</t>
  </si>
  <si>
    <t>http://www.linkedin.com/in/andrea-viridiana-garcia-1487a56a</t>
  </si>
  <si>
    <t>andreagarcia@vittorioforti.com.mx</t>
  </si>
  <si>
    <t>Unit</t>
  </si>
  <si>
    <t>Electronics</t>
  </si>
  <si>
    <t>ventas@uelectronics.com</t>
  </si>
  <si>
    <t>+52 55 6960 7113</t>
  </si>
  <si>
    <t>UNIT Electronics</t>
  </si>
  <si>
    <t>Hary</t>
  </si>
  <si>
    <t>Ecommerce Comercial</t>
  </si>
  <si>
    <t>http://www.linkedin.com/in/hary-gonz%c3%a1lez-a5843419</t>
  </si>
  <si>
    <t>hgonzalez@sexyjeans.com.mx</t>
  </si>
  <si>
    <t>Sexy Jeans</t>
  </si>
  <si>
    <t>http://www.linkedin.com/in/luis-hector-95123a9</t>
  </si>
  <si>
    <t>luis.hector@ofix.com</t>
  </si>
  <si>
    <t>Sales &amp; Director Marketing</t>
  </si>
  <si>
    <t>http://www.linkedin.com/in/luis-felipe-guevara-792372222</t>
  </si>
  <si>
    <t>luisguevara@kanaus.com</t>
  </si>
  <si>
    <t>Gisele</t>
  </si>
  <si>
    <t>Ceja Herrera..</t>
  </si>
  <si>
    <t>PlaneaciÃ³n de la demanda (E-commerce y Retail)</t>
  </si>
  <si>
    <t>giseleceja@outlook.com</t>
  </si>
  <si>
    <t>+52 33 3613 8442</t>
  </si>
  <si>
    <t>Baby Creysi</t>
  </si>
  <si>
    <t>Lara</t>
  </si>
  <si>
    <t>http://www.linkedin.com/in/cinthia-paola-lara-645131192</t>
  </si>
  <si>
    <t>clara@juliocepeda.com.mx</t>
  </si>
  <si>
    <t>Rajeev</t>
  </si>
  <si>
    <t>Vig</t>
  </si>
  <si>
    <t>SR. MANAGER SALES , MARKETING &amp; EXPORT BUSINESS DEVELOPMENT AT KOMPASS INDIA.</t>
  </si>
  <si>
    <t>http://www.linkedin.com/in/rajeevvig</t>
  </si>
  <si>
    <t>rajeev@kompassindia.com</t>
  </si>
  <si>
    <t>KAM E COMMERCE</t>
  </si>
  <si>
    <t>http://www.linkedin.com/in/monserrat-c-9a641617a</t>
  </si>
  <si>
    <t>monserrat.c.@vickyform.com</t>
  </si>
  <si>
    <t>+52 55 6826 9448</t>
  </si>
  <si>
    <t>Vicky Form</t>
  </si>
  <si>
    <t>Hanneke</t>
  </si>
  <si>
    <t>http://www.linkedin.com/in/hanneke-smith-8a9295285</t>
  </si>
  <si>
    <t>hsmith@mannatech.com</t>
  </si>
  <si>
    <t>Cheer</t>
  </si>
  <si>
    <t>Lien</t>
  </si>
  <si>
    <t>Manager, Customer Relationship Management &amp; Retail Marketing</t>
  </si>
  <si>
    <t>http://www.linkedin.com/in/cheer-lien-03a9a6128</t>
  </si>
  <si>
    <t>clien@coach.com</t>
  </si>
  <si>
    <t>Pappolla</t>
  </si>
  <si>
    <t>SubGerente de Marketing</t>
  </si>
  <si>
    <t>http://www.linkedin.com/in/andrea-pappolla-2804537</t>
  </si>
  <si>
    <t>andrea.pappolla@arauco.com</t>
  </si>
  <si>
    <t>Gaurav</t>
  </si>
  <si>
    <t>Jain</t>
  </si>
  <si>
    <t>Technical Architect, Ecommerce</t>
  </si>
  <si>
    <t>http://www.linkedin.com/in/gauravjaincalance</t>
  </si>
  <si>
    <t>gaurav.jain@vwr.com</t>
  </si>
  <si>
    <t>Chris</t>
  </si>
  <si>
    <t>Sharpe</t>
  </si>
  <si>
    <t>http://www.linkedin.com/in/chris-sharpe-a595556</t>
  </si>
  <si>
    <t>csharpe@coach.com</t>
  </si>
  <si>
    <t>Jameson</t>
  </si>
  <si>
    <t>http://www.linkedin.com/in/karen-jameson</t>
  </si>
  <si>
    <t>kjameson@coach.com</t>
  </si>
  <si>
    <t>http://www.linkedin.com/in/daniel-bedolla-0726b978</t>
  </si>
  <si>
    <t>dbedolla@mannatech.com</t>
  </si>
  <si>
    <t>Director Of eCommerce</t>
  </si>
  <si>
    <t>http://www.linkedin.com/in/kevin-luo-44767290</t>
  </si>
  <si>
    <t>La casa de la Educadora</t>
  </si>
  <si>
    <t>sclientes@lacasadelaeducadora.com</t>
  </si>
  <si>
    <t>+52 55 5200 4400</t>
  </si>
  <si>
    <t>Head of Digital Marketing &amp; Ecommerce</t>
  </si>
  <si>
    <t>http://www.linkedin.com/in/rafael-hector-martinez-marquez</t>
  </si>
  <si>
    <t>online.gerente@limitededition.mx</t>
  </si>
  <si>
    <t>+52 55 3233 4928</t>
  </si>
  <si>
    <t>Brayan</t>
  </si>
  <si>
    <t>Coordinador de E-commerce</t>
  </si>
  <si>
    <t>http://www.linkedin.com/in/brayan-hernandez-70a642a0</t>
  </si>
  <si>
    <t>coordinadorcomercial@petmarkt.com.mx</t>
  </si>
  <si>
    <t>Denisse</t>
  </si>
  <si>
    <t>Rosales</t>
  </si>
  <si>
    <t>http://www.linkedin.com/in/denisse-rosales</t>
  </si>
  <si>
    <t>denisse.rosales@mumusomx.com</t>
  </si>
  <si>
    <t>+55 56 3160-1359</t>
  </si>
  <si>
    <t>Mumuso MX</t>
  </si>
  <si>
    <t>Simona</t>
  </si>
  <si>
    <t>Nardon</t>
  </si>
  <si>
    <t>Marketing communication Specialist</t>
  </si>
  <si>
    <t>http://www.linkedin.com/in/simona-nardon-88929a113</t>
  </si>
  <si>
    <t>simona.nardon@vwr.com</t>
  </si>
  <si>
    <t>Serrano</t>
  </si>
  <si>
    <t>Analista marketing tradicional</t>
  </si>
  <si>
    <t>http://www.linkedin.com/in/imanol-serrano-016aa6152</t>
  </si>
  <si>
    <t>imanol.serrano@azulemex.com</t>
  </si>
  <si>
    <t>Dora</t>
  </si>
  <si>
    <t>http://www.linkedin.com/in/dora-liu-64273a179</t>
  </si>
  <si>
    <t>Gesten</t>
  </si>
  <si>
    <t>Senior Producer, Global Marketing &amp; Creative Operations</t>
  </si>
  <si>
    <t>http://www.linkedin.com/in/carly-gesten-48711a79</t>
  </si>
  <si>
    <t>cgesten@coach.com</t>
  </si>
  <si>
    <t>Goytia</t>
  </si>
  <si>
    <t>Coordinadora de marketing digital</t>
  </si>
  <si>
    <t>http://www.linkedin.com/in/ana-carolina-goytia-mart%c3%adnez-05b958191</t>
  </si>
  <si>
    <t>acgoytia@evans.com.mx</t>
  </si>
  <si>
    <t>Gerrardo</t>
  </si>
  <si>
    <t>comunidaddax@dax.com.mx</t>
  </si>
  <si>
    <t>Dax</t>
  </si>
  <si>
    <t>Coordinador de trade marketing</t>
  </si>
  <si>
    <t>http://www.linkedin.com/in/eduardo-armenta-748907126</t>
  </si>
  <si>
    <t>eduardo.armenta@stuffactory.mx</t>
  </si>
  <si>
    <t>Martinez Cervantes</t>
  </si>
  <si>
    <t>AdministraciÃ³n de Marketing</t>
  </si>
  <si>
    <t>http://www.linkedin.com/in/mrodrom</t>
  </si>
  <si>
    <t>Acosta</t>
  </si>
  <si>
    <t>Manager, North America Marketing</t>
  </si>
  <si>
    <t>http://www.linkedin.com/in/laacosta</t>
  </si>
  <si>
    <t>lacosta@coach.com</t>
  </si>
  <si>
    <t>Chay</t>
  </si>
  <si>
    <t>Ohlson</t>
  </si>
  <si>
    <t>Marketing Data Analyst</t>
  </si>
  <si>
    <t>http://www.linkedin.com/in/chay-ohlson-90975819</t>
  </si>
  <si>
    <t>chay.ohlson@vwr.com</t>
  </si>
  <si>
    <t>http://www.linkedin.com/in/miguel-angel-suarez-a6087b232</t>
  </si>
  <si>
    <t>suarez@motocity.mx</t>
  </si>
  <si>
    <t>Sinhue</t>
  </si>
  <si>
    <t>Cabrera</t>
  </si>
  <si>
    <t>Gerente Mayoristas y E-Commerce</t>
  </si>
  <si>
    <t>http://www.linkedin.com/in/sinhue-cabrera-nu%c3%b1ez-45baa88b</t>
  </si>
  <si>
    <t>sinhue.cabrera@portenntum.com</t>
  </si>
  <si>
    <t>Toledo</t>
  </si>
  <si>
    <t>Coordinador de operaciones E-commerce</t>
  </si>
  <si>
    <t>http://www.linkedin.com/in/roc%c3%ado-toledo-castillejos-11830774</t>
  </si>
  <si>
    <t>rocio.toledo@lentematic.com</t>
  </si>
  <si>
    <t>+52 800 099 0804</t>
  </si>
  <si>
    <t>Lentematic</t>
  </si>
  <si>
    <t>Rasha</t>
  </si>
  <si>
    <t>Luntin</t>
  </si>
  <si>
    <t>http://www.linkedin.com/in/rasha-luntin-387491163</t>
  </si>
  <si>
    <t>rasha.luntin@coach.com</t>
  </si>
  <si>
    <t>Horn</t>
  </si>
  <si>
    <t>Chanveasna</t>
  </si>
  <si>
    <t>http://www.linkedin.com/in/horn-chanveasna-074324174</t>
  </si>
  <si>
    <t>hchanveasna@coach.com</t>
  </si>
  <si>
    <t>Megan</t>
  </si>
  <si>
    <t>Wakefield</t>
  </si>
  <si>
    <t>http://www.linkedin.com/in/megan-wakefield-229434125</t>
  </si>
  <si>
    <t>mwakefield@mannatech.com</t>
  </si>
  <si>
    <t>E-commerce Leader</t>
  </si>
  <si>
    <t>http://www.linkedin.com/in/juan-angel-gonzalez-ruiz-b88691104</t>
  </si>
  <si>
    <t>juan.angel@profoto.com.mx</t>
  </si>
  <si>
    <t>Rachmasari</t>
  </si>
  <si>
    <t>Dimas Pertiwi</t>
  </si>
  <si>
    <t>rachmasari-dimas@thebodyshop.co.id</t>
  </si>
  <si>
    <t>Lesley</t>
  </si>
  <si>
    <t>Oberdorf</t>
  </si>
  <si>
    <t>Senior Director, North America Marketing</t>
  </si>
  <si>
    <t>http://www.linkedin.com/in/lesleyoberdorf</t>
  </si>
  <si>
    <t>loberdorf@coach.com</t>
  </si>
  <si>
    <t>Jefe de operaciones ecommerce</t>
  </si>
  <si>
    <t>http://www.linkedin.com/in/erickcruzgar</t>
  </si>
  <si>
    <t>erick.garcia@ferrepat.com</t>
  </si>
  <si>
    <t>+52 238 383 1986</t>
  </si>
  <si>
    <t>Ferrepat</t>
  </si>
  <si>
    <t>Jess</t>
  </si>
  <si>
    <t>Amador Olvera</t>
  </si>
  <si>
    <t>http://www.linkedin.com/in/jes%c3%bas-amador-2a697166</t>
  </si>
  <si>
    <t>jesus.amador@udlap.mx</t>
  </si>
  <si>
    <t>+52 222 429 7704</t>
  </si>
  <si>
    <t>http://www.linkedin.com/in/rocio-g%c3%b3mez-b3b1aa92</t>
  </si>
  <si>
    <t>rgomez@agelectronica.com</t>
  </si>
  <si>
    <t>+52 55 8160 1917</t>
  </si>
  <si>
    <t>AG ElectrÃ³nica</t>
  </si>
  <si>
    <t>Vitor</t>
  </si>
  <si>
    <t>Onishi</t>
  </si>
  <si>
    <t>http://www.linkedin.com/in/vitor-onishi-297b2817</t>
  </si>
  <si>
    <t>vonishi@coach.com</t>
  </si>
  <si>
    <t>Sandro</t>
  </si>
  <si>
    <t>Encargado Marketing</t>
  </si>
  <si>
    <t>sespinosa@perfectchoice.me</t>
  </si>
  <si>
    <t>333-283-1500</t>
  </si>
  <si>
    <t>karla.jimenez@azulemex.com</t>
  </si>
  <si>
    <t>Ayres</t>
  </si>
  <si>
    <t>http://www.linkedin.com/in/danielleayres</t>
  </si>
  <si>
    <t>dayres@coach.com</t>
  </si>
  <si>
    <t>Retention Marketing</t>
  </si>
  <si>
    <t>http://www.linkedin.com/in/lwoods828</t>
  </si>
  <si>
    <t>lwoods@coach.com</t>
  </si>
  <si>
    <t>Joel</t>
  </si>
  <si>
    <t>Especialista en marketing</t>
  </si>
  <si>
    <t>http://www.linkedin.com/in/joelpuig</t>
  </si>
  <si>
    <t>jolguin@lineaitalia.com.mx</t>
  </si>
  <si>
    <t>Appanswovski</t>
  </si>
  <si>
    <t>Derrick</t>
  </si>
  <si>
    <t>http://www.linkedin.com/in/appanswovski-derrick-27961a138</t>
  </si>
  <si>
    <t>aderrick@coach.com</t>
  </si>
  <si>
    <t>Chandler</t>
  </si>
  <si>
    <t>Manager, eCommerce Styling</t>
  </si>
  <si>
    <t>http://www.linkedin.com/in/chandler-sullivan-86153959</t>
  </si>
  <si>
    <t>csullivan@coach.com</t>
  </si>
  <si>
    <t>Ensley</t>
  </si>
  <si>
    <t>Norton</t>
  </si>
  <si>
    <t>http://www.linkedin.com/in/ensley-norton-604607288</t>
  </si>
  <si>
    <t>enorton@coach.com</t>
  </si>
  <si>
    <t>Belen</t>
  </si>
  <si>
    <t>Pomiro</t>
  </si>
  <si>
    <t>http://www.linkedin.com/in/bel%c3%a9n-pomir%c3%b3-b9005618a</t>
  </si>
  <si>
    <t>pomiro.belen@todomoda.com</t>
  </si>
  <si>
    <t>Sanae</t>
  </si>
  <si>
    <t>Kamii</t>
  </si>
  <si>
    <t>Senior Manager CRM and Sales Promotion Marketing</t>
  </si>
  <si>
    <t>http://www.linkedin.com/in/sanae-kamii-b58770168</t>
  </si>
  <si>
    <t>skamii@coach.com</t>
  </si>
  <si>
    <t>Justo</t>
  </si>
  <si>
    <t>carlos@deurope.com.mx</t>
  </si>
  <si>
    <t>D'Europe Muebles</t>
  </si>
  <si>
    <t>Kabah</t>
  </si>
  <si>
    <t>ventas@acapella.mx</t>
  </si>
  <si>
    <t>Acapella</t>
  </si>
  <si>
    <t>http://www.linkedin.com/sales/lead/ACwAADfCNRMBAIddtpN9XR26GuVolrNps_FsDBo,NAME_SEARCH,nr-G</t>
  </si>
  <si>
    <t>rramirez@industriasgsl.com</t>
  </si>
  <si>
    <t>+52 83 3103 9355</t>
  </si>
  <si>
    <t>Industrias GSL</t>
  </si>
  <si>
    <t>http://www.linkedin.com/in/paotrevino</t>
  </si>
  <si>
    <t>paola.trevino@elizondomx.com</t>
  </si>
  <si>
    <t>+52 81 1551 0000</t>
  </si>
  <si>
    <t>Elizondo</t>
  </si>
  <si>
    <t>jesus@supermexdigital.com</t>
  </si>
  <si>
    <t>Camille</t>
  </si>
  <si>
    <t>Aujean</t>
  </si>
  <si>
    <t>ChargÃ©e de Marketing Digital</t>
  </si>
  <si>
    <t>http://www.linkedin.com/in/camilleaujean</t>
  </si>
  <si>
    <t>camille.aujean@kompass.com</t>
  </si>
  <si>
    <t>Emanuel</t>
  </si>
  <si>
    <t>Santos</t>
  </si>
  <si>
    <t>Diretor de marketing</t>
  </si>
  <si>
    <t>http://www.linkedin.com/in/emanuel-santos-917b29175</t>
  </si>
  <si>
    <t>esantos@coach.com</t>
  </si>
  <si>
    <t>Mondelli</t>
  </si>
  <si>
    <t>Associate Manager, Ecommerce Merchandising â€“ Womenâ€™s Leather Goods</t>
  </si>
  <si>
    <t>http://www.linkedin.com/in/ashley-mondelli-430223aa</t>
  </si>
  <si>
    <t>amondelli@coach.com</t>
  </si>
  <si>
    <t>Janos</t>
  </si>
  <si>
    <t>Varga</t>
  </si>
  <si>
    <t>Sales Application &amp; Solution Specialist, Marketing Chromatography, Filtration and Lab Supplies</t>
  </si>
  <si>
    <t>http://www.linkedin.com/in/janos-varga-phd</t>
  </si>
  <si>
    <t>janos.varga@vwr.com</t>
  </si>
  <si>
    <t>adrian.mendoza@converse.com.mx</t>
  </si>
  <si>
    <t>KAE E-COMMERCE</t>
  </si>
  <si>
    <t>http://www.linkedin.com/in/mariana-guti%c3%a9rrez-t%c3%a9llez-45a901209</t>
  </si>
  <si>
    <t>mtellez@babycreysi.com</t>
  </si>
  <si>
    <t>Weiting</t>
  </si>
  <si>
    <t>Lan</t>
  </si>
  <si>
    <t>Senior Brand Marketing Manager, Global</t>
  </si>
  <si>
    <t>http://www.linkedin.com/in/weiting-lan-584251130</t>
  </si>
  <si>
    <t>wlan@coach.com</t>
  </si>
  <si>
    <t>Shaun</t>
  </si>
  <si>
    <t>http://www.linkedin.com/in/shaun-taylor-439a7a11b</t>
  </si>
  <si>
    <t>staylor@mannatech.com</t>
  </si>
  <si>
    <t>Cristobal</t>
  </si>
  <si>
    <t>Jefe de Marketing y Responsable de Pricing</t>
  </si>
  <si>
    <t>http://www.linkedin.com/in/paulcristobal</t>
  </si>
  <si>
    <t>paul.cristobal@arauco.com</t>
  </si>
  <si>
    <t>http://www.linkedin.com/in/adriana-lopez-garcia-95b18b166</t>
  </si>
  <si>
    <t>adriana.garcia@ferrepat.com</t>
  </si>
  <si>
    <t>Almaraz</t>
  </si>
  <si>
    <t>Ejecutivo de marketing</t>
  </si>
  <si>
    <t>http://www.linkedin.com/in/aaron-almaraz-a1970729</t>
  </si>
  <si>
    <t>aaron.almaraz@tecnosinergia.com</t>
  </si>
  <si>
    <t>Fahruriza</t>
  </si>
  <si>
    <t>Ramansyah</t>
  </si>
  <si>
    <t>http://www.linkedin.com/in/fahruriza-ramansyah-3ab6b9114</t>
  </si>
  <si>
    <t>fahruriza-ramansyah@thebodyshop.co.id</t>
  </si>
  <si>
    <t>Jean</t>
  </si>
  <si>
    <t>Cano</t>
  </si>
  <si>
    <t>http://www.linkedin.com/in/jeancano</t>
  </si>
  <si>
    <t>juan.cano@fraiche.com.mx</t>
  </si>
  <si>
    <t>+52 55 1020 1738</t>
  </si>
  <si>
    <t>Eulalia</t>
  </si>
  <si>
    <t>Canudas</t>
  </si>
  <si>
    <t>http://www.linkedin.com/in/eulalia-canudas-584a8813</t>
  </si>
  <si>
    <t>eulalia@kiplingmexico.com.mx</t>
  </si>
  <si>
    <t>+52 55 1664 6221</t>
  </si>
  <si>
    <t>Kipling MÃ©xico</t>
  </si>
  <si>
    <t>http://www.linkedin.com/in/miguel-angel-castrej%c3%b3n-8528239a</t>
  </si>
  <si>
    <t>miguelangel@brandme.la</t>
  </si>
  <si>
    <t>+52 55 4636 6582</t>
  </si>
  <si>
    <t>BrandMe</t>
  </si>
  <si>
    <t>http://www.linkedin.com/in/arguevarag</t>
  </si>
  <si>
    <t>alan@bludotmexico.com</t>
  </si>
  <si>
    <t>+52 55 6842 0645</t>
  </si>
  <si>
    <t>Bludotmexico</t>
  </si>
  <si>
    <t>Muebles Troncoso</t>
  </si>
  <si>
    <t>mt@mueblestroncoso.com</t>
  </si>
  <si>
    <t>+52 55 5657 5552</t>
  </si>
  <si>
    <t>Alan Rodrigo</t>
  </si>
  <si>
    <t>Callejas Guadarrama</t>
  </si>
  <si>
    <t>Regional Sales Marketing Manager en DJI MÃ©xico</t>
  </si>
  <si>
    <t>http://www.linkedin.com/in/alan-rodrigo-callejas-guadarrama-423888a0</t>
  </si>
  <si>
    <t>alan.guadarrama@djistoremexico.com</t>
  </si>
  <si>
    <t>+1 818-235-0789</t>
  </si>
  <si>
    <t>Google, INEGI</t>
  </si>
  <si>
    <t>Anais</t>
  </si>
  <si>
    <t>Desmoulin</t>
  </si>
  <si>
    <t>ChargÃ©e de Marketing opÃ©rationnel et Digital</t>
  </si>
  <si>
    <t>http://www.linkedin.com/in/ana%c3%afs-desmoulin</t>
  </si>
  <si>
    <t>anais.desmoulin@kompass.com</t>
  </si>
  <si>
    <t>Chloe</t>
  </si>
  <si>
    <t>http://www.linkedin.com/in/chloe-wong-2097775a</t>
  </si>
  <si>
    <t>cwong@mannatech.com</t>
  </si>
  <si>
    <t>http://www.linkedin.com/in/anna-lin-8290bb28a</t>
  </si>
  <si>
    <t>Thierry</t>
  </si>
  <si>
    <t>Maisonneuve</t>
  </si>
  <si>
    <t>Director Operational Marketing</t>
  </si>
  <si>
    <t>http://www.linkedin.com/in/thierry-maisonneuve-76396ab</t>
  </si>
  <si>
    <t>thierry.maisonneuve@vwr.com</t>
  </si>
  <si>
    <t>Wilcher</t>
  </si>
  <si>
    <t>http://www.linkedin.com/in/allisonlannon</t>
  </si>
  <si>
    <t>allison.wilcher@arauco-na.com</t>
  </si>
  <si>
    <t>Crystal</t>
  </si>
  <si>
    <t>http://www.linkedin.com/in/crystal-chen-423ba2155</t>
  </si>
  <si>
    <t>cchen@coach.com</t>
  </si>
  <si>
    <t>Francesca</t>
  </si>
  <si>
    <t>Chiorando</t>
  </si>
  <si>
    <t>Media &amp; Marketing Specialist</t>
  </si>
  <si>
    <t>http://www.linkedin.com/in/francesca-chiorando-45a0b014</t>
  </si>
  <si>
    <t>francesca.chiorando@spartan.com</t>
  </si>
  <si>
    <t>http://www.linkedin.com/in/scarlett-wang-49b8b839</t>
  </si>
  <si>
    <t>swang@coach.com</t>
  </si>
  <si>
    <t>PR &amp; Influencer Marketing</t>
  </si>
  <si>
    <t>http://www.linkedin.com/in/mariagutierrezalvarez</t>
  </si>
  <si>
    <t>maria@estadobrands.com</t>
  </si>
  <si>
    <t>+52 55 9011 6975</t>
  </si>
  <si>
    <t>Estado Natural</t>
  </si>
  <si>
    <t>Tori</t>
  </si>
  <si>
    <t>Nicholas</t>
  </si>
  <si>
    <t>Manager, Retention + Personalization Marketing</t>
  </si>
  <si>
    <t>http://www.linkedin.com/in/tori-nicholas-98b762178</t>
  </si>
  <si>
    <t>tnicholas@coach.com</t>
  </si>
  <si>
    <t>Jefferson</t>
  </si>
  <si>
    <t>Associate Manager, Site Operations, Retail eCommerce</t>
  </si>
  <si>
    <t>http://www.linkedin.com/in/ashley-jefferson-430223aa</t>
  </si>
  <si>
    <t>Helena</t>
  </si>
  <si>
    <t>Esty</t>
  </si>
  <si>
    <t>Ecommerce Operation Specialist</t>
  </si>
  <si>
    <t>http://www.linkedin.com/in/helenaestypuspa</t>
  </si>
  <si>
    <t>helena-esty@thebodyshop.co.id</t>
  </si>
  <si>
    <t>Circe</t>
  </si>
  <si>
    <t>Jefe de Marketing LEGOÂ® Certified Stores MÃ©xico</t>
  </si>
  <si>
    <t>http://www.linkedin.com/in/circe-nava-6ba47a101</t>
  </si>
  <si>
    <t>cnava@juguetron.mx</t>
  </si>
  <si>
    <t>Leslie</t>
  </si>
  <si>
    <t>leslie.figueroa@platanomelon.mx</t>
  </si>
  <si>
    <t>Ryan</t>
  </si>
  <si>
    <t>Cykiert</t>
  </si>
  <si>
    <t>http://www.linkedin.com/in/ryancykiert</t>
  </si>
  <si>
    <t>ryanc@jbtools.com</t>
  </si>
  <si>
    <t>Parker</t>
  </si>
  <si>
    <t>Associate Manager, Ecommerce Merchandising</t>
  </si>
  <si>
    <t>http://www.linkedin.com/in/ella-parker</t>
  </si>
  <si>
    <t>eparker@coach.com</t>
  </si>
  <si>
    <t>Shannon</t>
  </si>
  <si>
    <t>Simnor</t>
  </si>
  <si>
    <t>Associate Manager, Community Marketing</t>
  </si>
  <si>
    <t>http://www.linkedin.com/in/smsimnor</t>
  </si>
  <si>
    <t>ssimnor@coach.com</t>
  </si>
  <si>
    <t>Franca</t>
  </si>
  <si>
    <t>Dor clienteling e marketing</t>
  </si>
  <si>
    <t>http://www.linkedin.com/in/juliana-fran%c3%a7a-65412b9b</t>
  </si>
  <si>
    <t>jfranca@coach.com</t>
  </si>
  <si>
    <t>Shrusti</t>
  </si>
  <si>
    <t>Goswami</t>
  </si>
  <si>
    <t>Assistant Manager, Global Brand Marketing</t>
  </si>
  <si>
    <t>http://www.linkedin.com/in/shrusti-goswami-099597179</t>
  </si>
  <si>
    <t>sgoswami@coach.com</t>
  </si>
  <si>
    <t>http://www.linkedin.com/in/ing-marco-antonio-sanchez-zacarias</t>
  </si>
  <si>
    <t>cliu@coach.com</t>
  </si>
  <si>
    <t>Rowley</t>
  </si>
  <si>
    <t>Senior Director Digital Products and Marketing</t>
  </si>
  <si>
    <t>http://www.linkedin.com/in/claire-rowley-925617b0</t>
  </si>
  <si>
    <t>claire.rowley@vwr.com</t>
  </si>
  <si>
    <t>Digital Marketing Consultant</t>
  </si>
  <si>
    <t>http://www.linkedin.com/in/oliver-barajas-7708865b</t>
  </si>
  <si>
    <t>oliver.barajas@stanser.com</t>
  </si>
  <si>
    <t>+52 81 4164 8031</t>
  </si>
  <si>
    <t>Maquinaria CNC Stanser</t>
  </si>
  <si>
    <t>http://www.linkedin.com/in/mreal30</t>
  </si>
  <si>
    <t>monica.reyes@lamarina.com.mx</t>
  </si>
  <si>
    <t>+1 650-687-3600</t>
  </si>
  <si>
    <t>Llama</t>
  </si>
  <si>
    <t>http://www.linkedin.com/in/miguel-angel-llama-alanis-50515850</t>
  </si>
  <si>
    <t>miguel.llama@klyns.mx</t>
  </si>
  <si>
    <t>+52 871 736 1761</t>
  </si>
  <si>
    <t>Klyns</t>
  </si>
  <si>
    <t>Natalia</t>
  </si>
  <si>
    <t>Ceja</t>
  </si>
  <si>
    <t>E-Commerce Category Lead Latam</t>
  </si>
  <si>
    <t>http://www.linkedin.com/in/natalia-ceja-14a778256</t>
  </si>
  <si>
    <t>natalia.ceja@puma.com</t>
  </si>
  <si>
    <t>+46 1855466746</t>
  </si>
  <si>
    <t>Vans</t>
  </si>
  <si>
    <t>Jeulia</t>
  </si>
  <si>
    <t>service@jeulia.es</t>
  </si>
  <si>
    <t>Colin</t>
  </si>
  <si>
    <t>Baby Creysi E-commerce</t>
  </si>
  <si>
    <t>http://www.linkedin.com/in/oscar-colin-3b498b1b5</t>
  </si>
  <si>
    <t>ocolin@babycreysi.com</t>
  </si>
  <si>
    <t>Mussali</t>
  </si>
  <si>
    <t>http://www.linkedin.com/in/elias-mussali-912852149</t>
  </si>
  <si>
    <t>eliasmm@lineamagna.com</t>
  </si>
  <si>
    <t>+52 55 5292 4090</t>
  </si>
  <si>
    <t>Linea Magna y Grupo Modit</t>
  </si>
  <si>
    <t>Hugo Osvaldo</t>
  </si>
  <si>
    <t>Solis</t>
  </si>
  <si>
    <t>Ecommerce &amp; Marketing Digital Manager</t>
  </si>
  <si>
    <t>hsolis@sdm.com.mx</t>
  </si>
  <si>
    <t>http://www.linkedin.com/in/salvadorarias</t>
  </si>
  <si>
    <t>+52 473 102 1800</t>
  </si>
  <si>
    <t>BODESA SAPI de CV</t>
  </si>
  <si>
    <t>AnahÃ­</t>
  </si>
  <si>
    <t>Encargada marketing</t>
  </si>
  <si>
    <t>marketing@supermexdigital.com</t>
  </si>
  <si>
    <t>555-512-6973</t>
  </si>
  <si>
    <t>Supermex Digital</t>
  </si>
  <si>
    <t>Ariana</t>
  </si>
  <si>
    <t>U.</t>
  </si>
  <si>
    <t>BBA Marketing Student</t>
  </si>
  <si>
    <t>http://www.linkedin.com/in/arianausabal</t>
  </si>
  <si>
    <t>au.@coach.com</t>
  </si>
  <si>
    <t>Wirtjes</t>
  </si>
  <si>
    <t>http://www.linkedin.com/in/slwirtjes</t>
  </si>
  <si>
    <t>swirtjes@mannatech.com</t>
  </si>
  <si>
    <t>http://www.linkedin.com/in/daniela-franco-9ba67264</t>
  </si>
  <si>
    <t>daniela@uyubeauty.com</t>
  </si>
  <si>
    <t>Moroukian</t>
  </si>
  <si>
    <t>Director of Marketing, Global Product &amp; Licensed Markets</t>
  </si>
  <si>
    <t>http://www.linkedin.com/in/daniellemoroukian</t>
  </si>
  <si>
    <t>daniellee@spartan.com</t>
  </si>
  <si>
    <t>Sheryl</t>
  </si>
  <si>
    <t>Dubitsky</t>
  </si>
  <si>
    <t>http://www.linkedin.com/in/sheryldubitsky</t>
  </si>
  <si>
    <t>sdubitsky@coach.com</t>
  </si>
  <si>
    <t>Berry</t>
  </si>
  <si>
    <t>http://www.linkedin.com/in/katie-berry-49358b38</t>
  </si>
  <si>
    <t>kberry@coach.com</t>
  </si>
  <si>
    <t>Directora de E-commerce</t>
  </si>
  <si>
    <t>paola.dominguez@telmov.mx</t>
  </si>
  <si>
    <t>+52 1 55 1731 2656</t>
  </si>
  <si>
    <t>Grupo TELMOV</t>
  </si>
  <si>
    <t>Molina</t>
  </si>
  <si>
    <t>http://www.linkedin.com/in/marco-asis-per%c3%a9z-molina-323a62117</t>
  </si>
  <si>
    <t>mperez@juguetron.mx</t>
  </si>
  <si>
    <t>http://www.linkedin.com/in/tania-mart%c3%adnez-ch%c3%a1vez-bb05a65a</t>
  </si>
  <si>
    <t>tmartinez@argoselectrica.com</t>
  </si>
  <si>
    <t>Argos Electrica</t>
  </si>
  <si>
    <t>Alessandra</t>
  </si>
  <si>
    <t>Sonsini</t>
  </si>
  <si>
    <t>Head of Marketing &amp; Marketplaces</t>
  </si>
  <si>
    <t>http://www.linkedin.com/in/alessandra-sonsini-4548792a</t>
  </si>
  <si>
    <t>alessandra.sonsini@yema.mx</t>
  </si>
  <si>
    <t>YEMA</t>
  </si>
  <si>
    <t>http://www.linkedin.com/in/lin-anna-45a0aa33</t>
  </si>
  <si>
    <t>Robledo</t>
  </si>
  <si>
    <t>North America Digital Fulfillment &amp; E-Commerce Manager</t>
  </si>
  <si>
    <t>http://www.linkedin.com/in/luisrobledomedrano</t>
  </si>
  <si>
    <t>lmedrano@lineaitalia.com.mx</t>
  </si>
  <si>
    <t>Z.</t>
  </si>
  <si>
    <t>Publicidad y marketing</t>
  </si>
  <si>
    <t>http://www.linkedin.com/in/chantal-z-233536177</t>
  </si>
  <si>
    <t>chantalz@ofix.mx</t>
  </si>
  <si>
    <t>Daisy</t>
  </si>
  <si>
    <t>http://www.linkedin.com/in/daisy-liu-b78775207</t>
  </si>
  <si>
    <t>http://www.linkedin.com/in/v%c3%adctorfuentes</t>
  </si>
  <si>
    <t>victor.fuentes@mdnsports.com</t>
  </si>
  <si>
    <t>+52 33 3616 6093</t>
  </si>
  <si>
    <t>MDN Sports</t>
  </si>
  <si>
    <t>Nina</t>
  </si>
  <si>
    <t>http://www.linkedin.com/in/nina-jones-8b1905187</t>
  </si>
  <si>
    <t>njones@coach.com</t>
  </si>
  <si>
    <t>Sylvia</t>
  </si>
  <si>
    <t>http://www.linkedin.com/in/sylvia-wang-3ab4b31bb</t>
  </si>
  <si>
    <t>Urzua</t>
  </si>
  <si>
    <t>http://www.linkedin.com/in/carmen-urzua-%c3%a1lvarez-687663144</t>
  </si>
  <si>
    <t>carmen.urzua@lamarina.com.mx</t>
  </si>
  <si>
    <t>Qin</t>
  </si>
  <si>
    <t>http://www.linkedin.com/in/anais-qin-0105787</t>
  </si>
  <si>
    <t>aqin@coach.com</t>
  </si>
  <si>
    <t>Boniface</t>
  </si>
  <si>
    <t>http://www.linkedin.com/in/boniface-i-30379417a</t>
  </si>
  <si>
    <t>bi@coach.com</t>
  </si>
  <si>
    <t>Ai</t>
  </si>
  <si>
    <t>Peters</t>
  </si>
  <si>
    <t>Ecommerce &amp; Merchandising Manager</t>
  </si>
  <si>
    <t>http://www.linkedin.com/in/ai-peters-21a56276</t>
  </si>
  <si>
    <t>ai.peters@coach.com</t>
  </si>
  <si>
    <t>Izdayara</t>
  </si>
  <si>
    <t>http://www.linkedin.com/in/alejandra-izdayara-flores-102868117</t>
  </si>
  <si>
    <t>alejandra@shelonabel.com</t>
  </si>
  <si>
    <t>salvador.arias@lamarina.com.mx</t>
  </si>
  <si>
    <t>Directora de operaciones de e-commerce</t>
  </si>
  <si>
    <t>daniela@telmov.com.mx</t>
  </si>
  <si>
    <t>lorena.jimenez@bodesa.com.mx</t>
  </si>
  <si>
    <t>312-316-3500</t>
  </si>
  <si>
    <t>Lvarez Vlez</t>
  </si>
  <si>
    <t>http://www.linkedin.com/in/jorge-%c3%a1lvarez-v%c3%a9lez-95b61729</t>
  </si>
  <si>
    <t>jorge.alvarez@udlap.mx</t>
  </si>
  <si>
    <t>Director de Marketing</t>
  </si>
  <si>
    <t>http://www.linkedin.com/in/bernardo-padilla-merigo</t>
  </si>
  <si>
    <t>bernardo@florentinbakery.com</t>
  </si>
  <si>
    <t>+1 754-704-1328</t>
  </si>
  <si>
    <t>http://www.linkedin.com/in/georgina-montiel-ben%c3%adtez-97868837</t>
  </si>
  <si>
    <t>georgina.montiel@tecnosinergia.com</t>
  </si>
  <si>
    <t>http://www.linkedin.com/in/nancy-wu-90aa7052</t>
  </si>
  <si>
    <t>nwu@coach.com</t>
  </si>
  <si>
    <t>Portilla</t>
  </si>
  <si>
    <t>Sales &amp; Trade marketing Director</t>
  </si>
  <si>
    <t>http://www.linkedin.com/in/saraportilla</t>
  </si>
  <si>
    <t>portillas@bandai.com</t>
  </si>
  <si>
    <t>BANDAI NAMCO Mexico</t>
  </si>
  <si>
    <t>Zlotnick</t>
  </si>
  <si>
    <t>Ecommerce Merchandising &amp; Strategy | Master</t>
  </si>
  <si>
    <t>http://www.linkedin.com/in/alliezlotnick</t>
  </si>
  <si>
    <t>azlotnick@coach.com</t>
  </si>
  <si>
    <t>Ramee</t>
  </si>
  <si>
    <t>http://www.linkedin.com/in/ramee-kim-72449045</t>
  </si>
  <si>
    <t>rkim@coach.com</t>
  </si>
  <si>
    <t>Ceja Herrera</t>
  </si>
  <si>
    <t>http://www.linkedin.com/in/gisele-ceja-herrera-487734162</t>
  </si>
  <si>
    <t>gherrera@babycreysi.com</t>
  </si>
  <si>
    <t>333-613-8442</t>
  </si>
  <si>
    <t>http://www.linkedin.com/in/alicia-hern%c3%a1ndez-garc%c3%ada-1761a11b1</t>
  </si>
  <si>
    <t>mkt.celulandia@celulandia.com.mx</t>
  </si>
  <si>
    <t>Celulandia Store</t>
  </si>
  <si>
    <t>Specialist</t>
  </si>
  <si>
    <t>http://www.linkedin.com/in/marketing-specialist-33405116b</t>
  </si>
  <si>
    <t>marketing@latam.university</t>
  </si>
  <si>
    <t>+52 55 1204 0419</t>
  </si>
  <si>
    <t>Latam Business School</t>
  </si>
  <si>
    <t>Vaca</t>
  </si>
  <si>
    <t>http://www.linkedin.com/in/lizbeth-vaca-gil-44052752</t>
  </si>
  <si>
    <t>lvaca@pasaimper.com</t>
  </si>
  <si>
    <t>Fei</t>
  </si>
  <si>
    <t>Senior Manager, Media and Brand Marketing</t>
  </si>
  <si>
    <t>http://www.linkedin.com/in/fei-y-60b094b</t>
  </si>
  <si>
    <t>fy@coach.com</t>
  </si>
  <si>
    <t>Hortensia</t>
  </si>
  <si>
    <t>http://www.linkedin.com/in/hortensia-garcia-0210ba196</t>
  </si>
  <si>
    <t>hortensia.garcia@valentinmaya.com</t>
  </si>
  <si>
    <t>Badir</t>
  </si>
  <si>
    <t>http://www.linkedin.com/in/badirdiaz</t>
  </si>
  <si>
    <t>bdiaz@coach.com</t>
  </si>
  <si>
    <t>Martina</t>
  </si>
  <si>
    <t>Peace</t>
  </si>
  <si>
    <t>Email Marketing Manager</t>
  </si>
  <si>
    <t>http://www.linkedin.com/in/martina-peace-25413b114</t>
  </si>
  <si>
    <t>martinap@spartan.com</t>
  </si>
  <si>
    <t>Nestor</t>
  </si>
  <si>
    <t>Olvera</t>
  </si>
  <si>
    <t>Analista de e-commerce</t>
  </si>
  <si>
    <t>http://www.linkedin.com/in/nestor-daniel-olvera-ibarra-850231229</t>
  </si>
  <si>
    <t>nestor.ibarra@lamarina.com.mx</t>
  </si>
  <si>
    <t>http://www.linkedin.com/in/lisa-liu-192b112a</t>
  </si>
  <si>
    <t>Lola</t>
  </si>
  <si>
    <t>Portillo</t>
  </si>
  <si>
    <t>http://www.linkedin.com/in/lola-portillo-42bb5761</t>
  </si>
  <si>
    <t>lportillo@radialllantas.com</t>
  </si>
  <si>
    <t>+52 33 1409 1479</t>
  </si>
  <si>
    <t>Radial Llantas</t>
  </si>
  <si>
    <t>Felice</t>
  </si>
  <si>
    <t>Segall</t>
  </si>
  <si>
    <t>http://www.linkedin.com/in/felicesegall</t>
  </si>
  <si>
    <t>fsegall@coach.com</t>
  </si>
  <si>
    <t>http://www.linkedin.com/in/rodrigomendozaruiz</t>
  </si>
  <si>
    <t>rmendoza@dulcesdelarosa.com.mx</t>
  </si>
  <si>
    <t>333-283-9100</t>
  </si>
  <si>
    <t>Tienda de la Rosa</t>
  </si>
  <si>
    <t>Ginori</t>
  </si>
  <si>
    <t>http://www.linkedin.com/in/cginori</t>
  </si>
  <si>
    <t>cristian@nudaest.com</t>
  </si>
  <si>
    <t>+52 443 355 3221</t>
  </si>
  <si>
    <t>Nuda Est</t>
  </si>
  <si>
    <t>Chacon</t>
  </si>
  <si>
    <t>Marketing / Media / Creative</t>
  </si>
  <si>
    <t>http://www.linkedin.com/in/daniela-chac%c3%b3n-15b86556</t>
  </si>
  <si>
    <t>daniela.chacon@lanzaconfeccion.com</t>
  </si>
  <si>
    <t>Lanza ConfecciÃ³n</t>
  </si>
  <si>
    <t>Anayancy</t>
  </si>
  <si>
    <t>Ejecutivo de marketing comercial</t>
  </si>
  <si>
    <t>http://www.linkedin.com/in/anayancy-mayorga-655927aa</t>
  </si>
  <si>
    <t>anayancy.mayorga@didiamant.com</t>
  </si>
  <si>
    <t>+52 81 2877 2971</t>
  </si>
  <si>
    <t>DÃ­diamant</t>
  </si>
  <si>
    <t>http://www.linkedin.com/in/helloserch</t>
  </si>
  <si>
    <t>sergio.aguilar@chapur.com</t>
  </si>
  <si>
    <t>+52 999 930 2800</t>
  </si>
  <si>
    <t>Gran Chapur</t>
  </si>
  <si>
    <t>http://www.linkedin.com/in/christian-escoto-castro-0119673b</t>
  </si>
  <si>
    <t>christian.escoto@oleico.net</t>
  </si>
  <si>
    <t>+52 444 824 5959</t>
  </si>
  <si>
    <t>OlÃ©ico</t>
  </si>
  <si>
    <t>Muratalla</t>
  </si>
  <si>
    <t>http://www.linkedin.com/in/cesar-muratalla</t>
  </si>
  <si>
    <t>muratallac@bandai.com</t>
  </si>
  <si>
    <t>+52 55 5543 8240 ext 105</t>
  </si>
  <si>
    <t>BANDAI</t>
  </si>
  <si>
    <t>Digital Marketing Strategist</t>
  </si>
  <si>
    <t>miguel.aguirre@mavi.mx</t>
  </si>
  <si>
    <t>+52 33 1201 1000</t>
  </si>
  <si>
    <t>MAVI Comercio Global</t>
  </si>
  <si>
    <t>Chavez Delgado</t>
  </si>
  <si>
    <t>Head of eCommerce / Founder</t>
  </si>
  <si>
    <t>http://www.linkedin.com/in/franciscochavez</t>
  </si>
  <si>
    <t>francisco@cervexxa.mx</t>
  </si>
  <si>
    <t>777-161-7101</t>
  </si>
  <si>
    <t>Cervexxa</t>
  </si>
  <si>
    <t>http://www.linkedin.com/in/edgar-esaul-reyes-rios-400b0817b</t>
  </si>
  <si>
    <t>edgar.reyes@grupoatlas.com.mx</t>
  </si>
  <si>
    <t>Grupo Comercial Atlas</t>
  </si>
  <si>
    <t>Escalante</t>
  </si>
  <si>
    <t>http://www.linkedin.com/in/jos%c3%a9-escalante-98055729</t>
  </si>
  <si>
    <t>jescalante@velsimex.com</t>
  </si>
  <si>
    <t>+52 1 55 5278 4640</t>
  </si>
  <si>
    <t>Velsimex</t>
  </si>
  <si>
    <t>De La Garza</t>
  </si>
  <si>
    <t>http://www.linkedin.com/in/jcdelagarza</t>
  </si>
  <si>
    <t>jdelagarza@onecard.mx</t>
  </si>
  <si>
    <t>Sr.Smith Publicidad</t>
  </si>
  <si>
    <t>Esmeralda</t>
  </si>
  <si>
    <t>Especialista en estrategia de marketing</t>
  </si>
  <si>
    <t>http://www.linkedin.com/in/esmeralda-gonz%c3%a1lez-89296a58</t>
  </si>
  <si>
    <t>esmeralda.gonzalez@vertiche.com.mx</t>
  </si>
  <si>
    <t>+52 55 8107 5085</t>
  </si>
  <si>
    <t>/vertiche</t>
  </si>
  <si>
    <t>http://www.linkedin.com/in/pamela-hernandez-torres-66b99a38</t>
  </si>
  <si>
    <t>mercadotecnia1@equitek.com.mx</t>
  </si>
  <si>
    <t>Equitek</t>
  </si>
  <si>
    <t>http://www.linkedin.com/in/melissa-robles-zertuche-b9b8322b</t>
  </si>
  <si>
    <t>melissa.robles@dyson.com</t>
  </si>
  <si>
    <t>+6544-800-298-0298</t>
  </si>
  <si>
    <t>Dyson MÃ©xico</t>
  </si>
  <si>
    <t>Luis Manuel</t>
  </si>
  <si>
    <t>Gonzlez Bravo</t>
  </si>
  <si>
    <t>lgonzalez@squalo.com</t>
  </si>
  <si>
    <t>+52 958 587 0244</t>
  </si>
  <si>
    <t>Squalo Internacional</t>
  </si>
  <si>
    <t>Sanjuana</t>
  </si>
  <si>
    <t>Quintanilla</t>
  </si>
  <si>
    <t>http://www.linkedin.com/in/marketingstrategyprofessional</t>
  </si>
  <si>
    <t>sanjuana.alvarez@pinturasdoal.com</t>
  </si>
  <si>
    <t>+52 81 8131 1100</t>
  </si>
  <si>
    <t>Pinturas Doal</t>
  </si>
  <si>
    <t>Gerente de Ventas, Marketing y DistribuciÃ³n</t>
  </si>
  <si>
    <t>http://www.linkedin.com/in/jorge-arrubarrena-m-5670a639</t>
  </si>
  <si>
    <t>jorge.arrubarrena@aranzazu.com</t>
  </si>
  <si>
    <t>+52 55 8184 6590</t>
  </si>
  <si>
    <t>ARANZAZU</t>
  </si>
  <si>
    <t>Coordinador comercial y Trade Marketing</t>
  </si>
  <si>
    <t>http://www.linkedin.com/in/gerardo-rodriguez-tiscare%c3%b1o-18361331</t>
  </si>
  <si>
    <t>gerardo.rodriguez@lahuerta.com.mx</t>
  </si>
  <si>
    <t>+52 800 849 5432</t>
  </si>
  <si>
    <t>La Huerta</t>
  </si>
  <si>
    <t>http://www.linkedin.com/in/circe-mart%c3%adnez-7b7164b5</t>
  </si>
  <si>
    <t>circe@misofa.mx</t>
  </si>
  <si>
    <t>551-886-6373</t>
  </si>
  <si>
    <t>Mi SofÃ¡ Mx</t>
  </si>
  <si>
    <t>Valanci</t>
  </si>
  <si>
    <t>http://www.linkedin.com/in/mauricio-valanci-757815b2</t>
  </si>
  <si>
    <t>mvalanci@encanto.com.mx</t>
  </si>
  <si>
    <t>+52 81 8196 8000</t>
  </si>
  <si>
    <t>Grupo Encanto</t>
  </si>
  <si>
    <t>http://www.linkedin.com/in/juan-armando-reos-hern%c3%a1ndez-157285159</t>
  </si>
  <si>
    <t>ju.reos@mavi.mx</t>
  </si>
  <si>
    <t>http://www.linkedin.com/in/rebeca-guerrero-l%c3%b3pez-196116184</t>
  </si>
  <si>
    <t>rebeca@autenticocorajillo.com</t>
  </si>
  <si>
    <t>Autenticocorajillo</t>
  </si>
  <si>
    <t>Sub Gerente de Ecommerce</t>
  </si>
  <si>
    <t>http://www.linkedin.com/in/alejandro-diaz-ruiz-4282aa204</t>
  </si>
  <si>
    <t>al.diaz@mavi.mx</t>
  </si>
  <si>
    <t>MarÃ­a Elena</t>
  </si>
  <si>
    <t>Carbajal</t>
  </si>
  <si>
    <t>Gerente de eCommerce</t>
  </si>
  <si>
    <t>maria.carbajal@vertiche.com.mx</t>
  </si>
  <si>
    <t>Cabral Fausto</t>
  </si>
  <si>
    <t>Comercial Manager and Marketing</t>
  </si>
  <si>
    <t>mariana.cabral@uanl.mx</t>
  </si>
  <si>
    <t>+52 81 8027 2714</t>
  </si>
  <si>
    <t>UANL</t>
  </si>
  <si>
    <t>Leopoldo</t>
  </si>
  <si>
    <t>Velez</t>
  </si>
  <si>
    <t>http://www.linkedin.com/sales/lead/ACwAACQDLnoB165wz0AzZNwkZYkclI1I4W3tSys,NAME_SEARCH,ZQkP</t>
  </si>
  <si>
    <t>leopoldo@limpro.com.mx</t>
  </si>
  <si>
    <t>+52 477 788 0800</t>
  </si>
  <si>
    <t>Grupo Limpro</t>
  </si>
  <si>
    <t>Danae</t>
  </si>
  <si>
    <t>Marketing Sr.</t>
  </si>
  <si>
    <t>http://www.linkedin.com/in/d%c3%a1nae-fern%c3%a1ndez-951532a2</t>
  </si>
  <si>
    <t>danae@elcalifa.com.mx</t>
  </si>
  <si>
    <t>El Califa</t>
  </si>
  <si>
    <t>Selina</t>
  </si>
  <si>
    <t>Ejecutiva de marketing digital</t>
  </si>
  <si>
    <t>http://www.linkedin.com/in/selina-estrada-bb1003151</t>
  </si>
  <si>
    <t>selina_estrada@rocketpublicidad.com.mx</t>
  </si>
  <si>
    <t>+52 33 2159 2918</t>
  </si>
  <si>
    <t>Rocket Publicidad</t>
  </si>
  <si>
    <t>Scarlet</t>
  </si>
  <si>
    <t>scarlet.ramirez@uanl.mx</t>
  </si>
  <si>
    <t>Marianna</t>
  </si>
  <si>
    <t>http://www.linkedin.com/in/marianna-godoy-dom%c3%adnguez-54807a158</t>
  </si>
  <si>
    <t>mgodoy@zermat.com.mx</t>
  </si>
  <si>
    <t>Zermat Internacional</t>
  </si>
  <si>
    <t>http://www.linkedin.com/in/fatimapgzz</t>
  </si>
  <si>
    <t>fatima.pintor@didiamant.com</t>
  </si>
  <si>
    <t>Joya</t>
  </si>
  <si>
    <t>http://www.linkedin.com/in/andr%c3%a9s-joya-7835a6121</t>
  </si>
  <si>
    <t>andres.joya@sukabumistone.com</t>
  </si>
  <si>
    <t>+52 33 3100 5864</t>
  </si>
  <si>
    <t>Sukabumi stone</t>
  </si>
  <si>
    <t>Natalie</t>
  </si>
  <si>
    <t>Auxiliar marketing digital</t>
  </si>
  <si>
    <t>http://www.linkedin.com/in/nataliemartinez01</t>
  </si>
  <si>
    <t>mktdigital@kokoro.mx</t>
  </si>
  <si>
    <t>+52 33 1895 2851</t>
  </si>
  <si>
    <t>Kokoro</t>
  </si>
  <si>
    <t>Astrid</t>
  </si>
  <si>
    <t>MorÃ¡n</t>
  </si>
  <si>
    <t>contacto@naturalscents.com.mx</t>
  </si>
  <si>
    <t>naturalscents</t>
  </si>
  <si>
    <t>Digital marketing manager</t>
  </si>
  <si>
    <t>sofia@pitaya.com</t>
  </si>
  <si>
    <t>+52 55 3704 8814</t>
  </si>
  <si>
    <t>Pitaya JoyerÃ­a</t>
  </si>
  <si>
    <t>Gabriel MartÃ­nez</t>
  </si>
  <si>
    <t>Jefe de Marketing Digital</t>
  </si>
  <si>
    <t>http://www.linkedin.com/in/gabriel-mart%c3%adnez-valdivia-89250866</t>
  </si>
  <si>
    <t>gmartinez@larousse.com.mx</t>
  </si>
  <si>
    <t>558-548-9002</t>
  </si>
  <si>
    <t>Larousse</t>
  </si>
  <si>
    <t>Livier</t>
  </si>
  <si>
    <t>Yanez</t>
  </si>
  <si>
    <t>Trade Marketing Specialist</t>
  </si>
  <si>
    <t>http://www.linkedin.com/in/ya%c3%b1ezbalivieres</t>
  </si>
  <si>
    <t>livier.yanez@pinturasdoal.com</t>
  </si>
  <si>
    <t>http://www.linkedin.com/in/oswaldo-almanza-guti%c3%a9rrez-9b86467b</t>
  </si>
  <si>
    <t>oswaldo_almanza@pipsa.com.mx</t>
  </si>
  <si>
    <t>Proveedora Industrial Panamericana</t>
  </si>
  <si>
    <t>Serra</t>
  </si>
  <si>
    <t>KAM E-COMMERCE</t>
  </si>
  <si>
    <t>http://www.linkedin.com/in/angela-serra-781220211</t>
  </si>
  <si>
    <t>angela@pelucheria.com</t>
  </si>
  <si>
    <t>Pelucheria</t>
  </si>
  <si>
    <t>Cifuentes</t>
  </si>
  <si>
    <t>E-commerce Functional Analyst</t>
  </si>
  <si>
    <t>http://www.linkedin.com/in/alicia-mayrani-cifuentes-pacheco-455b06129</t>
  </si>
  <si>
    <t>alicia.cifuentes@never8.com</t>
  </si>
  <si>
    <t>Never8</t>
  </si>
  <si>
    <t>http://www.linkedin.com/in/edmundonavarrogomez</t>
  </si>
  <si>
    <t>ernavarro@zeyco.mx</t>
  </si>
  <si>
    <t>+52 33 1718 3048</t>
  </si>
  <si>
    <t>Grupo Zeyco</t>
  </si>
  <si>
    <t>Braulio</t>
  </si>
  <si>
    <t>http://www.linkedin.com/in/garcia-braulio</t>
  </si>
  <si>
    <t>sdmercadeo@dulcesdelarosa.com.mx</t>
  </si>
  <si>
    <t>SarahÃ­</t>
  </si>
  <si>
    <t>http://www.linkedin.com/in/sarah%c3%ad-mart%c3%adnez-957aaa1b9</t>
  </si>
  <si>
    <t>s.martinez@berrendo.com</t>
  </si>
  <si>
    <t>+52 477 710 4900</t>
  </si>
  <si>
    <t>berrendo</t>
  </si>
  <si>
    <t>Head Of Digital Marketing &amp; eCommerce</t>
  </si>
  <si>
    <t>http://www.linkedin.com/in/kikeaguirre</t>
  </si>
  <si>
    <t>Mi Tienda del Ahorro</t>
  </si>
  <si>
    <t>estefania.quintana@ibero.mx</t>
  </si>
  <si>
    <t>+525559504000 reception</t>
  </si>
  <si>
    <t>IBERO</t>
  </si>
  <si>
    <t>http://www.linkedin.com/in/gabriel-adrian-teneyuque-cardenas-90636a84</t>
  </si>
  <si>
    <t>gabriel.teneyuque@equimedmexico.com</t>
  </si>
  <si>
    <t>Equimed MÃ©xico</t>
  </si>
  <si>
    <t>Jhonatan</t>
  </si>
  <si>
    <t>LÃ³pez Ovando</t>
  </si>
  <si>
    <t>Encargado de Logistica en E-commerce</t>
  </si>
  <si>
    <t>http://www.linkedin.com/in/jhonatan-l%c3%b3pez-ovando-0608571aa</t>
  </si>
  <si>
    <t>jhonatan_lopez@ceramat.com.mx</t>
  </si>
  <si>
    <t>+52 961 617 5510</t>
  </si>
  <si>
    <t>Ceramat</t>
  </si>
  <si>
    <t>e-Commerce</t>
  </si>
  <si>
    <t>http://www.linkedin.com/in/carlos-alberto-esparza-cruz-a249b1208</t>
  </si>
  <si>
    <t>cesparza@mundoterra.com</t>
  </si>
  <si>
    <t>+52 33 3540 2030</t>
  </si>
  <si>
    <t>Mundo Terra</t>
  </si>
  <si>
    <t>Cajero</t>
  </si>
  <si>
    <t>http://www.linkedin.com/in/julian-cajero</t>
  </si>
  <si>
    <t>jcajero@lifex.mx</t>
  </si>
  <si>
    <t>449-918-1216</t>
  </si>
  <si>
    <t>Lifex</t>
  </si>
  <si>
    <t>Colunga</t>
  </si>
  <si>
    <t>Asistente de marketing</t>
  </si>
  <si>
    <t>http://www.linkedin.com/in/jean-colunga-9907051a3</t>
  </si>
  <si>
    <t>jean@eternitydiamonds.com.mx</t>
  </si>
  <si>
    <t>EternityDiamonds</t>
  </si>
  <si>
    <t>Suzanne</t>
  </si>
  <si>
    <t>Harden</t>
  </si>
  <si>
    <t>Vice President Digial &amp; eCommerce</t>
  </si>
  <si>
    <t>http://www.linkedin.com/in/suzanne-harden-b6408597</t>
  </si>
  <si>
    <t>suzanne.harden@encanto.com.mx</t>
  </si>
  <si>
    <t>+52 722 369 6176</t>
  </si>
  <si>
    <t>Encargado de Ecommerce</t>
  </si>
  <si>
    <t>guillermo@actitus.mx</t>
  </si>
  <si>
    <t>Actitus</t>
  </si>
  <si>
    <t>Aide</t>
  </si>
  <si>
    <t>Guillen</t>
  </si>
  <si>
    <t>Ejecutiva e-Commerce</t>
  </si>
  <si>
    <t>http://www.linkedin.com/in/aide-guillen-466206205</t>
  </si>
  <si>
    <t>aide.guillen@chocolate.com.mx</t>
  </si>
  <si>
    <t>+52 55 5612 1626</t>
  </si>
  <si>
    <t>Chocolates Picard</t>
  </si>
  <si>
    <t>Director Comercial &amp; Marketing</t>
  </si>
  <si>
    <t>http://www.linkedin.com/in/rafael-sandoval-garcia-a36336142</t>
  </si>
  <si>
    <t>rsandoval@park-royalhotels.com</t>
  </si>
  <si>
    <t>+52 987 872 0700</t>
  </si>
  <si>
    <t>Park Royal Hotels</t>
  </si>
  <si>
    <t>Camarena</t>
  </si>
  <si>
    <t>Gerente de Publicidad y Marketing</t>
  </si>
  <si>
    <t>http://www.linkedin.com/in/luis-camarena-b92ba523</t>
  </si>
  <si>
    <t>lu.camarena@mavi.mx</t>
  </si>
  <si>
    <t>Manager Digital Marketing</t>
  </si>
  <si>
    <t>lorenap@jornada.com.mx</t>
  </si>
  <si>
    <t>552-690-7216</t>
  </si>
  <si>
    <t>La Jornada</t>
  </si>
  <si>
    <t>Gamiz</t>
  </si>
  <si>
    <t>e-Commerce Front-End Manager</t>
  </si>
  <si>
    <t>http://www.linkedin.com/in/alejandra-g%c3%a1miz-718a9662</t>
  </si>
  <si>
    <t>alejandra.gamiz@never8.com</t>
  </si>
  <si>
    <t>+52 81 8000 7793</t>
  </si>
  <si>
    <t>Compean</t>
  </si>
  <si>
    <t>http://www.linkedin.com/in/digitalcoffee-marketing-specialist</t>
  </si>
  <si>
    <t>emmanuel@aprendamosmarketing.com</t>
  </si>
  <si>
    <t>+52 998 293 2925</t>
  </si>
  <si>
    <t>Aprendamos Marketing</t>
  </si>
  <si>
    <t>http://www.linkedin.com/in/ricardo-toledo-27671b37</t>
  </si>
  <si>
    <t>ricardo.toledo@chocolate.com.mx</t>
  </si>
  <si>
    <t>+52 55 5605 6918</t>
  </si>
  <si>
    <t>Alma Lorena</t>
  </si>
  <si>
    <t>http://www.linkedin.com/in/alma-lorena-hernandez-reyes-89a386120</t>
  </si>
  <si>
    <t>alhernandezr@laparisina.com.mx</t>
  </si>
  <si>
    <t>558-105-5364</t>
  </si>
  <si>
    <t>Parisina</t>
  </si>
  <si>
    <t>Pantoja</t>
  </si>
  <si>
    <t>Directora Marketing</t>
  </si>
  <si>
    <t>http://www.linkedin.com/in/karla-pantoja-68241912</t>
  </si>
  <si>
    <t>kpantoja@merca20.com</t>
  </si>
  <si>
    <t>+52 935088234</t>
  </si>
  <si>
    <t>Merca2.0</t>
  </si>
  <si>
    <t>http://www.linkedin.com/in/gloestefania</t>
  </si>
  <si>
    <t>gloestefania@gmail.com</t>
  </si>
  <si>
    <t>Caralarga</t>
  </si>
  <si>
    <t>Zuniga</t>
  </si>
  <si>
    <t>http://www.linkedin.com/in/baltazar-z%c3%ba%c3%b1iga-cervantes-43655b8b</t>
  </si>
  <si>
    <t>baltazar.zuniga@paruno.mx</t>
  </si>
  <si>
    <t>+52 477 373 9556</t>
  </si>
  <si>
    <t>Paruno Group Brands - Ins - External - Ads</t>
  </si>
  <si>
    <t>Korinna</t>
  </si>
  <si>
    <t>Urias</t>
  </si>
  <si>
    <t>Gerente Marketing Digital</t>
  </si>
  <si>
    <t>http://www.linkedin.com/in/korinna-ur%c3%adas</t>
  </si>
  <si>
    <t>korinna.urias@valdezbaluarte.com.mx</t>
  </si>
  <si>
    <t>+52 800 825 3392</t>
  </si>
  <si>
    <t>Valdezbaluarte</t>
  </si>
  <si>
    <t>Administrador de procesos ecommerce</t>
  </si>
  <si>
    <t>oscar.mejia@mavi.mx</t>
  </si>
  <si>
    <t>Dustin</t>
  </si>
  <si>
    <t>Gerente Comercial de Ventas TecnolÃ³gicas E commerce</t>
  </si>
  <si>
    <t>http://www.linkedin.com/in/dustin-rosales-garc%c3%ada-b926481a1</t>
  </si>
  <si>
    <t>du.rosales@mavi.mx</t>
  </si>
  <si>
    <t>http://www.linkedin.com/in/carmen-diaz-breceda-a79a94b</t>
  </si>
  <si>
    <t>carmen.diaz@lahuerta.com.mx</t>
  </si>
  <si>
    <t>Escalona</t>
  </si>
  <si>
    <t>http://www.linkedin.com/in/paulo-zerghio-escalona-b536b7a1</t>
  </si>
  <si>
    <t>paulo.escalona@typhoonmx.com</t>
  </si>
  <si>
    <t>Sportico</t>
  </si>
  <si>
    <t>mrivas@zegucom.com.mx</t>
  </si>
  <si>
    <t>449-146-8780</t>
  </si>
  <si>
    <t>Zegucom</t>
  </si>
  <si>
    <t>Directora de Ventas y Marketing Collectibles</t>
  </si>
  <si>
    <t>http://www.linkedin.com/in/claudia-lopez-039717b3</t>
  </si>
  <si>
    <t>clopez@panini.com.mx</t>
  </si>
  <si>
    <t>Tienda Panini</t>
  </si>
  <si>
    <t>Responsable de comunicaciones de marketing</t>
  </si>
  <si>
    <t>http://www.linkedin.com/in/luis-antonio-olivares-40b2791b</t>
  </si>
  <si>
    <t>luis.olivares@deportehabitat.com.mx</t>
  </si>
  <si>
    <t>Deporte HÃ¡bitat</t>
  </si>
  <si>
    <t>Tiare</t>
  </si>
  <si>
    <t>Coello</t>
  </si>
  <si>
    <t>Asistente de E-commerce</t>
  </si>
  <si>
    <t>http://www.linkedin.com/in/tiar%c3%a9-coello-416514110</t>
  </si>
  <si>
    <t>tiare.coello@pelucheria.com</t>
  </si>
  <si>
    <t>Arriaga</t>
  </si>
  <si>
    <t>http://www.linkedin.com/in/fernando-david-arriaga-maldonado-59757a265</t>
  </si>
  <si>
    <t>farriaga@jornada.com.mx</t>
  </si>
  <si>
    <t>Director de ventas y marketing</t>
  </si>
  <si>
    <t>http://www.linkedin.com/in/juan-alberto-leon-35aa76224</t>
  </si>
  <si>
    <t>alberto@inoximexico.com</t>
  </si>
  <si>
    <t>+52 33 2001 6713</t>
  </si>
  <si>
    <t>Inoximexico</t>
  </si>
  <si>
    <t>http://www.linkedin.com/in/danielsnestor</t>
  </si>
  <si>
    <t>dnestor@ashleyfurniture.com</t>
  </si>
  <si>
    <t>+52 664 208 7249</t>
  </si>
  <si>
    <t>Ashley Furniture</t>
  </si>
  <si>
    <t>Jacky</t>
  </si>
  <si>
    <t>Head of Ecommerce &amp; Digital Marketing</t>
  </si>
  <si>
    <t>http://www.linkedin.com/in/jackyfuentes</t>
  </si>
  <si>
    <t>jacky@uupz.com.mx</t>
  </si>
  <si>
    <t>UUPZ</t>
  </si>
  <si>
    <t>Carmona</t>
  </si>
  <si>
    <t>http://www.linkedin.com/in/andrea-carmona-99279b247</t>
  </si>
  <si>
    <t>acarmona@e-nature.com.mx</t>
  </si>
  <si>
    <t>Enature</t>
  </si>
  <si>
    <t>Jairo</t>
  </si>
  <si>
    <t>Baruc MuÃ±oz ChÃ¡vez</t>
  </si>
  <si>
    <t>E-commerce &amp; Marketing Online Manager</t>
  </si>
  <si>
    <t>hello@tenis360.com</t>
  </si>
  <si>
    <t>+52 477 103 0701</t>
  </si>
  <si>
    <t>Tenis 360</t>
  </si>
  <si>
    <t>http://www.linkedin.com/in/jessica-fernanda-p%c3%a9rez-ben%c3%adtez-908628213</t>
  </si>
  <si>
    <t>jperez@corev.com.mx</t>
  </si>
  <si>
    <t>+52(52 55) 5276 8660</t>
  </si>
  <si>
    <t>COREV DE MEXICO S.A DE C.V</t>
  </si>
  <si>
    <t>Yasmina</t>
  </si>
  <si>
    <t>Benzakour</t>
  </si>
  <si>
    <t>Content Marketing Strategist (US)</t>
  </si>
  <si>
    <t>http://www.linkedin.com/in/yasminabenzakour</t>
  </si>
  <si>
    <t>yasmina.benzakour@chefclub.tv</t>
  </si>
  <si>
    <t>+33 9 74 59 44 98</t>
  </si>
  <si>
    <t>Chefclub</t>
  </si>
  <si>
    <t>Escobedo</t>
  </si>
  <si>
    <t>http://www.linkedin.com/in/brenda-escobedo-9480a8234</t>
  </si>
  <si>
    <t>bescobedo@park-royalhotels.com</t>
  </si>
  <si>
    <t>Brito</t>
  </si>
  <si>
    <t>Ejecutivo en ventas especiales y marketing</t>
  </si>
  <si>
    <t>http://www.linkedin.com/in/guillermo-brito-2a901a67</t>
  </si>
  <si>
    <t>guillermo.brito@papalote.org.mx</t>
  </si>
  <si>
    <t>+55 52371781</t>
  </si>
  <si>
    <t>Papalote Museo del NiÃ±o</t>
  </si>
  <si>
    <t>Contacto</t>
  </si>
  <si>
    <t>http://www.linkedin.com/in/contacto-digital-5625721ab</t>
  </si>
  <si>
    <t>contacto.digital@park-royalhotels.com</t>
  </si>
  <si>
    <t>Adela</t>
  </si>
  <si>
    <t>E-Commerce-Managerin</t>
  </si>
  <si>
    <t>http://www.linkedin.com/in/adela-isabel-correa-corona-68b2a118b</t>
  </si>
  <si>
    <t>acorrea@veloci.com.mx</t>
  </si>
  <si>
    <t>+52 33 3283 1160</t>
  </si>
  <si>
    <t>GrupoVeloci</t>
  </si>
  <si>
    <t>Sosa GarcÃ­a</t>
  </si>
  <si>
    <t>Marketing digital | E-commerce</t>
  </si>
  <si>
    <t>http://www.linkedin.com/in/alejandro-sosa-garcia-95ab9616</t>
  </si>
  <si>
    <t>a.sosa@ceramat.com.mx</t>
  </si>
  <si>
    <t>+52 55 3990 0278</t>
  </si>
  <si>
    <t>Balderas</t>
  </si>
  <si>
    <t>http://www.linkedin.com/in/oscar-balderas-herrera-2843401b0</t>
  </si>
  <si>
    <t>obalderas@tonic.mx</t>
  </si>
  <si>
    <t>+52 442 157 1136</t>
  </si>
  <si>
    <t>Tonic</t>
  </si>
  <si>
    <t>Director de E-commerce y catÃ¡logo extendido</t>
  </si>
  <si>
    <t>http://www.linkedin.com/in/juan-israel-suarez-serrano-79a7aa45</t>
  </si>
  <si>
    <t>israel.suarez@gcatlas.mx</t>
  </si>
  <si>
    <t>+52 55 3351 6358</t>
  </si>
  <si>
    <t>clientes@malandra.mx</t>
  </si>
  <si>
    <t>+52 81 1488 6601</t>
  </si>
  <si>
    <t>JoyerÃ­a Malandra</t>
  </si>
  <si>
    <t>Tovar</t>
  </si>
  <si>
    <t>Ejecutivo de marketing y btl</t>
  </si>
  <si>
    <t>http://www.linkedin.com/in/tulipanesdecolores</t>
  </si>
  <si>
    <t>monica.tovar@desmex.com</t>
  </si>
  <si>
    <t>+52 477 788 0600</t>
  </si>
  <si>
    <t>GRUPO DESMEX</t>
  </si>
  <si>
    <t>Head of Consumers Marketing</t>
  </si>
  <si>
    <t>http://www.linkedin.com/in/jesus-villalobos-gtz</t>
  </si>
  <si>
    <t>jesus.villalobos@sodexo.com</t>
  </si>
  <si>
    <t>+52 1 55 5091 2414</t>
  </si>
  <si>
    <t>Pluxee Mexico</t>
  </si>
  <si>
    <t>Fraire</t>
  </si>
  <si>
    <t>Gerente Sr en Marketing y Ventas</t>
  </si>
  <si>
    <t>http://www.linkedin.com/in/michelfraire</t>
  </si>
  <si>
    <t>michel.fraire@sanjorgecc.com.mx</t>
  </si>
  <si>
    <t>+52 81 8044 9000</t>
  </si>
  <si>
    <t>San Jorge Casa de Cambio</t>
  </si>
  <si>
    <t>Cesia</t>
  </si>
  <si>
    <t>Comercial y Marketing</t>
  </si>
  <si>
    <t>http://www.linkedin.com/in/cesia-santos-chang-356882149</t>
  </si>
  <si>
    <t>cchang@gravitar.biz</t>
  </si>
  <si>
    <t>+52 81 8123 4736</t>
  </si>
  <si>
    <t>Gravitar</t>
  </si>
  <si>
    <t>Villalon</t>
  </si>
  <si>
    <t>Ecommerce Key Account Manager Jr. Walmart</t>
  </si>
  <si>
    <t>http://www.linkedin.com/in/tania-villal%c3%b3n-178281142</t>
  </si>
  <si>
    <t>tania.villalon@encanto.com.mx</t>
  </si>
  <si>
    <t>COMERCIAL ENCANTO S.A. DE C.V.</t>
  </si>
  <si>
    <t>Rey</t>
  </si>
  <si>
    <t>rodrigo@capptu.com</t>
  </si>
  <si>
    <t>555-555-5555</t>
  </si>
  <si>
    <t>Capptu</t>
  </si>
  <si>
    <t>Regardiz</t>
  </si>
  <si>
    <t>Gerente de Marketing Digital &amp; Ecommerce</t>
  </si>
  <si>
    <t>http://www.linkedin.com/in/alejandro-regardiz-marketing-ecommerce</t>
  </si>
  <si>
    <t>aregardiz@ahkimpech.com</t>
  </si>
  <si>
    <t>Ah Kim Pech</t>
  </si>
  <si>
    <t>Estratega en marketing digital</t>
  </si>
  <si>
    <t>http://www.linkedin.com/in/carlos-alberto-ru%c3%adz-alonso-35031a100</t>
  </si>
  <si>
    <t>calonso@eci.edu.mx</t>
  </si>
  <si>
    <t>+52 1 33 3640 3590</t>
  </si>
  <si>
    <t>ECI Guadalajara</t>
  </si>
  <si>
    <t>http://www.linkedin.com/in/fernando-arriaga-5a478b17a</t>
  </si>
  <si>
    <t>Maxey</t>
  </si>
  <si>
    <t>http://www.linkedin.com/in/david-maxey-9755331a</t>
  </si>
  <si>
    <t>dmaxey@ashleyfurniture.com</t>
  </si>
  <si>
    <t>http://www.linkedin.com/in/alexis-portillo-101335b1</t>
  </si>
  <si>
    <t>aportillo@pcfusion.com.mx</t>
  </si>
  <si>
    <t>+52 55 5390 9086</t>
  </si>
  <si>
    <t>Pc Fusion</t>
  </si>
  <si>
    <t>Trujillo</t>
  </si>
  <si>
    <t>National Wholesale Trade Marketing Manager</t>
  </si>
  <si>
    <t>http://www.linkedin.com/in/ren%c3%a9-trujillo-24717313</t>
  </si>
  <si>
    <t>rtrujillo@dulcesdelarosa.com.mx</t>
  </si>
  <si>
    <t>http://www.linkedin.com/in/cesar-juarez-garcia-b17810216</t>
  </si>
  <si>
    <t>atencionmayoreo@laparisina.com.mx</t>
  </si>
  <si>
    <t>Grupo Parisina</t>
  </si>
  <si>
    <t>Grecia</t>
  </si>
  <si>
    <t>Baeza</t>
  </si>
  <si>
    <t>http://www.linkedin.com/in/grecia-mar%c3%ada-baeza-garcidue%c3%b1as-65ba12267</t>
  </si>
  <si>
    <t>+52 477 379 9108</t>
  </si>
  <si>
    <t>Elektron mx</t>
  </si>
  <si>
    <t>Marilin</t>
  </si>
  <si>
    <t>Gerente general de marketing y ventas</t>
  </si>
  <si>
    <t>http://www.linkedin.com/in/marilin-hernandez-islas-9a73531a2</t>
  </si>
  <si>
    <t>marilin.hernandez@sagaon.tech</t>
  </si>
  <si>
    <t>Sagaon Tech</t>
  </si>
  <si>
    <t>http://www.linkedin.com/in/oliver-flores-685b1896</t>
  </si>
  <si>
    <t>oliver@procarga.com.mx</t>
  </si>
  <si>
    <t>+52 55 2626 3013</t>
  </si>
  <si>
    <t>PROCARGA</t>
  </si>
  <si>
    <t>Docente de marketing</t>
  </si>
  <si>
    <t>http://www.linkedin.com/in/mar%c3%ada-elisa-v%c3%a1zquez-covarrubias-b86592124</t>
  </si>
  <si>
    <t>maria.covarrubias@uanl.mx</t>
  </si>
  <si>
    <t>Desarrollador, Set-up y operacional de e-commerce</t>
  </si>
  <si>
    <t>http://www.linkedin.com/in/cesar-alberto-torres-mendez-52790b122</t>
  </si>
  <si>
    <t>cesar@doosestudio.com</t>
  </si>
  <si>
    <t>doos estudio</t>
  </si>
  <si>
    <t>http://www.linkedin.com/in/cristianperezperez940921</t>
  </si>
  <si>
    <t>cristianperez@eem.com.mx</t>
  </si>
  <si>
    <t>+52 55 5570 7865</t>
  </si>
  <si>
    <t>EEM</t>
  </si>
  <si>
    <t>Manuela</t>
  </si>
  <si>
    <t>Arango</t>
  </si>
  <si>
    <t>Directora de Comercios y Alianzas EstratÃ©gicas| Modelos de negocio | Marketing | BI | Ventas</t>
  </si>
  <si>
    <t>http://www.linkedin.com/in/manuela-arango-mej%c3%ada-333b5096</t>
  </si>
  <si>
    <t>manuela.arango@sodexo.com</t>
  </si>
  <si>
    <t>e-marketing</t>
  </si>
  <si>
    <t>ventas@cervexxa.mx</t>
  </si>
  <si>
    <t>777-180-4747</t>
  </si>
  <si>
    <t>Subgerente de marketing</t>
  </si>
  <si>
    <t>http://www.linkedin.com/sales/lead/ACwAADJjboQBXZ_deGcvTkKx9hW6S96Jxm7BmJw,NAME_SEARCH,uWPp</t>
  </si>
  <si>
    <t>pa.camarena@mavi.mx</t>
  </si>
  <si>
    <t>E-commerce | Marketing |</t>
  </si>
  <si>
    <t>http://www.linkedin.com/in/anabeld%c3%adaz-ecommerce</t>
  </si>
  <si>
    <t>adiaz@mundoterra.com</t>
  </si>
  <si>
    <t>332-045-7492 ext 8165</t>
  </si>
  <si>
    <t>Cintia</t>
  </si>
  <si>
    <t>Pelayo</t>
  </si>
  <si>
    <t>http://www.linkedin.com/in/cintia-pelayo-aa59b646</t>
  </si>
  <si>
    <t>cintia.pelayo@dione.com.mx</t>
  </si>
  <si>
    <t>+52 55 5605 6204</t>
  </si>
  <si>
    <t>Grupo Dione</t>
  </si>
  <si>
    <t>Nunez</t>
  </si>
  <si>
    <t>http://www.linkedin.com/in/valeria-n%c3%ba%c3%b1ez-69a17825a</t>
  </si>
  <si>
    <t>vnunez@achemex.com</t>
  </si>
  <si>
    <t>+52 55 2569 9945</t>
  </si>
  <si>
    <t>Achemex</t>
  </si>
  <si>
    <t>Vidal</t>
  </si>
  <si>
    <t>GERENTE DE MARKETING DIGITAL</t>
  </si>
  <si>
    <t>http://www.linkedin.com/in/karen-vidal-81861b203</t>
  </si>
  <si>
    <t>karen.vidal@papalote.org.mx</t>
  </si>
  <si>
    <t>Coordinadora de Marketing y eventos</t>
  </si>
  <si>
    <t>http://www.linkedin.com/in/paula-ivonne-rosas-urcid-565229210</t>
  </si>
  <si>
    <t>purcid@merca20.com</t>
  </si>
  <si>
    <t>Taishah</t>
  </si>
  <si>
    <t>Copy Jr - Email marketing specialist</t>
  </si>
  <si>
    <t>http://www.linkedin.com/in/taishah-castillo-5192a9191</t>
  </si>
  <si>
    <t>tai@doosestudio.com</t>
  </si>
  <si>
    <t>http://www.linkedin.com/in/m%c3%b3nica-m-z%c3%ba%c3%b1iga-mha</t>
  </si>
  <si>
    <t>monica@mhaconsulting.mx</t>
  </si>
  <si>
    <t>MHA Consulting</t>
  </si>
  <si>
    <t>Cordinadora de Marketing</t>
  </si>
  <si>
    <t>http://www.linkedin.com/in/evelyn-cuellar-rios-31980b56</t>
  </si>
  <si>
    <t>evelyn@censaindustrial.com</t>
  </si>
  <si>
    <t>+52 1 80 0087 8665</t>
  </si>
  <si>
    <t>Censa Industrial</t>
  </si>
  <si>
    <t>http://www.linkedin.com/in/diana-r%c3%ados-76a35629</t>
  </si>
  <si>
    <t>diana@calux.com.mx</t>
  </si>
  <si>
    <t>CALUX</t>
  </si>
  <si>
    <t>Angulo</t>
  </si>
  <si>
    <t>http://www.linkedin.com/in/kevin-angulo-b0640025</t>
  </si>
  <si>
    <t>kevin.angulo@cetys.mx</t>
  </si>
  <si>
    <t>+52 646 222 2300</t>
  </si>
  <si>
    <t>CETYS Universidad</t>
  </si>
  <si>
    <t>http://www.linkedin.com/in/jenny-alejandra-torres-campos-786682186</t>
  </si>
  <si>
    <t>jenny.torres@bh.com.mx</t>
  </si>
  <si>
    <t>+52 444 824 0029</t>
  </si>
  <si>
    <t>BH Fitness MÃ©xico</t>
  </si>
  <si>
    <t>Marketing And Graphic Design Leader</t>
  </si>
  <si>
    <t>http://www.linkedin.com/in/fervillarreal</t>
  </si>
  <si>
    <t>fernanda@pelucheria.com</t>
  </si>
  <si>
    <t>+52 1 81 2539 5709</t>
  </si>
  <si>
    <t>LÃ­der de Marketing y Pricing</t>
  </si>
  <si>
    <t>http://www.linkedin.com/in/liliana-gonzalez</t>
  </si>
  <si>
    <t>l.gonzalez@grupocoresa.com</t>
  </si>
  <si>
    <t>+52 833 219 3211</t>
  </si>
  <si>
    <t>Grupo Coresa</t>
  </si>
  <si>
    <t>Tapia</t>
  </si>
  <si>
    <t>Marketing Communication Coordinator</t>
  </si>
  <si>
    <t>http://www.linkedin.com/in/carmenmtapia</t>
  </si>
  <si>
    <t>ctapia@typ.mx</t>
  </si>
  <si>
    <t>+52 662 261 1110</t>
  </si>
  <si>
    <t>TyP RefrigeraciÃ³n</t>
  </si>
  <si>
    <t>Gaughan</t>
  </si>
  <si>
    <t>Independent Marketing Specialist</t>
  </si>
  <si>
    <t>http://www.linkedin.com/in/kevin-gaughan-0ba90417</t>
  </si>
  <si>
    <t>kgaughan@ashleyfurniture.com</t>
  </si>
  <si>
    <t>http://www.linkedin.com/in/ang%c3%a9lica-amaya-650977163</t>
  </si>
  <si>
    <t>ecommerce@benotto.com.mx</t>
  </si>
  <si>
    <t>+52 55 5264 4897</t>
  </si>
  <si>
    <t>Distribuidora de Bicicletas Benotto Oficial</t>
  </si>
  <si>
    <t>FernÃ¡ndez</t>
  </si>
  <si>
    <t>E-commerce Director</t>
  </si>
  <si>
    <t>afernandez@dupuis.com.mx</t>
  </si>
  <si>
    <t>Dupuis</t>
  </si>
  <si>
    <t>Barroso</t>
  </si>
  <si>
    <t>Manager of Marketing</t>
  </si>
  <si>
    <t>http://www.linkedin.com/in/eduardo-barroso-426a03153</t>
  </si>
  <si>
    <t>eduardobarroso@paruno.com</t>
  </si>
  <si>
    <t>Supervisora Ecommerce</t>
  </si>
  <si>
    <t>http://www.linkedin.com/in/candy-michel-zepeda-urz%c3%baa-4613b018b</t>
  </si>
  <si>
    <t>kmejorada@dulcesdelarosa.com.mx</t>
  </si>
  <si>
    <t>JimÃ©nez PeÃ±a</t>
  </si>
  <si>
    <t>Analista en CRM y Marketing Digital</t>
  </si>
  <si>
    <t>http://www.linkedin.com/in/rodrigo-jim%c3%a9nez-pe%c3%b1a-698216aa</t>
  </si>
  <si>
    <t>rodrigo.jimenez@ibero.mx</t>
  </si>
  <si>
    <t>JosÃ© Luis</t>
  </si>
  <si>
    <t>Ponce</t>
  </si>
  <si>
    <t>Asistente de Marketing</t>
  </si>
  <si>
    <t>http://www.linkedin.com/in/jluisp11</t>
  </si>
  <si>
    <t>jose.ponce@pconemexico.com.mx</t>
  </si>
  <si>
    <t>+52 664 454 0176</t>
  </si>
  <si>
    <t>PC ONE MEXICO</t>
  </si>
  <si>
    <t>Yobana</t>
  </si>
  <si>
    <t>http://www.linkedin.com/in/yobana-valle-a24639248</t>
  </si>
  <si>
    <t>yobana.valle@juguetimax.com</t>
  </si>
  <si>
    <t>Juguetimax</t>
  </si>
  <si>
    <t>Gerry</t>
  </si>
  <si>
    <t>Velasco</t>
  </si>
  <si>
    <t>http://www.linkedin.com/in/gerry-velasco-04a27636</t>
  </si>
  <si>
    <t>gvelasco@velsimex.com</t>
  </si>
  <si>
    <t>Almudena</t>
  </si>
  <si>
    <t>http://www.linkedin.com/in/almudenarod</t>
  </si>
  <si>
    <t>almudena@sersana.com</t>
  </si>
  <si>
    <t>+52 55 3247 5140</t>
  </si>
  <si>
    <t>Sersana Method</t>
  </si>
  <si>
    <t>Meyer</t>
  </si>
  <si>
    <t>http://www.linkedin.com/in/nicholas-meyer-151892b8</t>
  </si>
  <si>
    <t>nicholas.meyer@globalmortgage.mx</t>
  </si>
  <si>
    <t>+1 866-509-4657</t>
  </si>
  <si>
    <t>MoXi - A Global Mortgage Company</t>
  </si>
  <si>
    <t>Blanca</t>
  </si>
  <si>
    <t>http://www.linkedin.com/in/blanca-briones-159bb1210</t>
  </si>
  <si>
    <t>bbc@alcione.mx</t>
  </si>
  <si>
    <t>Alcione | A Sonepar Company</t>
  </si>
  <si>
    <t>Madeline</t>
  </si>
  <si>
    <t>Gbur</t>
  </si>
  <si>
    <t>Email Marketing Specialist</t>
  </si>
  <si>
    <t>http://www.linkedin.com/in/madeline-gbur-86055a91</t>
  </si>
  <si>
    <t>madeline@threadless.com</t>
  </si>
  <si>
    <t>773-878-3557</t>
  </si>
  <si>
    <t>Threadless</t>
  </si>
  <si>
    <t>juan.reos@mavi.mx</t>
  </si>
  <si>
    <t>http://www.linkedin.com/in/paulina-vega-1487431a8</t>
  </si>
  <si>
    <t>pvega@merca20.com</t>
  </si>
  <si>
    <t>Francisco Miguel</t>
  </si>
  <si>
    <t>Velzquez Palacios</t>
  </si>
  <si>
    <t>franciscovelazquez@paruno.mx</t>
  </si>
  <si>
    <t>01-800-772-7866</t>
  </si>
  <si>
    <t>CORPORATIVO PARUNO</t>
  </si>
  <si>
    <t>Arredondo Alegret</t>
  </si>
  <si>
    <t>http://www.linkedin.com/in/raul-arredondo-alegret-7357aa6b</t>
  </si>
  <si>
    <t>rarredondoa@gruposancarlos.com</t>
  </si>
  <si>
    <t>333-880-8450</t>
  </si>
  <si>
    <t>GRUPO SAN CARLOS</t>
  </si>
  <si>
    <t>http://www.linkedin.com/in/adriana-g%c3%b3mez-valderrama-83357657</t>
  </si>
  <si>
    <t>adriana.valderrama@regency.com.mx</t>
  </si>
  <si>
    <t>Regency Overseas SA de CV</t>
  </si>
  <si>
    <t>http://www.linkedin.com/in/david-romo-c%c3%a1rdenas-666b3051</t>
  </si>
  <si>
    <t>david.romo@sabmexico.com</t>
  </si>
  <si>
    <t>+52 33 3684 0026</t>
  </si>
  <si>
    <t>Elektrokabel MÃ©xico</t>
  </si>
  <si>
    <t>Michan</t>
  </si>
  <si>
    <t>http://www.linkedin.com/in/reyna-michan-61bb0597</t>
  </si>
  <si>
    <t>rmichan@supersoya.mx</t>
  </si>
  <si>
    <t>+52 55 5535 1513</t>
  </si>
  <si>
    <t>SÃšPER SOYA</t>
  </si>
  <si>
    <t>Louis</t>
  </si>
  <si>
    <t>Mary</t>
  </si>
  <si>
    <t>Co-founder, VP Product, Marketing &amp; Operations</t>
  </si>
  <si>
    <t>http://www.linkedin.com/in/louisgilibert</t>
  </si>
  <si>
    <t>lmary@nyce.org.mx</t>
  </si>
  <si>
    <t>+52 55 3601 8807</t>
  </si>
  <si>
    <t>NYCE</t>
  </si>
  <si>
    <t>http://www.linkedin.com/in/fernando-wong-6521b120b</t>
  </si>
  <si>
    <t>fwong@elcedro.mx</t>
  </si>
  <si>
    <t>El Cedro - Ferreteria y Hogar</t>
  </si>
  <si>
    <t>Migliavacca</t>
  </si>
  <si>
    <t>Directrice marketing</t>
  </si>
  <si>
    <t>http://www.linkedin.com/in/bruna-migliavacca</t>
  </si>
  <si>
    <t>bruna@chefclub.tv</t>
  </si>
  <si>
    <t>Aldape</t>
  </si>
  <si>
    <t>karenaldape@lorenza.mx</t>
  </si>
  <si>
    <t>+52 1 81 8800 3737</t>
  </si>
  <si>
    <t>LORENZA</t>
  </si>
  <si>
    <t>Gerente de Marketing &amp; CX LATAM</t>
  </si>
  <si>
    <t>http://www.linkedin.com/in/guillermo-padilla-morales-64915650</t>
  </si>
  <si>
    <t>gpadilla@fibrasopticasdemexico.com</t>
  </si>
  <si>
    <t>+52 33 3898 2740</t>
  </si>
  <si>
    <t>Fibras Ã“pticas de MÃ©xico</t>
  </si>
  <si>
    <t>Manterola</t>
  </si>
  <si>
    <t>http://www.linkedin.com/in/sandra-manterola-rencher</t>
  </si>
  <si>
    <t>sandram@zash.store</t>
  </si>
  <si>
    <t>ZASH</t>
  </si>
  <si>
    <t>http://www.linkedin.com/in/brenda-jazm%c3%adn-l%c3%b3pez-m%c3%a9ndez-48799b168</t>
  </si>
  <si>
    <t>blopez@park-royalhotels.com</t>
  </si>
  <si>
    <t>Equipo de marketing</t>
  </si>
  <si>
    <t>http://www.linkedin.com/in/laura-cervantes-569239171</t>
  </si>
  <si>
    <t>laura.cervantes@acmax.mx</t>
  </si>
  <si>
    <t>+52 800 211 0060</t>
  </si>
  <si>
    <t>AcMax de Mexico S.A. de C.V.</t>
  </si>
  <si>
    <t>B.</t>
  </si>
  <si>
    <t>http://www.linkedin.com/in/martha-b-54473a132</t>
  </si>
  <si>
    <t>mbringas@landsteiner.com</t>
  </si>
  <si>
    <t>+52 1 80 0200 1121</t>
  </si>
  <si>
    <t>Landsteiner Scientific</t>
  </si>
  <si>
    <t>Haydee</t>
  </si>
  <si>
    <t>Marketing Communication</t>
  </si>
  <si>
    <t>http://www.linkedin.com/in/haydee-lara-calder%c3%b3n-57823b17a</t>
  </si>
  <si>
    <t>haydee.lara@thermomix.mx</t>
  </si>
  <si>
    <t>+52 33 3833 0333</t>
  </si>
  <si>
    <t>Thermomix Mexico</t>
  </si>
  <si>
    <t>Especialista Customer Marketing</t>
  </si>
  <si>
    <t>http://www.linkedin.com/in/estefaniarmzinteriordesigner</t>
  </si>
  <si>
    <t>auxmkt@dental.com.mx</t>
  </si>
  <si>
    <t>+52 1 52 0342 8227</t>
  </si>
  <si>
    <t>MDC Dental</t>
  </si>
  <si>
    <t>Andy</t>
  </si>
  <si>
    <t>Gerente de Marketing - Especialista en Aplicaciones</t>
  </si>
  <si>
    <t>http://www.linkedin.com/in/andy-luis-chavez-zagal-40926a76</t>
  </si>
  <si>
    <t>andy.chavez@ecnautomation.com</t>
  </si>
  <si>
    <t>+52 81 8130 0200</t>
  </si>
  <si>
    <t>ECN Automation</t>
  </si>
  <si>
    <t>Bejero</t>
  </si>
  <si>
    <t>SpÃ©cialiste en marketing</t>
  </si>
  <si>
    <t>http://www.linkedin.com/in/alan-bejero-00243721a</t>
  </si>
  <si>
    <t>alan@reisix.com</t>
  </si>
  <si>
    <t>54 9 646 386-8752</t>
  </si>
  <si>
    <t>Reisix</t>
  </si>
  <si>
    <t>Leyra</t>
  </si>
  <si>
    <t>Colina</t>
  </si>
  <si>
    <t>Affiliate Marketing Specialist</t>
  </si>
  <si>
    <t>http://www.linkedin.com/in/leyracolina</t>
  </si>
  <si>
    <t>leyra.colina@tiendanube.com</t>
  </si>
  <si>
    <t>+52 444 666 0356</t>
  </si>
  <si>
    <t>Tienda nube</t>
  </si>
  <si>
    <t>Grimaldo</t>
  </si>
  <si>
    <t>Encargado e-commerce</t>
  </si>
  <si>
    <t>http://www.linkedin.com/in/junuel-filiberto-grimaldo-gonz%c3%a1lez-8b6388215</t>
  </si>
  <si>
    <t>+55 11 3522-8009</t>
  </si>
  <si>
    <t>Jurame</t>
  </si>
  <si>
    <t>Lucas</t>
  </si>
  <si>
    <t>Nunes</t>
  </si>
  <si>
    <t>Product Marketing Jr. Analyst</t>
  </si>
  <si>
    <t>http://www.linkedin.com/in/lucas-nunes-547925192</t>
  </si>
  <si>
    <t>lucas.nunes@creditas.com</t>
  </si>
  <si>
    <t>+52 800 863 2008</t>
  </si>
  <si>
    <t>Creditas</t>
  </si>
  <si>
    <t>Rivera</t>
  </si>
  <si>
    <t>http://www.linkedin.com/in/selene-rivera-vilorio-a2a380172</t>
  </si>
  <si>
    <t>carga5a@cargo-lift.com.mx</t>
  </si>
  <si>
    <t>+52 55 6308 4067</t>
  </si>
  <si>
    <t>CARGO LIFT, S.A. DE C.V.</t>
  </si>
  <si>
    <t>http://www.linkedin.com/in/fernanda-l%c3%b3pez-061b9316b</t>
  </si>
  <si>
    <t>fernanda.lopez@rodhe.com.mx</t>
  </si>
  <si>
    <t>RODHE Security</t>
  </si>
  <si>
    <t>+54 9 2972 42-1831</t>
  </si>
  <si>
    <t>Soares</t>
  </si>
  <si>
    <t>Analista de CRM &amp; Marketing</t>
  </si>
  <si>
    <t>http://www.linkedin.com/in/jhonatan-soares-2ab0511a3</t>
  </si>
  <si>
    <t>jhonatan.soares@creditas.com</t>
  </si>
  <si>
    <t>+52 1 81 8368 7464</t>
  </si>
  <si>
    <t>Marketing y CRM</t>
  </si>
  <si>
    <t>http://www.linkedin.com/in/mariana-cabrera-4306a6159</t>
  </si>
  <si>
    <t>mariana.cabrera@engen.com.mx</t>
  </si>
  <si>
    <t>+52 656 617 2121</t>
  </si>
  <si>
    <t>Engen Capital</t>
  </si>
  <si>
    <t>Geovana</t>
  </si>
  <si>
    <t>http://www.linkedin.com/in/geovana-ch%c3%a1vez-312187239</t>
  </si>
  <si>
    <t>g.chavez@copilaser.com.mx</t>
  </si>
  <si>
    <t>Copilaser</t>
  </si>
  <si>
    <t>http://www.linkedin.com/in/ana-fabiola-soto-velazquez-a27592133</t>
  </si>
  <si>
    <t>ana.soto@mpower.com.mx</t>
  </si>
  <si>
    <t>+52 419 325 2100</t>
  </si>
  <si>
    <t>Mpower</t>
  </si>
  <si>
    <t>http://www.linkedin.com/in/krustoff</t>
  </si>
  <si>
    <t>fdiaz@gruposolder.com.mx</t>
  </si>
  <si>
    <t>Grupo Solder</t>
  </si>
  <si>
    <t>Marilia</t>
  </si>
  <si>
    <t>Ferro</t>
  </si>
  <si>
    <t>Content Marketing Analyst Sr.</t>
  </si>
  <si>
    <t>http://www.linkedin.com/in/marilia-ferro-180885108</t>
  </si>
  <si>
    <t>marilia.ferro@creditas.com</t>
  </si>
  <si>
    <t>http://www.linkedin.com/in/samuel-garc%c3%ada-palacios-164010172</t>
  </si>
  <si>
    <t>samuelpalacios@trivio.com.mx</t>
  </si>
  <si>
    <t>+52 33 3618 5600</t>
  </si>
  <si>
    <t>Grupo Trivio</t>
  </si>
  <si>
    <t>Cristaleria</t>
  </si>
  <si>
    <t>Mercadotecnia</t>
  </si>
  <si>
    <t>http://www.linkedin.com/sales/lead/ACwAAD9F5EUB3Frku2l4L8ZV7mhsPj2StmPwhqQ,NAME_SEARCH,zJ2R</t>
  </si>
  <si>
    <t>mercadotecnia@cristalerialaunica.com</t>
  </si>
  <si>
    <t>+52 55 5767 1115</t>
  </si>
  <si>
    <t>CristalerÃ­a la Ãšnica</t>
  </si>
  <si>
    <t>http://www.linkedin.com/in/omar-izza%c3%ad-hern%c3%a1ndez</t>
  </si>
  <si>
    <t>omar@netcopiadoras.com</t>
  </si>
  <si>
    <t>+52 55 5570 5000</t>
  </si>
  <si>
    <t>Net Copiadoras</t>
  </si>
  <si>
    <t>Bryan</t>
  </si>
  <si>
    <t>community@proteinworld.mx</t>
  </si>
  <si>
    <t>+52 55 4161 3717</t>
  </si>
  <si>
    <t>Protein World (MX)</t>
  </si>
  <si>
    <t>http://www.linkedin.com/in/veronica-garza-rios-13154031</t>
  </si>
  <si>
    <t>v.garza@unila.mx</t>
  </si>
  <si>
    <t>Universidad Latina</t>
  </si>
  <si>
    <t>Escartin</t>
  </si>
  <si>
    <t>http://www.linkedin.com/in/edgarescartin</t>
  </si>
  <si>
    <t>edgar.escartin@tiendanube.com</t>
  </si>
  <si>
    <t>http://www.linkedin.com/in/viridiana-soto-511428125</t>
  </si>
  <si>
    <t>viridiana.soto@sycsa.com</t>
  </si>
  <si>
    <t>+52 55 8947 0345</t>
  </si>
  <si>
    <t>SYCSAÂ®ï¸</t>
  </si>
  <si>
    <t>http://www.linkedin.com/in/diana-gonzalez-09331a2a2</t>
  </si>
  <si>
    <t>dgonzalez@cletoreyes.com</t>
  </si>
  <si>
    <t>Cleto Reyes</t>
  </si>
  <si>
    <t>DonajÃ­</t>
  </si>
  <si>
    <t>Razo DÃ­az</t>
  </si>
  <si>
    <t>E-commerce manager</t>
  </si>
  <si>
    <t>donaji@conairmexico.com</t>
  </si>
  <si>
    <t>+52 951 501 1883</t>
  </si>
  <si>
    <t>Conair Mx</t>
  </si>
  <si>
    <t>http://www.linkedin.com/in/apcuadra</t>
  </si>
  <si>
    <t>aperez@ginga.com.mx</t>
  </si>
  <si>
    <t>Ginga</t>
  </si>
  <si>
    <t>daniel@mercadodevinos.mx</t>
  </si>
  <si>
    <t>Mercado de Vinos</t>
  </si>
  <si>
    <t>Baptista</t>
  </si>
  <si>
    <t>Creative Manager | Creative Marketing</t>
  </si>
  <si>
    <t>http://www.linkedin.com/in/pedro-baptista-ba903180</t>
  </si>
  <si>
    <t>pedro.baptista@creditas.com</t>
  </si>
  <si>
    <t>Yess</t>
  </si>
  <si>
    <t>Marketing Project Coordinator</t>
  </si>
  <si>
    <t>http://www.linkedin.com/in/yess-cuevas-557b63173</t>
  </si>
  <si>
    <t>ycuevas@unionpapelera.com.mx</t>
  </si>
  <si>
    <t>UniÃ³n Papelera de MÃ©xico, S.A. de C.V.</t>
  </si>
  <si>
    <t>Battistella</t>
  </si>
  <si>
    <t>Marketing Analyst | Creditas Auto &amp; Minuto Seguros</t>
  </si>
  <si>
    <t>http://www.linkedin.com/in/fernandabatistella</t>
  </si>
  <si>
    <t>fernanda.battistella@creditas.com</t>
  </si>
  <si>
    <t>Inbound alignment Project Leader &amp; Content Marketing Strategist</t>
  </si>
  <si>
    <t>http://www.linkedin.com/in/fernandavzqz</t>
  </si>
  <si>
    <t>maria.vazquez@icorp.com.mx</t>
  </si>
  <si>
    <t>MailEnable Pty.</t>
  </si>
  <si>
    <t>Ivan</t>
  </si>
  <si>
    <t>Scally</t>
  </si>
  <si>
    <t>Product Marketing Specialist</t>
  </si>
  <si>
    <t>http://www.linkedin.com/in/ivan-scally-778690147</t>
  </si>
  <si>
    <t>ivan.scally@tiendanube.com</t>
  </si>
  <si>
    <t>Supervisor de ventas y marketing</t>
  </si>
  <si>
    <t>http://www.linkedin.com/in/cecilia-ramos-737848164</t>
  </si>
  <si>
    <t>cecilia.ramos@procomsa.com.mx</t>
  </si>
  <si>
    <t>Procomsa</t>
  </si>
  <si>
    <t>Product Marketing Analyst</t>
  </si>
  <si>
    <t>http://www.linkedin.com/in/pilardeleon</t>
  </si>
  <si>
    <t>pilar.leon@tiendanube.com</t>
  </si>
  <si>
    <t>+52 81 1161 9000</t>
  </si>
  <si>
    <t>Guzman</t>
  </si>
  <si>
    <t>Marketing Leader at PRODENSA</t>
  </si>
  <si>
    <t>http://www.linkedin.com/in/eduardoguzmancavazos</t>
  </si>
  <si>
    <t>eguzmanc@prodensa.com</t>
  </si>
  <si>
    <t>+52 55 5525 0602</t>
  </si>
  <si>
    <t>PRODENSA</t>
  </si>
  <si>
    <t>Ramirez Romero</t>
  </si>
  <si>
    <t>http://www.linkedin.com/in/eduardo-ramirez-romero</t>
  </si>
  <si>
    <t>ecommerce.manager@dogsmart.mx</t>
  </si>
  <si>
    <t>+52 55 4170 3471</t>
  </si>
  <si>
    <t>DOGSMART</t>
  </si>
  <si>
    <t>http://www.linkedin.com/in/gabyvaldesz</t>
  </si>
  <si>
    <t>gabriela.valdes@marti.com.mx</t>
  </si>
  <si>
    <t>+52 55 4160 4200</t>
  </si>
  <si>
    <t>Sport City</t>
  </si>
  <si>
    <t>carlos.gil@teikit.mx</t>
  </si>
  <si>
    <t>+55 25816190</t>
  </si>
  <si>
    <t>Teikit Sushi &amp; Noodles (MX)</t>
  </si>
  <si>
    <t>Pena</t>
  </si>
  <si>
    <t>LÃ­der de AlmacÃ©n E-commerce</t>
  </si>
  <si>
    <t>http://www.linkedin.com/in/ivan-p-7a5a3a270</t>
  </si>
  <si>
    <t>ipena@k-swiss.com.mx</t>
  </si>
  <si>
    <t>+52 1 33 3826 6976</t>
  </si>
  <si>
    <t>K-Swiss MÃ©xico</t>
  </si>
  <si>
    <t>Ariadna</t>
  </si>
  <si>
    <t>Alvarez Del Castillo</t>
  </si>
  <si>
    <t>ariadna@multiherramientas.mx</t>
  </si>
  <si>
    <t>Multiherramientas</t>
  </si>
  <si>
    <t>http://www.linkedin.com/in/liliana-jim%c3%a9nez-reyes-3ba065165</t>
  </si>
  <si>
    <t>lilianar@greenlander.com.mx</t>
  </si>
  <si>
    <t>The Original Greenlander</t>
  </si>
  <si>
    <t>http://www.linkedin.com/in/andrea-garc%c3%ada-cisneros-bb9143100</t>
  </si>
  <si>
    <t>agarcia@unila.mx</t>
  </si>
  <si>
    <t>+52 55 7590 6030</t>
  </si>
  <si>
    <t>Nogary</t>
  </si>
  <si>
    <t>http://www.linkedin.com/in/nogary-rocha-44655b125</t>
  </si>
  <si>
    <t>nogary@enlaza.mx</t>
  </si>
  <si>
    <t>+8000034721</t>
  </si>
  <si>
    <t>Enlaza Comunicaciones</t>
  </si>
  <si>
    <t>Tamar</t>
  </si>
  <si>
    <t>Guiragossian</t>
  </si>
  <si>
    <t>http://www.linkedin.com/in/tamar-guiragossian-cuca-93964a29</t>
  </si>
  <si>
    <t>tamar.guiragossian@aditivo.mx</t>
  </si>
  <si>
    <t>Aditivo</t>
  </si>
  <si>
    <t>Lagunes</t>
  </si>
  <si>
    <t>Director global de ventas y marketing</t>
  </si>
  <si>
    <t>http://www.linkedin.com/in/alexlagunes</t>
  </si>
  <si>
    <t>alex.lagunes@rtdsmexico.com</t>
  </si>
  <si>
    <t>+52 833 217 0796</t>
  </si>
  <si>
    <t>ACAN MÃ‰XICO</t>
  </si>
  <si>
    <t>Lluvia</t>
  </si>
  <si>
    <t>lluvia.quintero@folymuebles.com</t>
  </si>
  <si>
    <t>FOLY MUEBLES MATRIZ</t>
  </si>
  <si>
    <t>Paez</t>
  </si>
  <si>
    <t>Encargado Ecommerce</t>
  </si>
  <si>
    <t>http://www.linkedin.com/sales/lead/ACwAADZ1S44BMc-pQf10taXhabLq_wivw-YVrX8,NAME_SEARCH,rgmN</t>
  </si>
  <si>
    <t>jorge.paez@cristalerialaunica.com</t>
  </si>
  <si>
    <t>+1 619-690-4881</t>
  </si>
  <si>
    <t>CristalerÃ­a La Ãšnica</t>
  </si>
  <si>
    <t>Cristianne</t>
  </si>
  <si>
    <t>Jaycox</t>
  </si>
  <si>
    <t>http://www.linkedin.com/in/cristianne-jaycox-1a68a298</t>
  </si>
  <si>
    <t>cjaycox@nautica.com</t>
  </si>
  <si>
    <t>+52 449 465 8845</t>
  </si>
  <si>
    <t>Nautica</t>
  </si>
  <si>
    <t>http://www.linkedin.com/in/alejandra-l%c3%b3pez-986a5257</t>
  </si>
  <si>
    <t>alopez@chiquimundo.com.mx</t>
  </si>
  <si>
    <t>Chiqui Mundo</t>
  </si>
  <si>
    <t>Analista e-Commerce</t>
  </si>
  <si>
    <t>http://www.linkedin.com/in/uriel-duran-mkt</t>
  </si>
  <si>
    <t>uduran@ginga.com.mx</t>
  </si>
  <si>
    <t>Representante de ventas y marketing</t>
  </si>
  <si>
    <t>http://www.linkedin.com/in/paulina-hernandez-sanchez-312592148</t>
  </si>
  <si>
    <t>paulina.hernandez@sfe.com.mx</t>
  </si>
  <si>
    <t>Todos los derechos reservados</t>
  </si>
  <si>
    <t>Peres</t>
  </si>
  <si>
    <t>Gerente de Growth Marketing</t>
  </si>
  <si>
    <t>http://www.linkedin.com/in/anapaula-peres</t>
  </si>
  <si>
    <t>ana.peres@creditas.com</t>
  </si>
  <si>
    <t>+52 33 1201 5900</t>
  </si>
  <si>
    <t>http://www.linkedin.com/in/mariana-hern%c3%a1ndez-y%c3%a1%c3%b1ez-468aa721b</t>
  </si>
  <si>
    <t>mariana.hernandez@alesca.com.mx</t>
  </si>
  <si>
    <t>+52 414 273 2482</t>
  </si>
  <si>
    <t>ALESCA Productividad</t>
  </si>
  <si>
    <t>http://www.linkedin.com/in/danielanoriega</t>
  </si>
  <si>
    <t>danielanoriega@kpuchinos.com.mx</t>
  </si>
  <si>
    <t>K'puchinos Restaurante-Bar</t>
  </si>
  <si>
    <t>Dannilo</t>
  </si>
  <si>
    <t>Lins</t>
  </si>
  <si>
    <t>Social Media and Influencer Marketing Lead</t>
  </si>
  <si>
    <t>http://www.linkedin.com/in/dannilolins</t>
  </si>
  <si>
    <t>dannilo.lins@creditas.com</t>
  </si>
  <si>
    <t>+52 1 33 3144 1243</t>
  </si>
  <si>
    <t>http://www.linkedin.com/in/luis-s%c3%a1nchez-b77414130</t>
  </si>
  <si>
    <t>luis.sanchez@asiarobotica.com</t>
  </si>
  <si>
    <t>Asia RobÃ³tica</t>
  </si>
  <si>
    <t>Guilherme</t>
  </si>
  <si>
    <t>Zangali</t>
  </si>
  <si>
    <t>Product Marketing Lead</t>
  </si>
  <si>
    <t>http://www.linkedin.com/in/guilherme-zangali</t>
  </si>
  <si>
    <t>guilherme.zangali@creditas.com</t>
  </si>
  <si>
    <t>+52 55 5525 6720</t>
  </si>
  <si>
    <t>Coordinadora de Marketing y Ventas</t>
  </si>
  <si>
    <t>http://www.linkedin.com/in/audrey-bonilla-6b360694</t>
  </si>
  <si>
    <t>audrey.bonilla@inmobiliare.com</t>
  </si>
  <si>
    <t>INMOBILIARE</t>
  </si>
  <si>
    <t>http://www.linkedin.com/in/alejandro-mart%c3%adnez-38a77312b</t>
  </si>
  <si>
    <t>alejandro@cervezafinisima.com</t>
  </si>
  <si>
    <t>+47 33 37 89 01</t>
  </si>
  <si>
    <t>Bebidas Primordiales</t>
  </si>
  <si>
    <t>http://www.linkedin.com/in/maria-jose-cruz</t>
  </si>
  <si>
    <t>majose.cruz@openpyme.mx</t>
  </si>
  <si>
    <t>OpenPyme</t>
  </si>
  <si>
    <t>E-Commerce Specialist Partner</t>
  </si>
  <si>
    <t>http://www.linkedin.com/in/mauricioguzmansantiago</t>
  </si>
  <si>
    <t>mauricio.guzman@tiendanube.com</t>
  </si>
  <si>
    <t>http://www.linkedin.com/in/fidel-gonz%c3%a1lez-77b38528</t>
  </si>
  <si>
    <t>fidelgonzalez@cloe.com.mx</t>
  </si>
  <si>
    <t>+52 55 5751 8292</t>
  </si>
  <si>
    <t>CLOE</t>
  </si>
  <si>
    <t>http://www.linkedin.com/in/oscar-d-castro-y</t>
  </si>
  <si>
    <t>oscar.castro@pefsa.com.mx</t>
  </si>
  <si>
    <t>+52 614 239 9678</t>
  </si>
  <si>
    <t>PEFSA</t>
  </si>
  <si>
    <t>Terrazas</t>
  </si>
  <si>
    <t>Marketing &amp; Growth Strategist</t>
  </si>
  <si>
    <t>http://www.linkedin.com/in/omarterrazasgomez</t>
  </si>
  <si>
    <t>omar@gauzz.com.mx</t>
  </si>
  <si>
    <t>+52 80022333646</t>
  </si>
  <si>
    <t>Gauzz</t>
  </si>
  <si>
    <t>Bernal</t>
  </si>
  <si>
    <t>Encargado de Marketing</t>
  </si>
  <si>
    <t>http://www.linkedin.com/in/israel-bernal-189341162</t>
  </si>
  <si>
    <t>israel.bernal@caffenio.com</t>
  </si>
  <si>
    <t>Caffenio</t>
  </si>
  <si>
    <t>Monroy</t>
  </si>
  <si>
    <t>Customer and Shopper Marketing</t>
  </si>
  <si>
    <t>http://www.linkedin.com/in/armando-monroy</t>
  </si>
  <si>
    <t>armando.monroy@thermomix.mx</t>
  </si>
  <si>
    <t>Formenti</t>
  </si>
  <si>
    <t>e commerce</t>
  </si>
  <si>
    <t>http://www.linkedin.com/in/maria-rgarcia-formenti-rivero-a5372a34</t>
  </si>
  <si>
    <t>mgarciaformenti@alibio.com.mx</t>
  </si>
  <si>
    <t>+52 443 233 0303</t>
  </si>
  <si>
    <t>AliBio</t>
  </si>
  <si>
    <t>http://www.linkedin.com/in/adriana-l%c3%b3pez-a12410157</t>
  </si>
  <si>
    <t>adriana.lopez@hagalo.com.mx</t>
  </si>
  <si>
    <t>HÃ¡galo</t>
  </si>
  <si>
    <t>Carvic</t>
  </si>
  <si>
    <t>auxilar de diseÃ±o y marketing</t>
  </si>
  <si>
    <t>http://www.linkedin.com/in/carvic-artaban-oliver-hern%c3%a1ndez-63488a1bb</t>
  </si>
  <si>
    <t>c.hernandez@microimport.mx</t>
  </si>
  <si>
    <t>+52 55 1209 2088</t>
  </si>
  <si>
    <t>MICROIMPORT</t>
  </si>
  <si>
    <t>Netzer</t>
  </si>
  <si>
    <t>Urrea</t>
  </si>
  <si>
    <t>E commerce Marketplaces</t>
  </si>
  <si>
    <t>http://www.linkedin.com/in/netzerurrea</t>
  </si>
  <si>
    <t>netzeru@greenlander.com.mx</t>
  </si>
  <si>
    <t>+52 55 5014 9007</t>
  </si>
  <si>
    <t>Espejel</t>
  </si>
  <si>
    <t>http://www.linkedin.com/in/israel-sanchez-espejel</t>
  </si>
  <si>
    <t>isanchez@amedweb.com</t>
  </si>
  <si>
    <t>+52 443 514 8279</t>
  </si>
  <si>
    <t>AMEDWEB</t>
  </si>
  <si>
    <t>Grisel</t>
  </si>
  <si>
    <t>Vieyra</t>
  </si>
  <si>
    <t>Ecommerce y Marketplace Executive</t>
  </si>
  <si>
    <t>http://www.linkedin.com/in/grisel-vieyra-coronado-651441238</t>
  </si>
  <si>
    <t>grisel.coronado@hundsport.mx</t>
  </si>
  <si>
    <t>+52 55 8548 0721</t>
  </si>
  <si>
    <t>HUNDSPORT</t>
  </si>
  <si>
    <t>+52 55 1272 1111</t>
  </si>
  <si>
    <t>+52 55 5513 1092</t>
  </si>
  <si>
    <t>http://www.linkedin.com/in/angel-josue-garc%c3%ada-y%c3%a1%c3%b1ez-203533222</t>
  </si>
  <si>
    <t>angel.g@totalspatub.com.mx</t>
  </si>
  <si>
    <t>+52 1 55 5416 1425</t>
  </si>
  <si>
    <t>Total Spa - Tinas y BaÃ±eras</t>
  </si>
  <si>
    <t>gzavala@k-swiss.com.mx</t>
  </si>
  <si>
    <t>Perea</t>
  </si>
  <si>
    <t>http://www.linkedin.com/in/brayan-perea-41a4711b1</t>
  </si>
  <si>
    <t>brayan.perea@ideenstores.com</t>
  </si>
  <si>
    <t>+54 9 11 7135-5164</t>
  </si>
  <si>
    <t>Ideen Stores http://es.shopify.com</t>
  </si>
  <si>
    <t>SEO Specialist - Growth Marketing</t>
  </si>
  <si>
    <t>http://www.linkedin.com/in/javier-felix-castaneda-seo</t>
  </si>
  <si>
    <t>javier.felix@tiendanube.com</t>
  </si>
  <si>
    <t>http://www.linkedin.com/in/maria-fernanda-vargas-358243190</t>
  </si>
  <si>
    <t>maria@panbenell.com</t>
  </si>
  <si>
    <t>+52 999 135 0633</t>
  </si>
  <si>
    <t>Pan Benell</t>
  </si>
  <si>
    <t>Cazalis</t>
  </si>
  <si>
    <t>Coordinadora de Trade Marketing</t>
  </si>
  <si>
    <t>http://www.linkedin.com/in/melissa-cazalis-a616811ba</t>
  </si>
  <si>
    <t>m.cazalis@mayasolar.mx</t>
  </si>
  <si>
    <t>+52 477 393 1270</t>
  </si>
  <si>
    <t>Maya Solar</t>
  </si>
  <si>
    <t>http://www.linkedin.com/in/mariana-cruz-ruvalcaba-4a830696</t>
  </si>
  <si>
    <t>mariana.ruvalcaba@sabatter.com</t>
  </si>
  <si>
    <t>+52 81 8158 1500</t>
  </si>
  <si>
    <t>SABATTER</t>
  </si>
  <si>
    <t>http://www.linkedin.com/in/diana-garc%c3%ada-rodr%c3%adguez-a11a78b4</t>
  </si>
  <si>
    <t>dgarcia@adosa.com.mx</t>
  </si>
  <si>
    <t>+52 744 330 9598</t>
  </si>
  <si>
    <t>Abastecedora de Oficinas, SA de CV</t>
  </si>
  <si>
    <t>Directora de Marketing y Operaciones</t>
  </si>
  <si>
    <t>http://www.linkedin.com/in/pamela-colin-7a754163</t>
  </si>
  <si>
    <t>pamela.colin@ideenstores.com</t>
  </si>
  <si>
    <t>Citlalli</t>
  </si>
  <si>
    <t>http://www.linkedin.com/in/citquin</t>
  </si>
  <si>
    <t>citlalliq@cloe.com.mx</t>
  </si>
  <si>
    <t>+52 617 868 2000</t>
  </si>
  <si>
    <t>http://www.linkedin.com/in/ruben-vargas-89b23125</t>
  </si>
  <si>
    <t>553-733-2706</t>
  </si>
  <si>
    <t>Van Hasselt Torre</t>
  </si>
  <si>
    <t>Marketing Leader</t>
  </si>
  <si>
    <t>vivian.vanhasselt@thebespokeclub.mx</t>
  </si>
  <si>
    <t>+1 919-942-0967</t>
  </si>
  <si>
    <t>The Bespoke Club (MX)</t>
  </si>
  <si>
    <t>Mendoza AlcÃ¡ntara</t>
  </si>
  <si>
    <t>fmendoza@landsteiner.com</t>
  </si>
  <si>
    <t>557-909-8309</t>
  </si>
  <si>
    <t>Ecommerce analysis</t>
  </si>
  <si>
    <t>servicioalcliente@ambient21.com</t>
  </si>
  <si>
    <t>+52 656 611 0690</t>
  </si>
  <si>
    <t>Ambient21</t>
  </si>
  <si>
    <t>http://www.linkedin.com/in/adriana-l-a12410157</t>
  </si>
  <si>
    <t>Hagalo</t>
  </si>
  <si>
    <t>http://www.linkedin.com/in/brendahdz</t>
  </si>
  <si>
    <t>bhernandez@prodensa.com</t>
  </si>
  <si>
    <t>Melisa</t>
  </si>
  <si>
    <t>SuÃ¡rez Llorente</t>
  </si>
  <si>
    <t>http://www.linkedin.com/in/melisa-su%c3%a1rez-llorente-2189a56b</t>
  </si>
  <si>
    <t>melisasuarez@alibio.com.mx</t>
  </si>
  <si>
    <t>+52 1 667 758 8500</t>
  </si>
  <si>
    <t>http://www.linkedin.com/in/jcarlosfuentes-mercad%c3%b3logo</t>
  </si>
  <si>
    <t>juan@desego.com</t>
  </si>
  <si>
    <t>DESEGO</t>
  </si>
  <si>
    <t>http://www.linkedin.com/in/gonzalo-ruiz-19463615</t>
  </si>
  <si>
    <t>gonzalo.ruiz@tiendanube.com</t>
  </si>
  <si>
    <t>+52 998 364 2843</t>
  </si>
  <si>
    <t>http://www.linkedin.com/in/marco-antonio-duran-garc%c3%ada-678190125</t>
  </si>
  <si>
    <t>DiagnÃ³stica Internacional</t>
  </si>
  <si>
    <t>+52 33 2469 5931</t>
  </si>
  <si>
    <t>Dante</t>
  </si>
  <si>
    <t>Chavoya</t>
  </si>
  <si>
    <t>Marketing Manager and Co-founder</t>
  </si>
  <si>
    <t>http://www.linkedin.com/in/dante-chavoya-bravo-08638047</t>
  </si>
  <si>
    <t>dantechavoya@gmail.com</t>
  </si>
  <si>
    <t>IGNUS</t>
  </si>
  <si>
    <t>Fonseca</t>
  </si>
  <si>
    <t>afonseca@ginga.com.mx</t>
  </si>
  <si>
    <t>+52 55 1083 7320</t>
  </si>
  <si>
    <t>OrduÃ±a</t>
  </si>
  <si>
    <t>lorduna@ginga.com.mx</t>
  </si>
  <si>
    <t>+52 667 251 5629</t>
  </si>
  <si>
    <t>554-865-7775</t>
  </si>
  <si>
    <t>Directora de Marketing</t>
  </si>
  <si>
    <t>http://www.linkedin.com/in/ideen-stores-094681207</t>
  </si>
  <si>
    <t>red.ideen@ideenstores.com</t>
  </si>
  <si>
    <t>Coronado</t>
  </si>
  <si>
    <t>Channel Marketing Specialist</t>
  </si>
  <si>
    <t>http://www.linkedin.com/in/jonathan-coronado-comunicaci%c3%b3n</t>
  </si>
  <si>
    <t>jonathan.coronado@tiendanube.com</t>
  </si>
  <si>
    <t>+52 52785900</t>
  </si>
  <si>
    <t>Borda</t>
  </si>
  <si>
    <t>http://www.linkedin.com/in/juan-david-guti%c3%a9rrez-31a212171</t>
  </si>
  <si>
    <t>jgutierrezg@pochteca.net</t>
  </si>
  <si>
    <t>+52 55 9138 5000</t>
  </si>
  <si>
    <t>Pochteca</t>
  </si>
  <si>
    <t>Salomon</t>
  </si>
  <si>
    <t>Dabbah</t>
  </si>
  <si>
    <t>http://www.linkedin.com/in/salomon-dabbah-beracha-95b147108</t>
  </si>
  <si>
    <t>salo@kissint.com</t>
  </si>
  <si>
    <t>+52 962 620 1470</t>
  </si>
  <si>
    <t>Kiss Internacional</t>
  </si>
  <si>
    <t>http://www.linkedin.com/in/alexis-guti%c3%a9rrez-rodr%c3%adguez-a62485256</t>
  </si>
  <si>
    <t>alexis.gutierrez@cafesca.com</t>
  </si>
  <si>
    <t>+52 55 5655 5505</t>
  </si>
  <si>
    <t>CAFESCA - CafÃ©s de Especialidad de Chiapas SAPI de CV</t>
  </si>
  <si>
    <t>http://www.linkedin.com/in/alejandro-aguilar-405822176</t>
  </si>
  <si>
    <t>alejandro@audioacustica.com.mx</t>
  </si>
  <si>
    <t>Audio AcÃºstica y ElectrÃ³nica, S.A. de C.V.</t>
  </si>
  <si>
    <t>Ejecutiva Ecommerce</t>
  </si>
  <si>
    <t>http://www.linkedin.com/in/berenice-segura-a57028215</t>
  </si>
  <si>
    <t>berenice.segura@wecareproducts.com.mx</t>
  </si>
  <si>
    <t>Aviso de Privacidad</t>
  </si>
  <si>
    <t>Bernot</t>
  </si>
  <si>
    <t>Gerente de Marketing y Ventas Jr</t>
  </si>
  <si>
    <t>http://www.linkedin.com/in/andrea-bernot-29a2a4173</t>
  </si>
  <si>
    <t>andrea@edenaskin.com</t>
  </si>
  <si>
    <t>+52 442 294 5857</t>
  </si>
  <si>
    <t>Edena Skin Essentials</t>
  </si>
  <si>
    <t>Abril</t>
  </si>
  <si>
    <t>Directora de marketing y comunicaciÃ³n</t>
  </si>
  <si>
    <t>http://www.linkedin.com/in/abril-su%c3%a1rez-romero-0a8518123</t>
  </si>
  <si>
    <t>aromero@crmexico.mx</t>
  </si>
  <si>
    <t>CR Mexico</t>
  </si>
  <si>
    <t>Strategic Marketing Analyst</t>
  </si>
  <si>
    <t>http://www.linkedin.com/in/miguel-angel-cort%c3%a9s-toledo-1a01a8245</t>
  </si>
  <si>
    <t>miguel.cortes@procomsa.com.mx</t>
  </si>
  <si>
    <t>+52 800 890 7242</t>
  </si>
  <si>
    <t>Analista de Marketing</t>
  </si>
  <si>
    <t>http://www.linkedin.com/in/regina-de-la-torre-arias-ab730726a</t>
  </si>
  <si>
    <t>regina.arias@icorp.com.mx</t>
  </si>
  <si>
    <t>562-370-9878</t>
  </si>
  <si>
    <t>http://www.linkedin.com/in/angelcortesespinosa</t>
  </si>
  <si>
    <t>angel.cortes@pefsa.com.mx</t>
  </si>
  <si>
    <t>http://www.linkedin.com/in/carlos-lopez-segarra</t>
  </si>
  <si>
    <t>carloss@pilgrims.com.mx</t>
  </si>
  <si>
    <t>PilgrimÂ´s Food Service</t>
  </si>
  <si>
    <t>http://www.linkedin.com/in/viridiana-hern%c3%a1ndez-1a5a7a40</t>
  </si>
  <si>
    <t>viridiana.hdezco@gmail.com</t>
  </si>
  <si>
    <t>+52 1 33 3386 2421</t>
  </si>
  <si>
    <t>Dimas</t>
  </si>
  <si>
    <t>auxiliarventas4@belfortbikes.com</t>
  </si>
  <si>
    <t>Belfort Bikes</t>
  </si>
  <si>
    <t>Valverde</t>
  </si>
  <si>
    <t>http://www.linkedin.com/in/vanessa-valverde-6a233a24</t>
  </si>
  <si>
    <t>vanessa.valverde@creditas.com</t>
  </si>
  <si>
    <t>+52 33 3576 6625</t>
  </si>
  <si>
    <t>Director comercial y de marketing</t>
  </si>
  <si>
    <t>http://www.linkedin.com/in/luis-manuel-avalos-g%c3%b3mez-53b3781a2</t>
  </si>
  <si>
    <t>luis@xadesmx.com</t>
  </si>
  <si>
    <t>XADES</t>
  </si>
  <si>
    <t>Croquetero</t>
  </si>
  <si>
    <t>contacto@croquetero.com</t>
  </si>
  <si>
    <t>Aurora</t>
  </si>
  <si>
    <t>http://www.linkedin.com/in/auroramoralesv77</t>
  </si>
  <si>
    <t>aurora.morales@ecnautomation.com</t>
  </si>
  <si>
    <t>Patterson</t>
  </si>
  <si>
    <t>Senior Director of Special Sales and E-Commerce</t>
  </si>
  <si>
    <t>http://www.linkedin.com/in/francesca-patterson-27676042</t>
  </si>
  <si>
    <t>fpatterson@nautica.com</t>
  </si>
  <si>
    <t>Alduenda</t>
  </si>
  <si>
    <t>http://www.linkedin.com/in/adolfoalduenda</t>
  </si>
  <si>
    <t>adolfo.alduenda@caffenio.com</t>
  </si>
  <si>
    <t>+52 55 5333 1200</t>
  </si>
  <si>
    <t>Jefe de Marketing E-commerce</t>
  </si>
  <si>
    <t>http://www.linkedin.com/in/albertomunozhuerta</t>
  </si>
  <si>
    <t>lmunoz@unifoods.com.mx</t>
  </si>
  <si>
    <t>Unifoods, S.A. de C.V.</t>
  </si>
  <si>
    <t>Carlos A.</t>
  </si>
  <si>
    <t>Cano GarcÃ­a</t>
  </si>
  <si>
    <t>ccano@landsteiner.com</t>
  </si>
  <si>
    <t>http://www.linkedin.com/in/sylvia-fuentes-cortes-3a5487113</t>
  </si>
  <si>
    <t>sfuentes@valsa.mx</t>
  </si>
  <si>
    <t>Valsa MX-Valores Alimenticios</t>
  </si>
  <si>
    <t>Asesor E-commerce</t>
  </si>
  <si>
    <t>http://www.linkedin.com/in/antonio-noriega-nieblas-0b7181170</t>
  </si>
  <si>
    <t>antonio.noriega@caffenio.com</t>
  </si>
  <si>
    <t>Denis</t>
  </si>
  <si>
    <t>Domain Owner - Payments &amp; Marketing at Tiendanube</t>
  </si>
  <si>
    <t>http://www.linkedin.com/in/denis-serrano-a1753061</t>
  </si>
  <si>
    <t>denis.serrano@tiendanube.com</t>
  </si>
  <si>
    <t>Marketing and Sales Manager</t>
  </si>
  <si>
    <t>http://www.linkedin.com/in/karina-barrera-279580207</t>
  </si>
  <si>
    <t>karina@promty.com.mx</t>
  </si>
  <si>
    <t>ProMty</t>
  </si>
  <si>
    <t>Yamil</t>
  </si>
  <si>
    <t>Jefe de E-commerce</t>
  </si>
  <si>
    <t>http://www.linkedin.com/in/octavio-yamil-238569201</t>
  </si>
  <si>
    <t>oyamil@farmaciasroma.com</t>
  </si>
  <si>
    <t>FARMACIAS ROMA</t>
  </si>
  <si>
    <t>http://www.linkedin.com/in/alexalvarezm</t>
  </si>
  <si>
    <t>alejandro.alvarez@engeniumcapital.com</t>
  </si>
  <si>
    <t>Vielka</t>
  </si>
  <si>
    <t>Varela</t>
  </si>
  <si>
    <t>Coordinador de marketing y publicidad</t>
  </si>
  <si>
    <t>http://www.linkedin.com/in/vielka-selene-varela-armenta-3a968376</t>
  </si>
  <si>
    <t>vielka.varela@prodigia.com.mx</t>
  </si>
  <si>
    <t>+297 740 2970</t>
  </si>
  <si>
    <t>Prodigia FacturaciÃ³n</t>
  </si>
  <si>
    <t>http://www.linkedin.com/in/nadia-alvarez-carrasco</t>
  </si>
  <si>
    <t>nadia.alvarez@tiendanube.com</t>
  </si>
  <si>
    <t>http://www.linkedin.com/in/samantha-bautista-69776142</t>
  </si>
  <si>
    <t>sbautista@universodefragancias.com.mx</t>
  </si>
  <si>
    <t>Universo de Fragancias</t>
  </si>
  <si>
    <t>+52 55 2122 4390</t>
  </si>
  <si>
    <t>Saracho</t>
  </si>
  <si>
    <t>Chief of Marketing and Communication</t>
  </si>
  <si>
    <t>http://www.linkedin.com/in/caro-saracho</t>
  </si>
  <si>
    <t>caro@co-madre.com</t>
  </si>
  <si>
    <t>Co-Madre</t>
  </si>
  <si>
    <t>Support GurÃº - Marketing Specialist</t>
  </si>
  <si>
    <t>http://www.linkedin.com/in/lucasferh</t>
  </si>
  <si>
    <t>lucas.fernandez@tiendanube.com</t>
  </si>
  <si>
    <t>+52 33 2303 3706</t>
  </si>
  <si>
    <t>Rubi</t>
  </si>
  <si>
    <t>http://www.linkedin.com/in/rubi-ugalde-1372b1119</t>
  </si>
  <si>
    <t>rubi.ugalde@nctech.com.mx</t>
  </si>
  <si>
    <t>NC Tech</t>
  </si>
  <si>
    <t>Leandro</t>
  </si>
  <si>
    <t>Product Marketing - Insurance</t>
  </si>
  <si>
    <t>http://www.linkedin.com/in/leandrocorrea</t>
  </si>
  <si>
    <t>leandro.correa@creditas.com</t>
  </si>
  <si>
    <t>+52 970 506 8000</t>
  </si>
  <si>
    <t>Senior Marketing, R&amp;D innovaciÃ³n, estrategia de precios.</t>
  </si>
  <si>
    <t>http://www.linkedin.com/in/edgar-ram%c3%adrez-calvo-5980bb37</t>
  </si>
  <si>
    <t>edgarc@pilgrims.com.mx</t>
  </si>
  <si>
    <t>Fairstein</t>
  </si>
  <si>
    <t>Head of Growth Marketing</t>
  </si>
  <si>
    <t>http://www.linkedin.com/in/juanfairstein</t>
  </si>
  <si>
    <t>juan.fairstein@tiendanube.com</t>
  </si>
  <si>
    <t>+52 999 142 8413</t>
  </si>
  <si>
    <t>http://www.linkedin.com/in/moises-salazar-3b502b1a0</t>
  </si>
  <si>
    <t>moises.salazar@porcelanite.com.mx</t>
  </si>
  <si>
    <t>Porcelanite</t>
  </si>
  <si>
    <t>Lauria</t>
  </si>
  <si>
    <t>Vicepresidente Marketing, PromociÃ³n &amp; Eventos</t>
  </si>
  <si>
    <t>http://www.linkedin.com/in/paulo-lauria-22871285</t>
  </si>
  <si>
    <t>plauria@coparmexcdmx.org.mx</t>
  </si>
  <si>
    <t>COPARMEX Ciudad de MÃ©xico</t>
  </si>
  <si>
    <t>Rangel</t>
  </si>
  <si>
    <t>Marketing &amp; E commerce</t>
  </si>
  <si>
    <t>http://www.linkedin.com/in/anaisa-rangel88</t>
  </si>
  <si>
    <t>arangel@valsa.mx</t>
  </si>
  <si>
    <t>Axel</t>
  </si>
  <si>
    <t>Strategic Marketing Analyst II</t>
  </si>
  <si>
    <t>http://www.linkedin.com/in/axelsmarin</t>
  </si>
  <si>
    <t>mariana.santacruz@creditas.com</t>
  </si>
  <si>
    <t>LÃ­der de Marketing Digital</t>
  </si>
  <si>
    <t>http://www.linkedin.com/in/cinthya-alejandra-rodr%c3%adguez-olvera-93523874</t>
  </si>
  <si>
    <t>cinthya.rodriguez@engen.com.mx</t>
  </si>
  <si>
    <t>Nathaly</t>
  </si>
  <si>
    <t>Collantes</t>
  </si>
  <si>
    <t>Specialiste eCommerce</t>
  </si>
  <si>
    <t>http://www.linkedin.com/in/nathaly-perez-collantes-227257234</t>
  </si>
  <si>
    <t>nperez@cristalerialaunica.com.mx</t>
  </si>
  <si>
    <t>+52 55 5420 0500</t>
  </si>
  <si>
    <t>Zamacona</t>
  </si>
  <si>
    <t>http://www.linkedin.com/in/karla-z-b2170461</t>
  </si>
  <si>
    <t>kzamacona@ginga.com.mx</t>
  </si>
  <si>
    <t>+52 81 2558 9799</t>
  </si>
  <si>
    <t>Silvana</t>
  </si>
  <si>
    <t>Velazquez</t>
  </si>
  <si>
    <t>contacto@ahal.mx</t>
  </si>
  <si>
    <t>+52 33 3624 3886</t>
  </si>
  <si>
    <t>Ahal Bio CosmÃ©tica</t>
  </si>
  <si>
    <t>marketing@nix.com.mx</t>
  </si>
  <si>
    <t>+52 1 624 124 0196</t>
  </si>
  <si>
    <t>Onix Pinkshop</t>
  </si>
  <si>
    <t>Madrigal</t>
  </si>
  <si>
    <t>Marketing &amp; Sales</t>
  </si>
  <si>
    <t>http://www.linkedin.com/in/pamela-madrigal-94518546</t>
  </si>
  <si>
    <t>pmadrigal@cafesca.com</t>
  </si>
  <si>
    <t>Tamayo</t>
  </si>
  <si>
    <t>http://www.linkedin.com/in/mar%c3%ada-fernanda-tamayo-soto-300900227</t>
  </si>
  <si>
    <t>maria.tamayo@tocklock.com.mx</t>
  </si>
  <si>
    <t>Tock Lock</t>
  </si>
  <si>
    <t>Heather</t>
  </si>
  <si>
    <t>Schmidt</t>
  </si>
  <si>
    <t>Senior Merchandise Planner, E-commerce &amp; Omnichannel</t>
  </si>
  <si>
    <t>http://www.linkedin.com/in/heather-a-schmidt-3b91829</t>
  </si>
  <si>
    <t>hschmidt@nautica.com</t>
  </si>
  <si>
    <t>Francesco</t>
  </si>
  <si>
    <t>Zanolla</t>
  </si>
  <si>
    <t>Sales And Marketing Director</t>
  </si>
  <si>
    <t>http://www.linkedin.com/in/francesco-zanolla-84038953</t>
  </si>
  <si>
    <t>francesco.zanolla@gaia-glutenfree.com</t>
  </si>
  <si>
    <t>GAIA SPA</t>
  </si>
  <si>
    <t>+52 55 5611 3936</t>
  </si>
  <si>
    <t>Abraham</t>
  </si>
  <si>
    <t>Coordinador de Marketing &amp; Ecommerce</t>
  </si>
  <si>
    <t>http://www.linkedin.com/in/abraham-salazar-88763a1b7</t>
  </si>
  <si>
    <t>abraham.salazar@grandhome.com.mx</t>
  </si>
  <si>
    <t>+52 33 3578 1276</t>
  </si>
  <si>
    <t>Grand Home MueblerÃ­as</t>
  </si>
  <si>
    <t>+52 55 1727 7255</t>
  </si>
  <si>
    <t>Nacho</t>
  </si>
  <si>
    <t>nacho@mrchillo.com</t>
  </si>
  <si>
    <t>331-786-1582</t>
  </si>
  <si>
    <t>Mrchillo</t>
  </si>
  <si>
    <t>Director Of Sales Marketing of Global Talent Interships</t>
  </si>
  <si>
    <t>0234149@up.edu.mx</t>
  </si>
  <si>
    <t>+52 444 190 4155</t>
  </si>
  <si>
    <t>Universidad Panamericana</t>
  </si>
  <si>
    <t>Mafer</t>
  </si>
  <si>
    <t>Garnica</t>
  </si>
  <si>
    <t>Marketing Campaign Manager</t>
  </si>
  <si>
    <t>http://www.linkedin.com/in/mafer-garnica-2b4642a1</t>
  </si>
  <si>
    <t>maferg@adivor.com</t>
  </si>
  <si>
    <t>+52 33 1052 1991</t>
  </si>
  <si>
    <t>Adivor</t>
  </si>
  <si>
    <t>Marketing communication manager</t>
  </si>
  <si>
    <t>http://www.linkedin.com/in/ana-paula-valencia-497434125</t>
  </si>
  <si>
    <t>ana.valencia@do-business.com.mx</t>
  </si>
  <si>
    <t>Do-Business MKT Intel</t>
  </si>
  <si>
    <t>Gerente Marketing y Publicidad</t>
  </si>
  <si>
    <t>http://www.linkedin.com/in/olga-torres-42643521b</t>
  </si>
  <si>
    <t>olga.torres@hagalo.com.mx</t>
  </si>
  <si>
    <t>Mireya</t>
  </si>
  <si>
    <t>Copywriter - Inbound Marketing</t>
  </si>
  <si>
    <t>http://www.linkedin.com/in/mireya-pablo-rodr%c3%adguez-5b72146b</t>
  </si>
  <si>
    <t>mireya.pablo@tiendanube.com</t>
  </si>
  <si>
    <t>Mazzi</t>
  </si>
  <si>
    <t>People Partner (Commercial, Finance, Marketing, Support, Pago Nube)</t>
  </si>
  <si>
    <t>http://www.linkedin.com/in/micaela-mazzi-converso-b30733117</t>
  </si>
  <si>
    <t>micaela.mazziconverso@tiendanube.com</t>
  </si>
  <si>
    <t>+52 1 55 7407 1910</t>
  </si>
  <si>
    <t>http://www.linkedin.com/in/rodrigo-avila-calero-866440aa</t>
  </si>
  <si>
    <t>ravila@dontworry.com.mx</t>
  </si>
  <si>
    <t>dontworry</t>
  </si>
  <si>
    <t>http://www.linkedin.com/in/mar%c3%ada-del-carmen-osnaya-nava-b151b9195</t>
  </si>
  <si>
    <t>marian@pilgrims.com.mx</t>
  </si>
  <si>
    <t>Content Marketing Coordinator MÃ©xico and Colombia</t>
  </si>
  <si>
    <t>http://www.linkedin.com/in/karlareygo</t>
  </si>
  <si>
    <t>karla.reyes@tiendanube.com</t>
  </si>
  <si>
    <t>Especialista E-commerce</t>
  </si>
  <si>
    <t>http://www.linkedin.com/in/martha-gabriela-reynoso-alvarez-26b696178</t>
  </si>
  <si>
    <t>ecommerce@dental.com.mx</t>
  </si>
  <si>
    <t>Marketing and Communications Coordinator</t>
  </si>
  <si>
    <t>http://www.linkedin.com/in/andrea-nunezrob</t>
  </si>
  <si>
    <t>anunez@prodensa.com</t>
  </si>
  <si>
    <t>+52 669 933 1481</t>
  </si>
  <si>
    <t>Genesis</t>
  </si>
  <si>
    <t>Auxiliar de marketing</t>
  </si>
  <si>
    <t>http://www.linkedin.com/in/g%c3%a9nesis-jim%c3%a9nez-16956a149</t>
  </si>
  <si>
    <t>gjimenez@venados.com</t>
  </si>
  <si>
    <t>Venados de MazatlÃ¡n</t>
  </si>
  <si>
    <t>Sulkin</t>
  </si>
  <si>
    <t>http://www.linkedin.com/in/moises-sulkin-264a7a130</t>
  </si>
  <si>
    <t>msulkin@k-swiss.com.mx</t>
  </si>
  <si>
    <t>e-commerce</t>
  </si>
  <si>
    <t>santiago@xadesmx.com</t>
  </si>
  <si>
    <t>Irsa</t>
  </si>
  <si>
    <t>Channel Marketing Specialist: Influencers MX</t>
  </si>
  <si>
    <t>http://www.linkedin.com/in/irsa-guerra-2257b0125</t>
  </si>
  <si>
    <t>irsa.guerra@tiendanube.com</t>
  </si>
  <si>
    <t>+52 55 4737 0133</t>
  </si>
  <si>
    <t>Directora de Operaciones, EducaciÃ³n y Marketing</t>
  </si>
  <si>
    <t>http://www.linkedin.com/in/fabiolasanchezespinosa</t>
  </si>
  <si>
    <t>fabiola@silviagalvan.com</t>
  </si>
  <si>
    <t>Silvia GalvÃ¡n Image Studio</t>
  </si>
  <si>
    <t>Thiago</t>
  </si>
  <si>
    <t>Bortoletto</t>
  </si>
  <si>
    <t>Growth Marketing Master</t>
  </si>
  <si>
    <t>http://www.linkedin.com/in/tvbortoletto</t>
  </si>
  <si>
    <t>thiago.bortoletto@creditas.com</t>
  </si>
  <si>
    <t>Jauregui</t>
  </si>
  <si>
    <t>Auxiliar Ecommerce</t>
  </si>
  <si>
    <t>http://www.linkedin.com/in/luis-alexis-lujano-jauregui-695377203</t>
  </si>
  <si>
    <t>luis.jauregui@cristalerialaunica.com</t>
  </si>
  <si>
    <t>Yaztziri</t>
  </si>
  <si>
    <t>Analista Sr Ecommerce</t>
  </si>
  <si>
    <t>http://www.linkedin.com/in/yatziri-velazquez-82b2aa19a</t>
  </si>
  <si>
    <t>yvelazquez@ginga.com.mx</t>
  </si>
  <si>
    <t>Especialista en marketing Regional</t>
  </si>
  <si>
    <t>http://www.linkedin.com/in/raquel-jaquelina-estrada-carmona-8b1436144</t>
  </si>
  <si>
    <t>raquel.estrada@caffenio.com</t>
  </si>
  <si>
    <t>CAFFENIO</t>
  </si>
  <si>
    <t>Ignacio</t>
  </si>
  <si>
    <t>Affiliates Marketing Specialist</t>
  </si>
  <si>
    <t>http://www.linkedin.com/in/juan-ignacio-guido-66860970</t>
  </si>
  <si>
    <t>juan.guido@tiendanube.com</t>
  </si>
  <si>
    <t>+52 55 5578 0141</t>
  </si>
  <si>
    <t>Aleli</t>
  </si>
  <si>
    <t>http://www.linkedin.com/in/nale-ru%c3%adz-salazar93</t>
  </si>
  <si>
    <t>aleli.s@totalspatub.com.mx</t>
  </si>
  <si>
    <t>Saldivar</t>
  </si>
  <si>
    <t>Gerente de marketing y desarrollo de soluciones</t>
  </si>
  <si>
    <t>http://www.linkedin.com/in/gabriela-sald%c3%advar-8a539115</t>
  </si>
  <si>
    <t>gabriela.saldivar@ecnautomation.com</t>
  </si>
  <si>
    <t>Nairoby</t>
  </si>
  <si>
    <t>http://www.linkedin.com/in/olganairobysaucedo</t>
  </si>
  <si>
    <t>olga.saucedo@mpower.com.mx</t>
  </si>
  <si>
    <t>Tracy</t>
  </si>
  <si>
    <t>eCommerce Specialist</t>
  </si>
  <si>
    <t>http://www.linkedin.com/in/tracy-garc%c3%ada-g-16819a125</t>
  </si>
  <si>
    <t>tracy.garcia@tiendanube.com</t>
  </si>
  <si>
    <t>+52 81 8401 4015</t>
  </si>
  <si>
    <t>Becario de marketing</t>
  </si>
  <si>
    <t>http://www.linkedin.com/in/andrea-liliana-zu%c3%b1iga-castro-2888b51bb</t>
  </si>
  <si>
    <t>andrea.castro@gericare.com.mx</t>
  </si>
  <si>
    <t>Gericare, Vida a los aÃ±os.</t>
  </si>
  <si>
    <t>Zyanya</t>
  </si>
  <si>
    <t>Advisor Marketing Manager</t>
  </si>
  <si>
    <t>http://www.linkedin.com/in/zyanya-bonilla-406b04151</t>
  </si>
  <si>
    <t>zyanya.bonilla@thermomix.mx</t>
  </si>
  <si>
    <t>Gastelum</t>
  </si>
  <si>
    <t>http://www.linkedin.com/in/xime-gastelum</t>
  </si>
  <si>
    <t>ximena.gastelum@icorp.com.mx</t>
  </si>
  <si>
    <t>Abigail</t>
  </si>
  <si>
    <t>Sepulveda</t>
  </si>
  <si>
    <t>http://www.linkedin.com/in/abigail-sep%c3%balveda-bustamante-9a8573109</t>
  </si>
  <si>
    <t>asepulveda@chata.com.mx</t>
  </si>
  <si>
    <t>+1 516-294-8860</t>
  </si>
  <si>
    <t>Productos Chata SA de CV</t>
  </si>
  <si>
    <t>Escoto</t>
  </si>
  <si>
    <t>http://www.linkedin.com/in/paola-escoto-5a970762</t>
  </si>
  <si>
    <t>paola@zeraus.com.mx</t>
  </si>
  <si>
    <t>Zeraus IluminaciÃ³n: El poder de la Luz.</t>
  </si>
  <si>
    <t>http://www.linkedin.com/in/manuel-iturralde</t>
  </si>
  <si>
    <t>miturralde@crmexico.mx</t>
  </si>
  <si>
    <t>Vanesa</t>
  </si>
  <si>
    <t>Marketing digital</t>
  </si>
  <si>
    <t>http://www.linkedin.com/in/vanesa-yanet-tenorio-xilohua-0a08a6202</t>
  </si>
  <si>
    <t>vanesa.tenorio@asiarobotica.com</t>
  </si>
  <si>
    <t>Nideck</t>
  </si>
  <si>
    <t>Growth Marketing</t>
  </si>
  <si>
    <t>http://www.linkedin.com/in/pachecovictor1</t>
  </si>
  <si>
    <t>victor.nideck@creditas.com</t>
  </si>
  <si>
    <t>+52 444 369 4505</t>
  </si>
  <si>
    <t>ManageEngine Marketing Analyst</t>
  </si>
  <si>
    <t>http://www.linkedin.com/in/mariana-pelcastre</t>
  </si>
  <si>
    <t>mariana.ramirez@icorp.com.mx</t>
  </si>
  <si>
    <t>http://www.linkedin.com/in/reyna-felix-41295b92</t>
  </si>
  <si>
    <t>rfelix@nuevaerafilms.com</t>
  </si>
  <si>
    <t>Nueva Era Films</t>
  </si>
  <si>
    <t>Marketing &amp; CRM Specialist</t>
  </si>
  <si>
    <t>http://www.linkedin.com/in/germ%c3%a1n-carmona-824628b2</t>
  </si>
  <si>
    <t>german.carmona@pactomundial.org.mx</t>
  </si>
  <si>
    <t>Pacto Mundial MÃ©xico</t>
  </si>
  <si>
    <t>Tobon</t>
  </si>
  <si>
    <t>Gerente Medico-Marketing y de Acceso</t>
  </si>
  <si>
    <t>http://www.linkedin.com/in/jorge-mario-tobon-rivera-58993433</t>
  </si>
  <si>
    <t>jtobon@landsteiner.com</t>
  </si>
  <si>
    <t>Coordinador de comunicaciones de marketing</t>
  </si>
  <si>
    <t>http://www.linkedin.com/in/leonpacheco</t>
  </si>
  <si>
    <t>lpacheco@somib.org.mx</t>
  </si>
  <si>
    <t>+52 1 619 426 0033</t>
  </si>
  <si>
    <t>SOMIB - Sociedad Mexicana de IngenierÃ­a BiomÃ©dica</t>
  </si>
  <si>
    <t>http://www.linkedin.com/in/mario-gamaliel-manzano-balderrama-6498617a</t>
  </si>
  <si>
    <t>mariom@airesmirage.com</t>
  </si>
  <si>
    <t>+52 55 4440 2951</t>
  </si>
  <si>
    <t>Mirage MÃ©xico</t>
  </si>
  <si>
    <t>Lizarde</t>
  </si>
  <si>
    <t>http://www.linkedin.com/in/christian-lizarde-6b353b227</t>
  </si>
  <si>
    <t>christian@alrid.com</t>
  </si>
  <si>
    <t>Alrid Sport</t>
  </si>
  <si>
    <t>Marketing &amp; Communication Manager LatAm</t>
  </si>
  <si>
    <t>http://www.linkedin.com/in/mauricio-islas-saldivar-8017aa2a</t>
  </si>
  <si>
    <t>mislas1@hotmail.com</t>
  </si>
  <si>
    <t>Richmond ELT MÃ©xico</t>
  </si>
  <si>
    <t>Crdova</t>
  </si>
  <si>
    <t>ocorcha@ahal.mx</t>
  </si>
  <si>
    <t>http://www.linkedin.com/in/paola-escobar-375a3381</t>
  </si>
  <si>
    <t>pescobar@nautica.com</t>
  </si>
  <si>
    <t>+52 663 203 1834</t>
  </si>
  <si>
    <t>http://www.linkedin.com/in/gabriela-contreras-51845417b</t>
  </si>
  <si>
    <t>gcontreras@grupoconcordia.com</t>
  </si>
  <si>
    <t>Grupo Concordia</t>
  </si>
  <si>
    <t>http://www.linkedin.com/in/jennifer-moreno-ezquerra-665395139</t>
  </si>
  <si>
    <t>jennifer.moreno@caffenio.com</t>
  </si>
  <si>
    <t>http://www.linkedin.com/in/rebeca-gomez-6a2aa289</t>
  </si>
  <si>
    <t>teresa.ramirez@sw.com.mx</t>
  </si>
  <si>
    <t>SW sapienÂ®</t>
  </si>
  <si>
    <t>Analista de Performance Marketing SÃªnior</t>
  </si>
  <si>
    <t>http://www.linkedin.com/in/karensantos17</t>
  </si>
  <si>
    <t>karen.santos@creditas.com</t>
  </si>
  <si>
    <t>+52 443 491 4569</t>
  </si>
  <si>
    <t>http://www.linkedin.com/in/luisa-fernanda-l%c3%b3pez-beltr%c3%a1n-36393313b</t>
  </si>
  <si>
    <t>luisa.beltran@rappi.com</t>
  </si>
  <si>
    <t>CORPORATIVO PANOLI</t>
  </si>
  <si>
    <t>Lucia</t>
  </si>
  <si>
    <t>http://www.linkedin.com/in/lucia-mendez</t>
  </si>
  <si>
    <t>lucia@botonyagujeta.com</t>
  </si>
  <si>
    <t>Porto Blanco</t>
  </si>
  <si>
    <t>Grimaldo GonzÂ Lez</t>
  </si>
  <si>
    <t>Manager E-commerce</t>
  </si>
  <si>
    <t>mezcal@jurame.mx</t>
  </si>
  <si>
    <t>+52 33 3794 3206</t>
  </si>
  <si>
    <t>Gerente de ecommerce</t>
  </si>
  <si>
    <t>http://www.linkedin.com/in/oscar-omar-lopez-44922420a</t>
  </si>
  <si>
    <t>oscar.lopez@wecareproducts.com.mx</t>
  </si>
  <si>
    <t>+52 800 504 1916</t>
  </si>
  <si>
    <t>Betsy</t>
  </si>
  <si>
    <t>http://www.linkedin.com/in/betsy-serrano-mercadotecnia</t>
  </si>
  <si>
    <t>mktdigital@playclub.com.mx</t>
  </si>
  <si>
    <t>Play Club</t>
  </si>
  <si>
    <t>Satappa</t>
  </si>
  <si>
    <t>Gavade</t>
  </si>
  <si>
    <t>http://www.linkedin.com/in/satappa-gavade-64b5a826</t>
  </si>
  <si>
    <t>satappa.gavade@icorp.com.mx</t>
  </si>
  <si>
    <t>Sol</t>
  </si>
  <si>
    <t>Key Account Marketing Manager</t>
  </si>
  <si>
    <t>http://www.linkedin.com/in/maria-del-sol-acevedo-pons-61b849bb</t>
  </si>
  <si>
    <t>sol.acevedo@tiendanube.com</t>
  </si>
  <si>
    <t>+52 55 5440 4278</t>
  </si>
  <si>
    <t>Atencion</t>
  </si>
  <si>
    <t>Americ</t>
  </si>
  <si>
    <t>Marketing de Americ AC</t>
  </si>
  <si>
    <t>http://www.linkedin.com/in/atencion-americ-a05567239</t>
  </si>
  <si>
    <t>atencion@americmx.com</t>
  </si>
  <si>
    <t>+54 9 810 112-7976</t>
  </si>
  <si>
    <t>AMERIC AC</t>
  </si>
  <si>
    <t>Maria Sofia</t>
  </si>
  <si>
    <t>Aguilar Romero</t>
  </si>
  <si>
    <t>http://www.linkedin.com/in/mar%c3%ada-sof%c3%ada-aguilar-romero-a12b21185</t>
  </si>
  <si>
    <t>maguilar@aei.mx</t>
  </si>
  <si>
    <t>+52 998 884 8586</t>
  </si>
  <si>
    <t>AEI</t>
  </si>
  <si>
    <t>Consultor de Marketing Digital</t>
  </si>
  <si>
    <t>http://www.linkedin.com/in/juancelias</t>
  </si>
  <si>
    <t>juancelias@plokuswsi.com</t>
  </si>
  <si>
    <t>WSI</t>
  </si>
  <si>
    <t>http://www.linkedin.com/in/mariana-g%c3%b3mez-a59268212</t>
  </si>
  <si>
    <t>mgomez@unifoods.com.mx</t>
  </si>
  <si>
    <t>555-510-0198</t>
  </si>
  <si>
    <t>Rivero</t>
  </si>
  <si>
    <t>ventasonline2@mcegamer.com</t>
  </si>
  <si>
    <t>MCE Gamer</t>
  </si>
  <si>
    <t>http://www.linkedin.com/in/ana-mar%c3%ada-islas-z%c3%ba%c3%b1iga-911b511aa</t>
  </si>
  <si>
    <t>anaz@pilgrims.com.mx</t>
  </si>
  <si>
    <t>+52 81 1107 1500</t>
  </si>
  <si>
    <t>Patricio</t>
  </si>
  <si>
    <t>http://www.linkedin.com/in/patricio-ram%c3%adrez-2b15b9215</t>
  </si>
  <si>
    <t>patricio.ramirez@cellboost.mx</t>
  </si>
  <si>
    <t>+52 55 6472 1436</t>
  </si>
  <si>
    <t>CELLBOOST</t>
  </si>
  <si>
    <t>Gianluca</t>
  </si>
  <si>
    <t>Baldrati</t>
  </si>
  <si>
    <t>Social Media and Influencer Marketing</t>
  </si>
  <si>
    <t>http://www.linkedin.com/in/gianbaldrati</t>
  </si>
  <si>
    <t>gianluca.baldrati@creditas.com</t>
  </si>
  <si>
    <t>+52 56 1171 4064</t>
  </si>
  <si>
    <t>Enoc</t>
  </si>
  <si>
    <t>http://www.linkedin.com/in/enoc-lopez-080962249</t>
  </si>
  <si>
    <t>enoc.lopez@tocklock.com.mx</t>
  </si>
  <si>
    <t>Agustin</t>
  </si>
  <si>
    <t>Products, Layout &amp; Social Marketing Specialist</t>
  </si>
  <si>
    <t>http://www.linkedin.com/in/agustindmartinezr</t>
  </si>
  <si>
    <t>agustin.martinez@tiendanube.com</t>
  </si>
  <si>
    <t>Luque</t>
  </si>
  <si>
    <t>Directo Marketing y ventas</t>
  </si>
  <si>
    <t>http://www.linkedin.com/in/paul-luque-wiley-4b7704211</t>
  </si>
  <si>
    <t>pluque@venados.com</t>
  </si>
  <si>
    <t>Marketing Manager Sr.</t>
  </si>
  <si>
    <t>http://www.linkedin.com/in/francisco-javier-l%c3%b3pez-mu%c3%b1oz-1b877710a</t>
  </si>
  <si>
    <t>francisco.lopez@rxglobal.com</t>
  </si>
  <si>
    <t>RX Mexico</t>
  </si>
  <si>
    <t>Maria Jose</t>
  </si>
  <si>
    <t>mariajose@xadesmx.com</t>
  </si>
  <si>
    <t>+1 811-298-7354</t>
  </si>
  <si>
    <t>http://www.linkedin.com/in/alejandro-ben%c3%adtez-43a720287</t>
  </si>
  <si>
    <t>benitez@dementes.mx</t>
  </si>
  <si>
    <t>DEMENTES by Diego Barrazas</t>
  </si>
  <si>
    <t>Paloma</t>
  </si>
  <si>
    <t>Product Marketing Specialist (Pago Nube)</t>
  </si>
  <si>
    <t>http://www.linkedin.com/in/paloma-rodriguez-moreno-8106b8a2</t>
  </si>
  <si>
    <t>paloma.rodriguez@tiendanube.com</t>
  </si>
  <si>
    <t>+52 646 977 5524</t>
  </si>
  <si>
    <t>Encargada de marketing y relaciones pÃºblicas</t>
  </si>
  <si>
    <t>http://www.linkedin.com/in/andrea-salazar-conde-09674617b</t>
  </si>
  <si>
    <t>andrea@rondodelvalle.com</t>
  </si>
  <si>
    <t>+52 449 910 9670</t>
  </si>
  <si>
    <t>Rondo del Valle</t>
  </si>
  <si>
    <t>Giovanni</t>
  </si>
  <si>
    <t>Coordinador de mejora continua/ Proyectos/ Marketing</t>
  </si>
  <si>
    <t>http://www.linkedin.com/in/giovanni-castillo-b64273b7</t>
  </si>
  <si>
    <t>gcastillo@eurocentrocamionero.com</t>
  </si>
  <si>
    <t>+52 55 5344 7676</t>
  </si>
  <si>
    <t>EuroCentroCamionero</t>
  </si>
  <si>
    <t>H.</t>
  </si>
  <si>
    <t>http://www.linkedin.com/in/mariana-h-aa5b74a5</t>
  </si>
  <si>
    <t>mhuaracha@mejorcompratv.com</t>
  </si>
  <si>
    <t>MejorCompraTV</t>
  </si>
  <si>
    <t>Martell</t>
  </si>
  <si>
    <t>E-Commerce &amp; Marketplaces Specialist</t>
  </si>
  <si>
    <t>http://www.linkedin.com/in/denisse-rafael-martell-36a49aba</t>
  </si>
  <si>
    <t>dmartell@nautica.com</t>
  </si>
  <si>
    <t>+54 9 11 4025-7007</t>
  </si>
  <si>
    <t>Argueello</t>
  </si>
  <si>
    <t>Director de Marketing digital &amp; eCommerce</t>
  </si>
  <si>
    <t>http://www.linkedin.com/in/javiermaldonadoarg%c3%bcello</t>
  </si>
  <si>
    <t>javier@tiendanube.com</t>
  </si>
  <si>
    <t>http://www.linkedin.com/in/blanca-rosalia-mart%c3%adnez-campos-85b92577</t>
  </si>
  <si>
    <t>coordinacion-mkt@poliformas.mx</t>
  </si>
  <si>
    <t>+52 55 5512 1830</t>
  </si>
  <si>
    <t>Poliformas PlÃ¡sticas</t>
  </si>
  <si>
    <t>Coordinador de medios de marketing</t>
  </si>
  <si>
    <t>http://www.linkedin.com/in/luis-castro-4b7736190</t>
  </si>
  <si>
    <t>luis@hacedores.com</t>
  </si>
  <si>
    <t>Hacedores.com</t>
  </si>
  <si>
    <t>http://www.linkedin.com/in/luz-de-lourdes-guti%c3%a9rrez-96b68555</t>
  </si>
  <si>
    <t>luz.gutierrez@mercadro.com</t>
  </si>
  <si>
    <t>Mercadro</t>
  </si>
  <si>
    <t>Palomera</t>
  </si>
  <si>
    <t>http://www.linkedin.com/in/monserrat-palomera-gloria-538964244</t>
  </si>
  <si>
    <t>megusta@oh-mydog.mx</t>
  </si>
  <si>
    <t>Oh My Dog!</t>
  </si>
  <si>
    <t>http://www.linkedin.com/in/maria-fernanda-rodriguez-3625917b</t>
  </si>
  <si>
    <t>maria.rodriguez@tiendanube.com</t>
  </si>
  <si>
    <t>+52 81 8128 9000</t>
  </si>
  <si>
    <t>http://www.linkedin.com/in/armando-mu%c3%b1iz</t>
  </si>
  <si>
    <t>armando@solcelmix.com</t>
  </si>
  <si>
    <t>SOLCELMIX SAS DE CV</t>
  </si>
  <si>
    <t>http://www.linkedin.com/in/andreariosaltamirano</t>
  </si>
  <si>
    <t>andrea@sanopecado.mx</t>
  </si>
  <si>
    <t>Sanopecado</t>
  </si>
  <si>
    <t>http://www.linkedin.com/in/salomon-dabbah-95b147108</t>
  </si>
  <si>
    <t>Director gerente de marketing</t>
  </si>
  <si>
    <t>http://www.linkedin.com/in/brenda-zu%c3%b1iga-382598179</t>
  </si>
  <si>
    <t>b.zuniga@ajolotius.com</t>
  </si>
  <si>
    <t>Ajolotius</t>
  </si>
  <si>
    <t>Matias</t>
  </si>
  <si>
    <t>Righi</t>
  </si>
  <si>
    <t>Freelance eCommerce</t>
  </si>
  <si>
    <t>http://www.linkedin.com/in/matias-righi</t>
  </si>
  <si>
    <t>matias.righi@tiendanube.com</t>
  </si>
  <si>
    <t>+52 800 925 0308</t>
  </si>
  <si>
    <t>http://www.linkedin.com/in/claudia-sanchez-85a2694b</t>
  </si>
  <si>
    <t>claudias@cloe.com.mx</t>
  </si>
  <si>
    <t>+52 55 5398 2593</t>
  </si>
  <si>
    <t>Virii</t>
  </si>
  <si>
    <t>Vo</t>
  </si>
  <si>
    <t>http://www.linkedin.com/in/virii-vo-43104b252</t>
  </si>
  <si>
    <t>vvo@raisacv.com</t>
  </si>
  <si>
    <t>RAISA CV</t>
  </si>
  <si>
    <t>Ayari</t>
  </si>
  <si>
    <t>Barron</t>
  </si>
  <si>
    <t>B2B Premium Marketing Specialist</t>
  </si>
  <si>
    <t>http://www.linkedin.com/in/ayari-barr%c3%b3n-hern%c3%a1ndez-77454b184</t>
  </si>
  <si>
    <t>ayari.barron@libbey.com</t>
  </si>
  <si>
    <t>+52 55 4433 4544</t>
  </si>
  <si>
    <t>Crisa Libbey Mexico S de RL de CV</t>
  </si>
  <si>
    <t>Ivette</t>
  </si>
  <si>
    <t>http://www.linkedin.com/in/brenda-ivette-paredes-8248a1160</t>
  </si>
  <si>
    <t>bparedes@jtc.com.mx</t>
  </si>
  <si>
    <t>JTC PROVEEDOR MÃ‰DICO</t>
  </si>
  <si>
    <t>http://www.linkedin.com/in/aide-zulem-diaz-ferrera-a391aa172</t>
  </si>
  <si>
    <t>+52 55 5550 0906</t>
  </si>
  <si>
    <t>Jordi</t>
  </si>
  <si>
    <t>Sendra</t>
  </si>
  <si>
    <t>Coordinador de Marketing &amp; Creatividad</t>
  </si>
  <si>
    <t>http://www.linkedin.com/in/jordi-sendra-3617ba264</t>
  </si>
  <si>
    <t>j.sendra@mrvolk.com.mx</t>
  </si>
  <si>
    <t>+52 57850430</t>
  </si>
  <si>
    <t>Mr. Volk</t>
  </si>
  <si>
    <t>Itzel</t>
  </si>
  <si>
    <t>Marketing y Ventas</t>
  </si>
  <si>
    <t>http://www.linkedin.com/in/itzel-vargas-09741842</t>
  </si>
  <si>
    <t>itzel.vargas@rodhe.com.mx</t>
  </si>
  <si>
    <t>http://www.linkedin.com/in/pamela-ochoa-azamar-695290193</t>
  </si>
  <si>
    <t>pamela.ochoa@ferbaq.com.mx</t>
  </si>
  <si>
    <t>FERBAQ</t>
  </si>
  <si>
    <t>+52 442 182 5212</t>
  </si>
  <si>
    <t>Shantal</t>
  </si>
  <si>
    <t>Lugo</t>
  </si>
  <si>
    <t>shantal.lugo@ahal.mx</t>
  </si>
  <si>
    <t>+52 442 336 7544</t>
  </si>
  <si>
    <t>http://www.linkedin.com/in/mario-gamboa</t>
  </si>
  <si>
    <t>rada@mayans.com</t>
  </si>
  <si>
    <t>Hammocks RADA</t>
  </si>
  <si>
    <t>Agostina</t>
  </si>
  <si>
    <t>Dottori</t>
  </si>
  <si>
    <t>Success Account Manager | E-Commerce</t>
  </si>
  <si>
    <t>http://www.linkedin.com/in/agostina-dottori-28979054</t>
  </si>
  <si>
    <t>agostina.dottori@tiendanube.com</t>
  </si>
  <si>
    <t>Josue</t>
  </si>
  <si>
    <t>Sales Marketing Coordinator</t>
  </si>
  <si>
    <t>http://www.linkedin.com/in/josue-yanez</t>
  </si>
  <si>
    <t>josue.yanez@icorp.com.mx</t>
  </si>
  <si>
    <t>Calleja</t>
  </si>
  <si>
    <t>http://www.linkedin.com/in/gabrielcallejamx</t>
  </si>
  <si>
    <t>gabriel.calleja@procomsa.com.mx</t>
  </si>
  <si>
    <t>Yina</t>
  </si>
  <si>
    <t>Grisales</t>
  </si>
  <si>
    <t>http://www.linkedin.com/in/yina-grisales-motato-06ab12122</t>
  </si>
  <si>
    <t>yina.motato@tiendanube.com</t>
  </si>
  <si>
    <t>Nicte</t>
  </si>
  <si>
    <t>Coordinadora de Marketing</t>
  </si>
  <si>
    <t>http://www.linkedin.com/in/nict%c3%a9-ruiz-103ab2188</t>
  </si>
  <si>
    <t>marketing@cesarfer.com</t>
  </si>
  <si>
    <t>+52 55 5686 6400</t>
  </si>
  <si>
    <t>Cesarfer S.A. de C.V.</t>
  </si>
  <si>
    <t>Escamilla</t>
  </si>
  <si>
    <t>Gerente desarrollo Web &amp; eCommerce</t>
  </si>
  <si>
    <t>http://www.linkedin.com/in/esteban-escamilla-guzm%c3%a1n-61770339</t>
  </si>
  <si>
    <t>escamilla@smarterlevel.com</t>
  </si>
  <si>
    <t>+52 55 5716 3914</t>
  </si>
  <si>
    <t>SAS CLOUD</t>
  </si>
  <si>
    <t>Ian</t>
  </si>
  <si>
    <t>http://www.linkedin.com/in/ian-pablo-salazar-delgado-2a58241a7</t>
  </si>
  <si>
    <t>ian@xeseguridad.com</t>
  </si>
  <si>
    <t>+52 1 80 0783 7827</t>
  </si>
  <si>
    <t>XE Seguridad</t>
  </si>
  <si>
    <t>LogÃ­stica Ecommerce</t>
  </si>
  <si>
    <t>http://www.linkedin.com/in/ana-evelyn-sanchez-ramirez-540a32bb</t>
  </si>
  <si>
    <t>ana.sanchez@mobimuebles.com</t>
  </si>
  <si>
    <t>+52 667 761 2727</t>
  </si>
  <si>
    <t>MOBI Muebles</t>
  </si>
  <si>
    <t>Isai</t>
  </si>
  <si>
    <t>http://www.linkedin.com/in/isa%c3%ad-h-8bb15149</t>
  </si>
  <si>
    <t>isai.h.@mosere.co</t>
  </si>
  <si>
    <t>+81 82881853</t>
  </si>
  <si>
    <t>Mosere - CafÃ© Gourmet</t>
  </si>
  <si>
    <t>Cristina</t>
  </si>
  <si>
    <t>Marketing febrero 11 de 2002 a diciembre 2006, AdministraciÃ³n ofna. promociÃ³n Mty 2006 - 2016</t>
  </si>
  <si>
    <t>http://www.linkedin.com/in/cristina-garcia-03125450</t>
  </si>
  <si>
    <t>cristinag@noriegaeditores.com</t>
  </si>
  <si>
    <t>+52 81 8359 8692</t>
  </si>
  <si>
    <t>EDITORIAL LIMUSA</t>
  </si>
  <si>
    <t>Luciano</t>
  </si>
  <si>
    <t>Roa</t>
  </si>
  <si>
    <t>Coordinador de Marketing y ComunicaciÃ³n para Deutsch mit ZALOA</t>
  </si>
  <si>
    <t>http://www.linkedin.com/in/luciano-roa-tortolero</t>
  </si>
  <si>
    <t>luciano.roa@zaloalanguages.com</t>
  </si>
  <si>
    <t>+52 222 924 8166</t>
  </si>
  <si>
    <t>ZALOA Languages</t>
  </si>
  <si>
    <t>http://www.linkedin.com/in/mauricio-guevara-755b9114a</t>
  </si>
  <si>
    <t>mercadotecnia2@mgmuebles.com</t>
  </si>
  <si>
    <t>+52 33 8995 1039</t>
  </si>
  <si>
    <t>MG Muebles de Guadalajara S de RL de CV</t>
  </si>
  <si>
    <t>EJECUTIVO EN TRADE MARKETING</t>
  </si>
  <si>
    <t>http://www.linkedin.com/in/luis-ram%c3%b3n-rodr%c3%adguez-avalos-864191131</t>
  </si>
  <si>
    <t>luisrodriguez@masterfan.com.mx</t>
  </si>
  <si>
    <t>+52 33 2002 5985</t>
  </si>
  <si>
    <t>Masterfan</t>
  </si>
  <si>
    <t>luz.rodriguez@zapateriafratello.com</t>
  </si>
  <si>
    <t>+52 479 141 4729</t>
  </si>
  <si>
    <t>Zapaterias Fratello</t>
  </si>
  <si>
    <t>Anaya</t>
  </si>
  <si>
    <t>http://www.linkedin.com/in/alejandra-anaya-b683a3159</t>
  </si>
  <si>
    <t>alejandra@basculasnoval.mx</t>
  </si>
  <si>
    <t>+52 55 5160 9104</t>
  </si>
  <si>
    <t>Basculas Noval</t>
  </si>
  <si>
    <t>Magdalia</t>
  </si>
  <si>
    <t>McKey</t>
  </si>
  <si>
    <t>http://www.linkedin.com/in/magdaliamckey</t>
  </si>
  <si>
    <t>mmckey@lemancore.mx</t>
  </si>
  <si>
    <t>+52 81 8368 5070</t>
  </si>
  <si>
    <t>Lemancore</t>
  </si>
  <si>
    <t>Sagredo</t>
  </si>
  <si>
    <t>http://www.linkedin.com/in/fernando-sagredo-b6a7721aa</t>
  </si>
  <si>
    <t>fernando.sagredo@mle.com.mx</t>
  </si>
  <si>
    <t>+52 656 687 7000</t>
  </si>
  <si>
    <t>Grupo Mausoleos</t>
  </si>
  <si>
    <t>Foodservice &amp; E-Commerce Manager</t>
  </si>
  <si>
    <t>http://www.linkedin.com/in/rodrigo-mu%c3%b1oz-mu%c3%b1oz-857ab8148</t>
  </si>
  <si>
    <t>rodrigo@hanseatik.com</t>
  </si>
  <si>
    <t>Hanseatik</t>
  </si>
  <si>
    <t>Mozaguet</t>
  </si>
  <si>
    <t>Personal de marketing</t>
  </si>
  <si>
    <t>http://www.linkedin.com/in/mozaguet-guerrero-370993186</t>
  </si>
  <si>
    <t>mguerrero@magnumdigital.com.mx</t>
  </si>
  <si>
    <t>Magnum Soluciones Digitales SA de CV</t>
  </si>
  <si>
    <t>http://www.linkedin.com/in/luis-antonio-patricio-garc%c3%ada-28952219a</t>
  </si>
  <si>
    <t>luis.p@alam.mx</t>
  </si>
  <si>
    <t>+52 55 5532 2739</t>
  </si>
  <si>
    <t>Alamex</t>
  </si>
  <si>
    <t>Cuauhtemoc</t>
  </si>
  <si>
    <t>Director E-commerce</t>
  </si>
  <si>
    <t>cuauhtemocsanchezg@gmail.com</t>
  </si>
  <si>
    <t>557-891-5389</t>
  </si>
  <si>
    <t>EstÃ©tica Canina</t>
  </si>
  <si>
    <t>+52 1 80 0350 4478</t>
  </si>
  <si>
    <t>Cleofas</t>
  </si>
  <si>
    <t>Marketing Team Member</t>
  </si>
  <si>
    <t>http://www.linkedin.com/in/cleofas-santos-727120251</t>
  </si>
  <si>
    <t>cleofas@dogday.mx</t>
  </si>
  <si>
    <t>+52 81 8472 8352</t>
  </si>
  <si>
    <t>DogDay</t>
  </si>
  <si>
    <t>Coordinadora de marketing y relaciones pÃºblicas</t>
  </si>
  <si>
    <t>http://www.linkedin.com/in/ivonne-bautista-36b98552</t>
  </si>
  <si>
    <t>ibautista@intima.com.mx</t>
  </si>
  <si>
    <t>Intima Hogar</t>
  </si>
  <si>
    <t>Uelner</t>
  </si>
  <si>
    <t>http://www.linkedin.com/in/magdalena-uelner-a07a46164</t>
  </si>
  <si>
    <t>lena.uelner@zaloalanguages.com</t>
  </si>
  <si>
    <t>http://www.linkedin.com/in/marco-castillo-sanchez-227a13161</t>
  </si>
  <si>
    <t>marco@colorcassettes.com.mx</t>
  </si>
  <si>
    <t>Color Cassettes MÃ©xico</t>
  </si>
  <si>
    <t>Merel</t>
  </si>
  <si>
    <t>http://www.linkedin.com/in/davidmerel</t>
  </si>
  <si>
    <t>david@bossa.com.mx</t>
  </si>
  <si>
    <t>+52 55 2121 4346</t>
  </si>
  <si>
    <t>Bossa Muebles</t>
  </si>
  <si>
    <t>MARKETING COORDINATOR</t>
  </si>
  <si>
    <t>http://www.linkedin.com/in/elizabeth-andrade-a816656b</t>
  </si>
  <si>
    <t>eandrade@ilumileds.com.mx</t>
  </si>
  <si>
    <t>Ilumileds</t>
  </si>
  <si>
    <t>Olivar</t>
  </si>
  <si>
    <t>http://www.linkedin.com/in/fernanda-olivar-055084173</t>
  </si>
  <si>
    <t>folivar@magnumdigital.com.mx</t>
  </si>
  <si>
    <t>Adabella</t>
  </si>
  <si>
    <t>Gavia</t>
  </si>
  <si>
    <t>Asesor en Marketing</t>
  </si>
  <si>
    <t>http://www.linkedin.com/in/adabella-gavia-ram%c3%adrez-6934055a</t>
  </si>
  <si>
    <t>adabella.gavia@cuponzote.com</t>
  </si>
  <si>
    <t>+52 81 1018 8030</t>
  </si>
  <si>
    <t>Cuponzote</t>
  </si>
  <si>
    <t>Coordinador de Mercadotecnia | E- Commerce | Community Manager</t>
  </si>
  <si>
    <t>http://www.linkedin.com/in/antonio-gonzalez-85176764</t>
  </si>
  <si>
    <t>agonzalez@nyc.com.mx</t>
  </si>
  <si>
    <t>+52 1 81 8158 6710</t>
  </si>
  <si>
    <t>Industrias PlÃ¡sticas NYC</t>
  </si>
  <si>
    <t>Auxiliar de Ecommerce y marketing</t>
  </si>
  <si>
    <t>http://www.linkedin.com/in/jimena-rivas-aguilera-920272179</t>
  </si>
  <si>
    <t>jimena@harrisandfrank.com.mx</t>
  </si>
  <si>
    <t>+52 998 884 4858</t>
  </si>
  <si>
    <t>Harris &amp; Frank</t>
  </si>
  <si>
    <t>Gerente Comercial &amp; E-Commerce</t>
  </si>
  <si>
    <t>http://www.linkedin.com/in/jaime-de-la-mora-66b4a060</t>
  </si>
  <si>
    <t>ecommerce@xeseguridad.com</t>
  </si>
  <si>
    <t>+52 222 329 4943</t>
  </si>
  <si>
    <t>LogÃ­stica e-commerce</t>
  </si>
  <si>
    <t>http://www.linkedin.com/in/v%c3%adctor-hugo-camacho-guti%c3%a9rrez-2b927b1b2</t>
  </si>
  <si>
    <t>victor.camacho@mobimuebles.com</t>
  </si>
  <si>
    <t>Jasmin</t>
  </si>
  <si>
    <t>Coordinador de Marketing &amp; DiseÃ±o</t>
  </si>
  <si>
    <t>http://www.linkedin.com/in/jasmin-mart%c3%adnez-61957b101</t>
  </si>
  <si>
    <t>mercadotecnia@novotech.com.mx</t>
  </si>
  <si>
    <t>+52 55 2122 1090</t>
  </si>
  <si>
    <t>NOVOTECH MX</t>
  </si>
  <si>
    <t>54 9 11 5691-1350</t>
  </si>
  <si>
    <t>Nahomi</t>
  </si>
  <si>
    <t>Castellanos</t>
  </si>
  <si>
    <t>http://www.linkedin.com/in/nahomipc</t>
  </si>
  <si>
    <t>nahomi@irradiatemore.com</t>
  </si>
  <si>
    <t>Irradiate More</t>
  </si>
  <si>
    <t>Riverline</t>
  </si>
  <si>
    <t>http://www.linkedin.com/in/marketing-riverline-075bb8116</t>
  </si>
  <si>
    <t>marketing@ergonomic.com.mx</t>
  </si>
  <si>
    <t>Riverline Ergonomic</t>
  </si>
  <si>
    <t>Oliva</t>
  </si>
  <si>
    <t>Soporte tÃ©cnico y marketing</t>
  </si>
  <si>
    <t>http://www.linkedin.com/in/sandra-oliva-mej%c3%ada-phd-38997871</t>
  </si>
  <si>
    <t>smejia@probiotek.com</t>
  </si>
  <si>
    <t>+52 81 2022 3588</t>
  </si>
  <si>
    <t>Probiotek</t>
  </si>
  <si>
    <t>CuauhtÃ©moc</t>
  </si>
  <si>
    <t>contacto@mascotasyaccesorios.mx</t>
  </si>
  <si>
    <t>Priscilla</t>
  </si>
  <si>
    <t>Coordinador de eventos de marketing</t>
  </si>
  <si>
    <t>http://www.linkedin.com/in/priscilla-ruiz-b69392bb</t>
  </si>
  <si>
    <t>priscilla.ruiz@platoexpress.com</t>
  </si>
  <si>
    <t>Plato Express</t>
  </si>
  <si>
    <t>http://www.linkedin.com/in/esteban-l%c3%b3pez-b1826557</t>
  </si>
  <si>
    <t>elopezb@kokoro3.com</t>
  </si>
  <si>
    <t>+52525544482519</t>
  </si>
  <si>
    <t>KOKORO3</t>
  </si>
  <si>
    <t>Maria Lilian</t>
  </si>
  <si>
    <t>Ramirez Lopez</t>
  </si>
  <si>
    <t>ventasweb@svenska.com.mx</t>
  </si>
  <si>
    <t>+52 449 962 4050</t>
  </si>
  <si>
    <t>Svenska Tecnologia</t>
  </si>
  <si>
    <t>Directora de ventas y marketing</t>
  </si>
  <si>
    <t>http://www.linkedin.com/in/elisa-valencia-rosales-349824237</t>
  </si>
  <si>
    <t>e.valencia@cuttiecup.com</t>
  </si>
  <si>
    <t>Cuttiecup</t>
  </si>
  <si>
    <t>Anayansy</t>
  </si>
  <si>
    <t>Zamora</t>
  </si>
  <si>
    <t>Responsable de Ventas y Marketing</t>
  </si>
  <si>
    <t>http://www.linkedin.com/in/anayansy-zamora-ab099219b</t>
  </si>
  <si>
    <t>anayansy@mediapix.mx</t>
  </si>
  <si>
    <t>+52 631 319 3939</t>
  </si>
  <si>
    <t>Mediapix Agencia de DiseÃ±o y Publicidad</t>
  </si>
  <si>
    <t>Coatzacoalcos</t>
  </si>
  <si>
    <t>http://www.linkedin.com/in/marketing-coatzacoalcos-9b3ba7170</t>
  </si>
  <si>
    <t>marketing.coatzacoalcos@thermokold.com.mx</t>
  </si>
  <si>
    <t>+52 993 160 1398</t>
  </si>
  <si>
    <t>RRHH Thermokold</t>
  </si>
  <si>
    <t>http://www.linkedin.com/in/ra%c3%bal-jim%c3%a9nez-a140b81ab</t>
  </si>
  <si>
    <t>rjimenez@aspelab.com</t>
  </si>
  <si>
    <t>+52 33 2312 7631</t>
  </si>
  <si>
    <t>aspelab</t>
  </si>
  <si>
    <t>http://www.linkedin.com/in/probiotek-marketing-853535160</t>
  </si>
  <si>
    <t>marketing@probiotek.com</t>
  </si>
  <si>
    <t>Valenzuela</t>
  </si>
  <si>
    <t>Marketing Intelligence Manager en Del Corona &amp; Scardigli MÃ©xico</t>
  </si>
  <si>
    <t>http://www.linkedin.com/in/mario-valenzuela-566374149</t>
  </si>
  <si>
    <t>mario.valenzuela@mx.dcsfreight.com</t>
  </si>
  <si>
    <t>+52 477 712 1363</t>
  </si>
  <si>
    <t>Del Corona &amp; Scardigli Mexico</t>
  </si>
  <si>
    <t>Celina</t>
  </si>
  <si>
    <t>http://www.linkedin.com/in/celina-ibarra-linares-290475204</t>
  </si>
  <si>
    <t>celina@ecomakerstore.com</t>
  </si>
  <si>
    <t>+52 442 414 6478</t>
  </si>
  <si>
    <t>EcomakerStore</t>
  </si>
  <si>
    <t>Meljem</t>
  </si>
  <si>
    <t>http://www.linkedin.com/in/karla-meljem</t>
  </si>
  <si>
    <t>kmeljem@clubdelgourmet.com.mx</t>
  </si>
  <si>
    <t>+52 55 5554 8336</t>
  </si>
  <si>
    <t>Club del Gourmet (PAMTOS S.A. de C.V)</t>
  </si>
  <si>
    <t>http://www.linkedin.com/in/axel-castellanos-8a040155</t>
  </si>
  <si>
    <t>axelcastellanos@gvi.com.mx</t>
  </si>
  <si>
    <t>+52 33 3808 3191</t>
  </si>
  <si>
    <t>topcarestore</t>
  </si>
  <si>
    <t>Graciela</t>
  </si>
  <si>
    <t>http://www.linkedin.com/in/graciela-zu%c3%b1iga-19881ba6</t>
  </si>
  <si>
    <t>graciela.zuniga@gruposim.com</t>
  </si>
  <si>
    <t>Grupo SIM</t>
  </si>
  <si>
    <t>Toyo</t>
  </si>
  <si>
    <t>Kasei</t>
  </si>
  <si>
    <t>http://www.linkedin.com/in/toyo-kasei-769812243</t>
  </si>
  <si>
    <t>tkasei@toyokasei.com.mx</t>
  </si>
  <si>
    <t>+52 33 3633 2291</t>
  </si>
  <si>
    <t>Toyo Kasei Mx</t>
  </si>
  <si>
    <t>Rosie</t>
  </si>
  <si>
    <t>Villa</t>
  </si>
  <si>
    <t>Payroll, Manager, Kitchen, Catering, Advertising</t>
  </si>
  <si>
    <t>http://www.linkedin.com/in/rosie-villa-2b240b38</t>
  </si>
  <si>
    <t>rvilla@martinsrestaurants.com</t>
  </si>
  <si>
    <t>Martins Restaurant</t>
  </si>
  <si>
    <t>Administrador de proyecto e-commerce</t>
  </si>
  <si>
    <t>http://www.linkedin.com/in/claudia-navarro-roa-b78662205</t>
  </si>
  <si>
    <t>claudia@tribu.com.mx</t>
  </si>
  <si>
    <t>CiclÃ³polis</t>
  </si>
  <si>
    <t>HernÃ¡ndez Melo</t>
  </si>
  <si>
    <t>Gerencia de Marketing Riverline Ergonomic</t>
  </si>
  <si>
    <t>http://www.linkedin.com/in/guillermo-hern%c3%a1ndez-melo-99889a61</t>
  </si>
  <si>
    <t>atencion@ergonomic.com.mx</t>
  </si>
  <si>
    <t>800 099 9999 Ventas web Ext. 2333</t>
  </si>
  <si>
    <t>Gounon</t>
  </si>
  <si>
    <t>departement marketing</t>
  </si>
  <si>
    <t>http://www.linkedin.com/in/gounon-gilbert-17a65b40</t>
  </si>
  <si>
    <t>gounon.gilbert@sommelierponcelis.com</t>
  </si>
  <si>
    <t>+52 646 175 2075</t>
  </si>
  <si>
    <t>Cepage | Vino Escuela Sommelier</t>
  </si>
  <si>
    <t>Jefe de Proyecto / E Commerce</t>
  </si>
  <si>
    <t>http://www.linkedin.com/in/alan-santiago-garc%c3%ada-a24b527a</t>
  </si>
  <si>
    <t>agarcia@devlyn.com.mx</t>
  </si>
  <si>
    <t>BENEDEV</t>
  </si>
  <si>
    <t>http://www.linkedin.com/in/carlgcr</t>
  </si>
  <si>
    <t>carlos@surfmexico.com</t>
  </si>
  <si>
    <t>+52 32 9298 5055</t>
  </si>
  <si>
    <t>Surf Mexico</t>
  </si>
  <si>
    <t>http://www.linkedin.com/in/mariana-dur%c3%a1n-renter%c3%ada-49775a58</t>
  </si>
  <si>
    <t>mariana.duran@eclipsemex.mx</t>
  </si>
  <si>
    <t>+52 55 5012 0396</t>
  </si>
  <si>
    <t>Grupo Eclipse Telecomunicaciones</t>
  </si>
  <si>
    <t>Digital Marketing and Sales Specialist</t>
  </si>
  <si>
    <t>http://www.linkedin.com/in/ana-paula-jim%c3%a9nez-castro-84159211b</t>
  </si>
  <si>
    <t>ana@ataho.net</t>
  </si>
  <si>
    <t>Ataho</t>
  </si>
  <si>
    <t>Heron</t>
  </si>
  <si>
    <t>http://www.linkedin.com/in/heron-ba%c3%b1uelos-02a4971a2</t>
  </si>
  <si>
    <t>hbanuelos@toyokasei.com.mx</t>
  </si>
  <si>
    <t>Marianela</t>
  </si>
  <si>
    <t>Lavin</t>
  </si>
  <si>
    <t>http://www.linkedin.com/in/marianela-lavin-1548a410</t>
  </si>
  <si>
    <t>marianela.lavin@encoalimentos.com</t>
  </si>
  <si>
    <t>+52 81 1539 7546</t>
  </si>
  <si>
    <t>Enco Alimentos</t>
  </si>
  <si>
    <t>Especialista en Marketing Digital &amp; AI</t>
  </si>
  <si>
    <t>http://www.linkedin.com/in/mario-guti%c3%a9rrez-42a708a3</t>
  </si>
  <si>
    <t>mariogutierrez@studiovainilla.com</t>
  </si>
  <si>
    <t>+52 614 474 1000</t>
  </si>
  <si>
    <t>Studio Vainilla</t>
  </si>
  <si>
    <t>Estefany</t>
  </si>
  <si>
    <t>http://www.linkedin.com/in/estefany-rojas-zamudio</t>
  </si>
  <si>
    <t>erojas@anguiplast.com</t>
  </si>
  <si>
    <t>+52 348 783 3131</t>
  </si>
  <si>
    <t>Anguiplast</t>
  </si>
  <si>
    <t>http://www.linkedin.com/in/daniela-rios-carrizales-28a599214</t>
  </si>
  <si>
    <t>d.rios@mmcite.com</t>
  </si>
  <si>
    <t>mmcitÃ© 9 S. de R.L. de C.V.</t>
  </si>
  <si>
    <t>+52 800 468 8722</t>
  </si>
  <si>
    <t>Communications &amp; Marketing Coordinator</t>
  </si>
  <si>
    <t>http://www.linkedin.com/in/rodolfo-hernandez-798bb5173</t>
  </si>
  <si>
    <t>rhernandez@aspv.edu.mx</t>
  </si>
  <si>
    <t>+52 322 221 1525</t>
  </si>
  <si>
    <t>The American School of Puerto Vallarta</t>
  </si>
  <si>
    <t>E-Commerce - Mkt Digital Manager</t>
  </si>
  <si>
    <t>http://www.linkedin.com/in/ivan-ibarra-colocia</t>
  </si>
  <si>
    <t>ivanibarra@inobella.com.mx</t>
  </si>
  <si>
    <t>+52 33 3827 2978</t>
  </si>
  <si>
    <t>Inobella</t>
  </si>
  <si>
    <t>http://www.linkedin.com/in/jos%c3%a9-alfredo-aldana-ram%c3%adrez-6b643b19b</t>
  </si>
  <si>
    <t>jose.ramirez@jaloma.com.mx</t>
  </si>
  <si>
    <t>Grupo Jaloma</t>
  </si>
  <si>
    <t>Ballin</t>
  </si>
  <si>
    <t>http://www.linkedin.com/in/gerardo-ballin-castellot-946530a9</t>
  </si>
  <si>
    <t>gerardo.ballin@cerveceriadelacosta.com</t>
  </si>
  <si>
    <t>+52 312 300 5022</t>
  </si>
  <si>
    <t>CervecerÃ­a de la Costa</t>
  </si>
  <si>
    <t>http://www.linkedin.com/in/omarguillenb</t>
  </si>
  <si>
    <t>omar.guillen@bemismfg.com</t>
  </si>
  <si>
    <t>+52 81 8154 5500</t>
  </si>
  <si>
    <t>Bemis de MÃ©xico</t>
  </si>
  <si>
    <t>Briano</t>
  </si>
  <si>
    <t>http://www.linkedin.com/in/rbo</t>
  </si>
  <si>
    <t>raul.briano@kinetic.com.mx</t>
  </si>
  <si>
    <t>+52 81 8158 6250</t>
  </si>
  <si>
    <t>Kinetic, S.A. de C.V.</t>
  </si>
  <si>
    <t>Tornero</t>
  </si>
  <si>
    <t>http://www.linkedin.com/in/alonso-tornero-26a63736</t>
  </si>
  <si>
    <t>atornero@stock365.mx</t>
  </si>
  <si>
    <t>Stock365</t>
  </si>
  <si>
    <t>Lujain</t>
  </si>
  <si>
    <t>http://www.linkedin.com/in/lujain-alam-alamex</t>
  </si>
  <si>
    <t>lujain@alam.mx</t>
  </si>
  <si>
    <t>Arenas</t>
  </si>
  <si>
    <t>KAM eCommerce</t>
  </si>
  <si>
    <t>http://www.linkedin.com/in/andrea-arenas-2b4398128</t>
  </si>
  <si>
    <t>aarenas@jaloma.com.mx</t>
  </si>
  <si>
    <t>p.zamudio@bgpartners.com.mx</t>
  </si>
  <si>
    <t>Bgpartners</t>
  </si>
  <si>
    <t>Gonzalo Alonso</t>
  </si>
  <si>
    <t>Gordillo Ramirez</t>
  </si>
  <si>
    <t>gonzalogordillofac@gmail.com</t>
  </si>
  <si>
    <t>561-168-1112</t>
  </si>
  <si>
    <t>Supa Fresh</t>
  </si>
  <si>
    <t>Naranjo</t>
  </si>
  <si>
    <t>http://www.linkedin.com/in/alejandro-naranjo-19b7a5b7</t>
  </si>
  <si>
    <t>anaranjo@aspelab.com</t>
  </si>
  <si>
    <t>http://www.linkedin.com/in/esmeralda-romo-avila-66a649182</t>
  </si>
  <si>
    <t>esmeralda@mediapix.mx</t>
  </si>
  <si>
    <t>Vallejo</t>
  </si>
  <si>
    <t>Gerencia Marketing educativo</t>
  </si>
  <si>
    <t>http://www.linkedin.com/in/andrea-vg-vallejo-granados-3451a715a</t>
  </si>
  <si>
    <t>andrea.vallejo@colegioreims.edu.mx</t>
  </si>
  <si>
    <t>Colegio Reims</t>
  </si>
  <si>
    <t>Jefe de operaciones de marketing</t>
  </si>
  <si>
    <t>http://www.linkedin.com/in/marco-antonio-ponce-bueno-12247930</t>
  </si>
  <si>
    <t>mponce@apartacel.com</t>
  </si>
  <si>
    <t>+52 222 211 7240</t>
  </si>
  <si>
    <t>Apartacel</t>
  </si>
  <si>
    <t>http://www.linkedin.com/in/adabella-gavia-9a084753</t>
  </si>
  <si>
    <t>adabella.ramirez@cuponzote.com</t>
  </si>
  <si>
    <t>Roblero RÃ­os</t>
  </si>
  <si>
    <t>Coordinador E-commerce</t>
  </si>
  <si>
    <t>og.roblero.maz@gmail.com</t>
  </si>
  <si>
    <t>+52 33 1571 0108</t>
  </si>
  <si>
    <t>MAZ Autopartes</t>
  </si>
  <si>
    <t>Alterco</t>
  </si>
  <si>
    <t>http://www.linkedin.com/in/contacto-alterco-3a903b169</t>
  </si>
  <si>
    <t>contacto@altercomx.com</t>
  </si>
  <si>
    <t>TecnologÃ­a Alterco, S.A. de C.V.</t>
  </si>
  <si>
    <t>Marketing Public Relations Associate</t>
  </si>
  <si>
    <t>http://www.linkedin.com/in/fridadominique</t>
  </si>
  <si>
    <t>frida@asantefoods.com</t>
  </si>
  <si>
    <t>AsantÃ© Foods</t>
  </si>
  <si>
    <t>Grosso</t>
  </si>
  <si>
    <t>Director internacional de marketing</t>
  </si>
  <si>
    <t>http://www.linkedin.com/in/pgrosso</t>
  </si>
  <si>
    <t>paolagrosso@t-ingles.com</t>
  </si>
  <si>
    <t>+52 33 1814 0780</t>
  </si>
  <si>
    <t>Think-e English Mexico</t>
  </si>
  <si>
    <t>Aiya</t>
  </si>
  <si>
    <t>Satpayeva</t>
  </si>
  <si>
    <t>Senior Search Engine Marketing Strategist</t>
  </si>
  <si>
    <t>http://www.linkedin.com/in/aisulu</t>
  </si>
  <si>
    <t>aiya.satpayeva@thinkific.com</t>
  </si>
  <si>
    <t>+1 888-664-6383</t>
  </si>
  <si>
    <t>Thinkific</t>
  </si>
  <si>
    <t>Bermejo</t>
  </si>
  <si>
    <t>Marketing &amp; Communication Chief</t>
  </si>
  <si>
    <t>http://www.linkedin.com/in/mar%c3%ada-l-bermejo-ortega-80597186</t>
  </si>
  <si>
    <t>gerenciamercadotecnia@afamjal.com.mx</t>
  </si>
  <si>
    <t>+52 33 3343 3400</t>
  </si>
  <si>
    <t>AsociaciÃ³n de Fabricantes de Muebles de Jalisco A.C.</t>
  </si>
  <si>
    <t>Paniagua</t>
  </si>
  <si>
    <t>syd_ecommerce@syd.com.mx</t>
  </si>
  <si>
    <t>+52 55 2898 3204</t>
  </si>
  <si>
    <t>SYD</t>
  </si>
  <si>
    <t>http://www.linkedin.com/in/jonathan-ramirez-alvarez-626b03133</t>
  </si>
  <si>
    <t>j-ramirez@cyrnos.com</t>
  </si>
  <si>
    <t>+52 800 719 7385</t>
  </si>
  <si>
    <t>CompaÃ±ia Cyrnos SA de CV</t>
  </si>
  <si>
    <t>Santamaria</t>
  </si>
  <si>
    <t>http://www.linkedin.com/in/efren-santamaria-90ab4218</t>
  </si>
  <si>
    <t>efren.santamariac@fuegoazteca.com</t>
  </si>
  <si>
    <t>+52 33 1514 6490</t>
  </si>
  <si>
    <t>Industrias Fuego Azteca</t>
  </si>
  <si>
    <t>Lidia</t>
  </si>
  <si>
    <t>Comprador de TecnologÃ­a Ecommerce &amp; Marketing</t>
  </si>
  <si>
    <t>http://www.linkedin.com/in/lidiapena</t>
  </si>
  <si>
    <t>lpena@syd.com.mx</t>
  </si>
  <si>
    <t>+52'+52 222 223 7200</t>
  </si>
  <si>
    <t>SuspensiÃ³n y DirecciÃ³n</t>
  </si>
  <si>
    <t>Norma</t>
  </si>
  <si>
    <t>http://www.linkedin.com/in/norma-ponce-a54244221</t>
  </si>
  <si>
    <t>nponce@schutzls.com</t>
  </si>
  <si>
    <t>+52 449 925 2400</t>
  </si>
  <si>
    <t>Schutz Industrial Lubricants and Specialties</t>
  </si>
  <si>
    <t>Ayvar</t>
  </si>
  <si>
    <t>http://www.linkedin.com/in/valeria-ayvar-b01519124</t>
  </si>
  <si>
    <t>valeria@anapazoslifecoach.com</t>
  </si>
  <si>
    <t>+52 55 5280 2495</t>
  </si>
  <si>
    <t>Ana Pazos Life Coach</t>
  </si>
  <si>
    <t>Tina</t>
  </si>
  <si>
    <t>Star</t>
  </si>
  <si>
    <t>Director, Performance Advertising</t>
  </si>
  <si>
    <t>http://www.linkedin.com/in/tinastar</t>
  </si>
  <si>
    <t>tina.star@thinkific.com</t>
  </si>
  <si>
    <t>Oziel</t>
  </si>
  <si>
    <t>Gerente de Marketing y Proyectos</t>
  </si>
  <si>
    <t>http://www.linkedin.com/in/oziel-de-luna-6786b2150</t>
  </si>
  <si>
    <t>oluna@maico.cc</t>
  </si>
  <si>
    <t>Distribuidora Maico de MÃ©xico</t>
  </si>
  <si>
    <t>Marie-Madeleine</t>
  </si>
  <si>
    <t>Bellet</t>
  </si>
  <si>
    <t>Assistante marketing digital</t>
  </si>
  <si>
    <t>http://www.linkedin.com/in/marie-madeleine-bellet-89a102194</t>
  </si>
  <si>
    <t>marie-madeleine.bellet@fuegoazteca.com</t>
  </si>
  <si>
    <t>Angelino</t>
  </si>
  <si>
    <t>Digital marketing</t>
  </si>
  <si>
    <t>http://www.linkedin.com/in/karen-hern%c3%a1ndez-angelino-915415206</t>
  </si>
  <si>
    <t>karen@elmamut.com</t>
  </si>
  <si>
    <t>+52 55 5554 8833</t>
  </si>
  <si>
    <t>Mamut</t>
  </si>
  <si>
    <t>Amber</t>
  </si>
  <si>
    <t>Muench</t>
  </si>
  <si>
    <t>Director of Product and Lifecycle Marketing</t>
  </si>
  <si>
    <t>http://www.linkedin.com/in/amber-muench-5195ab77</t>
  </si>
  <si>
    <t>amber.m@thinkific.com</t>
  </si>
  <si>
    <t>http://www.linkedin.com/in/fernandotapiatajonar</t>
  </si>
  <si>
    <t>fernando.mkt@vvb.com.mx</t>
  </si>
  <si>
    <t>Vinos ViÃ±edos y Bodegas</t>
  </si>
  <si>
    <t>http://www.linkedin.com/in/stephaniejsharpe</t>
  </si>
  <si>
    <t>stephanie.s@thinkific.com</t>
  </si>
  <si>
    <t>http://www.linkedin.com/in/alejandra-contreras-marquez-76774471</t>
  </si>
  <si>
    <t>alejandra.marquez@artecola.com.mx</t>
  </si>
  <si>
    <t>Artecola MÃ©xico</t>
  </si>
  <si>
    <t>http://www.linkedin.com/in/mar%c3%ada-g%c3%b3mez-a22156172</t>
  </si>
  <si>
    <t>maria.gomez@ceico.mx</t>
  </si>
  <si>
    <t>+52 33 3560 9900</t>
  </si>
  <si>
    <t>Ceico ITT</t>
  </si>
  <si>
    <t>Abugaber</t>
  </si>
  <si>
    <t>http://www.linkedin.com/in/cristobal-abugaber-8a380a76</t>
  </si>
  <si>
    <t>mercadotecnia@cavana.mx</t>
  </si>
  <si>
    <t>+52 477 401 6315</t>
  </si>
  <si>
    <t>Cavana</t>
  </si>
  <si>
    <t>http://www.linkedin.com/in/gabriel-torres-l%c3%b3pez-68110426</t>
  </si>
  <si>
    <t>gabrieltorres@think-e.mx</t>
  </si>
  <si>
    <t>Ramsay</t>
  </si>
  <si>
    <t>Senior Marketing Operations Strategist</t>
  </si>
  <si>
    <t>http://www.linkedin.com/in/caroline-ramsay</t>
  </si>
  <si>
    <t>caroline@thinkific.com</t>
  </si>
  <si>
    <t>http://www.linkedin.com/in/danielatrejo</t>
  </si>
  <si>
    <t>dtrejo@idm.com.mx</t>
  </si>
  <si>
    <t>+52 55 9688 9270</t>
  </si>
  <si>
    <t>CafÃ© GILA</t>
  </si>
  <si>
    <t>Neyra</t>
  </si>
  <si>
    <t>http://www.linkedin.com/in/neyrahern%c3%a1ndez</t>
  </si>
  <si>
    <t>neyra@villamontefiori.mx</t>
  </si>
  <si>
    <t>Villa Montefiori</t>
  </si>
  <si>
    <t>Delledonne</t>
  </si>
  <si>
    <t>http://www.linkedin.com/in/sophia-delledonne-995282234</t>
  </si>
  <si>
    <t>sdg@andely.us</t>
  </si>
  <si>
    <t>+52 461 221 3306</t>
  </si>
  <si>
    <t>Andely Solutions</t>
  </si>
  <si>
    <t>Alcantara</t>
  </si>
  <si>
    <t>http://www.linkedin.com/in/gabriel-alc%c3%a1ntara-9861941aa</t>
  </si>
  <si>
    <t>gabriel@aerosolms.com</t>
  </si>
  <si>
    <t>+52 55 5675 7434</t>
  </si>
  <si>
    <t>AEROSOL MEDICAL SYSTEMS</t>
  </si>
  <si>
    <t>Becerra</t>
  </si>
  <si>
    <t>http://www.linkedin.com/in/paola-becerra-tejeda-228591121</t>
  </si>
  <si>
    <t>pbecerra@k1speed.mx</t>
  </si>
  <si>
    <t>+1 949-250-0242</t>
  </si>
  <si>
    <t>K1 Speed MÃ©xico</t>
  </si>
  <si>
    <t>http://www.linkedin.com/in/paola-grosso-chacon</t>
  </si>
  <si>
    <t>Marketing SolÃ³tica</t>
  </si>
  <si>
    <t>http://www.linkedin.com/in/omar-fonseca-4895b6200</t>
  </si>
  <si>
    <t>omar.fonseca@solotica.com.mx</t>
  </si>
  <si>
    <t>SolÃ³tica MÃ©xico</t>
  </si>
  <si>
    <t>Gill</t>
  </si>
  <si>
    <t>Senior Director, Product &amp; Lifecycle Marketing</t>
  </si>
  <si>
    <t>http://www.linkedin.com/in/amygillvendasta</t>
  </si>
  <si>
    <t>amy.gill@thinkific.com</t>
  </si>
  <si>
    <t>Bego</t>
  </si>
  <si>
    <t>Ocariz</t>
  </si>
  <si>
    <t>http://www.linkedin.com/sales/lead/ACwAAEWKwzcBwbQqoqid0y0uGUWQCESvb637E6c,NAME_SEARCH,_DXy</t>
  </si>
  <si>
    <t>bego@luckyly.mx</t>
  </si>
  <si>
    <t>LuckyLy</t>
  </si>
  <si>
    <t>Meha</t>
  </si>
  <si>
    <t>Powani</t>
  </si>
  <si>
    <t>http://www.linkedin.com/in/mehapowani</t>
  </si>
  <si>
    <t>meha@thinkific.com</t>
  </si>
  <si>
    <t>Content Marketing Specialist, Thinkific Plus</t>
  </si>
  <si>
    <t>http://www.linkedin.com/in/danielamochoa</t>
  </si>
  <si>
    <t>daniela.ochoa@thinkific.com</t>
  </si>
  <si>
    <t>http://www.linkedin.com/in/ricardo-serrano-840b03155</t>
  </si>
  <si>
    <t>ricardo@covintec.com</t>
  </si>
  <si>
    <t>+52 55 1327 8096</t>
  </si>
  <si>
    <t>COVINTEC</t>
  </si>
  <si>
    <t>Zohreh</t>
  </si>
  <si>
    <t>Toomari</t>
  </si>
  <si>
    <t>senior graphic designer. Marketing and Web Designer . I have worked</t>
  </si>
  <si>
    <t>http://www.linkedin.com/in/zohreh-toomari</t>
  </si>
  <si>
    <t>tomari@flco-co.com</t>
  </si>
  <si>
    <t>+52 33 3693 1990</t>
  </si>
  <si>
    <t>FLUID CONTROL</t>
  </si>
  <si>
    <t>http://www.linkedin.com/in/carlos-hinojosa-4bb757180</t>
  </si>
  <si>
    <t>carloshinojosa@t-ingles.com</t>
  </si>
  <si>
    <t>Director de Marketing y Educacion Continua</t>
  </si>
  <si>
    <t>http://www.linkedin.com/in/braulio-perea-67556b187</t>
  </si>
  <si>
    <t>braulioperea@ideasdentales.com</t>
  </si>
  <si>
    <t>+52 55 5514 8721</t>
  </si>
  <si>
    <t>Ideas Dentales</t>
  </si>
  <si>
    <t>http://www.linkedin.com/in/allierussell</t>
  </si>
  <si>
    <t>Co-Founder and Chief Marketing Officer (CMO)</t>
  </si>
  <si>
    <t>http://www.linkedin.com/in/mauricio-de-la-torre-73b75a101</t>
  </si>
  <si>
    <t>mauricio@kreativa-gourmet.com</t>
  </si>
  <si>
    <t>+52 55 6694 5998</t>
  </si>
  <si>
    <t>Kreativa Gourmet</t>
  </si>
  <si>
    <t>http://www.linkedin.com/in/mar%c3%ada-luisa-benitez-554714234</t>
  </si>
  <si>
    <t>mariabenitez@ideasdentales.com</t>
  </si>
  <si>
    <t>http://www.linkedin.com/in/mar%c3%ada-guadalupe-g%c3%b3mez-ramos-a22156172</t>
  </si>
  <si>
    <t>Zaira</t>
  </si>
  <si>
    <t>Coordinador de Marketing digital</t>
  </si>
  <si>
    <t>http://www.linkedin.com/in/zanavro</t>
  </si>
  <si>
    <t>zaira.navarro@ingenieriaei.com.mx</t>
  </si>
  <si>
    <t>IngenierÃ­a EnergÃ©tica Integral, S.A. de C.V.</t>
  </si>
  <si>
    <t>Celso</t>
  </si>
  <si>
    <t>Gerente superior de marketing</t>
  </si>
  <si>
    <t>http://www.linkedin.com/in/celso-guzm%c3%a1n-rivas-626434244</t>
  </si>
  <si>
    <t>celso@wendlandt.com.mx</t>
  </si>
  <si>
    <t>+52 646 178 2938</t>
  </si>
  <si>
    <t>CervecerÃ­a Wendlandt De MÃ©xico</t>
  </si>
  <si>
    <t>http://www.linkedin.com/in/katiasarai</t>
  </si>
  <si>
    <t>kperez@braggao.com.mx</t>
  </si>
  <si>
    <t>+52 33 1653 4113</t>
  </si>
  <si>
    <t>Braggao</t>
  </si>
  <si>
    <t>Encargada E-Commerce</t>
  </si>
  <si>
    <t>hola@crossmountain.mx</t>
  </si>
  <si>
    <t>+52 33 3559 9689</t>
  </si>
  <si>
    <t>Cross Mountain MÃ©xico</t>
  </si>
  <si>
    <t>Commercial Marketing Manager</t>
  </si>
  <si>
    <t>http://www.linkedin.com/in/fernanda-b-71b72b48</t>
  </si>
  <si>
    <t>fernandab.@delher.com</t>
  </si>
  <si>
    <t>Delher</t>
  </si>
  <si>
    <t>Matheus</t>
  </si>
  <si>
    <t>Lead User Acquisition &amp; Growth Marketing</t>
  </si>
  <si>
    <t>http://www.linkedin.com/in/ale-matheus-sp%c3%b3sito</t>
  </si>
  <si>
    <t>alejandra@intrare.mx</t>
  </si>
  <si>
    <t>Intrare</t>
  </si>
  <si>
    <t>Marlon</t>
  </si>
  <si>
    <t>Garay</t>
  </si>
  <si>
    <t>DiseÃ±ador grÃ¡fico de marketing</t>
  </si>
  <si>
    <t>http://www.linkedin.com/in/marlon-garay-431016180</t>
  </si>
  <si>
    <t>marlon@pacasa.com.mx</t>
  </si>
  <si>
    <t>Pacasa</t>
  </si>
  <si>
    <t>http://www.linkedin.com/in/nicole-shain-7426817</t>
  </si>
  <si>
    <t>nicole.shain@thinkific.com</t>
  </si>
  <si>
    <t>Burgos</t>
  </si>
  <si>
    <t>Account Executive - Advertising</t>
  </si>
  <si>
    <t>http://www.linkedin.com/in/alicia-burgos-75301254</t>
  </si>
  <si>
    <t>alicia@bigideasmx.com</t>
  </si>
  <si>
    <t>BiG ideas mx</t>
  </si>
  <si>
    <t>Consultor de marketing</t>
  </si>
  <si>
    <t>http://www.linkedin.com/in/luis-flores-05056542</t>
  </si>
  <si>
    <t>ventasweb@insane.com.mx</t>
  </si>
  <si>
    <t>+52 449 925 7737</t>
  </si>
  <si>
    <t>Insane CompaÃ±ia Mexicana</t>
  </si>
  <si>
    <t>http://www.linkedin.com/in/juli%c3%a1n-s%c3%a1nchez-163aa5224</t>
  </si>
  <si>
    <t>juliansanchez@t-ingles.com</t>
  </si>
  <si>
    <t>Gerente de sucursal Ecommerce, Ventas y Marketplace</t>
  </si>
  <si>
    <t>http://www.linkedin.com/in/ciasacomercial-company</t>
  </si>
  <si>
    <t>ecommerce@ciasamexico.com</t>
  </si>
  <si>
    <t>+52 800 633 8307</t>
  </si>
  <si>
    <t>Ciasa MÃ©xico</t>
  </si>
  <si>
    <t>http://www.linkedin.com/in/dianagranadosm</t>
  </si>
  <si>
    <t>dgranados@braggao.com.mx</t>
  </si>
  <si>
    <t>Caballero</t>
  </si>
  <si>
    <t>Subdirectora Nacional de Marketing en Think-E</t>
  </si>
  <si>
    <t>http://www.linkedin.com/in/luisa-fernanda-caballero-wilches-4b1a001b9</t>
  </si>
  <si>
    <t>luisacaballero@t-ingles.com</t>
  </si>
  <si>
    <t>Saenz</t>
  </si>
  <si>
    <t>http://www.linkedin.com/in/lizbeth-esmeralda-ramirez-saenz-185b5217a</t>
  </si>
  <si>
    <t>mercadotecnia@rmb.com.mx</t>
  </si>
  <si>
    <t>+52 55 5934 3954</t>
  </si>
  <si>
    <t>RMB Maquinaria</t>
  </si>
  <si>
    <t>Nova</t>
  </si>
  <si>
    <t>Pelletier</t>
  </si>
  <si>
    <t>Partner Marketing Manager</t>
  </si>
  <si>
    <t>http://www.linkedin.com/in/novapelletier</t>
  </si>
  <si>
    <t>nova@thinkific.com</t>
  </si>
  <si>
    <t>Gerente de Marketing &amp; Nuevos Negocios</t>
  </si>
  <si>
    <t>http://www.linkedin.com/in/jesus-omar-delgado-gomez-mkt</t>
  </si>
  <si>
    <t>jesus@aerosolms.com</t>
  </si>
  <si>
    <t>Brand Marketing Strategist</t>
  </si>
  <si>
    <t>http://www.linkedin.com/in/melissanicolwong</t>
  </si>
  <si>
    <t>melissa.wong@thinkific.com</t>
  </si>
  <si>
    <t>Coordinador de relaciones pÃºblicas y marketing</t>
  </si>
  <si>
    <t>http://www.linkedin.com/in/carlos-a-0953262a</t>
  </si>
  <si>
    <t>ca.@chmd.edu.mx</t>
  </si>
  <si>
    <t>Colegio Hebreo Maguen David</t>
  </si>
  <si>
    <t>Geovanna</t>
  </si>
  <si>
    <t>http://www.linkedin.com/in/geovannacolina</t>
  </si>
  <si>
    <t>gcolina@provisiongroup.mx</t>
  </si>
  <si>
    <t>+52 664 687 1745</t>
  </si>
  <si>
    <t>Provision Group S.A de C.V.</t>
  </si>
  <si>
    <t>Reilly</t>
  </si>
  <si>
    <t>Lievers</t>
  </si>
  <si>
    <t>A marketing guy</t>
  </si>
  <si>
    <t>http://www.linkedin.com/in/reilly-lievers-72581190</t>
  </si>
  <si>
    <t>reilly@thinkific.com</t>
  </si>
  <si>
    <t>Arian</t>
  </si>
  <si>
    <t>Alemzadeh</t>
  </si>
  <si>
    <t>Sr. Email Marketing Strategist</t>
  </si>
  <si>
    <t>http://www.linkedin.com/in/arian-alemzadeh</t>
  </si>
  <si>
    <t>arian.alemzadeh@thinkific.com</t>
  </si>
  <si>
    <t>Zamna</t>
  </si>
  <si>
    <t>Responsable Marketing y CRM</t>
  </si>
  <si>
    <t>http://www.linkedin.com/in/zamna-ichel-mungu%c3%ada-garc%c3%ada-705a15aa</t>
  </si>
  <si>
    <t>zmunguia@maquinter.com.mx</t>
  </si>
  <si>
    <t>+52 55 5571 8166</t>
  </si>
  <si>
    <t>Maquinter</t>
  </si>
  <si>
    <t>Practicante en la Gerencia de Marketing y ComunicaciÃ³n</t>
  </si>
  <si>
    <t>http://www.linkedin.com/in/karina-elizabeth-navarro-tovar-952221212</t>
  </si>
  <si>
    <t>karina.tovar@cefi.com.mx</t>
  </si>
  <si>
    <t>+52 444 585 2221</t>
  </si>
  <si>
    <t>CEFI SLP</t>
  </si>
  <si>
    <t>Nardie</t>
  </si>
  <si>
    <t>Ghebreyesus</t>
  </si>
  <si>
    <t>Email &amp; Marketing Automation</t>
  </si>
  <si>
    <t>http://www.linkedin.com/in/nardie-ghebreyesus-a0916b195</t>
  </si>
  <si>
    <t>nardie.ghebreyesus@thinkific.com</t>
  </si>
  <si>
    <t>Product Marketing</t>
  </si>
  <si>
    <t>http://www.linkedin.com/in/stephaniesullivan2</t>
  </si>
  <si>
    <t>stephanie.sullivan@thinkific.com</t>
  </si>
  <si>
    <t>+1 888-832-2409</t>
  </si>
  <si>
    <t>http://www.linkedin.com/in/fernanda-cornejo-4b479915a</t>
  </si>
  <si>
    <t>fernanda.cornejo@paynal.com.mx</t>
  </si>
  <si>
    <t>+52 449 963 6034</t>
  </si>
  <si>
    <t>PAYNAL</t>
  </si>
  <si>
    <t>http://www.linkedin.com/in/diana-cecilia-jauregui-gonzalez-70a7bb177</t>
  </si>
  <si>
    <t>diana.gonzalez@monchys.com</t>
  </si>
  <si>
    <t>+52 618 817 1916</t>
  </si>
  <si>
    <t>Pasteleria Monchys</t>
  </si>
  <si>
    <t>Marketing &amp; Account Executive</t>
  </si>
  <si>
    <t>http://www.linkedin.com/in/candy-montes</t>
  </si>
  <si>
    <t>cmontes@ahehose.com.mx</t>
  </si>
  <si>
    <t>+52 33 3365 8765</t>
  </si>
  <si>
    <t>Alliance Hose de MÃ©xico</t>
  </si>
  <si>
    <t>http://www.linkedin.com/in/andr%c3%a9s-l%c3%b3pez-guevara-2475a3b2</t>
  </si>
  <si>
    <t>mercadotecnia@carmotion.com.mx</t>
  </si>
  <si>
    <t>+52 55 5941 6860</t>
  </si>
  <si>
    <t>Car Motion</t>
  </si>
  <si>
    <t>Rosangela</t>
  </si>
  <si>
    <t>http://www.linkedin.com/in/rosangelarosales</t>
  </si>
  <si>
    <t>rosangela.r.@bolteam.com</t>
  </si>
  <si>
    <t>+52528121664857</t>
  </si>
  <si>
    <t>Bolteam</t>
  </si>
  <si>
    <t>Nardos</t>
  </si>
  <si>
    <t>http://www.linkedin.com/in/nardos-ghebreyesus-a0916b195</t>
  </si>
  <si>
    <t>nardos.ghebreyesus@thinkific.com</t>
  </si>
  <si>
    <t>Raina</t>
  </si>
  <si>
    <t>Armstrong</t>
  </si>
  <si>
    <t>Lifecycle Marketing Strategist</t>
  </si>
  <si>
    <t>http://www.linkedin.com/in/raina-armstrong-59541446</t>
  </si>
  <si>
    <t>raina@thinkific.com</t>
  </si>
  <si>
    <t>http://www.linkedin.com/in/montserratcarmona</t>
  </si>
  <si>
    <t>andrea.carmona@artecola.com.mx</t>
  </si>
  <si>
    <t>Kris</t>
  </si>
  <si>
    <t>Chichak</t>
  </si>
  <si>
    <t>Lifecycle Marketing Manager</t>
  </si>
  <si>
    <t>http://www.linkedin.com/in/kris-chichak-b6315798</t>
  </si>
  <si>
    <t>kris@thinkific.com</t>
  </si>
  <si>
    <t>http://www.linkedin.com/in/adri%c3%a1n-vaca-gonzalez-19b21611a</t>
  </si>
  <si>
    <t>adrian.vaca@hrmconsulting.mx</t>
  </si>
  <si>
    <t>HRM Consulting Mx</t>
  </si>
  <si>
    <t>Ines</t>
  </si>
  <si>
    <t>Head of Digital Marketing &amp; E-Commerce</t>
  </si>
  <si>
    <t>http://www.linkedin.com/in/in%c3%a9s-rodr%c3%adguez-7b8a8aa6</t>
  </si>
  <si>
    <t>ines.rodriguez@memoryfoam.com.mx</t>
  </si>
  <si>
    <t>+52 1 80 0367 6472</t>
  </si>
  <si>
    <t>Memory Foam by CC Espumas</t>
  </si>
  <si>
    <t>Farhad</t>
  </si>
  <si>
    <t>Teymoorzade</t>
  </si>
  <si>
    <t>seles and marketing specialist</t>
  </si>
  <si>
    <t>http://www.linkedin.com/in/farhad-teymoorzade</t>
  </si>
  <si>
    <t>farhad.teymoorzade@pfccorp.com.mx</t>
  </si>
  <si>
    <t>Yair</t>
  </si>
  <si>
    <t>http://www.linkedin.com/in/yair-franco-hern%c3%a1ndez-656175178</t>
  </si>
  <si>
    <t>y.franco@ecologiadevida.mx</t>
  </si>
  <si>
    <t>ECOLOGIA DEVIDA, SA DE CV</t>
  </si>
  <si>
    <t>Quito</t>
  </si>
  <si>
    <t>Marketing y eCommerce Manager</t>
  </si>
  <si>
    <t>http://www.linkedin.com/in/tom%c3%a1s-e-quito-ramos-3a915880</t>
  </si>
  <si>
    <t>tomas.quito@eebc.com.mx</t>
  </si>
  <si>
    <t>+52 686 561 5201</t>
  </si>
  <si>
    <t>Equipos ElÃ©ctricos</t>
  </si>
  <si>
    <t>http://www.linkedin.com/in/erik-n-canales-13a0491ab</t>
  </si>
  <si>
    <t>erik.canales@neufeld.com.mx</t>
  </si>
  <si>
    <t>+52 33 3268 3400</t>
  </si>
  <si>
    <t>PastelerÃ­a Neufeld</t>
  </si>
  <si>
    <t>Senior Marketing Designer</t>
  </si>
  <si>
    <t>http://www.linkedin.com/in/aurora-lynch-69465131</t>
  </si>
  <si>
    <t>aurora.lynch@thinkific.com</t>
  </si>
  <si>
    <t>Business Marketing Consultant</t>
  </si>
  <si>
    <t>http://www.linkedin.com/in/luise-cervantes</t>
  </si>
  <si>
    <t>luis.cervantes@ceico.mx</t>
  </si>
  <si>
    <t>http://www.linkedin.com/in/christie-e-horsman</t>
  </si>
  <si>
    <t>christie@thinkific.com</t>
  </si>
  <si>
    <t>Skaaning</t>
  </si>
  <si>
    <t>http://www.linkedin.com/in/ninaskaaning</t>
  </si>
  <si>
    <t>nina.skaaning@thinkific.com</t>
  </si>
  <si>
    <t>Keanen</t>
  </si>
  <si>
    <t>Buckley</t>
  </si>
  <si>
    <t>Marketing Strategist</t>
  </si>
  <si>
    <t>http://www.linkedin.com/in/keanenbuckley</t>
  </si>
  <si>
    <t>keanen@thinkific.com</t>
  </si>
  <si>
    <t>http://www.linkedin.com/in/luis-enrique-cervantes-torres-176a9117a</t>
  </si>
  <si>
    <t>Sheira</t>
  </si>
  <si>
    <t>Rebollo</t>
  </si>
  <si>
    <t>Manager Marketplaces &amp; eCommerce</t>
  </si>
  <si>
    <t>http://www.linkedin.com/in/sheira-yaret-segundo-rebollo-224202202</t>
  </si>
  <si>
    <t>srebollo@govarimedical.com.mx</t>
  </si>
  <si>
    <t>551-020-0400</t>
  </si>
  <si>
    <t>Govari</t>
  </si>
  <si>
    <t>http://www.linkedin.com/in/selene-rodriguez-28b9bb127</t>
  </si>
  <si>
    <t>selene.rodriguez@semsamty.com</t>
  </si>
  <si>
    <t>+52 55 9113 1600</t>
  </si>
  <si>
    <t>Servicios Especializados de Monterrey (SEMSA)</t>
  </si>
  <si>
    <t>McI</t>
  </si>
  <si>
    <t>Automation</t>
  </si>
  <si>
    <t>http://www.linkedin.com/in/mci-automation-076a09189</t>
  </si>
  <si>
    <t>mci.automation@mci-automation.com</t>
  </si>
  <si>
    <t>MCI AutomationÂ®</t>
  </si>
  <si>
    <t>http://www.linkedin.com/in/alicia-rodriguez-ayala-827763189</t>
  </si>
  <si>
    <t>alicia@luxsa.com.mx</t>
  </si>
  <si>
    <t>LUXSA</t>
  </si>
  <si>
    <t>Marketing Manager/ Campaign Manager</t>
  </si>
  <si>
    <t>http://www.linkedin.com/in/fernanda-aguilar-de-la-torre-219706231</t>
  </si>
  <si>
    <t>fernanda.aguilar@troop.com.mx</t>
  </si>
  <si>
    <t>troop</t>
  </si>
  <si>
    <t>Gerente superior de marketing y ventas</t>
  </si>
  <si>
    <t>http://www.linkedin.com/in/paola-campos-530070163</t>
  </si>
  <si>
    <t>paola.campos@ufit.mx</t>
  </si>
  <si>
    <t>Ufit Wellness Center and Spa</t>
  </si>
  <si>
    <t>Seg</t>
  </si>
  <si>
    <t>http://www.linkedin.com/in/seg-m%c3%a9xico-8b722823a</t>
  </si>
  <si>
    <t>sistemas@segmexico.com.mx</t>
  </si>
  <si>
    <t>Seg MÃ©xico</t>
  </si>
  <si>
    <t>Stephany</t>
  </si>
  <si>
    <t>Tolentino</t>
  </si>
  <si>
    <t>http://www.linkedin.com/in/stephany-tolentino-4b4399bb</t>
  </si>
  <si>
    <t>stephany.tolentino@stoneway.com.mx</t>
  </si>
  <si>
    <t>+52 81 1769 6662</t>
  </si>
  <si>
    <t>Stoneway Workforce Culture</t>
  </si>
  <si>
    <t>ComunicaciÃ³n y marketing</t>
  </si>
  <si>
    <t>http://www.linkedin.com/in/daniela-ponce-alvara-7469b0210</t>
  </si>
  <si>
    <t>daniela.ponce@masso.com.mx</t>
  </si>
  <si>
    <t>MassÃ³</t>
  </si>
  <si>
    <t>AdministraciÃ³n de Ventas y Marketing</t>
  </si>
  <si>
    <t>http://www.linkedin.com/in/marisol-tapia-garc%c3%ada-17160519a</t>
  </si>
  <si>
    <t>marisol.tapia@appcore.mx</t>
  </si>
  <si>
    <t>+52 55 5752 9971</t>
  </si>
  <si>
    <t>AppCore Power</t>
  </si>
  <si>
    <t>DirecciÃ³n de explotaciÃ³n HSB y direcciÃ³n de marketing corporativo</t>
  </si>
  <si>
    <t>http://www.linkedin.com/in/borja-mu%c3%b1oz-21938527</t>
  </si>
  <si>
    <t>borjam@ipasa.com</t>
  </si>
  <si>
    <t>+52 477 711 1601</t>
  </si>
  <si>
    <t>InformÃ¡tica PrÃ¡ctica Aplicada SA de CV (IPASA)</t>
  </si>
  <si>
    <t>http://www.linkedin.com/in/kiflemariam-abraha-2a163b153</t>
  </si>
  <si>
    <t>kiflemariam.abraha@ecwid.com</t>
  </si>
  <si>
    <t>+1 760-230-1069</t>
  </si>
  <si>
    <t>Ecwid by Lightspeed</t>
  </si>
  <si>
    <t>http://www.linkedin.com/in/fernandoguzram</t>
  </si>
  <si>
    <t>fernando.guzman@jecor.com.mx</t>
  </si>
  <si>
    <t>Grupo JECOR</t>
  </si>
  <si>
    <t>http://www.linkedin.com/in/ana-cristina-salcedo-gonzalez-b8990181</t>
  </si>
  <si>
    <t>csalcedo@idelec.com.mx</t>
  </si>
  <si>
    <t>+52 33 3811 8200</t>
  </si>
  <si>
    <t>Idelec Mexico</t>
  </si>
  <si>
    <t>Planellas</t>
  </si>
  <si>
    <t>http://www.linkedin.com/in/catalina-planellas-astudillo-307332157</t>
  </si>
  <si>
    <t>c_astudillo@sistemasdigitalesav.com.mx</t>
  </si>
  <si>
    <t>Sistemas Digitales</t>
  </si>
  <si>
    <t>Nubia</t>
  </si>
  <si>
    <t>Tellez</t>
  </si>
  <si>
    <t>http://www.linkedin.com/in/sayra-nubia-t%c3%a9llez</t>
  </si>
  <si>
    <t>nubia.tellez@megamil.com.mx</t>
  </si>
  <si>
    <t>+52 442 242 2681</t>
  </si>
  <si>
    <t>Megamil</t>
  </si>
  <si>
    <t>http://www.linkedin.com/in/vero-maldonado</t>
  </si>
  <si>
    <t>vmaldonado@nichos.com.mx</t>
  </si>
  <si>
    <t>+52 442 384 8845</t>
  </si>
  <si>
    <t>Nichos de MÃ©xico S.A. de C.V.</t>
  </si>
  <si>
    <t>http://www.linkedin.com/in/vanessagranadosm</t>
  </si>
  <si>
    <t>vanessa.granados@valta.com.mx</t>
  </si>
  <si>
    <t>Valta</t>
  </si>
  <si>
    <t>Maciel</t>
  </si>
  <si>
    <t>DiseÃ±ador grÃ¡fico Sr y Back Marketing</t>
  </si>
  <si>
    <t>http://www.linkedin.com/in/v%c3%adctor-alonso-maciel-guzman-a922b4100</t>
  </si>
  <si>
    <t>v.guzman@grupoascencio.com.mx</t>
  </si>
  <si>
    <t>Grupo Ascencio</t>
  </si>
  <si>
    <t>http://www.linkedin.com/in/valeria-gonzalez-aa628621</t>
  </si>
  <si>
    <t>valeria.gonzalez@gedeonrichter.eu</t>
  </si>
  <si>
    <t>+52 55 7600 2480</t>
  </si>
  <si>
    <t>Gedeon Richter MÃ©xico</t>
  </si>
  <si>
    <t>Gremsa</t>
  </si>
  <si>
    <t>http://www.linkedin.com/in/mkt-gremsa-2802741ba</t>
  </si>
  <si>
    <t>mkt@gruasgremsa.com.mx</t>
  </si>
  <si>
    <t>+52 55 6537 9552</t>
  </si>
  <si>
    <t>Gruas Gremsa</t>
  </si>
  <si>
    <t>http://www.linkedin.com/in/karen-uribe</t>
  </si>
  <si>
    <t>karen@arkstudios.com.mx</t>
  </si>
  <si>
    <t>Ark Studios MÃ©xico</t>
  </si>
  <si>
    <t>Bogado</t>
  </si>
  <si>
    <t>Gerente de eCommerce &amp; Digital Marketing</t>
  </si>
  <si>
    <t>http://www.linkedin.com/in/jesusbogado</t>
  </si>
  <si>
    <t>jesus.bogado@argenparts.com.mx</t>
  </si>
  <si>
    <t>+52 444 587 0987</t>
  </si>
  <si>
    <t>Argenparts</t>
  </si>
  <si>
    <t>Ayora</t>
  </si>
  <si>
    <t>Marketing developer</t>
  </si>
  <si>
    <t>http://www.linkedin.com/in/marco-ayora-a5674590</t>
  </si>
  <si>
    <t>marco.ayora@levosim.com</t>
  </si>
  <si>
    <t>+52 442 962 9169</t>
  </si>
  <si>
    <t>Levosim</t>
  </si>
  <si>
    <t>Anu</t>
  </si>
  <si>
    <t>Rajaharju</t>
  </si>
  <si>
    <t>http://www.linkedin.com/in/anu-rajaharju-88b366127</t>
  </si>
  <si>
    <t>anu.rajaharju@frendy.fi</t>
  </si>
  <si>
    <t>FRESH STREET CULTURE</t>
  </si>
  <si>
    <t>Digital Marketing Strategist - Project Manager</t>
  </si>
  <si>
    <t>http://www.linkedin.com/in/haydee-garcia-b211b016a</t>
  </si>
  <si>
    <t>haydee.garcia@troop.com.mx</t>
  </si>
  <si>
    <t>+1 786-975-4306</t>
  </si>
  <si>
    <t>Sales And Marketing Ejecutive</t>
  </si>
  <si>
    <t>http://www.linkedin.com/in/brenda-medina-20a62bb5</t>
  </si>
  <si>
    <t>brenda.medina@inox-sanluis.com.mx</t>
  </si>
  <si>
    <t>+52 444 804 1170</t>
  </si>
  <si>
    <t>Inoxidables de San Luis SA de CV</t>
  </si>
  <si>
    <t>Sauceda</t>
  </si>
  <si>
    <t>LÃ­der de Marketing</t>
  </si>
  <si>
    <t>http://www.linkedin.com/in/nancy-sauceda-65581b183</t>
  </si>
  <si>
    <t>nancy@tequilalajoya.com</t>
  </si>
  <si>
    <t>+52 391 917 2295</t>
  </si>
  <si>
    <t>Tequila La Joya</t>
  </si>
  <si>
    <t>DirecciÃ³n de Marketing</t>
  </si>
  <si>
    <t>http://www.linkedin.com/in/maribel-gonz%c3%a1lez-gil-10256048</t>
  </si>
  <si>
    <t>maribel.gonzalez@abremaq.com</t>
  </si>
  <si>
    <t>+52 33 3650 2040</t>
  </si>
  <si>
    <t>ABREMAQ</t>
  </si>
  <si>
    <t>Head of Marketing and E-commerce</t>
  </si>
  <si>
    <t>http://www.linkedin.com/in/alfonso-gomez-8b594735</t>
  </si>
  <si>
    <t>alfonsoy@tebi.com.mx</t>
  </si>
  <si>
    <t>Industrias Tebi</t>
  </si>
  <si>
    <t>Manager Marketing y Marketplaces</t>
  </si>
  <si>
    <t>http://www.linkedin.com/in/alejandra-nu%c3%b1ez-garcia-b87852212</t>
  </si>
  <si>
    <t>alejandra@cielitodrone.com</t>
  </si>
  <si>
    <t>555-585-0290</t>
  </si>
  <si>
    <t>Cielito Drone</t>
  </si>
  <si>
    <t>Alvarado</t>
  </si>
  <si>
    <t>http://www.linkedin.com/in/alejandra-c-alvarado-419084128</t>
  </si>
  <si>
    <t>alejandra.alvarado@uinter.mx</t>
  </si>
  <si>
    <t>Universidad Internacional del Liderazgo y Desarrollo</t>
  </si>
  <si>
    <t>Yul</t>
  </si>
  <si>
    <t>Responsable de marketing</t>
  </si>
  <si>
    <t>http://www.linkedin.com/in/yul-byron-perez-martinez-11a839100</t>
  </si>
  <si>
    <t>byron.perez@prida.com.mx</t>
  </si>
  <si>
    <t>+52 867 712 1160</t>
  </si>
  <si>
    <t>PRIDA SERVICIOS CORPORATIVO SAPI DE CV</t>
  </si>
  <si>
    <t>lsoto@piedaterre.world</t>
  </si>
  <si>
    <t>+52 443 504 7307</t>
  </si>
  <si>
    <t>Pied Ã Terre</t>
  </si>
  <si>
    <t>Nieves</t>
  </si>
  <si>
    <t>http://www.linkedin.com/in/fernando-nieves-1a7467144</t>
  </si>
  <si>
    <t>fnieves@tecnicamineral.com.mx</t>
  </si>
  <si>
    <t>+52 33 3601 2233</t>
  </si>
  <si>
    <t>Temisa</t>
  </si>
  <si>
    <t>http://www.linkedin.com/in/valerialunav</t>
  </si>
  <si>
    <t>valerialuna@silviacarnevali.mx</t>
  </si>
  <si>
    <t>+1 818-346-5782</t>
  </si>
  <si>
    <t>Silvia Carnevali</t>
  </si>
  <si>
    <t>Saul</t>
  </si>
  <si>
    <t>http://www.linkedin.com/in/sa%c3%bal-israel-olvera-guerrero-7b5876187</t>
  </si>
  <si>
    <t>saul.olvera@consultorescpm.com.mx</t>
  </si>
  <si>
    <t>Consultores CPM S.A. de C.V.</t>
  </si>
  <si>
    <t>Bah</t>
  </si>
  <si>
    <t>Hamadi</t>
  </si>
  <si>
    <t>http://www.linkedin.com/in/bah-hamadi-50682a220</t>
  </si>
  <si>
    <t>bah.hamadi@ecwid.com</t>
  </si>
  <si>
    <t>Especialista en ventas y marketing en Grupo Textil 2000</t>
  </si>
  <si>
    <t>http://www.linkedin.com/in/salvador-rivera-310767241</t>
  </si>
  <si>
    <t>srivera@gd3000.com.mx</t>
  </si>
  <si>
    <t>+52 1 55 5130 5000</t>
  </si>
  <si>
    <t>Grupo Textil 2000</t>
  </si>
  <si>
    <t>DiseÃ±ador GrÃ¡fico Creativo &amp; Marketing</t>
  </si>
  <si>
    <t>http://www.linkedin.com/in/adolfo-barrera-1447ba92</t>
  </si>
  <si>
    <t>adolfo.barrera@segmexico.com.mx</t>
  </si>
  <si>
    <t>Orta</t>
  </si>
  <si>
    <t>http://www.linkedin.com/in/samuelortam</t>
  </si>
  <si>
    <t>samuel.orta@insunte.edu.mx</t>
  </si>
  <si>
    <t>+52 844 106 3884</t>
  </si>
  <si>
    <t>Instituto Universitario del Norte</t>
  </si>
  <si>
    <t>http://www.linkedin.com/in/natalia-garc%c3%ada-ab6437165</t>
  </si>
  <si>
    <t>natalia.garcia@darsis.com.mx</t>
  </si>
  <si>
    <t>DarsisÂ®</t>
  </si>
  <si>
    <t>Venera</t>
  </si>
  <si>
    <t>Muslimova</t>
  </si>
  <si>
    <t>Regional marketing specialist</t>
  </si>
  <si>
    <t>http://www.linkedin.com/in/veneramuslimova</t>
  </si>
  <si>
    <t>venera.muslimova@ecwid.com</t>
  </si>
  <si>
    <t>Coordinador Trade Marketing</t>
  </si>
  <si>
    <t>http://www.linkedin.com/in/aurazama1751</t>
  </si>
  <si>
    <t>aurora.zamora@hut.com.mx</t>
  </si>
  <si>
    <t>+52 55 5607 1746</t>
  </si>
  <si>
    <t>HUT Internacional</t>
  </si>
  <si>
    <t>Cural</t>
  </si>
  <si>
    <t>http://www.linkedin.com/in/angel-omar-canto-cural-363267153</t>
  </si>
  <si>
    <t>angel09canto@gmail.com</t>
  </si>
  <si>
    <t>+52 999 749 9822</t>
  </si>
  <si>
    <t>Risk Top Tactical</t>
  </si>
  <si>
    <t>Amairani</t>
  </si>
  <si>
    <t>Pitalua</t>
  </si>
  <si>
    <t>KAM Ecommerce y Gourmet</t>
  </si>
  <si>
    <t>http://www.linkedin.com/in/amairani-pitalua-229a19169</t>
  </si>
  <si>
    <t>amairani@organicaysaludable.com</t>
  </si>
  <si>
    <t>By Organica y Saludable</t>
  </si>
  <si>
    <t>http://www.linkedin.com/in/itzel-s%c3%a1nchez-rodr%c3%adguez-1baabb153</t>
  </si>
  <si>
    <t>isanchez@exhibipop.com</t>
  </si>
  <si>
    <t>exhibipop</t>
  </si>
  <si>
    <t>Tombesi</t>
  </si>
  <si>
    <t>http://www.linkedin.com/in/fernando-tombesi-70a373b2</t>
  </si>
  <si>
    <t>ftombesi@web360.com</t>
  </si>
  <si>
    <t>+52 81 1678 9056</t>
  </si>
  <si>
    <t>Web360</t>
  </si>
  <si>
    <t>Barcena</t>
  </si>
  <si>
    <t>http://www.linkedin.com/in/paola-b%c3%a1rcena-857221252</t>
  </si>
  <si>
    <t>pbarcena@identatronics.com.mx</t>
  </si>
  <si>
    <t>+52 55 5538 5543</t>
  </si>
  <si>
    <t>IDENTATRONICS DE MEXICO SA DE CV</t>
  </si>
  <si>
    <t>Yamina</t>
  </si>
  <si>
    <t>http://www.linkedin.com/in/yamina-garcia-martinez</t>
  </si>
  <si>
    <t>y.garcia@velosport.mx</t>
  </si>
  <si>
    <t>811-097-1079</t>
  </si>
  <si>
    <t>Velosport.mx</t>
  </si>
  <si>
    <t>Bravo</t>
  </si>
  <si>
    <t>Auxiliar administrativo de marketing</t>
  </si>
  <si>
    <t>http://www.linkedin.com/in/jose-bravo-rodriguez-975815181</t>
  </si>
  <si>
    <t>jose.rodriguez@kenworthdelsur.com.mx</t>
  </si>
  <si>
    <t>Kenworth Del Sur</t>
  </si>
  <si>
    <t>Melendez</t>
  </si>
  <si>
    <t>E-Commerce Specialist</t>
  </si>
  <si>
    <t>http://www.linkedin.com/in/abraham-mel%c3%a9ndez-per%c3%a9z-087470212</t>
  </si>
  <si>
    <t>http://www.linkedin.com/in/ana-luisa-vidal-campos-206b32187</t>
  </si>
  <si>
    <t>programacion@garkenmedical.com</t>
  </si>
  <si>
    <t>Garken Medical</t>
  </si>
  <si>
    <t>Martijn</t>
  </si>
  <si>
    <t>Van</t>
  </si>
  <si>
    <t>CMO &amp; Shareholder</t>
  </si>
  <si>
    <t>http://www.linkedin.com/in/martijn-van-de-leest-939609a</t>
  </si>
  <si>
    <t>martijn@bajabikes.eu</t>
  </si>
  <si>
    <t>+52 624 320 7452</t>
  </si>
  <si>
    <t>Baja Bikes</t>
  </si>
  <si>
    <t>Juache</t>
  </si>
  <si>
    <t>Brand Manager ECommerce</t>
  </si>
  <si>
    <t>http://www.linkedin.com/in/eduardo-juache-garc%c3%ada-3a5a45211</t>
  </si>
  <si>
    <t>eduardo@argenparts.com.mx</t>
  </si>
  <si>
    <t>+52 200 131 3000</t>
  </si>
  <si>
    <t>http://www.linkedin.com/in/kseniya-pinkova-a53291114</t>
  </si>
  <si>
    <t>speedy@ecwid.com</t>
  </si>
  <si>
    <t>http://www.linkedin.com/in/marialuisacastillomalo</t>
  </si>
  <si>
    <t>maria@thelittlewinemarket.com</t>
  </si>
  <si>
    <t>+52 81 8335 2900</t>
  </si>
  <si>
    <t>The Little Wine Market</t>
  </si>
  <si>
    <t>Arechavaleta</t>
  </si>
  <si>
    <t>http://www.linkedin.com/in/fernando-arechavaleta-gonz%c3%a1lez-a34456172</t>
  </si>
  <si>
    <t>fernando.arechavaleta@racel.com.mx</t>
  </si>
  <si>
    <t>+52 1 80 0847 8888</t>
  </si>
  <si>
    <t>FarmacÃ©utica Racel S.A. DE C.V.</t>
  </si>
  <si>
    <t>Lider de departamento: Marketing</t>
  </si>
  <si>
    <t>http://www.linkedin.com/in/ra%c3%bal-cavazos-seguridad-industrial-hse-b16876163</t>
  </si>
  <si>
    <t>r.cavazos@sgmx.mx</t>
  </si>
  <si>
    <t>SGM Safety Group Mexico.</t>
  </si>
  <si>
    <t>mercadotecnia@megamil.com.mx</t>
  </si>
  <si>
    <t>Cantu</t>
  </si>
  <si>
    <t>http://www.linkedin.com/in/claudia-cant%c3%ba-4571231b5</t>
  </si>
  <si>
    <t>claudia.cantu@gcmedical.com.mx</t>
  </si>
  <si>
    <t>+52 33 3489 0801</t>
  </si>
  <si>
    <t>GC Medical Mx</t>
  </si>
  <si>
    <t>Briseno</t>
  </si>
  <si>
    <t>http://www.linkedin.com/in/roberto-brise%c3%b1o-11588864</t>
  </si>
  <si>
    <t>rbriseno@rubrica.com.mx</t>
  </si>
  <si>
    <t>RÃºbrica</t>
  </si>
  <si>
    <t>Ileana</t>
  </si>
  <si>
    <t>Auxiliar de E-commerce</t>
  </si>
  <si>
    <t>ileana@casaluna.com.mx</t>
  </si>
  <si>
    <t>Veterinaria Casa Luna.</t>
  </si>
  <si>
    <t>AdministraciÃ³n de servicios y Marketing</t>
  </si>
  <si>
    <t>http://www.linkedin.com/in/isis-hernandez-cacao</t>
  </si>
  <si>
    <t>admon@ciagro.com.mx</t>
  </si>
  <si>
    <t>+52 33 3125 5367</t>
  </si>
  <si>
    <t>CIAGRO - CENTRO INTEGRAL DE SERVICIOS AGROPECUARIOS, S.A. DE C.V.</t>
  </si>
  <si>
    <t>http://www.linkedin.com/in/miguel-ortega-969447192</t>
  </si>
  <si>
    <t>miguelortega.0115@gmail.com</t>
  </si>
  <si>
    <t>+52 999 103 5731</t>
  </si>
  <si>
    <t>Recreativos</t>
  </si>
  <si>
    <t>Co Funder and CMO</t>
  </si>
  <si>
    <t>antonio@profitlogiq.com</t>
  </si>
  <si>
    <t>+52 51 2355 0525</t>
  </si>
  <si>
    <t>ProfitlogiQ</t>
  </si>
  <si>
    <t>Apoyo a marketing y ventas</t>
  </si>
  <si>
    <t>http://www.linkedin.com/in/karla-maldonado-57784b216</t>
  </si>
  <si>
    <t>kmaldonado@piecsa.mx</t>
  </si>
  <si>
    <t>+52 81 1334 0725</t>
  </si>
  <si>
    <t>PIECSA</t>
  </si>
  <si>
    <t>Otey</t>
  </si>
  <si>
    <t>Producer &amp; Co Host The Ecwid Ecommerce Show</t>
  </si>
  <si>
    <t>http://www.linkedin.com/in/richardotey</t>
  </si>
  <si>
    <t>richard@ecwid.com</t>
  </si>
  <si>
    <t>+1 732-354-4944</t>
  </si>
  <si>
    <t>Lanuza</t>
  </si>
  <si>
    <t>http://www.linkedin.com/in/agust%c3%adn-ruiz-lanuza-06ba60221</t>
  </si>
  <si>
    <t>alanuza@ugto.mx</t>
  </si>
  <si>
    <t>+52 473 735 2900</t>
  </si>
  <si>
    <t>UG</t>
  </si>
  <si>
    <t>Marina</t>
  </si>
  <si>
    <t>Maestracci</t>
  </si>
  <si>
    <t>RESPONSABLE MARKETING COMMUNICATION</t>
  </si>
  <si>
    <t>http://www.linkedin.com/in/marina-ducros-maestracci-105506b3</t>
  </si>
  <si>
    <t>marina1@reikojeans.com</t>
  </si>
  <si>
    <t>REIKO</t>
  </si>
  <si>
    <t>http://www.linkedin.com/in/marcos-alejandro-gonzalez-6232781ab</t>
  </si>
  <si>
    <t>marcos@florigan.com.mx</t>
  </si>
  <si>
    <t>+52 972 109 4395</t>
  </si>
  <si>
    <t>Florigan</t>
  </si>
  <si>
    <t>http://www.linkedin.com/in/victoria-ruiz-69961173</t>
  </si>
  <si>
    <t>victoria.ruiz@aurela.mx</t>
  </si>
  <si>
    <t>+52 477 845 4354</t>
  </si>
  <si>
    <t>Aurela.18k Jewelry</t>
  </si>
  <si>
    <t>Marketing y desarrollo de nuevos negocios</t>
  </si>
  <si>
    <t>http://www.linkedin.com/in/lourdes-angel-4b4421114</t>
  </si>
  <si>
    <t>lourdes.angel@bering.com.mx</t>
  </si>
  <si>
    <t>+52 55 4440 0360</t>
  </si>
  <si>
    <t>Bering de MÃ©xico</t>
  </si>
  <si>
    <t>Murban</t>
  </si>
  <si>
    <t>http://www.linkedin.com/in/mercadotecnia-murban-596b28117</t>
  </si>
  <si>
    <t>mercadotecnia@murban.com.mx</t>
  </si>
  <si>
    <t>Murban Mobiliario Urbano Inteligente</t>
  </si>
  <si>
    <t>http://www.linkedin.com/in/claudia-perales-5a47b0192</t>
  </si>
  <si>
    <t>Vinos America</t>
  </si>
  <si>
    <t>Anastacio</t>
  </si>
  <si>
    <t>Escandon</t>
  </si>
  <si>
    <t>http://www.linkedin.com/in/anastacio-escandon-a75b4b37</t>
  </si>
  <si>
    <t>anastacio@maquilainc.com</t>
  </si>
  <si>
    <t>+1 956-687-4440</t>
  </si>
  <si>
    <t>Maquila Equipment Com S de RL de CV</t>
  </si>
  <si>
    <t>North Asia Marketing Lead</t>
  </si>
  <si>
    <t>ek@smartketing.mx</t>
  </si>
  <si>
    <t>+52 55 2878 3813</t>
  </si>
  <si>
    <t>Smartketing</t>
  </si>
  <si>
    <t>Magaly</t>
  </si>
  <si>
    <t>http://www.linkedin.com/in/magaly-flores-165946ab</t>
  </si>
  <si>
    <t>magaly@argenparts.com.mx</t>
  </si>
  <si>
    <t>Abikoye</t>
  </si>
  <si>
    <t>Olamilekan</t>
  </si>
  <si>
    <t>http://www.linkedin.com/in/abikoye-olamilekan-3764ba287</t>
  </si>
  <si>
    <t>abikoye@ecwid.com</t>
  </si>
  <si>
    <t>http://www.linkedin.com/in/roberto-vidal-99a298142</t>
  </si>
  <si>
    <t>roberto.vidal@jcsystem.com.mx</t>
  </si>
  <si>
    <t>Comercializadora JC System Advance de Mexico S.A. de C.V.</t>
  </si>
  <si>
    <t>Abel</t>
  </si>
  <si>
    <t>http://www.linkedin.com/in/abel-t%c3%a9llez-aguilar-53675a214</t>
  </si>
  <si>
    <t>abel.tellez@bravo.store</t>
  </si>
  <si>
    <t>+52 55 4440 3100</t>
  </si>
  <si>
    <t>Kami</t>
  </si>
  <si>
    <t>Viswanathan</t>
  </si>
  <si>
    <t>Vice President-Marketing</t>
  </si>
  <si>
    <t>http://www.linkedin.com/in/kami-viswanathan-8644271a</t>
  </si>
  <si>
    <t>kami.viswanathan@fedex.com</t>
  </si>
  <si>
    <t>+1 901-818-7500</t>
  </si>
  <si>
    <t>FedEx</t>
  </si>
  <si>
    <t>Imagen Corporativa / Marketing Coordinator</t>
  </si>
  <si>
    <t>http://www.linkedin.com/in/marcela-amaya-7257a25a</t>
  </si>
  <si>
    <t>mat@asientosamaya.com.mx</t>
  </si>
  <si>
    <t>+52 55 5310 6778</t>
  </si>
  <si>
    <t>Grupo Amaya-Astron / Amaya-Astron Seating</t>
  </si>
  <si>
    <t>http://www.linkedin.com/in/jesseness</t>
  </si>
  <si>
    <t>jesse@ecwid.com</t>
  </si>
  <si>
    <t>San</t>
  </si>
  <si>
    <t>Administrador de datos y marketing</t>
  </si>
  <si>
    <t>http://www.linkedin.com/in/ana-maria-san-martin-m-a6535b36</t>
  </si>
  <si>
    <t>a.smartin@fmp.com.mx</t>
  </si>
  <si>
    <t>+52 222 226 6294</t>
  </si>
  <si>
    <t>FILTROS Y MALLAS DE PUEBLA</t>
  </si>
  <si>
    <t>Coordinar de Marketing &amp; E-commerce</t>
  </si>
  <si>
    <t>http://www.linkedin.com/in/felipe-antonio-sosa</t>
  </si>
  <si>
    <t>cordimkt@risktactical.mx</t>
  </si>
  <si>
    <t>Marketing &amp; Eventos</t>
  </si>
  <si>
    <t>http://www.linkedin.com/in/ana-lorena-ruiz-gonz%c3%a1lez-55b16269</t>
  </si>
  <si>
    <t>aruiz@mereti.com.mx</t>
  </si>
  <si>
    <t>+52 55 5518 1168</t>
  </si>
  <si>
    <t>Mereti - Luchichi</t>
  </si>
  <si>
    <t>Atziri</t>
  </si>
  <si>
    <t>azamudio@govarimedical.com.mx</t>
  </si>
  <si>
    <t>Nenoc</t>
  </si>
  <si>
    <t>P.</t>
  </si>
  <si>
    <t>http://www.linkedin.com/in/nenoc</t>
  </si>
  <si>
    <t>nenoc@modernresearch.com.mx</t>
  </si>
  <si>
    <t>+52 33 3165 6366</t>
  </si>
  <si>
    <t>Modern Research Laboratorio</t>
  </si>
  <si>
    <t>Zacnite</t>
  </si>
  <si>
    <t>http://www.linkedin.com/in/zacnit%c3%a9-a-a748a519</t>
  </si>
  <si>
    <t>zacnite.a.@stoneway.com.mx</t>
  </si>
  <si>
    <t>Nahuel</t>
  </si>
  <si>
    <t>Costa</t>
  </si>
  <si>
    <t>http://www.linkedin.com/in/nahuel-costa-106763235</t>
  </si>
  <si>
    <t>n_costa@sistemasdigitalesav.com.mx</t>
  </si>
  <si>
    <t>Graphic Design &amp; Marketing Support</t>
  </si>
  <si>
    <t>http://www.linkedin.com/in/karla-vanessa-guerra-rodriguez-7b853116a</t>
  </si>
  <si>
    <t>guerrak@byrne.com</t>
  </si>
  <si>
    <t>+52 800 999 3567</t>
  </si>
  <si>
    <t>BYRNE ELECTRICAL SPECIALISTS MÃ‰XICO</t>
  </si>
  <si>
    <t>Irina</t>
  </si>
  <si>
    <t>Zukova</t>
  </si>
  <si>
    <t>Sales Marketing Management</t>
  </si>
  <si>
    <t>http://www.linkedin.com/in/irina-zukova-b36608105</t>
  </si>
  <si>
    <t>irina@alanika.com.mx</t>
  </si>
  <si>
    <t>Alanika</t>
  </si>
  <si>
    <t>lydia.laesmeralda@gmail.com</t>
  </si>
  <si>
    <t>La Esmeralda</t>
  </si>
  <si>
    <t>Elizaveta</t>
  </si>
  <si>
    <t>Novoselova</t>
  </si>
  <si>
    <t>http://www.linkedin.com/in/liza-novoselova</t>
  </si>
  <si>
    <t>elizaveta.novoselova@lightspeedhq.com</t>
  </si>
  <si>
    <t>http://www.linkedin.com/in/canacintraemex</t>
  </si>
  <si>
    <t>mercadotecnia@canacintraem.org.mx</t>
  </si>
  <si>
    <t>+52 729 258 9341</t>
  </si>
  <si>
    <t>CANACINTRA ESTADO DE MÃ‰XICO</t>
  </si>
  <si>
    <t>Coordinar de Marketing &amp; e-commerce</t>
  </si>
  <si>
    <t>http://www.linkedin.com/in/felipe-antonio-sosa-manjarrez-85b2a5132</t>
  </si>
  <si>
    <t>Quijano</t>
  </si>
  <si>
    <t>http://www.linkedin.com/in/daniel-quijano-trejo</t>
  </si>
  <si>
    <t>daniel.trejo@hercompachuca.mx</t>
  </si>
  <si>
    <t>+52 771 359 8243</t>
  </si>
  <si>
    <t>Hercom</t>
  </si>
  <si>
    <t>B2B Marketing Designer</t>
  </si>
  <si>
    <t>http://www.linkedin.com/in/tania-castillo-28942998</t>
  </si>
  <si>
    <t>tania@wayakit.com</t>
  </si>
  <si>
    <t>+966 54 575 4908</t>
  </si>
  <si>
    <t>Wayakit - Biotechnology in hygiene</t>
  </si>
  <si>
    <t>http://www.linkedin.com/in/sergio-martinez-vielledent-493944233</t>
  </si>
  <si>
    <t>smtz@sq.com.mx</t>
  </si>
  <si>
    <t>ServiQuim</t>
  </si>
  <si>
    <t>http://www.linkedin.com/in/alfredo-rivera-6a172727</t>
  </si>
  <si>
    <t>alfredo.rivera@guaapa.com</t>
  </si>
  <si>
    <t>+52 55 5160 1544</t>
  </si>
  <si>
    <t>GUAAPA</t>
  </si>
  <si>
    <t>http://www.linkedin.com/in/paulina-dena-gil-44a35b98</t>
  </si>
  <si>
    <t>pdena@sibimsa.com.mx</t>
  </si>
  <si>
    <t>SIBIM</t>
  </si>
  <si>
    <t>http://www.linkedin.com/in/andrea-villarreal-noyola-102359205</t>
  </si>
  <si>
    <t>avillarreal@madelona.com</t>
  </si>
  <si>
    <t>MADELONA</t>
  </si>
  <si>
    <t>Llano</t>
  </si>
  <si>
    <t>http://www.linkedin.com/in/daniela-de-llano-pedroza-495b1b134</t>
  </si>
  <si>
    <t>ddellano@ambrosia.com.mx</t>
  </si>
  <si>
    <t>+52 477 781 1200</t>
  </si>
  <si>
    <t>AmbrosÃ­a</t>
  </si>
  <si>
    <t>Ejecutivo de Marketing Digital</t>
  </si>
  <si>
    <t>http://www.linkedin.com/in/ramiro-mart%c3%adnez-camacho-2834b867</t>
  </si>
  <si>
    <t>ramiro.martinez@mdhsports.com</t>
  </si>
  <si>
    <t>+52 33 1017 2725</t>
  </si>
  <si>
    <t>MDH</t>
  </si>
  <si>
    <t>Almendra</t>
  </si>
  <si>
    <t>Hdz</t>
  </si>
  <si>
    <t>Gerente de AdministraciÃ³n y Marketing</t>
  </si>
  <si>
    <t>http://www.linkedin.com/in/almendra-hdz-laveaga-6714a376</t>
  </si>
  <si>
    <t>almendra@confianzacars.com</t>
  </si>
  <si>
    <t>ConfianzaCarsÂ®</t>
  </si>
  <si>
    <t>http://www.linkedin.com/in/alonso-nava-70383b7</t>
  </si>
  <si>
    <t>alonso.nava@roland.com</t>
  </si>
  <si>
    <t>Roland Mexico</t>
  </si>
  <si>
    <t>Solorzano</t>
  </si>
  <si>
    <t>asolorzano@itzjana.com</t>
  </si>
  <si>
    <t>Itzjana</t>
  </si>
  <si>
    <t>Elsa</t>
  </si>
  <si>
    <t>elsa.nunez@assertus.com.mx</t>
  </si>
  <si>
    <t>555-414-8889</t>
  </si>
  <si>
    <t>Assertus Comunicaciones</t>
  </si>
  <si>
    <t>Coordinador Comercial/Ecommerce</t>
  </si>
  <si>
    <t>isaact@imporey.com</t>
  </si>
  <si>
    <t>812-318-9800</t>
  </si>
  <si>
    <t>Yo pido</t>
  </si>
  <si>
    <t>Founder / Ecommerce Specialist Hierbas OrganicÃ¡s de MÃ©xico</t>
  </si>
  <si>
    <t>http://www.linkedin.com/in/josealbertoapezteguia</t>
  </si>
  <si>
    <t>japezteguia@hierbasorganicas.com.mx</t>
  </si>
  <si>
    <t>+52 800 161 4608</t>
  </si>
  <si>
    <t>Hierbas Organicas de MÃ©xico</t>
  </si>
  <si>
    <t>http://www.linkedin.com/in/ramiromartinez-marketing</t>
  </si>
  <si>
    <t>Berthier</t>
  </si>
  <si>
    <t>http://www.linkedin.com/in/monserrat-berthier-vera-012a9a13b</t>
  </si>
  <si>
    <t>mvera@medrent.mx</t>
  </si>
  <si>
    <t>+52 55 6728 6058</t>
  </si>
  <si>
    <t>Med Rent S.A. de C.V.</t>
  </si>
  <si>
    <t>http://www.linkedin.com/in/karsynansari</t>
  </si>
  <si>
    <t>+1 385-355-4333</t>
  </si>
  <si>
    <t>Victorious Accesorios</t>
  </si>
  <si>
    <t>Michaus</t>
  </si>
  <si>
    <t>Consultor de marketing digital</t>
  </si>
  <si>
    <t>http://www.linkedin.com/in/leonardoflores0907</t>
  </si>
  <si>
    <t>leonardo.michaus@gcielectric.com</t>
  </si>
  <si>
    <t>Grupo C.I Electric</t>
  </si>
  <si>
    <t>Especialista en ventas marketing digital</t>
  </si>
  <si>
    <t>http://www.linkedin.com/in/stephanie-jim%c3%a9nez-guti%c3%a9rrez-04b3465a</t>
  </si>
  <si>
    <t>sjimenez@sibimsa.com.mx</t>
  </si>
  <si>
    <t>Maya</t>
  </si>
  <si>
    <t>Shopper Marketing Coordinator</t>
  </si>
  <si>
    <t>http://www.linkedin.com/in/paola-oviedo-maya-b05347151</t>
  </si>
  <si>
    <t>maya.eguia@bonafont.com.mx</t>
  </si>
  <si>
    <t>+52 55 5258 7200</t>
  </si>
  <si>
    <t>Bonafont</t>
  </si>
  <si>
    <t>Marketing Purchases</t>
  </si>
  <si>
    <t>http://www.linkedin.com/in/mar%c3%ada-fernanda-sandoval-45502a62</t>
  </si>
  <si>
    <t>msandoval@iusa.com.mx</t>
  </si>
  <si>
    <t>+52 800 900 4872</t>
  </si>
  <si>
    <t>IUSA</t>
  </si>
  <si>
    <t>http://www.linkedin.com/in/lorena-de-la-torre-54360a98</t>
  </si>
  <si>
    <t>ltorre@lapco.mx</t>
  </si>
  <si>
    <t>+52 871 433 5354</t>
  </si>
  <si>
    <t>LAPCO LATAM</t>
  </si>
  <si>
    <t>http://www.linkedin.com/in/norma-hern%c3%a1ndez-cuevas-0715ab103</t>
  </si>
  <si>
    <t>normahernandez@viastara.com</t>
  </si>
  <si>
    <t>+52 619 661 0222</t>
  </si>
  <si>
    <t>Viastara</t>
  </si>
  <si>
    <t>Lozano</t>
  </si>
  <si>
    <t>http://www.linkedin.com/in/raul-lozano-marketing</t>
  </si>
  <si>
    <t>raul.perez@supportek.com.mx</t>
  </si>
  <si>
    <t>SUPPORTEK SA DE CV</t>
  </si>
  <si>
    <t>Subdirector Marketing y ComunicaciÃ³n</t>
  </si>
  <si>
    <t>http://www.linkedin.com/in/perezvargas</t>
  </si>
  <si>
    <t>eperezv@mazatlanfc.com</t>
  </si>
  <si>
    <t>MazatlÃ¡n F. C.</t>
  </si>
  <si>
    <t>Salmon</t>
  </si>
  <si>
    <t>Fundador y Director de Ventas y Marketing</t>
  </si>
  <si>
    <t>http://www.linkedin.com/in/eriksalmong</t>
  </si>
  <si>
    <t>erik@wandernow.com</t>
  </si>
  <si>
    <t>Wandernow Adventures</t>
  </si>
  <si>
    <t>http://www.linkedin.com/in/alemnrd</t>
  </si>
  <si>
    <t>alejandro.manzano@sitisa.com.mx</t>
  </si>
  <si>
    <t>+52 55 5697 3395</t>
  </si>
  <si>
    <t>Sitisa MÃ©xico</t>
  </si>
  <si>
    <t>Desconocido</t>
  </si>
  <si>
    <t>ventas@karlitashop.com.mx</t>
  </si>
  <si>
    <t>818-373-6524</t>
  </si>
  <si>
    <t>Karlita Shop</t>
  </si>
  <si>
    <t>Soriano</t>
  </si>
  <si>
    <t>http://www.linkedin.com/in/angel-soriano-arce-32590972</t>
  </si>
  <si>
    <t>angel.soriano@mazatlanfc.com</t>
  </si>
  <si>
    <t>Mahali</t>
  </si>
  <si>
    <t>http://www.linkedin.com/in/mahalimora</t>
  </si>
  <si>
    <t>mahali.mora@occimaq.com</t>
  </si>
  <si>
    <t>+52 33 3628 5729</t>
  </si>
  <si>
    <t>Occimaq</t>
  </si>
  <si>
    <t>Auxiliar administrativo y de marketing</t>
  </si>
  <si>
    <t>http://www.linkedin.com/in/daniel-rosales-b67280239</t>
  </si>
  <si>
    <t>daniel.rosales@siemindustrial.com</t>
  </si>
  <si>
    <t>+52 664 207 6128</t>
  </si>
  <si>
    <t>SIEM Industrial</t>
  </si>
  <si>
    <t>http://www.linkedin.com/in/diana-ibarra-66b1a8203</t>
  </si>
  <si>
    <t>dibarra@radiol.mx</t>
  </si>
  <si>
    <t>+52 667 211 8080</t>
  </si>
  <si>
    <t>RADIOL</t>
  </si>
  <si>
    <t>Sweeney</t>
  </si>
  <si>
    <t>SVP, Head of Growth Marketing</t>
  </si>
  <si>
    <t>http://www.linkedin.com/in/joey-sweeney-60314948</t>
  </si>
  <si>
    <t>joey@bigcartel.com</t>
  </si>
  <si>
    <t>http://www.linkedin.com/in/h%c3%a9ctor-flores-64a861202</t>
  </si>
  <si>
    <t>hflores@zvezda.com.mx</t>
  </si>
  <si>
    <t>+7 915 040-43-31</t>
  </si>
  <si>
    <t>ZVEZDA</t>
  </si>
  <si>
    <t>http://www.linkedin.com/in/daniela-obregon-6a2a47259</t>
  </si>
  <si>
    <t>dobregon@mandarina.bike</t>
  </si>
  <si>
    <t>Mandarina</t>
  </si>
  <si>
    <t>http://www.linkedin.com/in/martha-lilia-herrera</t>
  </si>
  <si>
    <t>martha@pgbbq.mx</t>
  </si>
  <si>
    <t>+52 55 1192 9669</t>
  </si>
  <si>
    <t>Pinche Gringo BBQ</t>
  </si>
  <si>
    <t>MArketing</t>
  </si>
  <si>
    <t>emendoza@mediascamelia.com</t>
  </si>
  <si>
    <t>555-526-7166</t>
  </si>
  <si>
    <t>Medias Camelia</t>
  </si>
  <si>
    <t>Chamorro</t>
  </si>
  <si>
    <t>Marketing Manager | RRPP | Brand Manager</t>
  </si>
  <si>
    <t>http://www.linkedin.com/in/ignacio-salvador-chamorro-vega-92080a51</t>
  </si>
  <si>
    <t>ignacio.chamorro@win.com.mx</t>
  </si>
  <si>
    <t>WIN MÃ©xico</t>
  </si>
  <si>
    <t>Social Media/Marketing Manager</t>
  </si>
  <si>
    <t>http://www.linkedin.com/in/maria-fernanda-guerrero-ruiz-0b43a720a</t>
  </si>
  <si>
    <t>maria@helloskin.mx</t>
  </si>
  <si>
    <t>Hello Skin</t>
  </si>
  <si>
    <t>Nuri</t>
  </si>
  <si>
    <t>http://www.linkedin.com/in/nuri-carmen-reyes-valdez</t>
  </si>
  <si>
    <t>nuri.valdez@supportek.com.mx</t>
  </si>
  <si>
    <t>Sayuri</t>
  </si>
  <si>
    <t>http://www.linkedin.com/in/sayuriramosvaldes24</t>
  </si>
  <si>
    <t>sayuri_stars@hotmail.com</t>
  </si>
  <si>
    <t>+52 52119651914</t>
  </si>
  <si>
    <t>MA Derma Cosmetic</t>
  </si>
  <si>
    <t>Hauad</t>
  </si>
  <si>
    <t>http://www.linkedin.com/in/cecilia-hauad-3b84a36</t>
  </si>
  <si>
    <t>cecilia.hauad@wse.com.mx</t>
  </si>
  <si>
    <t>Wse</t>
  </si>
  <si>
    <t>Lider de social media e influencer marketing</t>
  </si>
  <si>
    <t>http://www.linkedin.com/in/fernanda-chong-9649b997</t>
  </si>
  <si>
    <t>fernandac@oemoda.com</t>
  </si>
  <si>
    <t>ClÅe</t>
  </si>
  <si>
    <t>Dayra</t>
  </si>
  <si>
    <t>http://www.linkedin.com/in/dayra-martinez-mu%c3%b1oz-83920327a</t>
  </si>
  <si>
    <t>dayra@fts.mx</t>
  </si>
  <si>
    <t>+52 81 1486 2248</t>
  </si>
  <si>
    <t>Servicios FTS SA de CV</t>
  </si>
  <si>
    <t>Encargado de AtenciÃ³n al cliente y AdministraciÃ³n en E-commerce</t>
  </si>
  <si>
    <t>http://www.linkedin.com/in/alejandra-amparo-guzm%c3%a1n-escalante-3a33621a9</t>
  </si>
  <si>
    <t>aguzman@ambrosia.com.mx</t>
  </si>
  <si>
    <t>+52 55 4624 9800</t>
  </si>
  <si>
    <t>Garduno</t>
  </si>
  <si>
    <t>http://www.linkedin.com/in/alejandra-gardu%c3%b1o-s%c3%a1nchez-29525917a</t>
  </si>
  <si>
    <t>agardunos@audicentertoluca.com</t>
  </si>
  <si>
    <t>+52 722 385 8000</t>
  </si>
  <si>
    <t>Audi Center Toluca</t>
  </si>
  <si>
    <t>http://www.linkedin.com/in/vanessa-garc%c3%ada-vel%c3%a1zquez-03a039208</t>
  </si>
  <si>
    <t>vanessa.garcia@endur.mx</t>
  </si>
  <si>
    <t>endur</t>
  </si>
  <si>
    <t>http://www.linkedin.com/in/andr%c3%a9s-jael-carbajal-porras-48b080197</t>
  </si>
  <si>
    <t>andres.carbajal@cypservices.com.mx</t>
  </si>
  <si>
    <t>Compliance and Projects MX</t>
  </si>
  <si>
    <t>Alondra</t>
  </si>
  <si>
    <t>Responsable operativo de Marketing</t>
  </si>
  <si>
    <t>http://www.linkedin.com/in/alondra-gastelum-860489218</t>
  </si>
  <si>
    <t>marketing@extraherbos.com</t>
  </si>
  <si>
    <t>+52526677533057</t>
  </si>
  <si>
    <t>Extraherbos</t>
  </si>
  <si>
    <t>Estudillo</t>
  </si>
  <si>
    <t>http://www.linkedin.com/in/karen-estudillo-hern%c3%a1ndez-25b028168</t>
  </si>
  <si>
    <t>kestudillo@afosa.com.mx</t>
  </si>
  <si>
    <t>+52 33 3818 3434</t>
  </si>
  <si>
    <t>AfosaMX</t>
  </si>
  <si>
    <t>Jesica</t>
  </si>
  <si>
    <t>Kam Ecommerce</t>
  </si>
  <si>
    <t>http://www.linkedin.com/in/jesicaesquivel</t>
  </si>
  <si>
    <t>jyesquivel@iusa.com.mx</t>
  </si>
  <si>
    <t>KAM E-commerce</t>
  </si>
  <si>
    <t>http://www.linkedin.com/in/brenda-karen-aguilar-resendiz-407b4bb6</t>
  </si>
  <si>
    <t>bkaguilar@iusa.com.mx</t>
  </si>
  <si>
    <t>Quintana Meza</t>
  </si>
  <si>
    <t>Coordinador Marketing Digital</t>
  </si>
  <si>
    <t>cmeza@oemoda.com</t>
  </si>
  <si>
    <t>KAM Ecommerce</t>
  </si>
  <si>
    <t>http://www.linkedin.com/in/alejandra-cruz-valdez</t>
  </si>
  <si>
    <t>adelacruz@iusa.com.mx</t>
  </si>
  <si>
    <t>Especialista de marketing digital</t>
  </si>
  <si>
    <t>http://www.linkedin.com/in/paola-toledo-aguilar-a8b74b65</t>
  </si>
  <si>
    <t>ptoledo@iusa.com.mx</t>
  </si>
  <si>
    <t>Lerma</t>
  </si>
  <si>
    <t>http://www.linkedin.com/in/ver%c3%b3nica-camacho-hern%c3%a1ndez-11b448194</t>
  </si>
  <si>
    <t>veronica.camacho@sedsa.com.mx</t>
  </si>
  <si>
    <t>+52 442 216 4050</t>
  </si>
  <si>
    <t>SEDSA</t>
  </si>
  <si>
    <t>Machaen</t>
  </si>
  <si>
    <t>http://www.linkedin.com/in/lorena-machaen-783558172</t>
  </si>
  <si>
    <t>lorenamachaen@gmail.com</t>
  </si>
  <si>
    <t>Lunalabs MÃ©xico</t>
  </si>
  <si>
    <t>Head eCommerce y Mercadotecnia</t>
  </si>
  <si>
    <t>http://www.linkedin.com/in/marketing-digital-publicidad-mercadotecnia</t>
  </si>
  <si>
    <t>marodriguez@iusa.com.mx</t>
  </si>
  <si>
    <t>Saldana</t>
  </si>
  <si>
    <t>hola@miorganico.mx</t>
  </si>
  <si>
    <t>+52 464 205 3071</t>
  </si>
  <si>
    <t>Miorganico</t>
  </si>
  <si>
    <t>Co-fundador y Lider OperaciÃ³n eCommerce</t>
  </si>
  <si>
    <t>http://www.linkedin.com/in/juan-pablo-valenzuela-93b1a158</t>
  </si>
  <si>
    <t>jp@kitch.mx</t>
  </si>
  <si>
    <t>+52 81 1409 7851</t>
  </si>
  <si>
    <t>Kitch</t>
  </si>
  <si>
    <t>Marketing y DiseÃ±o</t>
  </si>
  <si>
    <t>http://www.linkedin.com/in/jessica-cardenas-espinoza</t>
  </si>
  <si>
    <t>jessica@nive.la</t>
  </si>
  <si>
    <t>+52 55 5023 2025</t>
  </si>
  <si>
    <t>nivelA</t>
  </si>
  <si>
    <t>http://www.linkedin.com/in/daniela-o-047229103</t>
  </si>
  <si>
    <t>daniela@embelle.com.mx</t>
  </si>
  <si>
    <t>+52 562 721 3017</t>
  </si>
  <si>
    <t>EmbellÃ©</t>
  </si>
  <si>
    <t>Rogelio</t>
  </si>
  <si>
    <t>rherrera@lalur.com.mx</t>
  </si>
  <si>
    <t>lalur.com.mx</t>
  </si>
  <si>
    <t>Villena</t>
  </si>
  <si>
    <t>http://www.linkedin.com/in/alessiavillena</t>
  </si>
  <si>
    <t>alessia@nive.la</t>
  </si>
  <si>
    <t>http://www.linkedin.com/in/alonso-nava-vives-70383b7</t>
  </si>
  <si>
    <t>Queren</t>
  </si>
  <si>
    <t>http://www.linkedin.com/in/queren-lopez-4926941b8</t>
  </si>
  <si>
    <t>queren.lopez@siemindustrial.com</t>
  </si>
  <si>
    <t>Catano</t>
  </si>
  <si>
    <t>Director de eCommerce</t>
  </si>
  <si>
    <t>http://www.linkedin.com/in/carlos-cata%c3%b1o-a2468a169</t>
  </si>
  <si>
    <t>carlos.catano@deyac.com.mx</t>
  </si>
  <si>
    <t>+52 33 3650 0217</t>
  </si>
  <si>
    <t>RADIADORES DEYAC</t>
  </si>
  <si>
    <t>Gurrola</t>
  </si>
  <si>
    <t>Analista de marketing en Internet</t>
  </si>
  <si>
    <t>http://www.linkedin.com/in/fabi%c3%a1n-gurrola-202037198</t>
  </si>
  <si>
    <t>fabiangurrola@suksess.mx</t>
  </si>
  <si>
    <t>+52 33 2300 1317</t>
  </si>
  <si>
    <t>SUKSESS</t>
  </si>
  <si>
    <t>Pacheco Rueda</t>
  </si>
  <si>
    <t>Sr. Mkt &amp; Ecommerce Manager</t>
  </si>
  <si>
    <t>http://www.linkedin.com/in/daniela-pacheco-rueda-385b24ab</t>
  </si>
  <si>
    <t>danielapacheco@viastara.com</t>
  </si>
  <si>
    <t>marketing@gafas.com.mx</t>
  </si>
  <si>
    <t>+52 1 33 3952 4543</t>
  </si>
  <si>
    <t>Gafas (MX)</t>
  </si>
  <si>
    <t>Andressa</t>
  </si>
  <si>
    <t>Cardoso</t>
  </si>
  <si>
    <t>Partnership Marketing Coordinator</t>
  </si>
  <si>
    <t>http://www.linkedin.com/in/andressa-santos-cardoso</t>
  </si>
  <si>
    <t>andressa.cardoso@blip.ai</t>
  </si>
  <si>
    <t>+55 31 3349-6201</t>
  </si>
  <si>
    <t>BLIP</t>
  </si>
  <si>
    <t>Marketing, Communication &amp; PR Specialist</t>
  </si>
  <si>
    <t>http://www.linkedin.com/in/mariana-chavez-87bb4113</t>
  </si>
  <si>
    <t>mchavez@freedominvestmentclubmexico.com</t>
  </si>
  <si>
    <t>Freedom Investment Club MÃ©xico</t>
  </si>
  <si>
    <t>Morgan</t>
  </si>
  <si>
    <t>Liang</t>
  </si>
  <si>
    <t>Director Of Affiliate Marketing &amp; Digital Marketing</t>
  </si>
  <si>
    <t>http://www.linkedin.com/in/morgan-liang-298128208</t>
  </si>
  <si>
    <t>morgan@hibobi.com</t>
  </si>
  <si>
    <t>HIbobi Group</t>
  </si>
  <si>
    <t>Josymar</t>
  </si>
  <si>
    <t>http://www.linkedin.com/in/josymar-morales-torres-0019a216a</t>
  </si>
  <si>
    <t>josymar@bdmedia.mx</t>
  </si>
  <si>
    <t>BD Media Academy | Cursos On Demand</t>
  </si>
  <si>
    <t>Mujica</t>
  </si>
  <si>
    <t>Director de marketing y tecnologÃ­as de la informaciÃ³n</t>
  </si>
  <si>
    <t>http://www.linkedin.com/in/axeljmujica</t>
  </si>
  <si>
    <t>axel.mujica@merakiad.mx</t>
  </si>
  <si>
    <t>+52 229 591 1901</t>
  </si>
  <si>
    <t>Corporativo Meraki</t>
  </si>
  <si>
    <t>Berezhnaya</t>
  </si>
  <si>
    <t>Revilla</t>
  </si>
  <si>
    <t>Ejecutiva de cuentas e-commerce</t>
  </si>
  <si>
    <t>http://www.linkedin.com/in/berezhnaya-michelle-revilla-estrada-89606020b</t>
  </si>
  <si>
    <t>brevilla@stratia.digital</t>
  </si>
  <si>
    <t>Stratia</t>
  </si>
  <si>
    <t>Uzzi</t>
  </si>
  <si>
    <t>Ohana</t>
  </si>
  <si>
    <t>http://www.linkedin.com/in/frank-s%c3%a1nchez-171153112</t>
  </si>
  <si>
    <t>uzzi@magenta.style</t>
  </si>
  <si>
    <t>Magenta</t>
  </si>
  <si>
    <t>Olarte</t>
  </si>
  <si>
    <t>http://www.linkedin.com/in/guillermo-olarte-7a2130248</t>
  </si>
  <si>
    <t>guillermo.olarte@imjmedia.com.mx</t>
  </si>
  <si>
    <t>+52 80 0055 3333</t>
  </si>
  <si>
    <t>IMJ Media</t>
  </si>
  <si>
    <t>http://www.linkedin.com/in/lorena-fuentes-13649467</t>
  </si>
  <si>
    <t>lfuentes@roelcom.com.mx</t>
  </si>
  <si>
    <t>Roel Comercializadora</t>
  </si>
  <si>
    <t>http://www.linkedin.com/in/looehr7</t>
  </si>
  <si>
    <t>lorena@manoymadera.com</t>
  </si>
  <si>
    <t>+52 81 1665 2574</t>
  </si>
  <si>
    <t>Mano y Madera</t>
  </si>
  <si>
    <t>Giovana</t>
  </si>
  <si>
    <t>http://www.linkedin.com/in/giovanaortiz</t>
  </si>
  <si>
    <t>giovana@fts.mx</t>
  </si>
  <si>
    <t>NA</t>
  </si>
  <si>
    <t>Key Ecomm marketing executive</t>
  </si>
  <si>
    <t>http://www.linkedin.com/in/andrea-paulina-rios-barreto-194a71144</t>
  </si>
  <si>
    <t>aprios@iusa.com.mx</t>
  </si>
  <si>
    <t>LucÂ¡A</t>
  </si>
  <si>
    <t>GarcÂ¡A Reynoso</t>
  </si>
  <si>
    <t>hola@gomeraki.mx</t>
  </si>
  <si>
    <t>+52 55 4164 7868</t>
  </si>
  <si>
    <t>Gomeraki</t>
  </si>
  <si>
    <t>Jefe de marketing comercial</t>
  </si>
  <si>
    <t>http://www.linkedin.com/in/adrian-gutierrez-escarra-67023a1a2</t>
  </si>
  <si>
    <t>agutierrez@iusa.com.mx</t>
  </si>
  <si>
    <t>Moran</t>
  </si>
  <si>
    <t>Marketing Product Manager</t>
  </si>
  <si>
    <t>http://www.linkedin.com/in/fabiola-mor%c3%a1n-ba076b155</t>
  </si>
  <si>
    <t>fmoran@iusa.com.mx</t>
  </si>
  <si>
    <t>Cetina</t>
  </si>
  <si>
    <t>Key Account Manager E-commerce Colombia</t>
  </si>
  <si>
    <t>http://www.linkedin.com/in/mar%c3%ada-camila-cetina-mart%c3%adnez-a8b2ba191</t>
  </si>
  <si>
    <t>mariamartinez@viastara.com</t>
  </si>
  <si>
    <t>Virginia</t>
  </si>
  <si>
    <t>http://www.linkedin.com/in/virginia-ochoa-l%c3%b3pez-b256a4a4</t>
  </si>
  <si>
    <t>virginia@destileriareves.com</t>
  </si>
  <si>
    <t>DestilerÃ­a RevÃ©s</t>
  </si>
  <si>
    <t>http://www.linkedin.com/in/mario-olivares-97678276</t>
  </si>
  <si>
    <t>molivares@wayan.com.mx</t>
  </si>
  <si>
    <t>+52 984 803 9412</t>
  </si>
  <si>
    <t>Wayan Natural Wear</t>
  </si>
  <si>
    <t>Hoot</t>
  </si>
  <si>
    <t>http://www.linkedin.com/in/justin-hoot-9289171ab</t>
  </si>
  <si>
    <t>justin@transforming-technologies.com</t>
  </si>
  <si>
    <t>+1 419-841-9552</t>
  </si>
  <si>
    <t>Transforming Technologies</t>
  </si>
  <si>
    <t>Commercial And Marketing Manager</t>
  </si>
  <si>
    <t>http://www.linkedin.com/in/cristinacantugtz</t>
  </si>
  <si>
    <t>ventasonline@camasha.com</t>
  </si>
  <si>
    <t>+52 55 7100 0550</t>
  </si>
  <si>
    <t>CAMASHA</t>
  </si>
  <si>
    <t>http://www.linkedin.com/in/eric-puszczewicz-78793212</t>
  </si>
  <si>
    <t>http://www.linkedin.com/in/rafael-alejandro-delgado-romo-276701204</t>
  </si>
  <si>
    <t>rafael@felixschorle.com</t>
  </si>
  <si>
    <t>fÃ©lix Schorle</t>
  </si>
  <si>
    <t>Teran</t>
  </si>
  <si>
    <t>roger@worales.mx</t>
  </si>
  <si>
    <t>+52 55 8037 4754</t>
  </si>
  <si>
    <t>Worales</t>
  </si>
  <si>
    <t>Pozas</t>
  </si>
  <si>
    <t>Especialista de Marketing y ComunicaciÃ³n</t>
  </si>
  <si>
    <t>http://www.linkedin.com/in/denissepozas</t>
  </si>
  <si>
    <t>dpozas@loanco.com.mx</t>
  </si>
  <si>
    <t>+52 81 8343 3547</t>
  </si>
  <si>
    <t>LoanCo</t>
  </si>
  <si>
    <t>http://www.linkedin.com/in/lefrenchg</t>
  </si>
  <si>
    <t>luis.chavez@fulo.com.mx</t>
  </si>
  <si>
    <t>FULO DE MEXICO S.A. DE C.V.</t>
  </si>
  <si>
    <t>Eudave</t>
  </si>
  <si>
    <t>http://www.linkedin.com/in/daniel-eudave-03821591</t>
  </si>
  <si>
    <t>daniel.eudave@inblay.mx</t>
  </si>
  <si>
    <t>+52 449 916 2271</t>
  </si>
  <si>
    <t>Inblay Technology</t>
  </si>
  <si>
    <t>Preston</t>
  </si>
  <si>
    <t>Marketing Manger</t>
  </si>
  <si>
    <t>http://www.linkedin.com/in/eric-preston-7593101b2</t>
  </si>
  <si>
    <t>Ãvila</t>
  </si>
  <si>
    <t>Encargada de Marketing</t>
  </si>
  <si>
    <t>http://www.linkedin.com/in/brenda-avila-ganoexcel</t>
  </si>
  <si>
    <t>brenda@soyte.mx</t>
  </si>
  <si>
    <t>+52 55 6174 8216</t>
  </si>
  <si>
    <t>Soy Te</t>
  </si>
  <si>
    <t>Gerente Omnicanal Elektra eCommerce .MX</t>
  </si>
  <si>
    <t>http://www.linkedin.com/in/miguel-angel-martinez-garcia-01455499</t>
  </si>
  <si>
    <t>mmiguel@elektra.com.mx</t>
  </si>
  <si>
    <t>+52 55 7577 5547</t>
  </si>
  <si>
    <t>TUIC850813DF5</t>
  </si>
  <si>
    <t>http://www.linkedin.com/in/gerardogarciapiza</t>
  </si>
  <si>
    <t>gerardo.garciap@elektra.com.mx</t>
  </si>
  <si>
    <t>http://www.linkedin.com/in/adriana-mej%c3%ada-s%c3%a1nchez-95ab26120</t>
  </si>
  <si>
    <t>adriana.enriquez@elektra.com.mx</t>
  </si>
  <si>
    <t>Nayeli</t>
  </si>
  <si>
    <t>Gerente Comercial eCommerce</t>
  </si>
  <si>
    <t>http://www.linkedin.com/in/nayeli-v%c3%a1zquez-vega-7881b21b9</t>
  </si>
  <si>
    <t>nvega@elektra.com.mx</t>
  </si>
  <si>
    <t>http://www.linkedin.com/in/eder-aguilar</t>
  </si>
  <si>
    <t>eder.aguilar@elektra.com.mx</t>
  </si>
  <si>
    <t>+52 800 062 4335</t>
  </si>
  <si>
    <t>http://www.linkedin.com/in/raul-cornejo-diaz</t>
  </si>
  <si>
    <t>raul.diazgo@elektra.com.mx</t>
  </si>
  <si>
    <t>+52 55 5966 4133</t>
  </si>
  <si>
    <t>Directora de Operaciones eCommerce</t>
  </si>
  <si>
    <t>http://www.linkedin.com/in/elizabeth-mart%c3%adnez-estrada-21a87342</t>
  </si>
  <si>
    <t>emartineze@elektra.com.mx</t>
  </si>
  <si>
    <t>Gerente de Estrategia Marketing Digital</t>
  </si>
  <si>
    <t>http://www.linkedin.com/in/claudia-caballero-5a874934</t>
  </si>
  <si>
    <t>claudia.caballero@elektra.com.mx</t>
  </si>
  <si>
    <t>800-062-4335</t>
  </si>
  <si>
    <t>Elektra</t>
  </si>
  <si>
    <t>E Commerce Director</t>
  </si>
  <si>
    <t>http://www.linkedin.com/in/emmanuel-martinez-vazquez</t>
  </si>
  <si>
    <t>emmartinezv@elektra.com.mx</t>
  </si>
  <si>
    <t>Director Ecommerce</t>
  </si>
  <si>
    <t>+55 35629317</t>
  </si>
  <si>
    <t>luiso36@gmail.com</t>
  </si>
  <si>
    <t>+52 203 295 1601</t>
  </si>
  <si>
    <t>http://www.linkedin.com/in/diego-israel-p%c3%a9rez-s%c3%a1nchez-310779118</t>
  </si>
  <si>
    <t>elÄ“</t>
  </si>
  <si>
    <t>Juarez</t>
  </si>
  <si>
    <t>Sr. Digital Growth Manager | Digital Marketing | Digital Growth | e-commerce</t>
  </si>
  <si>
    <t>http://www.linkedin.com/in/ana-ivette-juarez-78582930</t>
  </si>
  <si>
    <t>anaivette55@hotmail.com</t>
  </si>
  <si>
    <t>Gerente de Marketing y ComunicaciÃ³n</t>
  </si>
  <si>
    <t>http://www.linkedin.com/in/aldo-garcia-48814043</t>
  </si>
  <si>
    <t>aldo.garcia@elektra.com.mx</t>
  </si>
  <si>
    <t>Global eCommerce and Omnichannel Director</t>
  </si>
  <si>
    <t>http://www.linkedin.com/in/juan-carlos-garcia-b591759</t>
  </si>
  <si>
    <t>jgarcia@elektra.com.mx</t>
  </si>
  <si>
    <t>+52 81 8353 8327</t>
  </si>
  <si>
    <t>http://www.linkedin.com/in/fernandarey05</t>
  </si>
  <si>
    <t>maria.ramirez@elektra.com.mx</t>
  </si>
  <si>
    <t>Yazmin</t>
  </si>
  <si>
    <t>Ecommerce Quality Assurance Director</t>
  </si>
  <si>
    <t>http://www.linkedin.com/in/yazmin-becerra-ruanova-a3b0b72</t>
  </si>
  <si>
    <t>yazmin.becerra@elektra.com.mx</t>
  </si>
  <si>
    <t>Giron</t>
  </si>
  <si>
    <t>http://www.linkedin.com/in/enriquegiron</t>
  </si>
  <si>
    <t>enrique.giron@data4sales.com</t>
  </si>
  <si>
    <t>+52 55 4386 8752</t>
  </si>
  <si>
    <t>http://www.linkedin.com/in/juan-carlos-duran-riveroll-7627a1a</t>
  </si>
  <si>
    <t>duran.riveroll@gmail.com</t>
  </si>
  <si>
    <t>http://www.linkedin.com/in/rodrigo-ramirez-819876b9</t>
  </si>
  <si>
    <t>rodrigo.ramirez@elektra.com.mx</t>
  </si>
  <si>
    <t>Galdamez</t>
  </si>
  <si>
    <t>Gerente de Producto Ecommerce</t>
  </si>
  <si>
    <t>http://www.linkedin.com/in/carolina-m%c3%a9ndez-gald%c3%a1mez-4a8415108</t>
  </si>
  <si>
    <t>carolina.galdamez@elektra.com.mx</t>
  </si>
  <si>
    <t>Directora comercial eCommerce</t>
  </si>
  <si>
    <t>http://www.linkedin.com/in/gabriela-rodr%c3%adguez-ramos-167a5359</t>
  </si>
  <si>
    <t>gabriela.rodriguez@elektra.com.mx</t>
  </si>
  <si>
    <t>Digital Marketing | Ecommerce Director</t>
  </si>
  <si>
    <t>http://www.linkedin.com/in/omar-rivera-a43a0573</t>
  </si>
  <si>
    <t>oorozco@elektra.com.mx</t>
  </si>
  <si>
    <t>+52 1 55 1336 6218</t>
  </si>
  <si>
    <t>CMO &amp; CoFunder</t>
  </si>
  <si>
    <t>contacto@casaelena.mx</t>
  </si>
  <si>
    <t>552-310-8342</t>
  </si>
  <si>
    <t>Casa Elena</t>
  </si>
  <si>
    <t>Head of Marketing Digital</t>
  </si>
  <si>
    <t>http://www.linkedin.com/in/nancymejia</t>
  </si>
  <si>
    <t>nmejiap@elektra.com.mx</t>
  </si>
  <si>
    <t>Riveroll</t>
  </si>
  <si>
    <t>jduranr@elektra.com.mx</t>
  </si>
  <si>
    <t>+52 55 1798 6054</t>
  </si>
  <si>
    <t>Sandoval Hidalgo</t>
  </si>
  <si>
    <t>Gerente control de indicadores digitales eCommerce</t>
  </si>
  <si>
    <t>http://www.linkedin.com/in/andrea-sandoval-1a676bab</t>
  </si>
  <si>
    <t>andrea.sandoval@elektra.com.mx</t>
  </si>
  <si>
    <t>Nayelli</t>
  </si>
  <si>
    <t>Serna</t>
  </si>
  <si>
    <t>http://www.linkedin.com/in/nayelli-serna-6148b73b</t>
  </si>
  <si>
    <t>nserna@elektra.com.mx</t>
  </si>
  <si>
    <t>+52 404 438 8219</t>
  </si>
  <si>
    <t>Marketing digital &amp; BI</t>
  </si>
  <si>
    <t>http://www.linkedin.com/in/marcos-octavio-l%c3%b3pez-hern%c3%a1ndez-07858a148</t>
  </si>
  <si>
    <t>mhernandez@elektra.com.mx</t>
  </si>
  <si>
    <t>Anayeli</t>
  </si>
  <si>
    <t>http://www.linkedin.com/in/anygog</t>
  </si>
  <si>
    <t>anayeli.gonzalezg@elektra.com.mx</t>
  </si>
  <si>
    <t>Gallart</t>
  </si>
  <si>
    <t>Director OperaciÃ³n E commerce</t>
  </si>
  <si>
    <t>http://www.linkedin.com/in/ricardo-gustavo-gallart-rodriguez-131317159</t>
  </si>
  <si>
    <t>rgallart@elektra.com.mx</t>
  </si>
  <si>
    <t>Sr. Marketing Manager Elektra LÃ­nea Blanca</t>
  </si>
  <si>
    <t>http://www.linkedin.com/in/ivan-ramirez-gerente-de-marketing-senior</t>
  </si>
  <si>
    <t>jose.torresh@elektra.com.mx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</si>
</sst>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sz val="10"/>
      <color theme="1"/>
      <name val="Calibri"/>
    </font>
    <font>
      <sz val="11"/>
      <color theme="1"/>
      <name val="Calibri"/>
    </font>
    <font>
      <sz val="10"/>
      <color theme="1"/>
      <name val="Arial"/>
    </font>
    <font>
      <u/>
      <sz val="10"/>
      <color rgb="FF0563C1"/>
      <name val="Arial"/>
    </font>
    <font>
      <sz val="10"/>
      <color rgb="FF64728C"/>
      <name val="-apple-system"/>
    </font>
    <font>
      <sz val="12"/>
      <color theme="1"/>
      <name val="Calibri"/>
    </font>
    <font>
      <b/>
      <sz val="10"/>
      <color theme="1"/>
      <name val="Arial"/>
    </font>
    <font>
      <sz val="10"/>
      <color rgb="FF64728C"/>
      <name val="Arial"/>
    </font>
    <font>
      <sz val="12"/>
      <color rgb="FF64728C"/>
      <name val="-apple-system"/>
    </font>
    <font>
      <sz val="12"/>
      <color rgb="FF64728C"/>
      <name val="Arial"/>
    </font>
    <font>
      <sz val="10"/>
      <color rgb="FF1F1F1F"/>
      <name val="Arial"/>
    </font>
    <font>
      <u/>
      <sz val="10"/>
      <color rgb="FF64728C"/>
      <name val="-apple-system"/>
    </font>
    <font>
      <sz val="10"/>
      <color theme="1"/>
      <name val="-apple-system"/>
    </font>
    <font>
      <u/>
      <sz val="10"/>
      <color rgb="FF0563C1"/>
      <name val="Arial"/>
    </font>
    <font>
      <u/>
      <sz val="10"/>
      <color rgb="FF0000FF"/>
      <name val="Arial"/>
    </font>
    <font>
      <sz val="10"/>
      <color theme="1"/>
      <name val="Neue-haas-unica"/>
    </font>
    <font>
      <u/>
      <sz val="10"/>
      <color rgb="FF1F1F1F"/>
      <name val="Arial"/>
    </font>
    <font>
      <sz val="10"/>
      <color rgb="FF000000"/>
      <name val="Arial"/>
    </font>
    <font>
      <sz val="12"/>
      <color theme="1"/>
      <name val="Arial"/>
    </font>
    <font>
      <u/>
      <sz val="12"/>
      <color rgb="FF0563C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6" fillId="0" borderId="0" xfId="0" applyFont="1"/>
    <xf numFmtId="0" fontId="7" fillId="0" borderId="0" xfId="0" applyFont="1"/>
    <xf numFmtId="0" fontId="5" fillId="3" borderId="0" xfId="0" applyFont="1" applyFill="1" applyAlignment="1">
      <alignment horizontal="right"/>
    </xf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8" fillId="3" borderId="0" xfId="0" applyFont="1" applyFill="1" applyAlignment="1">
      <alignment horizontal="right"/>
    </xf>
    <xf numFmtId="0" fontId="10" fillId="3" borderId="0" xfId="0" applyFont="1" applyFill="1" applyAlignment="1">
      <alignment horizontal="right"/>
    </xf>
    <xf numFmtId="0" fontId="11" fillId="3" borderId="0" xfId="0" applyFont="1" applyFill="1"/>
    <xf numFmtId="0" fontId="12" fillId="3" borderId="0" xfId="0" applyFont="1" applyFill="1"/>
    <xf numFmtId="0" fontId="13" fillId="3" borderId="0" xfId="0" applyFont="1" applyFill="1"/>
    <xf numFmtId="0" fontId="3" fillId="4" borderId="0" xfId="0" applyFont="1" applyFill="1"/>
    <xf numFmtId="0" fontId="14" fillId="4" borderId="0" xfId="0" applyFont="1" applyFill="1"/>
    <xf numFmtId="0" fontId="5" fillId="4" borderId="0" xfId="0" applyFont="1" applyFill="1" applyAlignment="1">
      <alignment horizontal="right"/>
    </xf>
    <xf numFmtId="0" fontId="5" fillId="4" borderId="0" xfId="0" applyFont="1" applyFill="1"/>
    <xf numFmtId="0" fontId="6" fillId="4" borderId="0" xfId="0" applyFont="1" applyFill="1"/>
    <xf numFmtId="0" fontId="8" fillId="4" borderId="0" xfId="0" applyFont="1" applyFill="1"/>
    <xf numFmtId="0" fontId="6" fillId="3" borderId="0" xfId="0" applyFont="1" applyFill="1"/>
    <xf numFmtId="0" fontId="1" fillId="0" borderId="0" xfId="0" applyFont="1"/>
    <xf numFmtId="0" fontId="3" fillId="3" borderId="0" xfId="0" applyFont="1" applyFill="1"/>
    <xf numFmtId="0" fontId="3" fillId="0" borderId="0" xfId="0" applyFont="1" applyAlignment="1">
      <alignment horizontal="center"/>
    </xf>
    <xf numFmtId="0" fontId="15" fillId="0" borderId="0" xfId="0" applyFont="1"/>
    <xf numFmtId="0" fontId="16" fillId="3" borderId="0" xfId="0" applyFont="1" applyFill="1"/>
    <xf numFmtId="0" fontId="3" fillId="0" borderId="0" xfId="0" applyFont="1" applyAlignment="1">
      <alignment horizontal="right"/>
    </xf>
    <xf numFmtId="0" fontId="17" fillId="3" borderId="0" xfId="0" applyFont="1" applyFill="1"/>
    <xf numFmtId="0" fontId="1" fillId="4" borderId="0" xfId="0" applyFont="1" applyFill="1"/>
    <xf numFmtId="0" fontId="18" fillId="0" borderId="0" xfId="0" applyFont="1"/>
    <xf numFmtId="0" fontId="6" fillId="5" borderId="0" xfId="0" applyFont="1" applyFill="1"/>
    <xf numFmtId="0" fontId="3" fillId="0" borderId="0" xfId="0" quotePrefix="1" applyFont="1"/>
    <xf numFmtId="11" fontId="3" fillId="0" borderId="0" xfId="0" applyNumberFormat="1" applyFont="1" applyAlignment="1">
      <alignment horizontal="right"/>
    </xf>
    <xf numFmtId="0" fontId="19" fillId="0" borderId="0" xfId="0" applyFont="1"/>
    <xf numFmtId="0" fontId="20" fillId="0" borderId="0" xfId="0" applyFont="1"/>
    <xf numFmtId="0" fontId="19" fillId="0" borderId="0" xfId="0" quotePrefix="1" applyFont="1"/>
    <xf numFmtId="0" fontId="21" fillId="0" borderId="0" xfId="0" applyFont="1"/>
    <xf numFmtId="11" fontId="19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linkedin.com/in/lauren-kim-1ab380136" TargetMode="External"/><Relationship Id="rId3182" Type="http://schemas.openxmlformats.org/officeDocument/2006/relationships/hyperlink" Target="http://www.linkedin.com/in/maria-del-sol-acevedo-pons-61b849bb" TargetMode="External"/><Relationship Id="rId3042" Type="http://schemas.openxmlformats.org/officeDocument/2006/relationships/hyperlink" Target="http://www.linkedin.com/in/nadia-alvarez-carrasco" TargetMode="External"/><Relationship Id="rId170" Type="http://schemas.openxmlformats.org/officeDocument/2006/relationships/hyperlink" Target="http://brnds.mx/" TargetMode="External"/><Relationship Id="rId987" Type="http://schemas.openxmlformats.org/officeDocument/2006/relationships/hyperlink" Target="http://mood-agency.com/" TargetMode="External"/><Relationship Id="rId2668" Type="http://schemas.openxmlformats.org/officeDocument/2006/relationships/hyperlink" Target="http://www.linkedin.com/in/andrea-arenas-2b4398128" TargetMode="External"/><Relationship Id="rId2875" Type="http://schemas.openxmlformats.org/officeDocument/2006/relationships/hyperlink" Target="http://www.linkedin.com/in/martijn-van-de-leest-939609a" TargetMode="External"/><Relationship Id="rId847" Type="http://schemas.openxmlformats.org/officeDocument/2006/relationships/hyperlink" Target="https://www.linkedin.com/in/ACwAACCALYQBgGIfNlGBZNg26sSMN4kMCluCPr4" TargetMode="External"/><Relationship Id="rId1477" Type="http://schemas.openxmlformats.org/officeDocument/2006/relationships/hyperlink" Target="https://www.linkedin.com/in/lourdes-plaisant-ojinaga-99926180" TargetMode="External"/><Relationship Id="rId1684" Type="http://schemas.openxmlformats.org/officeDocument/2006/relationships/hyperlink" Target="http://www.linkedin.com/in/jocelyn-nagy-7772a71b" TargetMode="External"/><Relationship Id="rId1891" Type="http://schemas.openxmlformats.org/officeDocument/2006/relationships/hyperlink" Target="http://www.linkedin.com/in/hannah-toner" TargetMode="External"/><Relationship Id="rId2528" Type="http://schemas.openxmlformats.org/officeDocument/2006/relationships/hyperlink" Target="http://www.linkedin.com/in/lucia-mendez" TargetMode="External"/><Relationship Id="rId2735" Type="http://schemas.openxmlformats.org/officeDocument/2006/relationships/hyperlink" Target="http://www.linkedin.com/in/edgarescartin" TargetMode="External"/><Relationship Id="rId2942" Type="http://schemas.openxmlformats.org/officeDocument/2006/relationships/hyperlink" Target="http://www.linkedin.com/in/paulina-dena-gil-44a35b98" TargetMode="External"/><Relationship Id="rId707" Type="http://schemas.openxmlformats.org/officeDocument/2006/relationships/hyperlink" Target="http://hyundaicamionesybuses.com/" TargetMode="External"/><Relationship Id="rId914" Type="http://schemas.openxmlformats.org/officeDocument/2006/relationships/hyperlink" Target="https://www.linkedin.com/in/ACwAAAvmO7IBGZC5QlJlxVCZkWIaMp86JcPdOmE" TargetMode="External"/><Relationship Id="rId1337" Type="http://schemas.openxmlformats.org/officeDocument/2006/relationships/hyperlink" Target="https://www.linkedin.com/in/loren-williams-b9a871173" TargetMode="External"/><Relationship Id="rId1544" Type="http://schemas.openxmlformats.org/officeDocument/2006/relationships/hyperlink" Target="http://vinoteca.com/" TargetMode="External"/><Relationship Id="rId1751" Type="http://schemas.openxmlformats.org/officeDocument/2006/relationships/hyperlink" Target="http://www.linkedin.com/in/zhengnan-li-015aa121b" TargetMode="External"/><Relationship Id="rId2802" Type="http://schemas.openxmlformats.org/officeDocument/2006/relationships/hyperlink" Target="http://www.linkedin.com/in/fernanda-aguilar-de-la-torre-219706231" TargetMode="External"/><Relationship Id="rId43" Type="http://schemas.openxmlformats.org/officeDocument/2006/relationships/hyperlink" Target="https://www.linkedin.com/in/dantenkhoff" TargetMode="External"/><Relationship Id="rId1404" Type="http://schemas.openxmlformats.org/officeDocument/2006/relationships/hyperlink" Target="https://www.linkedin.com/in/claudia-quintanilla-d-18917aab" TargetMode="External"/><Relationship Id="rId1611" Type="http://schemas.openxmlformats.org/officeDocument/2006/relationships/hyperlink" Target="http://zoewater.com.mx/" TargetMode="External"/><Relationship Id="rId497" Type="http://schemas.openxmlformats.org/officeDocument/2006/relationships/hyperlink" Target="http://fanasa.com/" TargetMode="External"/><Relationship Id="rId2178" Type="http://schemas.openxmlformats.org/officeDocument/2006/relationships/hyperlink" Target="http://www.linkedin.com/in/jorge-%c3%a1lvarez-v%c3%a9lez-95b61729" TargetMode="External"/><Relationship Id="rId2385" Type="http://schemas.openxmlformats.org/officeDocument/2006/relationships/hyperlink" Target="http://www.linkedin.com/in/uriel-duran-mkt" TargetMode="External"/><Relationship Id="rId3229" Type="http://schemas.openxmlformats.org/officeDocument/2006/relationships/hyperlink" Target="http://www.linkedin.com/in/mar%c3%ada-fernanda-sandoval-45502a62" TargetMode="External"/><Relationship Id="rId357" Type="http://schemas.openxmlformats.org/officeDocument/2006/relationships/hyperlink" Target="http://danielasalcedo.com/" TargetMode="External"/><Relationship Id="rId1194" Type="http://schemas.openxmlformats.org/officeDocument/2006/relationships/hyperlink" Target="https://www.linkedin.com/in/angelescalderon" TargetMode="External"/><Relationship Id="rId2038" Type="http://schemas.openxmlformats.org/officeDocument/2006/relationships/hyperlink" Target="http://www.linkedin.com/in/nathalie-saumoneau" TargetMode="External"/><Relationship Id="rId2592" Type="http://schemas.openxmlformats.org/officeDocument/2006/relationships/hyperlink" Target="http://www.linkedin.com/in/karlareygo" TargetMode="External"/><Relationship Id="rId217" Type="http://schemas.openxmlformats.org/officeDocument/2006/relationships/hyperlink" Target="https://www.linkedin.com/in/lynn-c-holland-b062ba187" TargetMode="External"/><Relationship Id="rId564" Type="http://schemas.openxmlformats.org/officeDocument/2006/relationships/hyperlink" Target="http://georgieboy.com.mx/" TargetMode="External"/><Relationship Id="rId771" Type="http://schemas.openxmlformats.org/officeDocument/2006/relationships/hyperlink" Target="https://www.linkedin.com/in/gonzalocruzb" TargetMode="External"/><Relationship Id="rId2245" Type="http://schemas.openxmlformats.org/officeDocument/2006/relationships/hyperlink" Target="http://www.linkedin.com/in/jean-colunga-9907051a3" TargetMode="External"/><Relationship Id="rId2452" Type="http://schemas.openxmlformats.org/officeDocument/2006/relationships/hyperlink" Target="http://www.linkedin.com/in/sylvia-fuentes-cortes-3a5487113" TargetMode="External"/><Relationship Id="rId424" Type="http://schemas.openxmlformats.org/officeDocument/2006/relationships/hyperlink" Target="https://www.linkedin.com/in/yessica-rodriguez-muller-baa842b" TargetMode="External"/><Relationship Id="rId631" Type="http://schemas.openxmlformats.org/officeDocument/2006/relationships/hyperlink" Target="http://gruposervex.com/" TargetMode="External"/><Relationship Id="rId1054" Type="http://schemas.openxmlformats.org/officeDocument/2006/relationships/hyperlink" Target="http://novartis.com.mx/" TargetMode="External"/><Relationship Id="rId1261" Type="http://schemas.openxmlformats.org/officeDocument/2006/relationships/hyperlink" Target="https://www.linkedin.com/in/tammye-riley-993ba74a" TargetMode="External"/><Relationship Id="rId2105" Type="http://schemas.openxmlformats.org/officeDocument/2006/relationships/hyperlink" Target="http://www.linkedin.com/in/ensley-norton-604607288" TargetMode="External"/><Relationship Id="rId2312" Type="http://schemas.openxmlformats.org/officeDocument/2006/relationships/hyperlink" Target="http://www.linkedin.com/in/fervillarreal" TargetMode="External"/><Relationship Id="rId1121" Type="http://schemas.openxmlformats.org/officeDocument/2006/relationships/hyperlink" Target="http://paquetexpress.com.mx/" TargetMode="External"/><Relationship Id="rId3086" Type="http://schemas.openxmlformats.org/officeDocument/2006/relationships/hyperlink" Target="http://www.linkedin.com/in/seg-m%c3%a9xico-8b722823a" TargetMode="External"/><Relationship Id="rId1938" Type="http://schemas.openxmlformats.org/officeDocument/2006/relationships/hyperlink" Target="http://www.linkedin.com/in/mike-jones-173a8232" TargetMode="External"/><Relationship Id="rId3153" Type="http://schemas.openxmlformats.org/officeDocument/2006/relationships/hyperlink" Target="http://www.linkedin.com/in/claudia-perales-5a47b0192" TargetMode="External"/><Relationship Id="rId281" Type="http://schemas.openxmlformats.org/officeDocument/2006/relationships/hyperlink" Target="https://www.linkedin.com/in/ACwAAB11eIcBzy88mj8HU8-893NowwX79--ogDk" TargetMode="External"/><Relationship Id="rId3013" Type="http://schemas.openxmlformats.org/officeDocument/2006/relationships/hyperlink" Target="http://www.linkedin.com/in/looehr7" TargetMode="External"/><Relationship Id="rId141" Type="http://schemas.openxmlformats.org/officeDocument/2006/relationships/hyperlink" Target="http://betterware.com.mx/" TargetMode="External"/><Relationship Id="rId3220" Type="http://schemas.openxmlformats.org/officeDocument/2006/relationships/hyperlink" Target="http://www.linkedin.com/in/yazmin-becerra-ruanova-a3b0b72" TargetMode="External"/><Relationship Id="rId7" Type="http://schemas.openxmlformats.org/officeDocument/2006/relationships/hyperlink" Target="https://www.linkedin.com/in/emma-riley-42b817149" TargetMode="External"/><Relationship Id="rId2779" Type="http://schemas.openxmlformats.org/officeDocument/2006/relationships/hyperlink" Target="http://www.linkedin.com/in/maria-del-sol-acevedo-pons-61b849bb" TargetMode="External"/><Relationship Id="rId2986" Type="http://schemas.openxmlformats.org/officeDocument/2006/relationships/hyperlink" Target="http://www.linkedin.com/in/brenda-karen-aguilar-resendiz-407b4bb6" TargetMode="External"/><Relationship Id="rId958" Type="http://schemas.openxmlformats.org/officeDocument/2006/relationships/hyperlink" Target="https://www.linkedin.com/in/patricia-cortez-0a5744176" TargetMode="External"/><Relationship Id="rId1588" Type="http://schemas.openxmlformats.org/officeDocument/2006/relationships/hyperlink" Target="https://www.linkedin.com/in/jo-weelen-13922024" TargetMode="External"/><Relationship Id="rId1795" Type="http://schemas.openxmlformats.org/officeDocument/2006/relationships/hyperlink" Target="http://www.linkedin.com/in/yasemin-oztemur" TargetMode="External"/><Relationship Id="rId2639" Type="http://schemas.openxmlformats.org/officeDocument/2006/relationships/hyperlink" Target="http://www.linkedin.com/in/carlgcr" TargetMode="External"/><Relationship Id="rId2846" Type="http://schemas.openxmlformats.org/officeDocument/2006/relationships/hyperlink" Target="http://www.linkedin.com/in/fernando-nieves-1a7467144" TargetMode="External"/><Relationship Id="rId87" Type="http://schemas.openxmlformats.org/officeDocument/2006/relationships/hyperlink" Target="https://www.linkedin.com/in/ACwAADQEPusBLVZenBIS6txWbYHRIJX3Yu6Btlw" TargetMode="External"/><Relationship Id="rId818" Type="http://schemas.openxmlformats.org/officeDocument/2006/relationships/hyperlink" Target="https://www.linkedin.com/in/jaime-david-martinez-bb6231a5" TargetMode="External"/><Relationship Id="rId1448" Type="http://schemas.openxmlformats.org/officeDocument/2006/relationships/hyperlink" Target="https://www.linkedin.com/in/ACwAABPElkcBAVhO3KygM540XhOvhot7d_faOcI" TargetMode="External"/><Relationship Id="rId1655" Type="http://schemas.openxmlformats.org/officeDocument/2006/relationships/hyperlink" Target="http://www.linkedin.com/in/debrannaj" TargetMode="External"/><Relationship Id="rId2706" Type="http://schemas.openxmlformats.org/officeDocument/2006/relationships/hyperlink" Target="http://www.linkedin.com/in/mauricioguzmansantiago" TargetMode="External"/><Relationship Id="rId1308" Type="http://schemas.openxmlformats.org/officeDocument/2006/relationships/hyperlink" Target="http://signalhire.com/" TargetMode="External"/><Relationship Id="rId1862" Type="http://schemas.openxmlformats.org/officeDocument/2006/relationships/hyperlink" Target="http://www.linkedin.com/in/estacy-patricia-diaz-martinez-b961b8161" TargetMode="External"/><Relationship Id="rId2913" Type="http://schemas.openxmlformats.org/officeDocument/2006/relationships/hyperlink" Target="http://www.linkedin.com/in/abel-t%c3%a9llez-aguilar-53675a214" TargetMode="External"/><Relationship Id="rId1515" Type="http://schemas.openxmlformats.org/officeDocument/2006/relationships/hyperlink" Target="https://www.linkedin.com/in/ACwAAA0KpCUBbz7zi7NC5_MUde7pDUiXQv9p8SU" TargetMode="External"/><Relationship Id="rId1722" Type="http://schemas.openxmlformats.org/officeDocument/2006/relationships/hyperlink" Target="http://www.linkedin.com/in/rachael-zabkar-8b4b04a7" TargetMode="External"/><Relationship Id="rId14" Type="http://schemas.openxmlformats.org/officeDocument/2006/relationships/hyperlink" Target="https://www.linkedin.com/in/araceliruizramirez" TargetMode="External"/><Relationship Id="rId2289" Type="http://schemas.openxmlformats.org/officeDocument/2006/relationships/hyperlink" Target="http://www.linkedin.com/in/alexis-portillo-101335b1" TargetMode="External"/><Relationship Id="rId2496" Type="http://schemas.openxmlformats.org/officeDocument/2006/relationships/hyperlink" Target="http://www.linkedin.com/in/fabiolasanchezespinosa" TargetMode="External"/><Relationship Id="rId468" Type="http://schemas.openxmlformats.org/officeDocument/2006/relationships/hyperlink" Target="http://embridge.mx/" TargetMode="External"/><Relationship Id="rId675" Type="http://schemas.openxmlformats.org/officeDocument/2006/relationships/hyperlink" Target="https://www.linkedin.com/in/christianlopezespinosa/" TargetMode="External"/><Relationship Id="rId882" Type="http://schemas.openxmlformats.org/officeDocument/2006/relationships/hyperlink" Target="https://www.linkedin.com/in/joseantoniopadronabad" TargetMode="External"/><Relationship Id="rId1098" Type="http://schemas.openxmlformats.org/officeDocument/2006/relationships/hyperlink" Target="http://oggi.mx/" TargetMode="External"/><Relationship Id="rId2149" Type="http://schemas.openxmlformats.org/officeDocument/2006/relationships/hyperlink" Target="http://www.linkedin.com/in/antonio-gregorio-vazquez" TargetMode="External"/><Relationship Id="rId2356" Type="http://schemas.openxmlformats.org/officeDocument/2006/relationships/hyperlink" Target="http://www.linkedin.com/in/krustoff" TargetMode="External"/><Relationship Id="rId2563" Type="http://schemas.openxmlformats.org/officeDocument/2006/relationships/hyperlink" Target="http://www.linkedin.com/in/claudia-sanchez-85a2694b" TargetMode="External"/><Relationship Id="rId2770" Type="http://schemas.openxmlformats.org/officeDocument/2006/relationships/hyperlink" Target="http://www.linkedin.com/in/agostina-dottori-28979054" TargetMode="External"/><Relationship Id="rId328" Type="http://schemas.openxmlformats.org/officeDocument/2006/relationships/hyperlink" Target="https://www.linkedin.com/in/ACwAADDupeUBGt_WR5AkTP2ZrQobhiCMjNP-ctI" TargetMode="External"/><Relationship Id="rId535" Type="http://schemas.openxmlformats.org/officeDocument/2006/relationships/hyperlink" Target="http://fmcagroquimica.com.mx/" TargetMode="External"/><Relationship Id="rId742" Type="http://schemas.openxmlformats.org/officeDocument/2006/relationships/hyperlink" Target="http://infonavit.org.mx/" TargetMode="External"/><Relationship Id="rId1165" Type="http://schemas.openxmlformats.org/officeDocument/2006/relationships/hyperlink" Target="http://pirma.com.mx/" TargetMode="External"/><Relationship Id="rId1372" Type="http://schemas.openxmlformats.org/officeDocument/2006/relationships/hyperlink" Target="http://supermaterias.com/" TargetMode="External"/><Relationship Id="rId2009" Type="http://schemas.openxmlformats.org/officeDocument/2006/relationships/hyperlink" Target="http://www.linkedin.com/in/daniella-d-amico-376a59104" TargetMode="External"/><Relationship Id="rId2216" Type="http://schemas.openxmlformats.org/officeDocument/2006/relationships/hyperlink" Target="http://www.linkedin.com/in/gerardo-rodriguez-tiscare%c3%b1o-18361331" TargetMode="External"/><Relationship Id="rId2423" Type="http://schemas.openxmlformats.org/officeDocument/2006/relationships/hyperlink" Target="http://www.linkedin.com/in/jcarlosfuentes-mercad%c3%b3logo" TargetMode="External"/><Relationship Id="rId2630" Type="http://schemas.openxmlformats.org/officeDocument/2006/relationships/hyperlink" Target="http://www.linkedin.com/in/karla-meljem" TargetMode="External"/><Relationship Id="rId602" Type="http://schemas.openxmlformats.org/officeDocument/2006/relationships/hyperlink" Target="http://groupkps.com/" TargetMode="External"/><Relationship Id="rId1025" Type="http://schemas.openxmlformats.org/officeDocument/2006/relationships/hyperlink" Target="https://www.linkedin.com/in/ACwAAC97bf8BS6G5IWraznBDw_CNBPfT4yTJj-8" TargetMode="External"/><Relationship Id="rId1232" Type="http://schemas.openxmlformats.org/officeDocument/2006/relationships/hyperlink" Target="http://republiccosmetics.com/" TargetMode="External"/><Relationship Id="rId3197" Type="http://schemas.openxmlformats.org/officeDocument/2006/relationships/hyperlink" Target="http://www.linkedin.com/in/alonso-nava-70383b7" TargetMode="External"/><Relationship Id="rId3057" Type="http://schemas.openxmlformats.org/officeDocument/2006/relationships/hyperlink" Target="http://www.linkedin.com/in/martha-lilia-herrera" TargetMode="External"/><Relationship Id="rId185" Type="http://schemas.openxmlformats.org/officeDocument/2006/relationships/hyperlink" Target="https://www.linkedin.com/in/ACwAAAXs3EwBpwNy6YhxgUFUjdnccU1EO2VSILE" TargetMode="External"/><Relationship Id="rId1909" Type="http://schemas.openxmlformats.org/officeDocument/2006/relationships/hyperlink" Target="http://www.linkedin.com/in/leticia-rico-aa51a612a" TargetMode="External"/><Relationship Id="rId3264" Type="http://schemas.openxmlformats.org/officeDocument/2006/relationships/hyperlink" Target="http://www.linkedin.com/in/giovanaortiz" TargetMode="External"/><Relationship Id="rId392" Type="http://schemas.openxmlformats.org/officeDocument/2006/relationships/hyperlink" Target="http://dentalia.com/" TargetMode="External"/><Relationship Id="rId2073" Type="http://schemas.openxmlformats.org/officeDocument/2006/relationships/hyperlink" Target="http://www.linkedin.com/in/daniel-bedolla-0726b978" TargetMode="External"/><Relationship Id="rId2280" Type="http://schemas.openxmlformats.org/officeDocument/2006/relationships/hyperlink" Target="http://www.linkedin.com/in/tulipanesdecolores" TargetMode="External"/><Relationship Id="rId3124" Type="http://schemas.openxmlformats.org/officeDocument/2006/relationships/hyperlink" Target="http://www.linkedin.com/in/anu-rajaharju-88b366127" TargetMode="External"/><Relationship Id="rId252" Type="http://schemas.openxmlformats.org/officeDocument/2006/relationships/hyperlink" Target="http://chopo.com.mx/" TargetMode="External"/><Relationship Id="rId2140" Type="http://schemas.openxmlformats.org/officeDocument/2006/relationships/hyperlink" Target="http://www.linkedin.com/in/ryancykiert" TargetMode="External"/><Relationship Id="rId112" Type="http://schemas.openxmlformats.org/officeDocument/2006/relationships/hyperlink" Target="http://azulik.com/" TargetMode="External"/><Relationship Id="rId1699" Type="http://schemas.openxmlformats.org/officeDocument/2006/relationships/hyperlink" Target="http://www.linkedin.com/in/shelby-ramirez-9b12a248" TargetMode="External"/><Relationship Id="rId2000" Type="http://schemas.openxmlformats.org/officeDocument/2006/relationships/hyperlink" Target="http://www.linkedin.com/in/hugolopezalvarez" TargetMode="External"/><Relationship Id="rId2957" Type="http://schemas.openxmlformats.org/officeDocument/2006/relationships/hyperlink" Target="http://www.linkedin.com/in/norma-hern%c3%a1ndez-cuevas-0715ab103" TargetMode="External"/><Relationship Id="rId929" Type="http://schemas.openxmlformats.org/officeDocument/2006/relationships/hyperlink" Target="http://mentori.mx/" TargetMode="External"/><Relationship Id="rId1559" Type="http://schemas.openxmlformats.org/officeDocument/2006/relationships/hyperlink" Target="http://webnode.com/" TargetMode="External"/><Relationship Id="rId1766" Type="http://schemas.openxmlformats.org/officeDocument/2006/relationships/hyperlink" Target="http://www.linkedin.com/in/izauzki" TargetMode="External"/><Relationship Id="rId1973" Type="http://schemas.openxmlformats.org/officeDocument/2006/relationships/hyperlink" Target="http://www.linkedin.com/in/mariana-jhoselin-ch%c3%a1vez-hern%c3%a1ndez-987705162" TargetMode="External"/><Relationship Id="rId2817" Type="http://schemas.openxmlformats.org/officeDocument/2006/relationships/hyperlink" Target="http://www.linkedin.com/in/javier-felix-castaneda-seo" TargetMode="External"/><Relationship Id="rId58" Type="http://schemas.openxmlformats.org/officeDocument/2006/relationships/hyperlink" Target="http://aomc.mx/" TargetMode="External"/><Relationship Id="rId1419" Type="http://schemas.openxmlformats.org/officeDocument/2006/relationships/hyperlink" Target="http://thebarkingbakery.co.uk/" TargetMode="External"/><Relationship Id="rId1626" Type="http://schemas.openxmlformats.org/officeDocument/2006/relationships/hyperlink" Target="http://www.linkedin.com/in/adamdstevens" TargetMode="External"/><Relationship Id="rId1833" Type="http://schemas.openxmlformats.org/officeDocument/2006/relationships/hyperlink" Target="http://www.linkedin.com/in/monica-trejo-lugo-40116a122" TargetMode="External"/><Relationship Id="rId1900" Type="http://schemas.openxmlformats.org/officeDocument/2006/relationships/hyperlink" Target="http://www.linkedin.com/in/eleni-bradshaw-19a83128" TargetMode="External"/><Relationship Id="rId579" Type="http://schemas.openxmlformats.org/officeDocument/2006/relationships/hyperlink" Target="http://gilsa.mx/" TargetMode="External"/><Relationship Id="rId786" Type="http://schemas.openxmlformats.org/officeDocument/2006/relationships/hyperlink" Target="https://www.linkedin.com/in/ACwAAADKK1UBtJsxy9N5MVrBfLXdzksj5Ljgg_I" TargetMode="External"/><Relationship Id="rId993" Type="http://schemas.openxmlformats.org/officeDocument/2006/relationships/hyperlink" Target="http://moramora.mx/" TargetMode="External"/><Relationship Id="rId2467" Type="http://schemas.openxmlformats.org/officeDocument/2006/relationships/hyperlink" Target="http://www.linkedin.com/in/edgar-ram%c3%adrez-calvo-5980bb37" TargetMode="External"/><Relationship Id="rId2674" Type="http://schemas.openxmlformats.org/officeDocument/2006/relationships/hyperlink" Target="http://www.linkedin.com/in/paloma-rodriguez-moreno-8106b8a2" TargetMode="External"/><Relationship Id="rId439" Type="http://schemas.openxmlformats.org/officeDocument/2006/relationships/hyperlink" Target="http://dupuis.com.mx/" TargetMode="External"/><Relationship Id="rId646" Type="http://schemas.openxmlformats.org/officeDocument/2006/relationships/hyperlink" Target="https://www.linkedin.com/in/gilberto-a-alcaraz-orozco-bb01a811b" TargetMode="External"/><Relationship Id="rId1069" Type="http://schemas.openxmlformats.org/officeDocument/2006/relationships/hyperlink" Target="https://www.linkedin.com/in/ACwAAB8T95wBMn3kyXyFU2qeohvSfU_Adw7LuD0" TargetMode="External"/><Relationship Id="rId1276" Type="http://schemas.openxmlformats.org/officeDocument/2006/relationships/hyperlink" Target="http://samsung.com/" TargetMode="External"/><Relationship Id="rId1483" Type="http://schemas.openxmlformats.org/officeDocument/2006/relationships/hyperlink" Target="https://www.linkedin.com/in/juandagonzalezm" TargetMode="External"/><Relationship Id="rId2327" Type="http://schemas.openxmlformats.org/officeDocument/2006/relationships/hyperlink" Target="http://www.linkedin.com/in/paulina-vega-1487431a8" TargetMode="External"/><Relationship Id="rId2881" Type="http://schemas.openxmlformats.org/officeDocument/2006/relationships/hyperlink" Target="http://www.linkedin.com/in/fernando-arechavaleta-gonz%c3%a1lez-a34456172" TargetMode="External"/><Relationship Id="rId506" Type="http://schemas.openxmlformats.org/officeDocument/2006/relationships/hyperlink" Target="https://www.linkedin.com/in/ricardomoralesmorales" TargetMode="External"/><Relationship Id="rId853" Type="http://schemas.openxmlformats.org/officeDocument/2006/relationships/hyperlink" Target="https://www.linkedin.com/in/yuria-inesa-86423072" TargetMode="External"/><Relationship Id="rId1136" Type="http://schemas.openxmlformats.org/officeDocument/2006/relationships/hyperlink" Target="https://www.linkedin.com/in/mario-alberto-minero-53a89a143" TargetMode="External"/><Relationship Id="rId1690" Type="http://schemas.openxmlformats.org/officeDocument/2006/relationships/hyperlink" Target="http://www.linkedin.com/in/marie-charlot-49a6355b" TargetMode="External"/><Relationship Id="rId2534" Type="http://schemas.openxmlformats.org/officeDocument/2006/relationships/hyperlink" Target="http://www.linkedin.com/in/mar%c3%ada-sof%c3%ada-aguilar-romero-a12b21185" TargetMode="External"/><Relationship Id="rId2741" Type="http://schemas.openxmlformats.org/officeDocument/2006/relationships/hyperlink" Target="http://www.linkedin.com/in/matias-righi" TargetMode="External"/><Relationship Id="rId713" Type="http://schemas.openxmlformats.org/officeDocument/2006/relationships/hyperlink" Target="http://ibushak.com/" TargetMode="External"/><Relationship Id="rId920" Type="http://schemas.openxmlformats.org/officeDocument/2006/relationships/hyperlink" Target="https://www.linkedin.com/in/ACwAABk52UUBFeJcLlXEoK8rtGTDb-PJ-INERLE" TargetMode="External"/><Relationship Id="rId1343" Type="http://schemas.openxmlformats.org/officeDocument/2006/relationships/hyperlink" Target="https://www.linkedin.com/in/german-fernandez-112a5b23" TargetMode="External"/><Relationship Id="rId1550" Type="http://schemas.openxmlformats.org/officeDocument/2006/relationships/hyperlink" Target="https://www.linkedin.com/in/corinamarinmx" TargetMode="External"/><Relationship Id="rId2601" Type="http://schemas.openxmlformats.org/officeDocument/2006/relationships/hyperlink" Target="http://www.linkedin.com/in/magdalena-uelner-a07a46164" TargetMode="External"/><Relationship Id="rId1203" Type="http://schemas.openxmlformats.org/officeDocument/2006/relationships/hyperlink" Target="http://proteccionfamiliar.com.mx/" TargetMode="External"/><Relationship Id="rId1410" Type="http://schemas.openxmlformats.org/officeDocument/2006/relationships/hyperlink" Target="https://www.linkedin.com/in/nestormarquez" TargetMode="External"/><Relationship Id="rId3168" Type="http://schemas.openxmlformats.org/officeDocument/2006/relationships/hyperlink" Target="http://www.linkedin.com/in/kami-viswanathan-8644271a" TargetMode="External"/><Relationship Id="rId296" Type="http://schemas.openxmlformats.org/officeDocument/2006/relationships/hyperlink" Target="http://coquetayaudaz.com.mx/" TargetMode="External"/><Relationship Id="rId2184" Type="http://schemas.openxmlformats.org/officeDocument/2006/relationships/hyperlink" Target="http://www.linkedin.com/in/alliezlotnick" TargetMode="External"/><Relationship Id="rId2391" Type="http://schemas.openxmlformats.org/officeDocument/2006/relationships/hyperlink" Target="http://www.linkedin.com/in/luis-s%c3%a1nchez-b77414130" TargetMode="External"/><Relationship Id="rId3028" Type="http://schemas.openxmlformats.org/officeDocument/2006/relationships/hyperlink" Target="http://www.linkedin.com/in/yamina-garcia-martinez" TargetMode="External"/><Relationship Id="rId3235" Type="http://schemas.openxmlformats.org/officeDocument/2006/relationships/hyperlink" Target="http://www.linkedin.com/in/diana-ibarra-66b1a8203" TargetMode="External"/><Relationship Id="rId156" Type="http://schemas.openxmlformats.org/officeDocument/2006/relationships/hyperlink" Target="http://binden.mx/" TargetMode="External"/><Relationship Id="rId363" Type="http://schemas.openxmlformats.org/officeDocument/2006/relationships/hyperlink" Target="https://www.linkedin.com/in/ACwAAAMAF6wBMPaAqZzXkYALtLx67bNDwXQ_NI4" TargetMode="External"/><Relationship Id="rId570" Type="http://schemas.openxmlformats.org/officeDocument/2006/relationships/hyperlink" Target="http://ghg.mx/" TargetMode="External"/><Relationship Id="rId2044" Type="http://schemas.openxmlformats.org/officeDocument/2006/relationships/hyperlink" Target="http://www.linkedin.com/in/alexis-diaz-77793120a" TargetMode="External"/><Relationship Id="rId2251" Type="http://schemas.openxmlformats.org/officeDocument/2006/relationships/hyperlink" Target="http://www.linkedin.com/in/digitalcoffee-marketing-specialist" TargetMode="External"/><Relationship Id="rId223" Type="http://schemas.openxmlformats.org/officeDocument/2006/relationships/hyperlink" Target="https://www.linkedin.com/in/jorge-guaman-a36069194" TargetMode="External"/><Relationship Id="rId430" Type="http://schemas.openxmlformats.org/officeDocument/2006/relationships/hyperlink" Target="http://drinkfitzer.com/" TargetMode="External"/><Relationship Id="rId1060" Type="http://schemas.openxmlformats.org/officeDocument/2006/relationships/hyperlink" Target="http://novelty.mx/" TargetMode="External"/><Relationship Id="rId2111" Type="http://schemas.openxmlformats.org/officeDocument/2006/relationships/hyperlink" Target="http://www.linkedin.com/in/emanuel-santos-917b29175" TargetMode="External"/><Relationship Id="rId1877" Type="http://schemas.openxmlformats.org/officeDocument/2006/relationships/hyperlink" Target="http://www.linkedin.com/in/stevenleeelder" TargetMode="External"/><Relationship Id="rId2928" Type="http://schemas.openxmlformats.org/officeDocument/2006/relationships/hyperlink" Target="http://www.linkedin.com/in/nahuel-costa-106763235" TargetMode="External"/><Relationship Id="rId1737" Type="http://schemas.openxmlformats.org/officeDocument/2006/relationships/hyperlink" Target="http://www.linkedin.com/in/marisol-sandoval-hern%c3%a1ndez-472572189" TargetMode="External"/><Relationship Id="rId1944" Type="http://schemas.openxmlformats.org/officeDocument/2006/relationships/hyperlink" Target="http://www.linkedin.com/in/samantasantoscoy" TargetMode="External"/><Relationship Id="rId3092" Type="http://schemas.openxmlformats.org/officeDocument/2006/relationships/hyperlink" Target="http://www.linkedin.com/in/brenda-medina-20a62bb5" TargetMode="External"/><Relationship Id="rId29" Type="http://schemas.openxmlformats.org/officeDocument/2006/relationships/hyperlink" Target="http://alldora.com.mx/" TargetMode="External"/><Relationship Id="rId1804" Type="http://schemas.openxmlformats.org/officeDocument/2006/relationships/hyperlink" Target="http://joyeriasbizzaro.com/" TargetMode="External"/><Relationship Id="rId897" Type="http://schemas.openxmlformats.org/officeDocument/2006/relationships/hyperlink" Target="https://www.linkedin.com/in/juan-pablo-castillo-cuevas-17a213174" TargetMode="External"/><Relationship Id="rId2578" Type="http://schemas.openxmlformats.org/officeDocument/2006/relationships/hyperlink" Target="http://www.linkedin.com/in/nict%c3%a9-ruiz-103ab2188" TargetMode="External"/><Relationship Id="rId2785" Type="http://schemas.openxmlformats.org/officeDocument/2006/relationships/hyperlink" Target="http://www.linkedin.com/in/aurora-lynch-69465131" TargetMode="External"/><Relationship Id="rId2992" Type="http://schemas.openxmlformats.org/officeDocument/2006/relationships/hyperlink" Target="http://www.linkedin.com/in/juan-pablo-valenzuela-93b1a158" TargetMode="External"/><Relationship Id="rId757" Type="http://schemas.openxmlformats.org/officeDocument/2006/relationships/hyperlink" Target="http://integrityinsurancear.com/" TargetMode="External"/><Relationship Id="rId964" Type="http://schemas.openxmlformats.org/officeDocument/2006/relationships/hyperlink" Target="https://www.linkedin.com/in/isis-h-33217955" TargetMode="External"/><Relationship Id="rId1387" Type="http://schemas.openxmlformats.org/officeDocument/2006/relationships/hyperlink" Target="https://www.linkedin.com/in/diego-tacea-619522216" TargetMode="External"/><Relationship Id="rId1594" Type="http://schemas.openxmlformats.org/officeDocument/2006/relationships/hyperlink" Target="https://www.linkedin.com/in/craigchait" TargetMode="External"/><Relationship Id="rId2438" Type="http://schemas.openxmlformats.org/officeDocument/2006/relationships/hyperlink" Target="http://www.linkedin.com/in/abril-su%c3%a1rez-romero-0a8518123" TargetMode="External"/><Relationship Id="rId2645" Type="http://schemas.openxmlformats.org/officeDocument/2006/relationships/hyperlink" Target="http://www.linkedin.com/in/edgarescartin" TargetMode="External"/><Relationship Id="rId2852" Type="http://schemas.openxmlformats.org/officeDocument/2006/relationships/hyperlink" Target="http://www.linkedin.com/in/samuelortam" TargetMode="External"/><Relationship Id="rId93" Type="http://schemas.openxmlformats.org/officeDocument/2006/relationships/hyperlink" Target="https://www.linkedin.com/in/jose-roberto-moll" TargetMode="External"/><Relationship Id="rId617" Type="http://schemas.openxmlformats.org/officeDocument/2006/relationships/hyperlink" Target="http://grupoexpansion.com/" TargetMode="External"/><Relationship Id="rId824" Type="http://schemas.openxmlformats.org/officeDocument/2006/relationships/hyperlink" Target="https://www.linkedin.com/in/ACwAABRvxYoBQwHKfRMBTDGVXUPhrGsT0r5lOSs" TargetMode="External"/><Relationship Id="rId1247" Type="http://schemas.openxmlformats.org/officeDocument/2006/relationships/hyperlink" Target="http://rumex.net/" TargetMode="External"/><Relationship Id="rId1454" Type="http://schemas.openxmlformats.org/officeDocument/2006/relationships/hyperlink" Target="https://www.linkedin.com/in/robert-romero-mx" TargetMode="External"/><Relationship Id="rId1661" Type="http://schemas.openxmlformats.org/officeDocument/2006/relationships/hyperlink" Target="http://www.linkedin.com/in/halima-bencherif-ouedghiri-592946229" TargetMode="External"/><Relationship Id="rId2505" Type="http://schemas.openxmlformats.org/officeDocument/2006/relationships/hyperlink" Target="http://www.linkedin.com/in/tracy-garc%c3%ada-g-16819a125" TargetMode="External"/><Relationship Id="rId2712" Type="http://schemas.openxmlformats.org/officeDocument/2006/relationships/hyperlink" Target="http://www.linkedin.com/in/paola-becerra-tejeda-228591121" TargetMode="External"/><Relationship Id="rId1107" Type="http://schemas.openxmlformats.org/officeDocument/2006/relationships/hyperlink" Target="http://openpay.mx/" TargetMode="External"/><Relationship Id="rId1314" Type="http://schemas.openxmlformats.org/officeDocument/2006/relationships/hyperlink" Target="http://sisnova.com.mx/" TargetMode="External"/><Relationship Id="rId1521" Type="http://schemas.openxmlformats.org/officeDocument/2006/relationships/hyperlink" Target="https://www.linkedin.com/in/ACwAABWLJrMB44Bt95kaXrnTxhJNCf_KSV55E-4" TargetMode="External"/><Relationship Id="rId3279" Type="http://schemas.openxmlformats.org/officeDocument/2006/relationships/hyperlink" Target="http://www.linkedin.com/in/ricardo-gustavo-gallart-rodriguez-131317159" TargetMode="External"/><Relationship Id="rId20" Type="http://schemas.openxmlformats.org/officeDocument/2006/relationships/hyperlink" Target="http://adwebsolutions.com/" TargetMode="External"/><Relationship Id="rId2088" Type="http://schemas.openxmlformats.org/officeDocument/2006/relationships/hyperlink" Target="http://www.linkedin.com/in/sinhue-cabrera-nu%c3%b1ez-45baa88b" TargetMode="External"/><Relationship Id="rId2295" Type="http://schemas.openxmlformats.org/officeDocument/2006/relationships/hyperlink" Target="http://www.linkedin.com/in/mar%c3%ada-elisa-v%c3%a1zquez-covarrubias-b86592124" TargetMode="External"/><Relationship Id="rId3139" Type="http://schemas.openxmlformats.org/officeDocument/2006/relationships/hyperlink" Target="http://www.linkedin.com/in/kris-chichak-b6315798" TargetMode="External"/><Relationship Id="rId267" Type="http://schemas.openxmlformats.org/officeDocument/2006/relationships/hyperlink" Target="https://www.linkedin.com/in/jonschultheiss" TargetMode="External"/><Relationship Id="rId474" Type="http://schemas.openxmlformats.org/officeDocument/2006/relationships/hyperlink" Target="http://entoslingerie.com/" TargetMode="External"/><Relationship Id="rId2155" Type="http://schemas.openxmlformats.org/officeDocument/2006/relationships/hyperlink" Target="http://www.linkedin.com/in/arianausabal" TargetMode="External"/><Relationship Id="rId127" Type="http://schemas.openxmlformats.org/officeDocument/2006/relationships/hyperlink" Target="https://www.linkedin.com/in/fernanda-p-9716a927" TargetMode="External"/><Relationship Id="rId681" Type="http://schemas.openxmlformats.org/officeDocument/2006/relationships/hyperlink" Target="https://www.linkedin.com/in/c%C3%A9sar-alejandro-guti%C3%A9rrez-casta%C3%B1eda-08aa321a9/" TargetMode="External"/><Relationship Id="rId2362" Type="http://schemas.openxmlformats.org/officeDocument/2006/relationships/hyperlink" Target="http://www.linkedin.com/in/edgarescartin" TargetMode="External"/><Relationship Id="rId3206" Type="http://schemas.openxmlformats.org/officeDocument/2006/relationships/hyperlink" Target="http://www.linkedin.com/in/brenda-karen-aguilar-resendiz-407b4bb6" TargetMode="External"/><Relationship Id="rId334" Type="http://schemas.openxmlformats.org/officeDocument/2006/relationships/hyperlink" Target="https://www.linkedin.com/in/ACwAAEftyDUBSsYwZHF1sPmlqXMPycwtdm5CBQs" TargetMode="External"/><Relationship Id="rId541" Type="http://schemas.openxmlformats.org/officeDocument/2006/relationships/hyperlink" Target="https://www.linkedin.com/in/ACwAADSZUJIBjyHwmxcUKXbD2AmL8V39r9AL5AM" TargetMode="External"/><Relationship Id="rId1171" Type="http://schemas.openxmlformats.org/officeDocument/2006/relationships/hyperlink" Target="https://www.linkedin.com/in/ACwAAAVDuTgBZf0BbePwjmf_fnuIye58j-yuPDM" TargetMode="External"/><Relationship Id="rId2015" Type="http://schemas.openxmlformats.org/officeDocument/2006/relationships/hyperlink" Target="http://www.linkedin.com/in/james-duncan-stacey-021ab6148" TargetMode="External"/><Relationship Id="rId2222" Type="http://schemas.openxmlformats.org/officeDocument/2006/relationships/hyperlink" Target="http://www.linkedin.com/in/gerardo-m-saucedo-ramirez-8b676038" TargetMode="External"/><Relationship Id="rId401" Type="http://schemas.openxmlformats.org/officeDocument/2006/relationships/hyperlink" Target="http://devlyn.com.mx/" TargetMode="External"/><Relationship Id="rId1031" Type="http://schemas.openxmlformats.org/officeDocument/2006/relationships/hyperlink" Target="http://naturalbenefits.mx/" TargetMode="External"/><Relationship Id="rId1988" Type="http://schemas.openxmlformats.org/officeDocument/2006/relationships/hyperlink" Target="http://www.linkedin.com/in/holly-laginess-2a121666" TargetMode="External"/><Relationship Id="rId1848" Type="http://schemas.openxmlformats.org/officeDocument/2006/relationships/hyperlink" Target="http://www.linkedin.com/in/karla-figueroa-covarrubias-aa5418223" TargetMode="External"/><Relationship Id="rId3063" Type="http://schemas.openxmlformats.org/officeDocument/2006/relationships/hyperlink" Target="http://www.linkedin.com/in/fernandoguzram" TargetMode="External"/><Relationship Id="rId3270" Type="http://schemas.openxmlformats.org/officeDocument/2006/relationships/hyperlink" Target="http://www.linkedin.com/in/tania-castillo-28942998" TargetMode="External"/><Relationship Id="rId191" Type="http://schemas.openxmlformats.org/officeDocument/2006/relationships/hyperlink" Target="https://www.linkedin.com/in/jacobrangel7" TargetMode="External"/><Relationship Id="rId1708" Type="http://schemas.openxmlformats.org/officeDocument/2006/relationships/hyperlink" Target="http://www.linkedin.com/in/monserrat-n%c3%a1jera-g%c3%b3mez-5037874b" TargetMode="External"/><Relationship Id="rId1915" Type="http://schemas.openxmlformats.org/officeDocument/2006/relationships/hyperlink" Target="http://www.linkedin.com/in/por-hong-yan-8b1905187" TargetMode="External"/><Relationship Id="rId3130" Type="http://schemas.openxmlformats.org/officeDocument/2006/relationships/hyperlink" Target="http://www.linkedin.com/in/tracy-garc%c3%ada-g-16819a125" TargetMode="External"/><Relationship Id="rId2689" Type="http://schemas.openxmlformats.org/officeDocument/2006/relationships/hyperlink" Target="http://www.linkedin.com/in/lidiapena" TargetMode="External"/><Relationship Id="rId2896" Type="http://schemas.openxmlformats.org/officeDocument/2006/relationships/hyperlink" Target="http://www.linkedin.com/in/juan-ignacio-guido-66860970" TargetMode="External"/><Relationship Id="rId868" Type="http://schemas.openxmlformats.org/officeDocument/2006/relationships/hyperlink" Target="https://www.linkedin.com/in/antonino-guichard-8767a919a" TargetMode="External"/><Relationship Id="rId1498" Type="http://schemas.openxmlformats.org/officeDocument/2006/relationships/hyperlink" Target="http://unam.mx/" TargetMode="External"/><Relationship Id="rId2549" Type="http://schemas.openxmlformats.org/officeDocument/2006/relationships/hyperlink" Target="http://www.linkedin.com/in/denisse-rafael-martell-36a49aba" TargetMode="External"/><Relationship Id="rId2756" Type="http://schemas.openxmlformats.org/officeDocument/2006/relationships/hyperlink" Target="http://www.linkedin.com/in/geovannacolina" TargetMode="External"/><Relationship Id="rId2963" Type="http://schemas.openxmlformats.org/officeDocument/2006/relationships/hyperlink" Target="http://www.linkedin.com/in/mahalimora" TargetMode="External"/><Relationship Id="rId728" Type="http://schemas.openxmlformats.org/officeDocument/2006/relationships/hyperlink" Target="http://illux.com.mx/" TargetMode="External"/><Relationship Id="rId935" Type="http://schemas.openxmlformats.org/officeDocument/2006/relationships/hyperlink" Target="http://merkatail.com.mx/" TargetMode="External"/><Relationship Id="rId1358" Type="http://schemas.openxmlformats.org/officeDocument/2006/relationships/hyperlink" Target="https://www.linkedin.com/in/ACwAAAIo-EsBp8LaW-tE7PNzwBtG_PLm1gN0LSA" TargetMode="External"/><Relationship Id="rId1565" Type="http://schemas.openxmlformats.org/officeDocument/2006/relationships/hyperlink" Target="http://wiautomation.com/" TargetMode="External"/><Relationship Id="rId1772" Type="http://schemas.openxmlformats.org/officeDocument/2006/relationships/hyperlink" Target="http://www.linkedin.com/in/hemanthguntupalli" TargetMode="External"/><Relationship Id="rId2409" Type="http://schemas.openxmlformats.org/officeDocument/2006/relationships/hyperlink" Target="http://www.linkedin.com/in/angel-josue-garc%c3%ada-y%c3%a1%c3%b1ez-203533222" TargetMode="External"/><Relationship Id="rId2616" Type="http://schemas.openxmlformats.org/officeDocument/2006/relationships/hyperlink" Target="http://www.linkedin.com/in/nahomipc" TargetMode="External"/><Relationship Id="rId64" Type="http://schemas.openxmlformats.org/officeDocument/2006/relationships/hyperlink" Target="http://apsa.com.mx/" TargetMode="External"/><Relationship Id="rId1218" Type="http://schemas.openxmlformats.org/officeDocument/2006/relationships/hyperlink" Target="http://reginaromero.com/" TargetMode="External"/><Relationship Id="rId1425" Type="http://schemas.openxmlformats.org/officeDocument/2006/relationships/hyperlink" Target="http://thinkific.com/" TargetMode="External"/><Relationship Id="rId2823" Type="http://schemas.openxmlformats.org/officeDocument/2006/relationships/hyperlink" Target="http://www.linkedin.com/in/vanessagranadosm" TargetMode="External"/><Relationship Id="rId1632" Type="http://schemas.openxmlformats.org/officeDocument/2006/relationships/hyperlink" Target="http://www.linkedin.com/in/andrea-tetlalmatzi-ortega" TargetMode="External"/><Relationship Id="rId2199" Type="http://schemas.openxmlformats.org/officeDocument/2006/relationships/hyperlink" Target="http://www.linkedin.com/in/cginori" TargetMode="External"/><Relationship Id="rId378" Type="http://schemas.openxmlformats.org/officeDocument/2006/relationships/hyperlink" Target="http://decathlon.com.mx/" TargetMode="External"/><Relationship Id="rId585" Type="http://schemas.openxmlformats.org/officeDocument/2006/relationships/hyperlink" Target="http://godaddy.com/" TargetMode="External"/><Relationship Id="rId792" Type="http://schemas.openxmlformats.org/officeDocument/2006/relationships/hyperlink" Target="http://justo.mx/" TargetMode="External"/><Relationship Id="rId2059" Type="http://schemas.openxmlformats.org/officeDocument/2006/relationships/hyperlink" Target="http://www.linkedin.com/in/bernadette-deangelis-88702135" TargetMode="External"/><Relationship Id="rId2266" Type="http://schemas.openxmlformats.org/officeDocument/2006/relationships/hyperlink" Target="http://www.linkedin.com/in/danielsnestor" TargetMode="External"/><Relationship Id="rId2473" Type="http://schemas.openxmlformats.org/officeDocument/2006/relationships/hyperlink" Target="http://www.linkedin.com/in/cinthya-alejandra-rodr%c3%adguez-olvera-93523874" TargetMode="External"/><Relationship Id="rId2680" Type="http://schemas.openxmlformats.org/officeDocument/2006/relationships/hyperlink" Target="http://www.linkedin.com/in/fridadominique" TargetMode="External"/><Relationship Id="rId238" Type="http://schemas.openxmlformats.org/officeDocument/2006/relationships/hyperlink" Target="https://www.linkedin.com/in/xochitlgonzalezg" TargetMode="External"/><Relationship Id="rId445" Type="http://schemas.openxmlformats.org/officeDocument/2006/relationships/hyperlink" Target="http://ecwid.com/" TargetMode="External"/><Relationship Id="rId652" Type="http://schemas.openxmlformats.org/officeDocument/2006/relationships/hyperlink" Target="http://hillflare.com/" TargetMode="External"/><Relationship Id="rId1075" Type="http://schemas.openxmlformats.org/officeDocument/2006/relationships/hyperlink" Target="https://www.linkedin.com/in/tanya-krupynska" TargetMode="External"/><Relationship Id="rId1282" Type="http://schemas.openxmlformats.org/officeDocument/2006/relationships/hyperlink" Target="http://santory.com.mx/" TargetMode="External"/><Relationship Id="rId2126" Type="http://schemas.openxmlformats.org/officeDocument/2006/relationships/hyperlink" Target="http://www.linkedin.com/in/ana%c3%afs-desmoulin" TargetMode="External"/><Relationship Id="rId2333" Type="http://schemas.openxmlformats.org/officeDocument/2006/relationships/hyperlink" Target="http://www.linkedin.com/in/louisgilibert" TargetMode="External"/><Relationship Id="rId2540" Type="http://schemas.openxmlformats.org/officeDocument/2006/relationships/hyperlink" Target="http://www.linkedin.com/in/enoc-lopez-080962249" TargetMode="External"/><Relationship Id="rId305" Type="http://schemas.openxmlformats.org/officeDocument/2006/relationships/hyperlink" Target="https://www.linkedin.com/in/ACwAADgIKlMBo65bgAaAKsT880SxFcFD2VA33f4" TargetMode="External"/><Relationship Id="rId512" Type="http://schemas.openxmlformats.org/officeDocument/2006/relationships/hyperlink" Target="https://www.linkedin.com/in/antoniopozosbarroso-marketing-pharmaceutical-director" TargetMode="External"/><Relationship Id="rId1142" Type="http://schemas.openxmlformats.org/officeDocument/2006/relationships/hyperlink" Target="https://www.linkedin.com/in/ACwAAAVx3kkBmdx-BFFELr16UfZqw0rZMWQLkRo" TargetMode="External"/><Relationship Id="rId2400" Type="http://schemas.openxmlformats.org/officeDocument/2006/relationships/hyperlink" Target="http://www.linkedin.com/in/israel-bernal-189341162" TargetMode="External"/><Relationship Id="rId1002" Type="http://schemas.openxmlformats.org/officeDocument/2006/relationships/hyperlink" Target="https://www.linkedin.com/in/kevin-cassar" TargetMode="External"/><Relationship Id="rId1959" Type="http://schemas.openxmlformats.org/officeDocument/2006/relationships/hyperlink" Target="http://www.linkedin.com/in/maria-samantha-bonilla-valdez-449421114" TargetMode="External"/><Relationship Id="rId3174" Type="http://schemas.openxmlformats.org/officeDocument/2006/relationships/hyperlink" Target="http://www.linkedin.com/in/jesseness" TargetMode="External"/><Relationship Id="rId1819" Type="http://schemas.openxmlformats.org/officeDocument/2006/relationships/hyperlink" Target="http://www.linkedin.com/in/cynthia-jacqueline-diego-esparza-472761279" TargetMode="External"/><Relationship Id="rId2190" Type="http://schemas.openxmlformats.org/officeDocument/2006/relationships/hyperlink" Target="http://www.linkedin.com/in/fei-y-60b094b" TargetMode="External"/><Relationship Id="rId3034" Type="http://schemas.openxmlformats.org/officeDocument/2006/relationships/hyperlink" Target="http://www.linkedin.com/in/arian-alemzadeh" TargetMode="External"/><Relationship Id="rId3241" Type="http://schemas.openxmlformats.org/officeDocument/2006/relationships/hyperlink" Target="http://www.linkedin.com/in/carolina-m%c3%a9ndez-gald%c3%a1mez-4a8415108" TargetMode="External"/><Relationship Id="rId162" Type="http://schemas.openxmlformats.org/officeDocument/2006/relationships/hyperlink" Target="http://bmw.com.mx/" TargetMode="External"/><Relationship Id="rId2050" Type="http://schemas.openxmlformats.org/officeDocument/2006/relationships/hyperlink" Target="http://www.linkedin.com/in/paola-alday-dom%c3%adnguez-567b9552" TargetMode="External"/><Relationship Id="rId3101" Type="http://schemas.openxmlformats.org/officeDocument/2006/relationships/hyperlink" Target="http://www.linkedin.com/in/daniela-o-047229103" TargetMode="External"/><Relationship Id="rId979" Type="http://schemas.openxmlformats.org/officeDocument/2006/relationships/hyperlink" Target="http://montepiedad.com.mx/" TargetMode="External"/><Relationship Id="rId839" Type="http://schemas.openxmlformats.org/officeDocument/2006/relationships/hyperlink" Target="https://www.linkedin.com/in/ACwAABjLyg0BoZlD5NSCLpTeV8weh232e-vjBl0" TargetMode="External"/><Relationship Id="rId1469" Type="http://schemas.openxmlformats.org/officeDocument/2006/relationships/hyperlink" Target="http://trespuntos.mx/" TargetMode="External"/><Relationship Id="rId2867" Type="http://schemas.openxmlformats.org/officeDocument/2006/relationships/hyperlink" Target="http://www.linkedin.com/in/mauricioguzmansantiago" TargetMode="External"/><Relationship Id="rId1676" Type="http://schemas.openxmlformats.org/officeDocument/2006/relationships/hyperlink" Target="http://www.linkedin.com/in/eduardo-amig%c3%b3n-l%c3%b3pez-b15a6b30" TargetMode="External"/><Relationship Id="rId1883" Type="http://schemas.openxmlformats.org/officeDocument/2006/relationships/hyperlink" Target="http://www.linkedin.com/in/paola-puig-a81b04175" TargetMode="External"/><Relationship Id="rId2727" Type="http://schemas.openxmlformats.org/officeDocument/2006/relationships/hyperlink" Target="http://www.linkedin.com/in/braulio-perea-67556b187" TargetMode="External"/><Relationship Id="rId2934" Type="http://schemas.openxmlformats.org/officeDocument/2006/relationships/hyperlink" Target="http://www.linkedin.com/in/canacintraemex" TargetMode="External"/><Relationship Id="rId906" Type="http://schemas.openxmlformats.org/officeDocument/2006/relationships/hyperlink" Target="http://maped.com/" TargetMode="External"/><Relationship Id="rId1329" Type="http://schemas.openxmlformats.org/officeDocument/2006/relationships/hyperlink" Target="https://www.linkedin.com/in/joe-asai-579072240" TargetMode="External"/><Relationship Id="rId1536" Type="http://schemas.openxmlformats.org/officeDocument/2006/relationships/hyperlink" Target="http://vinneren.com.mx/" TargetMode="External"/><Relationship Id="rId1743" Type="http://schemas.openxmlformats.org/officeDocument/2006/relationships/hyperlink" Target="http://www.linkedin.com/in/grace-bell-a1773043" TargetMode="External"/><Relationship Id="rId1950" Type="http://schemas.openxmlformats.org/officeDocument/2006/relationships/hyperlink" Target="http://www.linkedin.com/in/marco-aguilar-camarillo-649870225" TargetMode="External"/><Relationship Id="rId35" Type="http://schemas.openxmlformats.org/officeDocument/2006/relationships/hyperlink" Target="https://www.linkedin.com/in/sabina-andagency-a51b90117" TargetMode="External"/><Relationship Id="rId1603" Type="http://schemas.openxmlformats.org/officeDocument/2006/relationships/hyperlink" Target="https://www.linkedin.com/in/caro-soto-b736a827" TargetMode="External"/><Relationship Id="rId1810" Type="http://schemas.openxmlformats.org/officeDocument/2006/relationships/hyperlink" Target="http://www.linkedin.com/in/monserrat-n%c3%a1jera-g%c3%b3mez" TargetMode="External"/><Relationship Id="rId489" Type="http://schemas.openxmlformats.org/officeDocument/2006/relationships/hyperlink" Target="https://www.linkedin.com/in/cristiani-paul-sanchez-02722213b" TargetMode="External"/><Relationship Id="rId696" Type="http://schemas.openxmlformats.org/officeDocument/2006/relationships/hyperlink" Target="https://www.costco.com.mx/" TargetMode="External"/><Relationship Id="rId2377" Type="http://schemas.openxmlformats.org/officeDocument/2006/relationships/hyperlink" Target="http://www.linkedin.com/in/liliana-jim%c3%a9nez-reyes-3ba065165" TargetMode="External"/><Relationship Id="rId2584" Type="http://schemas.openxmlformats.org/officeDocument/2006/relationships/hyperlink" Target="http://www.linkedin.com/in/cristina-garcia-03125450" TargetMode="External"/><Relationship Id="rId2791" Type="http://schemas.openxmlformats.org/officeDocument/2006/relationships/hyperlink" Target="http://www.linkedin.com/in/tracy-garc%c3%ada-g-16819a125" TargetMode="External"/><Relationship Id="rId349" Type="http://schemas.openxmlformats.org/officeDocument/2006/relationships/hyperlink" Target="http://cymaq.mx/" TargetMode="External"/><Relationship Id="rId556" Type="http://schemas.openxmlformats.org/officeDocument/2006/relationships/hyperlink" Target="http://gazer73.com/" TargetMode="External"/><Relationship Id="rId763" Type="http://schemas.openxmlformats.org/officeDocument/2006/relationships/hyperlink" Target="http://internationalsecurityjournal.com/" TargetMode="External"/><Relationship Id="rId1186" Type="http://schemas.openxmlformats.org/officeDocument/2006/relationships/hyperlink" Target="http://priceshoes.com/" TargetMode="External"/><Relationship Id="rId1393" Type="http://schemas.openxmlformats.org/officeDocument/2006/relationships/hyperlink" Target="http://tanyamoss.com/" TargetMode="External"/><Relationship Id="rId2237" Type="http://schemas.openxmlformats.org/officeDocument/2006/relationships/hyperlink" Target="http://www.linkedin.com/in/edmundonavarrogomez" TargetMode="External"/><Relationship Id="rId2444" Type="http://schemas.openxmlformats.org/officeDocument/2006/relationships/hyperlink" Target="http://www.linkedin.com/in/viridiana-hern%c3%a1ndez-1a5a7a40" TargetMode="External"/><Relationship Id="rId209" Type="http://schemas.openxmlformats.org/officeDocument/2006/relationships/hyperlink" Target="https://www.linkedin.com/in/ACwAAA0n7bsBvH-Cmdfz9SjJvvl8sxKHiUekqv4" TargetMode="External"/><Relationship Id="rId416" Type="http://schemas.openxmlformats.org/officeDocument/2006/relationships/hyperlink" Target="http://distroller.com/" TargetMode="External"/><Relationship Id="rId970" Type="http://schemas.openxmlformats.org/officeDocument/2006/relationships/hyperlink" Target="https://www.linkedin.com/in/roberto-chapuis-39023a60" TargetMode="External"/><Relationship Id="rId1046" Type="http://schemas.openxmlformats.org/officeDocument/2006/relationships/hyperlink" Target="http://novartis.com.mx/" TargetMode="External"/><Relationship Id="rId1253" Type="http://schemas.openxmlformats.org/officeDocument/2006/relationships/hyperlink" Target="http://salamanderpumps.co.uk/" TargetMode="External"/><Relationship Id="rId2651" Type="http://schemas.openxmlformats.org/officeDocument/2006/relationships/hyperlink" Target="http://www.linkedin.com/in/mario-guti%c3%a9rrez-42a708a3" TargetMode="External"/><Relationship Id="rId623" Type="http://schemas.openxmlformats.org/officeDocument/2006/relationships/hyperlink" Target="https://www.linkedin.com/in/oscarraulmartinezramirez" TargetMode="External"/><Relationship Id="rId830" Type="http://schemas.openxmlformats.org/officeDocument/2006/relationships/hyperlink" Target="https://www.linkedin.com/in/ACwAAAWqW68BdSkl34xkDvt-V63YlerOT1Z0ieo" TargetMode="External"/><Relationship Id="rId1460" Type="http://schemas.openxmlformats.org/officeDocument/2006/relationships/hyperlink" Target="https://www.linkedin.com/in/ACwAAEk3EN4BA8YO3nifRLOjuv6ZC2oBEupdb3s" TargetMode="External"/><Relationship Id="rId2304" Type="http://schemas.openxmlformats.org/officeDocument/2006/relationships/hyperlink" Target="http://www.linkedin.com/in/karen-vidal-81861b203" TargetMode="External"/><Relationship Id="rId2511" Type="http://schemas.openxmlformats.org/officeDocument/2006/relationships/hyperlink" Target="http://www.linkedin.com/in/manuel-iturralde" TargetMode="External"/><Relationship Id="rId1113" Type="http://schemas.openxmlformats.org/officeDocument/2006/relationships/hyperlink" Target="http://orange.com/" TargetMode="External"/><Relationship Id="rId1320" Type="http://schemas.openxmlformats.org/officeDocument/2006/relationships/hyperlink" Target="http://soarma.com/" TargetMode="External"/><Relationship Id="rId3078" Type="http://schemas.openxmlformats.org/officeDocument/2006/relationships/hyperlink" Target="http://www.linkedin.com/in/danielamochoa" TargetMode="External"/><Relationship Id="rId2094" Type="http://schemas.openxmlformats.org/officeDocument/2006/relationships/hyperlink" Target="http://www.linkedin.com/in/lesleyoberdorf" TargetMode="External"/><Relationship Id="rId3145" Type="http://schemas.openxmlformats.org/officeDocument/2006/relationships/hyperlink" Target="http://www.linkedin.com/in/ana-maria-san-martin-m-a6535b36" TargetMode="External"/><Relationship Id="rId273" Type="http://schemas.openxmlformats.org/officeDocument/2006/relationships/hyperlink" Target="https://www.linkedin.com/in/meghan-o-connor-turno-05311074" TargetMode="External"/><Relationship Id="rId480" Type="http://schemas.openxmlformats.org/officeDocument/2006/relationships/hyperlink" Target="http://esquimal.mx/" TargetMode="External"/><Relationship Id="rId2161" Type="http://schemas.openxmlformats.org/officeDocument/2006/relationships/hyperlink" Target="http://www.linkedin.com/in/paola-alday-dom%c3%adnguez-567b9552" TargetMode="External"/><Relationship Id="rId3005" Type="http://schemas.openxmlformats.org/officeDocument/2006/relationships/hyperlink" Target="http://www.linkedin.com/in/nale-ru%c3%adz-salazar93" TargetMode="External"/><Relationship Id="rId3212" Type="http://schemas.openxmlformats.org/officeDocument/2006/relationships/hyperlink" Target="http://www.linkedin.com/in/paulina-dena-gil-44a35b98" TargetMode="External"/><Relationship Id="rId133" Type="http://schemas.openxmlformats.org/officeDocument/2006/relationships/hyperlink" Target="http://benandfrank.com/" TargetMode="External"/><Relationship Id="rId340" Type="http://schemas.openxmlformats.org/officeDocument/2006/relationships/hyperlink" Target="https://www.linkedin.com/in/guilen-n-molina-carrillo-38383b46" TargetMode="External"/><Relationship Id="rId2021" Type="http://schemas.openxmlformats.org/officeDocument/2006/relationships/hyperlink" Target="http://www.linkedin.com/in/park-namu-b37202a1" TargetMode="External"/><Relationship Id="rId200" Type="http://schemas.openxmlformats.org/officeDocument/2006/relationships/hyperlink" Target="http://calimax.com.mx/" TargetMode="External"/><Relationship Id="rId2978" Type="http://schemas.openxmlformats.org/officeDocument/2006/relationships/hyperlink" Target="http://www.linkedin.com/in/alejandra-amparo-guzm%c3%a1n-escalante-3a33621a9" TargetMode="External"/><Relationship Id="rId1787" Type="http://schemas.openxmlformats.org/officeDocument/2006/relationships/hyperlink" Target="http://www.linkedin.com/in/kay-burke-32b82b41" TargetMode="External"/><Relationship Id="rId1994" Type="http://schemas.openxmlformats.org/officeDocument/2006/relationships/hyperlink" Target="http://www.linkedin.com/in/edgar-morales-b13b2a12" TargetMode="External"/><Relationship Id="rId2838" Type="http://schemas.openxmlformats.org/officeDocument/2006/relationships/hyperlink" Target="http://www.linkedin.com/in/maribel-gonz%c3%a1lez-gil-10256048" TargetMode="External"/><Relationship Id="rId79" Type="http://schemas.openxmlformats.org/officeDocument/2006/relationships/hyperlink" Target="https://www.linkedin.com/in/nick-d-b8b21611" TargetMode="External"/><Relationship Id="rId1647" Type="http://schemas.openxmlformats.org/officeDocument/2006/relationships/hyperlink" Target="http://www.linkedin.com/in/justinolivares" TargetMode="External"/><Relationship Id="rId1854" Type="http://schemas.openxmlformats.org/officeDocument/2006/relationships/hyperlink" Target="http://www.linkedin.com/in/leanna-lin-23214b87" TargetMode="External"/><Relationship Id="rId2905" Type="http://schemas.openxmlformats.org/officeDocument/2006/relationships/hyperlink" Target="http://www.linkedin.com/in/magaly-flores-165946ab" TargetMode="External"/><Relationship Id="rId1507" Type="http://schemas.openxmlformats.org/officeDocument/2006/relationships/hyperlink" Target="https://www.linkedin.com/in/ACwAAAUAX4AB8Rgkj6r5XIWTVsH-6P7IvZut3Rc" TargetMode="External"/><Relationship Id="rId1714" Type="http://schemas.openxmlformats.org/officeDocument/2006/relationships/hyperlink" Target="http://www.linkedin.com/in/javiergarcia-" TargetMode="External"/><Relationship Id="rId1921" Type="http://schemas.openxmlformats.org/officeDocument/2006/relationships/hyperlink" Target="http://www.linkedin.com/in/alma-reyes-84a15464" TargetMode="External"/><Relationship Id="rId2488" Type="http://schemas.openxmlformats.org/officeDocument/2006/relationships/hyperlink" Target="http://www.linkedin.com/in/rodrigo-avila-calero-866440aa" TargetMode="External"/><Relationship Id="rId1297" Type="http://schemas.openxmlformats.org/officeDocument/2006/relationships/hyperlink" Target="https://www.linkedin.com/in/ACwAAATUDawBtYPfqW1SyFCesYsQ2IGsEvQiLIw" TargetMode="External"/><Relationship Id="rId2695" Type="http://schemas.openxmlformats.org/officeDocument/2006/relationships/hyperlink" Target="http://www.linkedin.com/in/marie-madeleine-bellet-89a102194" TargetMode="External"/><Relationship Id="rId667" Type="http://schemas.openxmlformats.org/officeDocument/2006/relationships/hyperlink" Target="https://www.linkedin.com/in/jesusdiaz1/" TargetMode="External"/><Relationship Id="rId874" Type="http://schemas.openxmlformats.org/officeDocument/2006/relationships/hyperlink" Target="https://www.linkedin.com/in/ACwAAA6zQS4Bhc2E3omxvXkS0Kd7yAwJNARG4yY" TargetMode="External"/><Relationship Id="rId2348" Type="http://schemas.openxmlformats.org/officeDocument/2006/relationships/hyperlink" Target="http://www.linkedin.com/in/lucas-nunes-547925192" TargetMode="External"/><Relationship Id="rId2555" Type="http://schemas.openxmlformats.org/officeDocument/2006/relationships/hyperlink" Target="http://www.linkedin.com/in/luz-de-lourdes-guti%c3%a9rrez-96b68555" TargetMode="External"/><Relationship Id="rId2762" Type="http://schemas.openxmlformats.org/officeDocument/2006/relationships/hyperlink" Target="http://www.linkedin.com/in/nardie-ghebreyesus-a0916b195" TargetMode="External"/><Relationship Id="rId527" Type="http://schemas.openxmlformats.org/officeDocument/2006/relationships/hyperlink" Target="http://flexi.com.mx/" TargetMode="External"/><Relationship Id="rId734" Type="http://schemas.openxmlformats.org/officeDocument/2006/relationships/hyperlink" Target="http://imperquimia.mx/" TargetMode="External"/><Relationship Id="rId941" Type="http://schemas.openxmlformats.org/officeDocument/2006/relationships/hyperlink" Target="http://mezcalamaras.com/" TargetMode="External"/><Relationship Id="rId1157" Type="http://schemas.openxmlformats.org/officeDocument/2006/relationships/hyperlink" Target="http://pikolinos.com/" TargetMode="External"/><Relationship Id="rId1364" Type="http://schemas.openxmlformats.org/officeDocument/2006/relationships/hyperlink" Target="http://sunglasshut.com/" TargetMode="External"/><Relationship Id="rId1571" Type="http://schemas.openxmlformats.org/officeDocument/2006/relationships/hyperlink" Target="http://winterhalter.com/" TargetMode="External"/><Relationship Id="rId2208" Type="http://schemas.openxmlformats.org/officeDocument/2006/relationships/hyperlink" Target="http://www.linkedin.com/in/jcdelagarza" TargetMode="External"/><Relationship Id="rId2415" Type="http://schemas.openxmlformats.org/officeDocument/2006/relationships/hyperlink" Target="http://www.linkedin.com/in/diana-garc%c3%ada-rodr%c3%adguez-a11a78b4" TargetMode="External"/><Relationship Id="rId2622" Type="http://schemas.openxmlformats.org/officeDocument/2006/relationships/hyperlink" Target="http://www.linkedin.com/in/esteban-l%c3%b3pez-b1826557" TargetMode="External"/><Relationship Id="rId70" Type="http://schemas.openxmlformats.org/officeDocument/2006/relationships/hyperlink" Target="http://aromaria.mx/" TargetMode="External"/><Relationship Id="rId801" Type="http://schemas.openxmlformats.org/officeDocument/2006/relationships/hyperlink" Target="http://kfc.com.mx/" TargetMode="External"/><Relationship Id="rId1017" Type="http://schemas.openxmlformats.org/officeDocument/2006/relationships/hyperlink" Target="https://www.linkedin.com/in/karlanumber1" TargetMode="External"/><Relationship Id="rId1224" Type="http://schemas.openxmlformats.org/officeDocument/2006/relationships/hyperlink" Target="http://renogy.com/" TargetMode="External"/><Relationship Id="rId1431" Type="http://schemas.openxmlformats.org/officeDocument/2006/relationships/hyperlink" Target="http://thinkific.com/" TargetMode="External"/><Relationship Id="rId3189" Type="http://schemas.openxmlformats.org/officeDocument/2006/relationships/hyperlink" Target="http://www.linkedin.com/in/adriana-mej%c3%ada-s%c3%a1nchez-95ab26120" TargetMode="External"/><Relationship Id="rId3049" Type="http://schemas.openxmlformats.org/officeDocument/2006/relationships/hyperlink" Target="http://www.linkedin.com/in/amairani-pitalua-229a19169" TargetMode="External"/><Relationship Id="rId3256" Type="http://schemas.openxmlformats.org/officeDocument/2006/relationships/hyperlink" Target="http://www.linkedin.com/in/nancymejia" TargetMode="External"/><Relationship Id="rId177" Type="http://schemas.openxmlformats.org/officeDocument/2006/relationships/hyperlink" Target="https://www.linkedin.com/in/alina-steiner-4b32234b" TargetMode="External"/><Relationship Id="rId384" Type="http://schemas.openxmlformats.org/officeDocument/2006/relationships/hyperlink" Target="http://delrecords.com/" TargetMode="External"/><Relationship Id="rId591" Type="http://schemas.openxmlformats.org/officeDocument/2006/relationships/hyperlink" Target="http://gofitness.com.mx/" TargetMode="External"/><Relationship Id="rId2065" Type="http://schemas.openxmlformats.org/officeDocument/2006/relationships/hyperlink" Target="http://www.linkedin.com/in/rajeevvig" TargetMode="External"/><Relationship Id="rId2272" Type="http://schemas.openxmlformats.org/officeDocument/2006/relationships/hyperlink" Target="http://www.linkedin.com/in/brenda-escobedo-9480a8234" TargetMode="External"/><Relationship Id="rId3116" Type="http://schemas.openxmlformats.org/officeDocument/2006/relationships/hyperlink" Target="http://www.linkedin.com/in/lucasferh" TargetMode="External"/><Relationship Id="rId244" Type="http://schemas.openxmlformats.org/officeDocument/2006/relationships/hyperlink" Target="http://chenson.com.mx/" TargetMode="External"/><Relationship Id="rId1081" Type="http://schemas.openxmlformats.org/officeDocument/2006/relationships/hyperlink" Target="https://www.linkedin.com/in/matthewtaylor111" TargetMode="External"/><Relationship Id="rId451" Type="http://schemas.openxmlformats.org/officeDocument/2006/relationships/hyperlink" Target="http://ecwid.com/" TargetMode="External"/><Relationship Id="rId2132" Type="http://schemas.openxmlformats.org/officeDocument/2006/relationships/hyperlink" Target="http://www.linkedin.com/in/francesca-chiorando-45a0b014" TargetMode="External"/><Relationship Id="rId104" Type="http://schemas.openxmlformats.org/officeDocument/2006/relationships/hyperlink" Target="http://avis.mx/" TargetMode="External"/><Relationship Id="rId311" Type="http://schemas.openxmlformats.org/officeDocument/2006/relationships/hyperlink" Target="https://www.linkedin.com/in/felixbobadilla" TargetMode="External"/><Relationship Id="rId1898" Type="http://schemas.openxmlformats.org/officeDocument/2006/relationships/hyperlink" Target="http://www.linkedin.com/in/jackeline-perla-927891192" TargetMode="External"/><Relationship Id="rId2949" Type="http://schemas.openxmlformats.org/officeDocument/2006/relationships/hyperlink" Target="http://www.linkedin.com/in/ramiromartinez-marketing" TargetMode="External"/><Relationship Id="rId1758" Type="http://schemas.openxmlformats.org/officeDocument/2006/relationships/hyperlink" Target="http://www.linkedin.com/in/jasleen-kaur-81593324b" TargetMode="External"/><Relationship Id="rId2809" Type="http://schemas.openxmlformats.org/officeDocument/2006/relationships/hyperlink" Target="http://www.linkedin.com/in/daniela-ponce-alvara-7469b0210" TargetMode="External"/><Relationship Id="rId1965" Type="http://schemas.openxmlformats.org/officeDocument/2006/relationships/hyperlink" Target="http://www.linkedin.com/in/maria-fernanda-baldomero-73773a66" TargetMode="External"/><Relationship Id="rId3180" Type="http://schemas.openxmlformats.org/officeDocument/2006/relationships/hyperlink" Target="http://www.linkedin.com/in/agust%c3%adn-ruiz-lanuza-06ba60221" TargetMode="External"/><Relationship Id="rId1618" Type="http://schemas.openxmlformats.org/officeDocument/2006/relationships/hyperlink" Target="http://www.linkedin.com/in/olivia-hill-1b5284284" TargetMode="External"/><Relationship Id="rId1825" Type="http://schemas.openxmlformats.org/officeDocument/2006/relationships/hyperlink" Target="http://www.linkedin.com/in/jorge-barrera-vargas-5ba117105" TargetMode="External"/><Relationship Id="rId3040" Type="http://schemas.openxmlformats.org/officeDocument/2006/relationships/hyperlink" Target="http://www.linkedin.com/in/samuelortam" TargetMode="External"/><Relationship Id="rId2599" Type="http://schemas.openxmlformats.org/officeDocument/2006/relationships/hyperlink" Target="http://www.linkedin.com/in/cleofas-santos-727120251" TargetMode="External"/><Relationship Id="rId778" Type="http://schemas.openxmlformats.org/officeDocument/2006/relationships/hyperlink" Target="http://iteso.mx/" TargetMode="External"/><Relationship Id="rId985" Type="http://schemas.openxmlformats.org/officeDocument/2006/relationships/hyperlink" Target="http://mood-agency.com/" TargetMode="External"/><Relationship Id="rId2459" Type="http://schemas.openxmlformats.org/officeDocument/2006/relationships/hyperlink" Target="http://www.linkedin.com/in/vielka-selene-varela-armenta-3a968376" TargetMode="External"/><Relationship Id="rId2666" Type="http://schemas.openxmlformats.org/officeDocument/2006/relationships/hyperlink" Target="http://www.linkedin.com/in/alonso-tornero-26a63736" TargetMode="External"/><Relationship Id="rId2873" Type="http://schemas.openxmlformats.org/officeDocument/2006/relationships/hyperlink" Target="http://www.linkedin.com/in/lucasferh" TargetMode="External"/><Relationship Id="rId638" Type="http://schemas.openxmlformats.org/officeDocument/2006/relationships/hyperlink" Target="http://heb.com.mx/" TargetMode="External"/><Relationship Id="rId845" Type="http://schemas.openxmlformats.org/officeDocument/2006/relationships/hyperlink" Target="https://www.linkedin.com/in/salvadorarias" TargetMode="External"/><Relationship Id="rId1268" Type="http://schemas.openxmlformats.org/officeDocument/2006/relationships/hyperlink" Target="http://samsclub.com/" TargetMode="External"/><Relationship Id="rId1475" Type="http://schemas.openxmlformats.org/officeDocument/2006/relationships/hyperlink" Target="http://tupperware.com.mx/" TargetMode="External"/><Relationship Id="rId1682" Type="http://schemas.openxmlformats.org/officeDocument/2006/relationships/hyperlink" Target="http://www.linkedin.com/in/h%c3%a9ctor-mart%c3%adnez-81729aa2" TargetMode="External"/><Relationship Id="rId2319" Type="http://schemas.openxmlformats.org/officeDocument/2006/relationships/hyperlink" Target="http://www.linkedin.com/in/rodrigo-jim%c3%a9nez-pe%c3%b1a-698216aa" TargetMode="External"/><Relationship Id="rId2526" Type="http://schemas.openxmlformats.org/officeDocument/2006/relationships/hyperlink" Target="http://www.linkedin.com/in/karensantos17" TargetMode="External"/><Relationship Id="rId2733" Type="http://schemas.openxmlformats.org/officeDocument/2006/relationships/hyperlink" Target="http://www.linkedin.com/in/celso-guzm%c3%a1n-rivas-626434244" TargetMode="External"/><Relationship Id="rId705" Type="http://schemas.openxmlformats.org/officeDocument/2006/relationships/hyperlink" Target="https://www.linkedin.com/in/suhaibbitar" TargetMode="External"/><Relationship Id="rId1128" Type="http://schemas.openxmlformats.org/officeDocument/2006/relationships/hyperlink" Target="https://www.linkedin.com/in/alejandro-sosa-segovia-45840010b" TargetMode="External"/><Relationship Id="rId1335" Type="http://schemas.openxmlformats.org/officeDocument/2006/relationships/hyperlink" Target="https://www.linkedin.com/in/ACwAAAFZ9D8BAwKuHNI8q_Sh2Ou5TpfGH5ZSM9M" TargetMode="External"/><Relationship Id="rId1542" Type="http://schemas.openxmlformats.org/officeDocument/2006/relationships/hyperlink" Target="http://vinoteca.com/" TargetMode="External"/><Relationship Id="rId2940" Type="http://schemas.openxmlformats.org/officeDocument/2006/relationships/hyperlink" Target="http://www.linkedin.com/in/haydee-garcia-b211b016a" TargetMode="External"/><Relationship Id="rId912" Type="http://schemas.openxmlformats.org/officeDocument/2006/relationships/hyperlink" Target="http://marinter.com.mx/" TargetMode="External"/><Relationship Id="rId2800" Type="http://schemas.openxmlformats.org/officeDocument/2006/relationships/hyperlink" Target="http://www.linkedin.com/in/mci-automation-076a09189" TargetMode="External"/><Relationship Id="rId41" Type="http://schemas.openxmlformats.org/officeDocument/2006/relationships/hyperlink" Target="https://www.linkedin.com/in/dantenkhoff" TargetMode="External"/><Relationship Id="rId1402" Type="http://schemas.openxmlformats.org/officeDocument/2006/relationships/hyperlink" Target="https://www.linkedin.com/in/hilda-gil-5b251936" TargetMode="External"/><Relationship Id="rId288" Type="http://schemas.openxmlformats.org/officeDocument/2006/relationships/hyperlink" Target="https://www.linkedin.com/in/beatriz-amaro-lago" TargetMode="External"/><Relationship Id="rId495" Type="http://schemas.openxmlformats.org/officeDocument/2006/relationships/hyperlink" Target="https://www.linkedin.com/in/imgrowthhacker" TargetMode="External"/><Relationship Id="rId2176" Type="http://schemas.openxmlformats.org/officeDocument/2006/relationships/hyperlink" Target="http://www.linkedin.com/in/alejandra-izdayara-flores-102868117" TargetMode="External"/><Relationship Id="rId2383" Type="http://schemas.openxmlformats.org/officeDocument/2006/relationships/hyperlink" Target="http://www.linkedin.com/in/cristianne-jaycox-1a68a298" TargetMode="External"/><Relationship Id="rId2590" Type="http://schemas.openxmlformats.org/officeDocument/2006/relationships/hyperlink" Target="http://www.linkedin.com/in/alejandra-anaya-b683a3159" TargetMode="External"/><Relationship Id="rId3227" Type="http://schemas.openxmlformats.org/officeDocument/2006/relationships/hyperlink" Target="http://www.linkedin.com/in/paola-oviedo-maya-b05347151" TargetMode="External"/><Relationship Id="rId148" Type="http://schemas.openxmlformats.org/officeDocument/2006/relationships/hyperlink" Target="http://bigcartel.com/" TargetMode="External"/><Relationship Id="rId355" Type="http://schemas.openxmlformats.org/officeDocument/2006/relationships/hyperlink" Target="http://dacodes.com/" TargetMode="External"/><Relationship Id="rId562" Type="http://schemas.openxmlformats.org/officeDocument/2006/relationships/hyperlink" Target="http://georgieboy.com.mx/" TargetMode="External"/><Relationship Id="rId1192" Type="http://schemas.openxmlformats.org/officeDocument/2006/relationships/hyperlink" Target="https://www.linkedin.com/in/ACwAAA3LD28BUzIHWsA8E7FqrylrgsS_rF_dHfc" TargetMode="External"/><Relationship Id="rId2036" Type="http://schemas.openxmlformats.org/officeDocument/2006/relationships/hyperlink" Target="http://www.linkedin.com/in/diegsl" TargetMode="External"/><Relationship Id="rId2243" Type="http://schemas.openxmlformats.org/officeDocument/2006/relationships/hyperlink" Target="http://www.linkedin.com/in/carlos-alberto-esparza-cruz-a249b1208" TargetMode="External"/><Relationship Id="rId2450" Type="http://schemas.openxmlformats.org/officeDocument/2006/relationships/hyperlink" Target="http://www.linkedin.com/in/adolfoalduenda" TargetMode="External"/><Relationship Id="rId215" Type="http://schemas.openxmlformats.org/officeDocument/2006/relationships/hyperlink" Target="https://www.linkedin.com/in/april-davis-b3802428a" TargetMode="External"/><Relationship Id="rId422" Type="http://schemas.openxmlformats.org/officeDocument/2006/relationships/hyperlink" Target="https://www.linkedin.com/in/ACwAAALMissB44-LpPahD4nTgoly5OBSsJKUTNI" TargetMode="External"/><Relationship Id="rId1052" Type="http://schemas.openxmlformats.org/officeDocument/2006/relationships/hyperlink" Target="http://novartis.com.mx/" TargetMode="External"/><Relationship Id="rId2103" Type="http://schemas.openxmlformats.org/officeDocument/2006/relationships/hyperlink" Target="http://www.linkedin.com/in/appanswovski-derrick-27961a138" TargetMode="External"/><Relationship Id="rId2310" Type="http://schemas.openxmlformats.org/officeDocument/2006/relationships/hyperlink" Target="http://www.linkedin.com/in/kevin-angulo-b0640025" TargetMode="External"/><Relationship Id="rId1869" Type="http://schemas.openxmlformats.org/officeDocument/2006/relationships/hyperlink" Target="http://www.linkedin.com/in/stevie-imsho-871444a6" TargetMode="External"/><Relationship Id="rId3084" Type="http://schemas.openxmlformats.org/officeDocument/2006/relationships/hyperlink" Target="http://www.linkedin.com/in/novapelletier" TargetMode="External"/><Relationship Id="rId1729" Type="http://schemas.openxmlformats.org/officeDocument/2006/relationships/hyperlink" Target="http://www.linkedin.com/in/celine-andreani-lagneau" TargetMode="External"/><Relationship Id="rId1936" Type="http://schemas.openxmlformats.org/officeDocument/2006/relationships/hyperlink" Target="http://www.linkedin.com/in/ivanna-de-la-lanza-gloria-74900a1a4" TargetMode="External"/><Relationship Id="rId3151" Type="http://schemas.openxmlformats.org/officeDocument/2006/relationships/hyperlink" Target="http://www.linkedin.com/in/irsa-guerra-2257b0125" TargetMode="External"/><Relationship Id="rId3011" Type="http://schemas.openxmlformats.org/officeDocument/2006/relationships/hyperlink" Target="http://www.linkedin.com/in/guillermo-olarte-7a2130248" TargetMode="External"/><Relationship Id="rId5" Type="http://schemas.openxmlformats.org/officeDocument/2006/relationships/hyperlink" Target="https://www.linkedin.com/in/raquel-castro-71828983" TargetMode="External"/><Relationship Id="rId889" Type="http://schemas.openxmlformats.org/officeDocument/2006/relationships/hyperlink" Target="http://macma.com.mx/" TargetMode="External"/><Relationship Id="rId2777" Type="http://schemas.openxmlformats.org/officeDocument/2006/relationships/hyperlink" Target="http://www.linkedin.com/in/adri%c3%a1n-vaca-gonzalez-19b21611a" TargetMode="External"/><Relationship Id="rId749" Type="http://schemas.openxmlformats.org/officeDocument/2006/relationships/hyperlink" Target="https://www.linkedin.com/in/jackie-trainor-83595438" TargetMode="External"/><Relationship Id="rId1379" Type="http://schemas.openxmlformats.org/officeDocument/2006/relationships/hyperlink" Target="https://www.linkedin.com/in/nazaed-salinas-a7302a161" TargetMode="External"/><Relationship Id="rId1586" Type="http://schemas.openxmlformats.org/officeDocument/2006/relationships/hyperlink" Target="https://www.linkedin.com/in/daniel-perri-06585466" TargetMode="External"/><Relationship Id="rId2984" Type="http://schemas.openxmlformats.org/officeDocument/2006/relationships/hyperlink" Target="http://www.linkedin.com/in/karen-estudillo-hern%c3%a1ndez-25b028168" TargetMode="External"/><Relationship Id="rId609" Type="http://schemas.openxmlformats.org/officeDocument/2006/relationships/hyperlink" Target="https://www.linkedin.com/in/yvonnecolo" TargetMode="External"/><Relationship Id="rId956" Type="http://schemas.openxmlformats.org/officeDocument/2006/relationships/hyperlink" Target="https://www.linkedin.com/in/katie-caulfield-" TargetMode="External"/><Relationship Id="rId1239" Type="http://schemas.openxmlformats.org/officeDocument/2006/relationships/hyperlink" Target="http://rhino.mx/" TargetMode="External"/><Relationship Id="rId1793" Type="http://schemas.openxmlformats.org/officeDocument/2006/relationships/hyperlink" Target="http://www.linkedin.com/in/rodrigo-ramirez-5a8291a9" TargetMode="External"/><Relationship Id="rId2637" Type="http://schemas.openxmlformats.org/officeDocument/2006/relationships/hyperlink" Target="http://www.linkedin.com/in/gounon-gilbert-17a65b40" TargetMode="External"/><Relationship Id="rId2844" Type="http://schemas.openxmlformats.org/officeDocument/2006/relationships/hyperlink" Target="http://www.linkedin.com/in/alejandra-c-alvarado-419084128" TargetMode="External"/><Relationship Id="rId85" Type="http://schemas.openxmlformats.org/officeDocument/2006/relationships/hyperlink" Target="https://www.linkedin.com/in/ACwAAEJ8Vc0BBxr2vNXNTGwdtVps4-2_hCSRtAM" TargetMode="External"/><Relationship Id="rId816" Type="http://schemas.openxmlformats.org/officeDocument/2006/relationships/hyperlink" Target="https://www.linkedin.com/in/hlarajardon" TargetMode="External"/><Relationship Id="rId1446" Type="http://schemas.openxmlformats.org/officeDocument/2006/relationships/hyperlink" Target="https://www.linkedin.com/in/diego-sierra-chedraui-7b7b0b176" TargetMode="External"/><Relationship Id="rId1653" Type="http://schemas.openxmlformats.org/officeDocument/2006/relationships/hyperlink" Target="http://www.linkedin.com/in/yessica-carre%c3%b1o-0aa96115b" TargetMode="External"/><Relationship Id="rId1860" Type="http://schemas.openxmlformats.org/officeDocument/2006/relationships/hyperlink" Target="http://www.linkedin.com/in/namikoy" TargetMode="External"/><Relationship Id="rId2704" Type="http://schemas.openxmlformats.org/officeDocument/2006/relationships/hyperlink" Target="http://www.linkedin.com/in/micaela-mazzi-converso-b30733117" TargetMode="External"/><Relationship Id="rId2911" Type="http://schemas.openxmlformats.org/officeDocument/2006/relationships/hyperlink" Target="http://www.linkedin.com/in/abikoye-olamilekan-3764ba287" TargetMode="External"/><Relationship Id="rId1306" Type="http://schemas.openxmlformats.org/officeDocument/2006/relationships/hyperlink" Target="http://sigmafoodservice.com/" TargetMode="External"/><Relationship Id="rId1513" Type="http://schemas.openxmlformats.org/officeDocument/2006/relationships/hyperlink" Target="https://www.linkedin.com/in/marie-boivin-b84616a" TargetMode="External"/><Relationship Id="rId1720" Type="http://schemas.openxmlformats.org/officeDocument/2006/relationships/hyperlink" Target="http://www.linkedin.com/in/carolina-recobos-chavez-945059169" TargetMode="External"/><Relationship Id="rId12" Type="http://schemas.openxmlformats.org/officeDocument/2006/relationships/hyperlink" Target="http://accesoriosavemaria.com/" TargetMode="External"/><Relationship Id="rId399" Type="http://schemas.openxmlformats.org/officeDocument/2006/relationships/hyperlink" Target="https://www.linkedin.com/in/ACwAADbedoQBcxZgF0ACW9KXMyI8eHhPKl3K8qw" TargetMode="External"/><Relationship Id="rId2287" Type="http://schemas.openxmlformats.org/officeDocument/2006/relationships/hyperlink" Target="http://www.linkedin.com/in/fernando-arriaga-5a478b17a" TargetMode="External"/><Relationship Id="rId2494" Type="http://schemas.openxmlformats.org/officeDocument/2006/relationships/hyperlink" Target="http://www.linkedin.com/in/moises-sulkin-264a7a130" TargetMode="External"/><Relationship Id="rId259" Type="http://schemas.openxmlformats.org/officeDocument/2006/relationships/hyperlink" Target="https://www.linkedin.com/in/monica-rodriguez-229644117" TargetMode="External"/><Relationship Id="rId466" Type="http://schemas.openxmlformats.org/officeDocument/2006/relationships/hyperlink" Target="http://elektra.com.mx/" TargetMode="External"/><Relationship Id="rId673" Type="http://schemas.openxmlformats.org/officeDocument/2006/relationships/hyperlink" Target="https://www.linkedin.com/in/erika-diaz-89461b35/" TargetMode="External"/><Relationship Id="rId880" Type="http://schemas.openxmlformats.org/officeDocument/2006/relationships/hyperlink" Target="https://www.linkedin.com/in/ACwAADfru6kBem30wAH3LGPJbjJL_Y02N26kAKI" TargetMode="External"/><Relationship Id="rId1096" Type="http://schemas.openxmlformats.org/officeDocument/2006/relationships/hyperlink" Target="http://officemax.com.mx/" TargetMode="External"/><Relationship Id="rId2147" Type="http://schemas.openxmlformats.org/officeDocument/2006/relationships/hyperlink" Target="http://www.linkedin.com/in/oliver-barajas-7708865b" TargetMode="External"/><Relationship Id="rId2354" Type="http://schemas.openxmlformats.org/officeDocument/2006/relationships/hyperlink" Target="http://www.linkedin.com/in/geovana-ch%c3%a1vez-312187239" TargetMode="External"/><Relationship Id="rId2561" Type="http://schemas.openxmlformats.org/officeDocument/2006/relationships/hyperlink" Target="http://www.linkedin.com/in/brenda-zu%c3%b1iga-382598179" TargetMode="External"/><Relationship Id="rId119" Type="http://schemas.openxmlformats.org/officeDocument/2006/relationships/hyperlink" Target="http://bariswimwear.com/" TargetMode="External"/><Relationship Id="rId326" Type="http://schemas.openxmlformats.org/officeDocument/2006/relationships/hyperlink" Target="https://www.linkedin.com/in/ACwAABSqx54BQrt3KjTbTrn-d8P50R6gmRmygfk" TargetMode="External"/><Relationship Id="rId533" Type="http://schemas.openxmlformats.org/officeDocument/2006/relationships/hyperlink" Target="https://www.linkedin.com/in/ACwAABSwos8ByS430v-JxcpGlF18CwiztfUBYtc" TargetMode="External"/><Relationship Id="rId1163" Type="http://schemas.openxmlformats.org/officeDocument/2006/relationships/hyperlink" Target="http://pirma.com.mx/" TargetMode="External"/><Relationship Id="rId1370" Type="http://schemas.openxmlformats.org/officeDocument/2006/relationships/hyperlink" Target="http://supercolchones.com.mx/" TargetMode="External"/><Relationship Id="rId2007" Type="http://schemas.openxmlformats.org/officeDocument/2006/relationships/hyperlink" Target="http://www.linkedin.com/in/antony-rajan-13a3984" TargetMode="External"/><Relationship Id="rId2214" Type="http://schemas.openxmlformats.org/officeDocument/2006/relationships/hyperlink" Target="http://www.linkedin.com/in/marketingstrategyprofessional" TargetMode="External"/><Relationship Id="rId740" Type="http://schemas.openxmlformats.org/officeDocument/2006/relationships/hyperlink" Target="http://infinitekparis.com/" TargetMode="External"/><Relationship Id="rId1023" Type="http://schemas.openxmlformats.org/officeDocument/2006/relationships/hyperlink" Target="https://www.linkedin.com/in/ACwAAEHT8a0BSmE6OnHGL1GV9eds8IUePSEre_k" TargetMode="External"/><Relationship Id="rId2421" Type="http://schemas.openxmlformats.org/officeDocument/2006/relationships/hyperlink" Target="http://www.linkedin.com/in/melisa-su%c3%a1rez-llorente-2189a56b" TargetMode="External"/><Relationship Id="rId600" Type="http://schemas.openxmlformats.org/officeDocument/2006/relationships/hyperlink" Target="http://griver.com.mx/" TargetMode="External"/><Relationship Id="rId1230" Type="http://schemas.openxmlformats.org/officeDocument/2006/relationships/hyperlink" Target="http://republiccosmetics.com/" TargetMode="External"/><Relationship Id="rId3195" Type="http://schemas.openxmlformats.org/officeDocument/2006/relationships/hyperlink" Target="http://www.linkedin.com/in/raul-cornejo-diaz" TargetMode="External"/><Relationship Id="rId3055" Type="http://schemas.openxmlformats.org/officeDocument/2006/relationships/hyperlink" Target="http://www.linkedin.com/in/justin-hoot-9289171ab" TargetMode="External"/><Relationship Id="rId3262" Type="http://schemas.openxmlformats.org/officeDocument/2006/relationships/hyperlink" Target="http://www.linkedin.com/in/dayra-martinez-mu%c3%b1oz-83920327a" TargetMode="External"/><Relationship Id="rId183" Type="http://schemas.openxmlformats.org/officeDocument/2006/relationships/hyperlink" Target="https://www.linkedin.com/in/ACwAAEBZemQBBtCtgvQegL839nAKiTkoVLKCAgg" TargetMode="External"/><Relationship Id="rId390" Type="http://schemas.openxmlformats.org/officeDocument/2006/relationships/hyperlink" Target="http://demesa.com.mx/" TargetMode="External"/><Relationship Id="rId1907" Type="http://schemas.openxmlformats.org/officeDocument/2006/relationships/hyperlink" Target="http://www.linkedin.com/in/mimigumelaty" TargetMode="External"/><Relationship Id="rId2071" Type="http://schemas.openxmlformats.org/officeDocument/2006/relationships/hyperlink" Target="http://www.linkedin.com/in/chris-sharpe-a595556" TargetMode="External"/><Relationship Id="rId3122" Type="http://schemas.openxmlformats.org/officeDocument/2006/relationships/hyperlink" Target="http://www.linkedin.com/in/pilardeleon" TargetMode="External"/><Relationship Id="rId250" Type="http://schemas.openxmlformats.org/officeDocument/2006/relationships/hyperlink" Target="http://chopchopbikes.com/" TargetMode="External"/><Relationship Id="rId110" Type="http://schemas.openxmlformats.org/officeDocument/2006/relationships/hyperlink" Target="http://azulik.com/" TargetMode="External"/><Relationship Id="rId2888" Type="http://schemas.openxmlformats.org/officeDocument/2006/relationships/hyperlink" Target="http://www.linkedin.com/in/edgarescartin" TargetMode="External"/><Relationship Id="rId1697" Type="http://schemas.openxmlformats.org/officeDocument/2006/relationships/hyperlink" Target="http://www.linkedin.com/in/pilar-garc%c3%ada-romo-4a337933" TargetMode="External"/><Relationship Id="rId2748" Type="http://schemas.openxmlformats.org/officeDocument/2006/relationships/hyperlink" Target="http://www.linkedin.com/in/dianagranadosm" TargetMode="External"/><Relationship Id="rId2955" Type="http://schemas.openxmlformats.org/officeDocument/2006/relationships/hyperlink" Target="http://www.linkedin.com/in/mar%c3%ada-fernanda-sandoval-45502a62" TargetMode="External"/><Relationship Id="rId927" Type="http://schemas.openxmlformats.org/officeDocument/2006/relationships/hyperlink" Target="http://meibi.mx/" TargetMode="External"/><Relationship Id="rId1557" Type="http://schemas.openxmlformats.org/officeDocument/2006/relationships/hyperlink" Target="http://wbcboxing.com/" TargetMode="External"/><Relationship Id="rId1764" Type="http://schemas.openxmlformats.org/officeDocument/2006/relationships/hyperlink" Target="http://www.linkedin.com/in/uriel-gibran-garc%c3%ada-maya-368a74158" TargetMode="External"/><Relationship Id="rId1971" Type="http://schemas.openxmlformats.org/officeDocument/2006/relationships/hyperlink" Target="http://www.linkedin.com/in/hannah-shen" TargetMode="External"/><Relationship Id="rId2608" Type="http://schemas.openxmlformats.org/officeDocument/2006/relationships/hyperlink" Target="http://www.linkedin.com/in/antonio-gonzalez-85176764" TargetMode="External"/><Relationship Id="rId2815" Type="http://schemas.openxmlformats.org/officeDocument/2006/relationships/hyperlink" Target="http://www.linkedin.com/in/catalina-planellas-astudillo-307332157" TargetMode="External"/><Relationship Id="rId56" Type="http://schemas.openxmlformats.org/officeDocument/2006/relationships/hyperlink" Target="http://anierm.org.mx/" TargetMode="External"/><Relationship Id="rId1417" Type="http://schemas.openxmlformats.org/officeDocument/2006/relationships/hyperlink" Target="https://www.linkedin.com/in/ACwAADLY0k0BIM89-ar7-gGZMGFmqltqjNdt5fE" TargetMode="External"/><Relationship Id="rId1624" Type="http://schemas.openxmlformats.org/officeDocument/2006/relationships/hyperlink" Target="http://www.linkedin.com/in/kara-gaskin-82248a56" TargetMode="External"/><Relationship Id="rId1831" Type="http://schemas.openxmlformats.org/officeDocument/2006/relationships/hyperlink" Target="http://www.linkedin.com/in/raquellepuglisi" TargetMode="External"/><Relationship Id="rId2398" Type="http://schemas.openxmlformats.org/officeDocument/2006/relationships/hyperlink" Target="http://www.linkedin.com/in/oscar-d-castro-y" TargetMode="External"/><Relationship Id="rId577" Type="http://schemas.openxmlformats.org/officeDocument/2006/relationships/hyperlink" Target="http://gilsa.mx/" TargetMode="External"/><Relationship Id="rId2258" Type="http://schemas.openxmlformats.org/officeDocument/2006/relationships/hyperlink" Target="http://www.linkedin.com/in/dustin-rosales-garc%c3%ada-b926481a1" TargetMode="External"/><Relationship Id="rId784" Type="http://schemas.openxmlformats.org/officeDocument/2006/relationships/hyperlink" Target="http://jmdistribuidores.com/" TargetMode="External"/><Relationship Id="rId991" Type="http://schemas.openxmlformats.org/officeDocument/2006/relationships/hyperlink" Target="http://moramora.mx/" TargetMode="External"/><Relationship Id="rId1067" Type="http://schemas.openxmlformats.org/officeDocument/2006/relationships/hyperlink" Target="https://www.linkedin.com/in/pedro-loza-pastrana" TargetMode="External"/><Relationship Id="rId2465" Type="http://schemas.openxmlformats.org/officeDocument/2006/relationships/hyperlink" Target="http://www.linkedin.com/in/rubi-ugalde-1372b1119" TargetMode="External"/><Relationship Id="rId2672" Type="http://schemas.openxmlformats.org/officeDocument/2006/relationships/hyperlink" Target="http://www.linkedin.com/in/yina-grisales-motato-06ab12122" TargetMode="External"/><Relationship Id="rId437" Type="http://schemas.openxmlformats.org/officeDocument/2006/relationships/hyperlink" Target="https://www.linkedin.com/in/imanolpagaza" TargetMode="External"/><Relationship Id="rId644" Type="http://schemas.openxmlformats.org/officeDocument/2006/relationships/hyperlink" Target="https://www.linkedin.com/in/soniasilce" TargetMode="External"/><Relationship Id="rId851" Type="http://schemas.openxmlformats.org/officeDocument/2006/relationships/hyperlink" Target="https://www.linkedin.com/in/chlo%C3%A9-lem%C3%A9e-169085158" TargetMode="External"/><Relationship Id="rId1274" Type="http://schemas.openxmlformats.org/officeDocument/2006/relationships/hyperlink" Target="http://samsonite.com/" TargetMode="External"/><Relationship Id="rId1481" Type="http://schemas.openxmlformats.org/officeDocument/2006/relationships/hyperlink" Target="https://www.linkedin.com/in/ana-sylvia-castro-canavati-36b7835a" TargetMode="External"/><Relationship Id="rId2118" Type="http://schemas.openxmlformats.org/officeDocument/2006/relationships/hyperlink" Target="http://www.linkedin.com/in/adriana-lopez-garcia-95b18b166" TargetMode="External"/><Relationship Id="rId2325" Type="http://schemas.openxmlformats.org/officeDocument/2006/relationships/hyperlink" Target="http://www.linkedin.com/in/blanca-briones-159bb1210" TargetMode="External"/><Relationship Id="rId2532" Type="http://schemas.openxmlformats.org/officeDocument/2006/relationships/hyperlink" Target="http://www.linkedin.com/in/maria-del-sol-acevedo-pons-61b849bb" TargetMode="External"/><Relationship Id="rId504" Type="http://schemas.openxmlformats.org/officeDocument/2006/relationships/hyperlink" Target="https://www.linkedin.com/in/dorianrdrgz" TargetMode="External"/><Relationship Id="rId711" Type="http://schemas.openxmlformats.org/officeDocument/2006/relationships/hyperlink" Target="http://ibushak.com/" TargetMode="External"/><Relationship Id="rId1134" Type="http://schemas.openxmlformats.org/officeDocument/2006/relationships/hyperlink" Target="http://pedrodomecq.com/" TargetMode="External"/><Relationship Id="rId1341" Type="http://schemas.openxmlformats.org/officeDocument/2006/relationships/hyperlink" Target="https://www.linkedin.com/in/vegacecilia" TargetMode="External"/><Relationship Id="rId1201" Type="http://schemas.openxmlformats.org/officeDocument/2006/relationships/hyperlink" Target="http://prostarcorp.com/" TargetMode="External"/><Relationship Id="rId3099" Type="http://schemas.openxmlformats.org/officeDocument/2006/relationships/hyperlink" Target="http://www.linkedin.com/in/fernando-arechavaleta-gonz%c3%a1lez-a34456172" TargetMode="External"/><Relationship Id="rId3166" Type="http://schemas.openxmlformats.org/officeDocument/2006/relationships/hyperlink" Target="http://www.linkedin.com/in/lefrenchg" TargetMode="External"/><Relationship Id="rId294" Type="http://schemas.openxmlformats.org/officeDocument/2006/relationships/hyperlink" Target="http://convergram.com/" TargetMode="External"/><Relationship Id="rId2182" Type="http://schemas.openxmlformats.org/officeDocument/2006/relationships/hyperlink" Target="http://www.linkedin.com/in/nancy-wu-90aa7052" TargetMode="External"/><Relationship Id="rId3026" Type="http://schemas.openxmlformats.org/officeDocument/2006/relationships/hyperlink" Target="http://www.linkedin.com/in/aisulu" TargetMode="External"/><Relationship Id="rId3233" Type="http://schemas.openxmlformats.org/officeDocument/2006/relationships/hyperlink" Target="http://www.linkedin.com/in/perezvargas" TargetMode="External"/><Relationship Id="rId154" Type="http://schemas.openxmlformats.org/officeDocument/2006/relationships/hyperlink" Target="http://bind.com.mx/" TargetMode="External"/><Relationship Id="rId361" Type="http://schemas.openxmlformats.org/officeDocument/2006/relationships/hyperlink" Target="https://www.linkedin.com/in/ACwAAAu4gqIBznvpVExRKVqYatVXzHSd5ik_K4Q" TargetMode="External"/><Relationship Id="rId2042" Type="http://schemas.openxmlformats.org/officeDocument/2006/relationships/hyperlink" Target="http://www.linkedin.com/in/becca-rotelli-mignanelli-11855320" TargetMode="External"/><Relationship Id="rId2999" Type="http://schemas.openxmlformats.org/officeDocument/2006/relationships/hyperlink" Target="http://www.linkedin.com/in/carlos-cata%c3%b1o-a2468a169" TargetMode="External"/><Relationship Id="rId221" Type="http://schemas.openxmlformats.org/officeDocument/2006/relationships/hyperlink" Target="https://www.linkedin.com/in/ACwAABiAV0ABfW1ertKcNXzw0Z4AyfXCT6fG04c" TargetMode="External"/><Relationship Id="rId2859" Type="http://schemas.openxmlformats.org/officeDocument/2006/relationships/hyperlink" Target="http://www.linkedin.com/in/itzel-s%c3%a1nchez-rodr%c3%adguez-1baabb153" TargetMode="External"/><Relationship Id="rId1668" Type="http://schemas.openxmlformats.org/officeDocument/2006/relationships/hyperlink" Target="http://www.linkedin.com/in/bernardo-steinberg-19a3731b7" TargetMode="External"/><Relationship Id="rId1875" Type="http://schemas.openxmlformats.org/officeDocument/2006/relationships/hyperlink" Target="http://www.linkedin.com/in/beth-lawler-18b520169" TargetMode="External"/><Relationship Id="rId2719" Type="http://schemas.openxmlformats.org/officeDocument/2006/relationships/hyperlink" Target="http://www.linkedin.com/in/juanfairstein" TargetMode="External"/><Relationship Id="rId1528" Type="http://schemas.openxmlformats.org/officeDocument/2006/relationships/hyperlink" Target="http://vidabirdman.com/" TargetMode="External"/><Relationship Id="rId2926" Type="http://schemas.openxmlformats.org/officeDocument/2006/relationships/hyperlink" Target="http://www.linkedin.com/in/karlareygo" TargetMode="External"/><Relationship Id="rId3090" Type="http://schemas.openxmlformats.org/officeDocument/2006/relationships/hyperlink" Target="http://www.linkedin.com/in/alfredo-rivera-6a172727" TargetMode="External"/><Relationship Id="rId1735" Type="http://schemas.openxmlformats.org/officeDocument/2006/relationships/hyperlink" Target="http://www.linkedin.com/in/alan-rend%c3%b3n-a14a0a96" TargetMode="External"/><Relationship Id="rId1942" Type="http://schemas.openxmlformats.org/officeDocument/2006/relationships/hyperlink" Target="http://www.linkedin.com/in/amanda-viscelli-66576832" TargetMode="External"/><Relationship Id="rId27" Type="http://schemas.openxmlformats.org/officeDocument/2006/relationships/hyperlink" Target="http://alfredgiraudwhisky.com/" TargetMode="External"/><Relationship Id="rId1802" Type="http://schemas.openxmlformats.org/officeDocument/2006/relationships/hyperlink" Target="http://www.linkedin.com/in/lynchjoshua" TargetMode="External"/><Relationship Id="rId688" Type="http://schemas.openxmlformats.org/officeDocument/2006/relationships/hyperlink" Target="https://grupodecme.com/" TargetMode="External"/><Relationship Id="rId895" Type="http://schemas.openxmlformats.org/officeDocument/2006/relationships/hyperlink" Target="https://www.linkedin.com/in/ACwAACYXF1sB8uYXBaOHbVICJeUOUdylR3MKbSg" TargetMode="External"/><Relationship Id="rId2369" Type="http://schemas.openxmlformats.org/officeDocument/2006/relationships/hyperlink" Target="http://www.linkedin.com/in/fernandavzqz" TargetMode="External"/><Relationship Id="rId2576" Type="http://schemas.openxmlformats.org/officeDocument/2006/relationships/hyperlink" Target="http://www.linkedin.com/in/gabrielcallejamx" TargetMode="External"/><Relationship Id="rId2783" Type="http://schemas.openxmlformats.org/officeDocument/2006/relationships/hyperlink" Target="http://www.linkedin.com/in/javier-felix-castaneda-seo" TargetMode="External"/><Relationship Id="rId2990" Type="http://schemas.openxmlformats.org/officeDocument/2006/relationships/hyperlink" Target="http://www.linkedin.com/in/lorena-machaen-783558172" TargetMode="External"/><Relationship Id="rId548" Type="http://schemas.openxmlformats.org/officeDocument/2006/relationships/hyperlink" Target="http://gaiadesign.com.mx/" TargetMode="External"/><Relationship Id="rId755" Type="http://schemas.openxmlformats.org/officeDocument/2006/relationships/hyperlink" Target="http://integritasproviders.com/" TargetMode="External"/><Relationship Id="rId962" Type="http://schemas.openxmlformats.org/officeDocument/2006/relationships/hyperlink" Target="https://www.linkedin.com/in/yoly-von-haucke-villanueva-64350685" TargetMode="External"/><Relationship Id="rId1178" Type="http://schemas.openxmlformats.org/officeDocument/2006/relationships/hyperlink" Target="http://prada.mx/" TargetMode="External"/><Relationship Id="rId1385" Type="http://schemas.openxmlformats.org/officeDocument/2006/relationships/hyperlink" Target="https://www.linkedin.com/in/fania-aflalo-costeja-332620a9" TargetMode="External"/><Relationship Id="rId1592" Type="http://schemas.openxmlformats.org/officeDocument/2006/relationships/hyperlink" Target="https://www.linkedin.com/in/samespinosa" TargetMode="External"/><Relationship Id="rId2229" Type="http://schemas.openxmlformats.org/officeDocument/2006/relationships/hyperlink" Target="http://www.linkedin.com/in/fatimapgzz" TargetMode="External"/><Relationship Id="rId2436" Type="http://schemas.openxmlformats.org/officeDocument/2006/relationships/hyperlink" Target="http://www.linkedin.com/in/berenice-segura-a57028215" TargetMode="External"/><Relationship Id="rId2643" Type="http://schemas.openxmlformats.org/officeDocument/2006/relationships/hyperlink" Target="http://www.linkedin.com/in/pilardeleon" TargetMode="External"/><Relationship Id="rId2850" Type="http://schemas.openxmlformats.org/officeDocument/2006/relationships/hyperlink" Target="http://www.linkedin.com/in/salvador-rivera-310767241" TargetMode="External"/><Relationship Id="rId91" Type="http://schemas.openxmlformats.org/officeDocument/2006/relationships/hyperlink" Target="https://www.linkedin.com/in/cristianmoralesga" TargetMode="External"/><Relationship Id="rId408" Type="http://schemas.openxmlformats.org/officeDocument/2006/relationships/hyperlink" Target="https://www.linkedin.com/in/marcos-ramirez-07073559" TargetMode="External"/><Relationship Id="rId615" Type="http://schemas.openxmlformats.org/officeDocument/2006/relationships/hyperlink" Target="http://grupoandersons.com/" TargetMode="External"/><Relationship Id="rId822" Type="http://schemas.openxmlformats.org/officeDocument/2006/relationships/hyperlink" Target="https://www.linkedin.com/in/ACwAAAZ8_WYB3TSU8E8ZT1rPyf2gUGlFejksDs8" TargetMode="External"/><Relationship Id="rId1038" Type="http://schemas.openxmlformats.org/officeDocument/2006/relationships/hyperlink" Target="http://neximo.mx/" TargetMode="External"/><Relationship Id="rId1245" Type="http://schemas.openxmlformats.org/officeDocument/2006/relationships/hyperlink" Target="http://rounderwear.com/" TargetMode="External"/><Relationship Id="rId1452" Type="http://schemas.openxmlformats.org/officeDocument/2006/relationships/hyperlink" Target="https://www.linkedin.com/in/ACwAACRPUGEBYmvyfJzjlYhfp0nyQuTPu2pOGlU" TargetMode="External"/><Relationship Id="rId2503" Type="http://schemas.openxmlformats.org/officeDocument/2006/relationships/hyperlink" Target="http://www.linkedin.com/in/gabriela-sald%c3%advar-8a539115" TargetMode="External"/><Relationship Id="rId1105" Type="http://schemas.openxmlformats.org/officeDocument/2006/relationships/hyperlink" Target="http://openpay.mx/" TargetMode="External"/><Relationship Id="rId1312" Type="http://schemas.openxmlformats.org/officeDocument/2006/relationships/hyperlink" Target="http://sipse.com/" TargetMode="External"/><Relationship Id="rId2710" Type="http://schemas.openxmlformats.org/officeDocument/2006/relationships/hyperlink" Target="http://www.linkedin.com/in/sophia-delledonne-995282234" TargetMode="External"/><Relationship Id="rId3277" Type="http://schemas.openxmlformats.org/officeDocument/2006/relationships/hyperlink" Target="http://www.linkedin.com/in/anygog" TargetMode="External"/><Relationship Id="rId198" Type="http://schemas.openxmlformats.org/officeDocument/2006/relationships/hyperlink" Target="http://cafiver.com/" TargetMode="External"/><Relationship Id="rId2086" Type="http://schemas.openxmlformats.org/officeDocument/2006/relationships/hyperlink" Target="http://www.linkedin.com/in/chay-ohlson-90975819" TargetMode="External"/><Relationship Id="rId2293" Type="http://schemas.openxmlformats.org/officeDocument/2006/relationships/hyperlink" Target="http://www.linkedin.com/in/marilin-hernandez-islas-9a73531a2" TargetMode="External"/><Relationship Id="rId3137" Type="http://schemas.openxmlformats.org/officeDocument/2006/relationships/hyperlink" Target="http://www.linkedin.com/in/nardos-ghebreyesus-a0916b195" TargetMode="External"/><Relationship Id="rId265" Type="http://schemas.openxmlformats.org/officeDocument/2006/relationships/hyperlink" Target="https://www.linkedin.com/in/jonathan-montufar" TargetMode="External"/><Relationship Id="rId472" Type="http://schemas.openxmlformats.org/officeDocument/2006/relationships/hyperlink" Target="https://www.linkedin.com/in/ACwAABg_7yABL12JCVh7Vue68L-klj7SpC_daE4" TargetMode="External"/><Relationship Id="rId2153" Type="http://schemas.openxmlformats.org/officeDocument/2006/relationships/hyperlink" Target="http://www.linkedin.com/in/elias-mussali-912852149" TargetMode="External"/><Relationship Id="rId2360" Type="http://schemas.openxmlformats.org/officeDocument/2006/relationships/hyperlink" Target="http://www.linkedin.com/in/omar-izza%c3%ad-hern%c3%a1ndez" TargetMode="External"/><Relationship Id="rId3204" Type="http://schemas.openxmlformats.org/officeDocument/2006/relationships/hyperlink" Target="http://www.linkedin.com/in/daniela-de-llano-pedroza-495b1b134" TargetMode="External"/><Relationship Id="rId125" Type="http://schemas.openxmlformats.org/officeDocument/2006/relationships/hyperlink" Target="https://www.linkedin.com/in/nikki-tighe-700025101" TargetMode="External"/><Relationship Id="rId332" Type="http://schemas.openxmlformats.org/officeDocument/2006/relationships/hyperlink" Target="https://www.linkedin.com/in/ana-elena-ortiz-contreras-4ba63855" TargetMode="External"/><Relationship Id="rId2013" Type="http://schemas.openxmlformats.org/officeDocument/2006/relationships/hyperlink" Target="http://www.linkedin.com/in/sandra-mu%c3%b1oz-b87bb529" TargetMode="External"/><Relationship Id="rId2220" Type="http://schemas.openxmlformats.org/officeDocument/2006/relationships/hyperlink" Target="http://www.linkedin.com/in/rebeca-guerrero-l%c3%b3pez-196116184" TargetMode="External"/><Relationship Id="rId1779" Type="http://schemas.openxmlformats.org/officeDocument/2006/relationships/hyperlink" Target="http://www.linkedin.com/in/vero-rosas-01575761" TargetMode="External"/><Relationship Id="rId1986" Type="http://schemas.openxmlformats.org/officeDocument/2006/relationships/hyperlink" Target="http://www.linkedin.com/in/jeradhulse" TargetMode="External"/><Relationship Id="rId1639" Type="http://schemas.openxmlformats.org/officeDocument/2006/relationships/hyperlink" Target="http://www.linkedin.com/in/andrea-pe%c3%b1a-rios-78b33a1a0" TargetMode="External"/><Relationship Id="rId1846" Type="http://schemas.openxmlformats.org/officeDocument/2006/relationships/hyperlink" Target="http://www.linkedin.com/in/shuji-shigeta-841108135" TargetMode="External"/><Relationship Id="rId3061" Type="http://schemas.openxmlformats.org/officeDocument/2006/relationships/hyperlink" Target="http://www.linkedin.com/in/maria-fernanda-guerrero-ruiz-0b43a720a" TargetMode="External"/><Relationship Id="rId1706" Type="http://schemas.openxmlformats.org/officeDocument/2006/relationships/hyperlink" Target="http://www.linkedin.com/in/agathe-kalfon-b3686836" TargetMode="External"/><Relationship Id="rId1913" Type="http://schemas.openxmlformats.org/officeDocument/2006/relationships/hyperlink" Target="http://www.linkedin.com/in/evelyne-lebrun-04881226" TargetMode="External"/><Relationship Id="rId799" Type="http://schemas.openxmlformats.org/officeDocument/2006/relationships/hyperlink" Target="http://kennethcole.com/" TargetMode="External"/><Relationship Id="rId2687" Type="http://schemas.openxmlformats.org/officeDocument/2006/relationships/hyperlink" Target="http://www.linkedin.com/in/efren-santamaria-90ab4218" TargetMode="External"/><Relationship Id="rId2894" Type="http://schemas.openxmlformats.org/officeDocument/2006/relationships/hyperlink" Target="http://www.linkedin.com/in/marina-ducros-maestracci-105506b3" TargetMode="External"/><Relationship Id="rId659" Type="http://schemas.openxmlformats.org/officeDocument/2006/relationships/hyperlink" Target="https://www.linkedin.com/in/ACwAAAAskNEBr2Hdxjup7F6JElkpU89Zrert4ys" TargetMode="External"/><Relationship Id="rId866" Type="http://schemas.openxmlformats.org/officeDocument/2006/relationships/hyperlink" Target="https://www.linkedin.com/in/ACwAAB3XvZQBKrKvkbaF0UabLQ6dqq-2SgYAZSo" TargetMode="External"/><Relationship Id="rId1289" Type="http://schemas.openxmlformats.org/officeDocument/2006/relationships/hyperlink" Target="https://www.linkedin.com/in/augusto-limones" TargetMode="External"/><Relationship Id="rId1496" Type="http://schemas.openxmlformats.org/officeDocument/2006/relationships/hyperlink" Target="http://umov.mx/" TargetMode="External"/><Relationship Id="rId2547" Type="http://schemas.openxmlformats.org/officeDocument/2006/relationships/hyperlink" Target="http://www.linkedin.com/in/giovanni-castillo-b64273b7" TargetMode="External"/><Relationship Id="rId519" Type="http://schemas.openxmlformats.org/officeDocument/2006/relationships/hyperlink" Target="http://ferrioni.com/" TargetMode="External"/><Relationship Id="rId1149" Type="http://schemas.openxmlformats.org/officeDocument/2006/relationships/hyperlink" Target="http://petco.com.mx/" TargetMode="External"/><Relationship Id="rId1356" Type="http://schemas.openxmlformats.org/officeDocument/2006/relationships/hyperlink" Target="https://www.linkedin.com/in/ACwAABSZdnsBdLMGZTuaOekgV40ksZlQTv6EU9o" TargetMode="External"/><Relationship Id="rId2754" Type="http://schemas.openxmlformats.org/officeDocument/2006/relationships/hyperlink" Target="http://www.linkedin.com/in/carlos-a-0953262a" TargetMode="External"/><Relationship Id="rId2961" Type="http://schemas.openxmlformats.org/officeDocument/2006/relationships/hyperlink" Target="http://www.linkedin.com/in/alemnrd" TargetMode="External"/><Relationship Id="rId726" Type="http://schemas.openxmlformats.org/officeDocument/2006/relationships/hyperlink" Target="https://www.linkedin.com/in/eduardo-diego" TargetMode="External"/><Relationship Id="rId933" Type="http://schemas.openxmlformats.org/officeDocument/2006/relationships/hyperlink" Target="http://merkatail.com.mx/" TargetMode="External"/><Relationship Id="rId1009" Type="http://schemas.openxmlformats.org/officeDocument/2006/relationships/hyperlink" Target="http://mueblespergo.com/" TargetMode="External"/><Relationship Id="rId1563" Type="http://schemas.openxmlformats.org/officeDocument/2006/relationships/hyperlink" Target="http://webnode.com/" TargetMode="External"/><Relationship Id="rId1770" Type="http://schemas.openxmlformats.org/officeDocument/2006/relationships/hyperlink" Target="http://www.linkedin.com/in/jonathancastanedagarcia" TargetMode="External"/><Relationship Id="rId2407" Type="http://schemas.openxmlformats.org/officeDocument/2006/relationships/hyperlink" Target="http://www.linkedin.com/in/grisel-vieyra-coronado-651441238" TargetMode="External"/><Relationship Id="rId2614" Type="http://schemas.openxmlformats.org/officeDocument/2006/relationships/hyperlink" Target="http://www.linkedin.com/in/jasmin-mart%c3%adnez-61957b101" TargetMode="External"/><Relationship Id="rId2821" Type="http://schemas.openxmlformats.org/officeDocument/2006/relationships/hyperlink" Target="http://www.linkedin.com/in/keanenbuckley" TargetMode="External"/><Relationship Id="rId62" Type="http://schemas.openxmlformats.org/officeDocument/2006/relationships/hyperlink" Target="http://applecosmetics.com.mx/" TargetMode="External"/><Relationship Id="rId1216" Type="http://schemas.openxmlformats.org/officeDocument/2006/relationships/hyperlink" Target="https://www.linkedin.com/in/ACwAACpkfxsBZYeZB-dEuk9LmnVDPtNAcwg2XPg" TargetMode="External"/><Relationship Id="rId1423" Type="http://schemas.openxmlformats.org/officeDocument/2006/relationships/hyperlink" Target="http://thinkific.com/" TargetMode="External"/><Relationship Id="rId1630" Type="http://schemas.openxmlformats.org/officeDocument/2006/relationships/hyperlink" Target="http://www.linkedin.com/in/elias-litchi" TargetMode="External"/><Relationship Id="rId2197" Type="http://schemas.openxmlformats.org/officeDocument/2006/relationships/hyperlink" Target="http://www.linkedin.com/in/felicesegall" TargetMode="External"/><Relationship Id="rId3248" Type="http://schemas.openxmlformats.org/officeDocument/2006/relationships/hyperlink" Target="http://www.linkedin.com/in/gabriela-rodr%c3%adguez-ramos-167a5359" TargetMode="External"/><Relationship Id="rId169" Type="http://schemas.openxmlformats.org/officeDocument/2006/relationships/hyperlink" Target="https://www.linkedin.com/in/fernanda-loera-21590830" TargetMode="External"/><Relationship Id="rId376" Type="http://schemas.openxmlformats.org/officeDocument/2006/relationships/hyperlink" Target="http://deacero.com/" TargetMode="External"/><Relationship Id="rId583" Type="http://schemas.openxmlformats.org/officeDocument/2006/relationships/hyperlink" Target="http://godaddy.com/" TargetMode="External"/><Relationship Id="rId790" Type="http://schemas.openxmlformats.org/officeDocument/2006/relationships/hyperlink" Target="http://justo.mx/" TargetMode="External"/><Relationship Id="rId2057" Type="http://schemas.openxmlformats.org/officeDocument/2006/relationships/hyperlink" Target="http://www.linkedin.com/in/doris-lin-7aba5214b" TargetMode="External"/><Relationship Id="rId2264" Type="http://schemas.openxmlformats.org/officeDocument/2006/relationships/hyperlink" Target="http://www.linkedin.com/in/fernando-david-arriaga-maldonado-59757a265" TargetMode="External"/><Relationship Id="rId2471" Type="http://schemas.openxmlformats.org/officeDocument/2006/relationships/hyperlink" Target="http://www.linkedin.com/in/anaisa-rangel88" TargetMode="External"/><Relationship Id="rId3108" Type="http://schemas.openxmlformats.org/officeDocument/2006/relationships/hyperlink" Target="http://www.linkedin.com/in/rafael-alejandro-delgado-romo-276701204" TargetMode="External"/><Relationship Id="rId236" Type="http://schemas.openxmlformats.org/officeDocument/2006/relationships/hyperlink" Target="https://www.linkedin.com/in/ACwAABXjaKABSaj8eit_1kcCuXe0wLTK3A0qFmg" TargetMode="External"/><Relationship Id="rId443" Type="http://schemas.openxmlformats.org/officeDocument/2006/relationships/hyperlink" Target="http://ecwid.com/" TargetMode="External"/><Relationship Id="rId650" Type="http://schemas.openxmlformats.org/officeDocument/2006/relationships/hyperlink" Target="http://highstreet.com.mx/" TargetMode="External"/><Relationship Id="rId1073" Type="http://schemas.openxmlformats.org/officeDocument/2006/relationships/hyperlink" Target="https://www.linkedin.com/in/manga-tsang" TargetMode="External"/><Relationship Id="rId1280" Type="http://schemas.openxmlformats.org/officeDocument/2006/relationships/hyperlink" Target="http://samsung.com/" TargetMode="External"/><Relationship Id="rId2124" Type="http://schemas.openxmlformats.org/officeDocument/2006/relationships/hyperlink" Target="http://www.linkedin.com/in/arguevarag" TargetMode="External"/><Relationship Id="rId2331" Type="http://schemas.openxmlformats.org/officeDocument/2006/relationships/hyperlink" Target="http://www.linkedin.com/in/david-romo-c%c3%a1rdenas-666b3051" TargetMode="External"/><Relationship Id="rId303" Type="http://schemas.openxmlformats.org/officeDocument/2006/relationships/hyperlink" Target="https://www.linkedin.com/in/ACwAAClxCaMBZnr1aUQD90iPwlYqDwfgRtjvHV0" TargetMode="External"/><Relationship Id="rId1140" Type="http://schemas.openxmlformats.org/officeDocument/2006/relationships/hyperlink" Target="https://www.linkedin.com/in/ACwAACPT1toBopMSebdzu0y9safbVG1Mb_HF_JY" TargetMode="External"/><Relationship Id="rId510" Type="http://schemas.openxmlformats.org/officeDocument/2006/relationships/hyperlink" Target="https://www.linkedin.com/in/isay-zarate-vera" TargetMode="External"/><Relationship Id="rId1000" Type="http://schemas.openxmlformats.org/officeDocument/2006/relationships/hyperlink" Target="https://www.linkedin.com/in/andrea-morales-1183ba57" TargetMode="External"/><Relationship Id="rId1957" Type="http://schemas.openxmlformats.org/officeDocument/2006/relationships/hyperlink" Target="http://www.linkedin.com/in/paulina-orihuela-87309a87" TargetMode="External"/><Relationship Id="rId1817" Type="http://schemas.openxmlformats.org/officeDocument/2006/relationships/hyperlink" Target="http://www.linkedin.com/in/rohit-chawla-roja6340" TargetMode="External"/><Relationship Id="rId3172" Type="http://schemas.openxmlformats.org/officeDocument/2006/relationships/hyperlink" Target="http://www.linkedin.com/in/nicole-shain-7426817" TargetMode="External"/><Relationship Id="rId3032" Type="http://schemas.openxmlformats.org/officeDocument/2006/relationships/hyperlink" Target="http://www.linkedin.com/in/jose-bravo-rodriguez-975815181" TargetMode="External"/><Relationship Id="rId160" Type="http://schemas.openxmlformats.org/officeDocument/2006/relationships/hyperlink" Target="http://blueyonder.com/" TargetMode="External"/><Relationship Id="rId2798" Type="http://schemas.openxmlformats.org/officeDocument/2006/relationships/hyperlink" Target="http://www.linkedin.com/in/danielamochoa" TargetMode="External"/><Relationship Id="rId977" Type="http://schemas.openxmlformats.org/officeDocument/2006/relationships/hyperlink" Target="http://montepiedad.com.mx/" TargetMode="External"/><Relationship Id="rId2658" Type="http://schemas.openxmlformats.org/officeDocument/2006/relationships/hyperlink" Target="http://www.linkedin.com/in/rodolfo-hernandez-798bb5173" TargetMode="External"/><Relationship Id="rId2865" Type="http://schemas.openxmlformats.org/officeDocument/2006/relationships/hyperlink" Target="http://www.linkedin.com/in/yamina-garcia-martinez" TargetMode="External"/><Relationship Id="rId837" Type="http://schemas.openxmlformats.org/officeDocument/2006/relationships/hyperlink" Target="https://www.linkedin.com/in/emily-cassignac-01bb5349" TargetMode="External"/><Relationship Id="rId1467" Type="http://schemas.openxmlformats.org/officeDocument/2006/relationships/hyperlink" Target="http://travers.com.mx/" TargetMode="External"/><Relationship Id="rId1674" Type="http://schemas.openxmlformats.org/officeDocument/2006/relationships/hyperlink" Target="http://www.linkedin.com/in/valeria-aguilar-279596bb" TargetMode="External"/><Relationship Id="rId1881" Type="http://schemas.openxmlformats.org/officeDocument/2006/relationships/hyperlink" Target="http://www.linkedin.com/in/isgra" TargetMode="External"/><Relationship Id="rId2518" Type="http://schemas.openxmlformats.org/officeDocument/2006/relationships/hyperlink" Target="http://www.linkedin.com/in/leonpacheco" TargetMode="External"/><Relationship Id="rId2725" Type="http://schemas.openxmlformats.org/officeDocument/2006/relationships/hyperlink" Target="http://www.linkedin.com/in/carlos-hinojosa-4bb757180" TargetMode="External"/><Relationship Id="rId2932" Type="http://schemas.openxmlformats.org/officeDocument/2006/relationships/hyperlink" Target="http://www.linkedin.com/in/nardie-ghebreyesus-a0916b195" TargetMode="External"/><Relationship Id="rId904" Type="http://schemas.openxmlformats.org/officeDocument/2006/relationships/hyperlink" Target="http://maped.com/" TargetMode="External"/><Relationship Id="rId1327" Type="http://schemas.openxmlformats.org/officeDocument/2006/relationships/hyperlink" Target="https://www.linkedin.com/in/ettwas" TargetMode="External"/><Relationship Id="rId1534" Type="http://schemas.openxmlformats.org/officeDocument/2006/relationships/hyperlink" Target="http://vidawellnessandbeauty.com/" TargetMode="External"/><Relationship Id="rId1741" Type="http://schemas.openxmlformats.org/officeDocument/2006/relationships/hyperlink" Target="http://www.linkedin.com/in/sgumarova" TargetMode="External"/><Relationship Id="rId33" Type="http://schemas.openxmlformats.org/officeDocument/2006/relationships/hyperlink" Target="http://amazfit.com/" TargetMode="External"/><Relationship Id="rId1601" Type="http://schemas.openxmlformats.org/officeDocument/2006/relationships/hyperlink" Target="http://zeb.mx/" TargetMode="External"/><Relationship Id="rId487" Type="http://schemas.openxmlformats.org/officeDocument/2006/relationships/hyperlink" Target="https://www.linkedin.com/in/daniel-bedolla-08568034" TargetMode="External"/><Relationship Id="rId694" Type="http://schemas.openxmlformats.org/officeDocument/2006/relationships/hyperlink" Target="https://www.costco.com.mx/" TargetMode="External"/><Relationship Id="rId2168" Type="http://schemas.openxmlformats.org/officeDocument/2006/relationships/hyperlink" Target="http://www.linkedin.com/in/daisy-liu-b78775207" TargetMode="External"/><Relationship Id="rId2375" Type="http://schemas.openxmlformats.org/officeDocument/2006/relationships/hyperlink" Target="http://www.linkedin.com/in/gabyvaldesz" TargetMode="External"/><Relationship Id="rId3219" Type="http://schemas.openxmlformats.org/officeDocument/2006/relationships/hyperlink" Target="http://www.linkedin.com/in/fernandarey05" TargetMode="External"/><Relationship Id="rId347" Type="http://schemas.openxmlformats.org/officeDocument/2006/relationships/hyperlink" Target="http://cymaq.mx/" TargetMode="External"/><Relationship Id="rId1184" Type="http://schemas.openxmlformats.org/officeDocument/2006/relationships/hyperlink" Target="http://priceshoes.com/" TargetMode="External"/><Relationship Id="rId2028" Type="http://schemas.openxmlformats.org/officeDocument/2006/relationships/hyperlink" Target="http://www.linkedin.com/in/anna-nikitina-annan-evans-ru-a378a117" TargetMode="External"/><Relationship Id="rId2582" Type="http://schemas.openxmlformats.org/officeDocument/2006/relationships/hyperlink" Target="http://www.linkedin.com/in/ana-evelyn-sanchez-ramirez-540a32bb" TargetMode="External"/><Relationship Id="rId554" Type="http://schemas.openxmlformats.org/officeDocument/2006/relationships/hyperlink" Target="http://gazer73.com/" TargetMode="External"/><Relationship Id="rId761" Type="http://schemas.openxmlformats.org/officeDocument/2006/relationships/hyperlink" Target="http://intermoda.hn/" TargetMode="External"/><Relationship Id="rId1391" Type="http://schemas.openxmlformats.org/officeDocument/2006/relationships/hyperlink" Target="http://tanyamoss.com/" TargetMode="External"/><Relationship Id="rId2235" Type="http://schemas.openxmlformats.org/officeDocument/2006/relationships/hyperlink" Target="http://www.linkedin.com/in/angela-serra-781220211" TargetMode="External"/><Relationship Id="rId2442" Type="http://schemas.openxmlformats.org/officeDocument/2006/relationships/hyperlink" Target="http://www.linkedin.com/in/angelcortesespinosa" TargetMode="External"/><Relationship Id="rId207" Type="http://schemas.openxmlformats.org/officeDocument/2006/relationships/hyperlink" Target="http://casamaestri.com/" TargetMode="External"/><Relationship Id="rId414" Type="http://schemas.openxmlformats.org/officeDocument/2006/relationships/hyperlink" Target="http://distroller.com/" TargetMode="External"/><Relationship Id="rId621" Type="http://schemas.openxmlformats.org/officeDocument/2006/relationships/hyperlink" Target="https://www.linkedin.com/in/martin-jurado-pedroza-678205182" TargetMode="External"/><Relationship Id="rId1044" Type="http://schemas.openxmlformats.org/officeDocument/2006/relationships/hyperlink" Target="http://northernep.com/" TargetMode="External"/><Relationship Id="rId1251" Type="http://schemas.openxmlformats.org/officeDocument/2006/relationships/hyperlink" Target="http://salamanderpumps.co.uk/" TargetMode="External"/><Relationship Id="rId2302" Type="http://schemas.openxmlformats.org/officeDocument/2006/relationships/hyperlink" Target="http://www.linkedin.com/in/cintia-pelayo-aa59b646" TargetMode="External"/><Relationship Id="rId1111" Type="http://schemas.openxmlformats.org/officeDocument/2006/relationships/hyperlink" Target="http://openpay.mx/" TargetMode="External"/><Relationship Id="rId3076" Type="http://schemas.openxmlformats.org/officeDocument/2006/relationships/hyperlink" Target="http://www.linkedin.com/in/juanfairstein" TargetMode="External"/><Relationship Id="rId3283" Type="http://schemas.openxmlformats.org/officeDocument/2006/relationships/hyperlink" Target="http://www.linkedin.com/in/mariana-chavez-87bb4113" TargetMode="External"/><Relationship Id="rId1928" Type="http://schemas.openxmlformats.org/officeDocument/2006/relationships/hyperlink" Target="http://www.linkedin.com/in/gary-belanger-38ba8a21" TargetMode="External"/><Relationship Id="rId2092" Type="http://schemas.openxmlformats.org/officeDocument/2006/relationships/hyperlink" Target="http://www.linkedin.com/in/megan-wakefield-229434125" TargetMode="External"/><Relationship Id="rId3143" Type="http://schemas.openxmlformats.org/officeDocument/2006/relationships/hyperlink" Target="http://www.linkedin.com/in/fabi%c3%a1n-gurrola-202037198" TargetMode="External"/><Relationship Id="rId271" Type="http://schemas.openxmlformats.org/officeDocument/2006/relationships/hyperlink" Target="https://www.linkedin.com/in/ACwAAAPdFs0B88aLtqK1uYjHzfgsKEOT4ORVck4" TargetMode="External"/><Relationship Id="rId3003" Type="http://schemas.openxmlformats.org/officeDocument/2006/relationships/hyperlink" Target="http://www.linkedin.com/in/andressa-santos-cardoso" TargetMode="External"/><Relationship Id="rId131" Type="http://schemas.openxmlformats.org/officeDocument/2006/relationships/hyperlink" Target="http://benandfrank.com/" TargetMode="External"/><Relationship Id="rId3210" Type="http://schemas.openxmlformats.org/officeDocument/2006/relationships/hyperlink" Target="http://www.linkedin.com/in/ana-ivette-juarez-78582930" TargetMode="External"/><Relationship Id="rId2769" Type="http://schemas.openxmlformats.org/officeDocument/2006/relationships/hyperlink" Target="http://www.linkedin.com/in/rosangelarosales" TargetMode="External"/><Relationship Id="rId2976" Type="http://schemas.openxmlformats.org/officeDocument/2006/relationships/hyperlink" Target="http://www.linkedin.com/in/fernanda-chong-9649b997" TargetMode="External"/><Relationship Id="rId948" Type="http://schemas.openxmlformats.org/officeDocument/2006/relationships/hyperlink" Target="https://www.linkedin.com/in/ACwAAC9v-hkB16JvG9FCy8czyCX5Z3Dn14cOR-0" TargetMode="External"/><Relationship Id="rId1578" Type="http://schemas.openxmlformats.org/officeDocument/2006/relationships/hyperlink" Target="https://www.linkedin.com/in/leticia-blanco-65197647" TargetMode="External"/><Relationship Id="rId1785" Type="http://schemas.openxmlformats.org/officeDocument/2006/relationships/hyperlink" Target="http://www.linkedin.com/in/nadina-bruvele-00926993" TargetMode="External"/><Relationship Id="rId1992" Type="http://schemas.openxmlformats.org/officeDocument/2006/relationships/hyperlink" Target="http://www.linkedin.com/in/marisol-sandoval-hern%c3%a1ndez-472572189" TargetMode="External"/><Relationship Id="rId2629" Type="http://schemas.openxmlformats.org/officeDocument/2006/relationships/hyperlink" Target="http://www.linkedin.com/in/celina-ibarra-linares-290475204" TargetMode="External"/><Relationship Id="rId2836" Type="http://schemas.openxmlformats.org/officeDocument/2006/relationships/hyperlink" Target="http://www.linkedin.com/in/brenda-medina-20a62bb5" TargetMode="External"/><Relationship Id="rId77" Type="http://schemas.openxmlformats.org/officeDocument/2006/relationships/hyperlink" Target="https://www.linkedin.com/in/jessica-heraty-0754b111" TargetMode="External"/><Relationship Id="rId808" Type="http://schemas.openxmlformats.org/officeDocument/2006/relationships/hyperlink" Target="https://www.linkedin.com/in/sissel-sagmo-0158854a" TargetMode="External"/><Relationship Id="rId1438" Type="http://schemas.openxmlformats.org/officeDocument/2006/relationships/hyperlink" Target="http://threadless.com/" TargetMode="External"/><Relationship Id="rId1645" Type="http://schemas.openxmlformats.org/officeDocument/2006/relationships/hyperlink" Target="http://www.linkedin.com/in/yuvrajgogia" TargetMode="External"/><Relationship Id="rId1852" Type="http://schemas.openxmlformats.org/officeDocument/2006/relationships/hyperlink" Target="http://www.linkedin.com/in/nataly-s%c3%a1nchez-65487354" TargetMode="External"/><Relationship Id="rId2903" Type="http://schemas.openxmlformats.org/officeDocument/2006/relationships/hyperlink" Target="http://www.linkedin.com/in/claudia-perales-5a47b0192" TargetMode="External"/><Relationship Id="rId1505" Type="http://schemas.openxmlformats.org/officeDocument/2006/relationships/hyperlink" Target="https://www.linkedin.com/in/ACwAAAEvknUBTE7OIRIBa5PjcXbO-FGeDqR-rhI" TargetMode="External"/><Relationship Id="rId1712" Type="http://schemas.openxmlformats.org/officeDocument/2006/relationships/hyperlink" Target="http://www.linkedin.com/in/juan-pablo-velarde-83248b119" TargetMode="External"/><Relationship Id="rId598" Type="http://schemas.openxmlformats.org/officeDocument/2006/relationships/hyperlink" Target="http://granvia.mx/" TargetMode="External"/><Relationship Id="rId2279" Type="http://schemas.openxmlformats.org/officeDocument/2006/relationships/hyperlink" Target="http://www.linkedin.com/in/diegsl" TargetMode="External"/><Relationship Id="rId2486" Type="http://schemas.openxmlformats.org/officeDocument/2006/relationships/hyperlink" Target="http://www.linkedin.com/in/micaela-mazzi-converso-b30733117" TargetMode="External"/><Relationship Id="rId2693" Type="http://schemas.openxmlformats.org/officeDocument/2006/relationships/hyperlink" Target="http://www.linkedin.com/in/tinastar" TargetMode="External"/><Relationship Id="rId458" Type="http://schemas.openxmlformats.org/officeDocument/2006/relationships/hyperlink" Target="https://www.linkedin.com/in/benjamin-aguirre-rivas-62a29564" TargetMode="External"/><Relationship Id="rId665" Type="http://schemas.openxmlformats.org/officeDocument/2006/relationships/hyperlink" Target="https://www.linkedin.com/in/francisco-haro-48a78633" TargetMode="External"/><Relationship Id="rId872" Type="http://schemas.openxmlformats.org/officeDocument/2006/relationships/hyperlink" Target="https://www.linkedin.com/in/ACwAAAnCAGEBz9xOtAv0_MnCEXQ6RVO1NwuL1To" TargetMode="External"/><Relationship Id="rId1088" Type="http://schemas.openxmlformats.org/officeDocument/2006/relationships/hyperlink" Target="http://officedepot.com.mx/" TargetMode="External"/><Relationship Id="rId1295" Type="http://schemas.openxmlformats.org/officeDocument/2006/relationships/hyperlink" Target="https://www.linkedin.com/in/ACwAAEMNHaEBNrwOSUTUY1Og1iAlPO1lkBQ-1Po" TargetMode="External"/><Relationship Id="rId2139" Type="http://schemas.openxmlformats.org/officeDocument/2006/relationships/hyperlink" Target="http://www.linkedin.com/in/circe-nava-6ba47a101" TargetMode="External"/><Relationship Id="rId2346" Type="http://schemas.openxmlformats.org/officeDocument/2006/relationships/hyperlink" Target="http://www.linkedin.com/in/leyracolina" TargetMode="External"/><Relationship Id="rId2553" Type="http://schemas.openxmlformats.org/officeDocument/2006/relationships/hyperlink" Target="http://www.linkedin.com/in/luis-castro-4b7736190" TargetMode="External"/><Relationship Id="rId2760" Type="http://schemas.openxmlformats.org/officeDocument/2006/relationships/hyperlink" Target="http://www.linkedin.com/in/zamna-ichel-mungu%c3%ada-garc%c3%ada-705a15aa" TargetMode="External"/><Relationship Id="rId318" Type="http://schemas.openxmlformats.org/officeDocument/2006/relationships/hyperlink" Target="http://crownbaccara.com/" TargetMode="External"/><Relationship Id="rId525" Type="http://schemas.openxmlformats.org/officeDocument/2006/relationships/hyperlink" Target="http://flamingocancun.com/" TargetMode="External"/><Relationship Id="rId732" Type="http://schemas.openxmlformats.org/officeDocument/2006/relationships/hyperlink" Target="http://imperquimia.mx/" TargetMode="External"/><Relationship Id="rId1155" Type="http://schemas.openxmlformats.org/officeDocument/2006/relationships/hyperlink" Target="http://phiten.com.mx/" TargetMode="External"/><Relationship Id="rId1362" Type="http://schemas.openxmlformats.org/officeDocument/2006/relationships/hyperlink" Target="http://sunglasshut.com/" TargetMode="External"/><Relationship Id="rId2206" Type="http://schemas.openxmlformats.org/officeDocument/2006/relationships/hyperlink" Target="http://www.linkedin.com/in/edgar-esaul-reyes-rios-400b0817b" TargetMode="External"/><Relationship Id="rId2413" Type="http://schemas.openxmlformats.org/officeDocument/2006/relationships/hyperlink" Target="http://www.linkedin.com/in/melissa-cazalis-a616811ba" TargetMode="External"/><Relationship Id="rId2620" Type="http://schemas.openxmlformats.org/officeDocument/2006/relationships/hyperlink" Target="http://www.linkedin.com/in/priscilla-ruiz-b69392bb" TargetMode="External"/><Relationship Id="rId1015" Type="http://schemas.openxmlformats.org/officeDocument/2006/relationships/hyperlink" Target="http://multillantasnieto.mx/" TargetMode="External"/><Relationship Id="rId1222" Type="http://schemas.openxmlformats.org/officeDocument/2006/relationships/hyperlink" Target="http://renault.com.mx/" TargetMode="External"/><Relationship Id="rId3187" Type="http://schemas.openxmlformats.org/officeDocument/2006/relationships/hyperlink" Target="http://www.linkedin.com/in/angel-josue-garc%c3%ada-y%c3%a1%c3%b1ez-203533222" TargetMode="External"/><Relationship Id="rId3047" Type="http://schemas.openxmlformats.org/officeDocument/2006/relationships/hyperlink" Target="http://www.linkedin.com/in/mkt-gremsa-2802741ba" TargetMode="External"/><Relationship Id="rId175" Type="http://schemas.openxmlformats.org/officeDocument/2006/relationships/hyperlink" Target="https://www.linkedin.com/in/karischneiss" TargetMode="External"/><Relationship Id="rId3254" Type="http://schemas.openxmlformats.org/officeDocument/2006/relationships/hyperlink" Target="http://www.linkedin.com/in/nale-ru%c3%adz-salazar93" TargetMode="External"/><Relationship Id="rId382" Type="http://schemas.openxmlformats.org/officeDocument/2006/relationships/hyperlink" Target="http://decathlon.com.mx/" TargetMode="External"/><Relationship Id="rId2063" Type="http://schemas.openxmlformats.org/officeDocument/2006/relationships/hyperlink" Target="http://www.linkedin.com/in/luis-felipe-guevara-792372222" TargetMode="External"/><Relationship Id="rId2270" Type="http://schemas.openxmlformats.org/officeDocument/2006/relationships/hyperlink" Target="http://www.linkedin.com/in/jessica-fernanda-p%c3%a9rez-ben%c3%adtez-908628213" TargetMode="External"/><Relationship Id="rId3114" Type="http://schemas.openxmlformats.org/officeDocument/2006/relationships/hyperlink" Target="http://www.linkedin.com/in/bah-hamadi-50682a220" TargetMode="External"/><Relationship Id="rId242" Type="http://schemas.openxmlformats.org/officeDocument/2006/relationships/hyperlink" Target="http://chenson.com.mx/" TargetMode="External"/><Relationship Id="rId2130" Type="http://schemas.openxmlformats.org/officeDocument/2006/relationships/hyperlink" Target="http://www.linkedin.com/in/allisonlannon" TargetMode="External"/><Relationship Id="rId102" Type="http://schemas.openxmlformats.org/officeDocument/2006/relationships/hyperlink" Target="http://avantorsciences.com/" TargetMode="External"/><Relationship Id="rId1689" Type="http://schemas.openxmlformats.org/officeDocument/2006/relationships/hyperlink" Target="http://www.linkedin.com/in/diana-butron-638115190" TargetMode="External"/><Relationship Id="rId1896" Type="http://schemas.openxmlformats.org/officeDocument/2006/relationships/hyperlink" Target="http://www.linkedin.com/in/sandyvelperez" TargetMode="External"/><Relationship Id="rId2947" Type="http://schemas.openxmlformats.org/officeDocument/2006/relationships/hyperlink" Target="http://www.linkedin.com/in/alonso-nava-70383b7" TargetMode="External"/><Relationship Id="rId919" Type="http://schemas.openxmlformats.org/officeDocument/2006/relationships/hyperlink" Target="http://masvision.mx/" TargetMode="External"/><Relationship Id="rId1549" Type="http://schemas.openxmlformats.org/officeDocument/2006/relationships/hyperlink" Target="http://wahu.com.mx/" TargetMode="External"/><Relationship Id="rId1756" Type="http://schemas.openxmlformats.org/officeDocument/2006/relationships/hyperlink" Target="http://www.linkedin.com/in/alejandro-cruz-sol%c3%b3rzano-33372110a" TargetMode="External"/><Relationship Id="rId1963" Type="http://schemas.openxmlformats.org/officeDocument/2006/relationships/hyperlink" Target="http://www.linkedin.com/in/maggie-leung-554b304b" TargetMode="External"/><Relationship Id="rId2807" Type="http://schemas.openxmlformats.org/officeDocument/2006/relationships/hyperlink" Target="http://www.linkedin.com/in/arian-alemzadeh" TargetMode="External"/><Relationship Id="rId48" Type="http://schemas.openxmlformats.org/officeDocument/2006/relationships/hyperlink" Target="http://andrea.com/" TargetMode="External"/><Relationship Id="rId1409" Type="http://schemas.openxmlformats.org/officeDocument/2006/relationships/hyperlink" Target="http://tec.mx/" TargetMode="External"/><Relationship Id="rId1616" Type="http://schemas.openxmlformats.org/officeDocument/2006/relationships/hyperlink" Target="http://www.linkedin.com/in/patricia-v-7051b21b1" TargetMode="External"/><Relationship Id="rId1823" Type="http://schemas.openxmlformats.org/officeDocument/2006/relationships/hyperlink" Target="http://www.linkedin.com/in/mayra-vargas-24342b29" TargetMode="External"/><Relationship Id="rId2597" Type="http://schemas.openxmlformats.org/officeDocument/2006/relationships/hyperlink" Target="http://www.linkedin.com/in/sylvia-fuentes-cortes-3a5487113" TargetMode="External"/><Relationship Id="rId569" Type="http://schemas.openxmlformats.org/officeDocument/2006/relationships/hyperlink" Target="https://www.linkedin.com/in/ACwAACTlg60Bb3_r6YE1ZUZdy412K3jnHC_-3I4" TargetMode="External"/><Relationship Id="rId776" Type="http://schemas.openxmlformats.org/officeDocument/2006/relationships/hyperlink" Target="http://itam.mx/" TargetMode="External"/><Relationship Id="rId983" Type="http://schemas.openxmlformats.org/officeDocument/2006/relationships/hyperlink" Target="http://montepiedad.com.mx/" TargetMode="External"/><Relationship Id="rId1199" Type="http://schemas.openxmlformats.org/officeDocument/2006/relationships/hyperlink" Target="http://prosic.com/" TargetMode="External"/><Relationship Id="rId2457" Type="http://schemas.openxmlformats.org/officeDocument/2006/relationships/hyperlink" Target="http://www.linkedin.com/in/antonioandreuc" TargetMode="External"/><Relationship Id="rId2664" Type="http://schemas.openxmlformats.org/officeDocument/2006/relationships/hyperlink" Target="http://www.linkedin.com/in/rbo" TargetMode="External"/><Relationship Id="rId429" Type="http://schemas.openxmlformats.org/officeDocument/2006/relationships/hyperlink" Target="http://doto.com.mx/" TargetMode="External"/><Relationship Id="rId636" Type="http://schemas.openxmlformats.org/officeDocument/2006/relationships/hyperlink" Target="http://harmonhall.com/" TargetMode="External"/><Relationship Id="rId1059" Type="http://schemas.openxmlformats.org/officeDocument/2006/relationships/hyperlink" Target="https://www.linkedin.com/in/luisfernandezsarmiento" TargetMode="External"/><Relationship Id="rId1266" Type="http://schemas.openxmlformats.org/officeDocument/2006/relationships/hyperlink" Target="http://samsclub.com/" TargetMode="External"/><Relationship Id="rId1473" Type="http://schemas.openxmlformats.org/officeDocument/2006/relationships/hyperlink" Target="http://troquer.com.mx/" TargetMode="External"/><Relationship Id="rId2317" Type="http://schemas.openxmlformats.org/officeDocument/2006/relationships/hyperlink" Target="http://www.linkedin.com/in/eduardo-barroso-426a03153" TargetMode="External"/><Relationship Id="rId2871" Type="http://schemas.openxmlformats.org/officeDocument/2006/relationships/hyperlink" Target="http://velosport.mx/" TargetMode="External"/><Relationship Id="rId843" Type="http://schemas.openxmlformats.org/officeDocument/2006/relationships/hyperlink" Target="https://www.linkedin.com/in/ACwAABBoy_IBn60Ph3dn7_aPVbccywS1Jo7epfE" TargetMode="External"/><Relationship Id="rId1126" Type="http://schemas.openxmlformats.org/officeDocument/2006/relationships/hyperlink" Target="https://www.linkedin.com/in/ACwAAC0_byUBno9BAaOyPuKmGTC4HuPI3nfmgFQ" TargetMode="External"/><Relationship Id="rId1680" Type="http://schemas.openxmlformats.org/officeDocument/2006/relationships/hyperlink" Target="http://www.linkedin.com/in/alix-paten%c3%b4tre-2017b350" TargetMode="External"/><Relationship Id="rId2524" Type="http://schemas.openxmlformats.org/officeDocument/2006/relationships/hyperlink" Target="http://www.linkedin.com/in/jennifer-moreno-ezquerra-665395139" TargetMode="External"/><Relationship Id="rId2731" Type="http://schemas.openxmlformats.org/officeDocument/2006/relationships/hyperlink" Target="http://www.linkedin.com/in/mar%c3%ada-guadalupe-g%c3%b3mez-ramos-a22156172" TargetMode="External"/><Relationship Id="rId703" Type="http://schemas.openxmlformats.org/officeDocument/2006/relationships/hyperlink" Target="https://www.linkedin.com/in/ACwAAC_2NlEBOcr_1WPuCJ0NwTOU_Wkhi5zcEHI" TargetMode="External"/><Relationship Id="rId910" Type="http://schemas.openxmlformats.org/officeDocument/2006/relationships/hyperlink" Target="http://marel.com.mx/" TargetMode="External"/><Relationship Id="rId1333" Type="http://schemas.openxmlformats.org/officeDocument/2006/relationships/hyperlink" Target="https://www.linkedin.com/in/anne-marie-andrews-24105015" TargetMode="External"/><Relationship Id="rId1540" Type="http://schemas.openxmlformats.org/officeDocument/2006/relationships/hyperlink" Target="http://vinoselcielo.com/" TargetMode="External"/><Relationship Id="rId1400" Type="http://schemas.openxmlformats.org/officeDocument/2006/relationships/hyperlink" Target="https://www.linkedin.com/in/ACwAADfqJUkBtcSb0I3o9lE6KjLtkuRYBUi5IIA" TargetMode="External"/><Relationship Id="rId3158" Type="http://schemas.openxmlformats.org/officeDocument/2006/relationships/hyperlink" Target="http://www.linkedin.com/in/nahuel-costa-106763235" TargetMode="External"/><Relationship Id="rId286" Type="http://schemas.openxmlformats.org/officeDocument/2006/relationships/hyperlink" Target="https://www.linkedin.com/in/victor-vazquez-a387137" TargetMode="External"/><Relationship Id="rId493" Type="http://schemas.openxmlformats.org/officeDocument/2006/relationships/hyperlink" Target="https://www.linkedin.com/in/ricardomoralesmorales" TargetMode="External"/><Relationship Id="rId2174" Type="http://schemas.openxmlformats.org/officeDocument/2006/relationships/hyperlink" Target="http://www.linkedin.com/in/boniface-i-30379417a" TargetMode="External"/><Relationship Id="rId2381" Type="http://schemas.openxmlformats.org/officeDocument/2006/relationships/hyperlink" Target="http://www.linkedin.com/in/alexlagunes" TargetMode="External"/><Relationship Id="rId3018" Type="http://schemas.openxmlformats.org/officeDocument/2006/relationships/hyperlink" Target="http://www.linkedin.com/in/mar%c3%ada-camila-cetina-mart%c3%adnez-a8b2ba191" TargetMode="External"/><Relationship Id="rId3225" Type="http://schemas.openxmlformats.org/officeDocument/2006/relationships/hyperlink" Target="http://www.linkedin.com/in/andr%c3%a9s-jael-carbajal-porras-48b080197" TargetMode="External"/><Relationship Id="rId146" Type="http://schemas.openxmlformats.org/officeDocument/2006/relationships/hyperlink" Target="http://bigcartel.com/" TargetMode="External"/><Relationship Id="rId353" Type="http://schemas.openxmlformats.org/officeDocument/2006/relationships/hyperlink" Target="http://cynthus.com.mx/" TargetMode="External"/><Relationship Id="rId560" Type="http://schemas.openxmlformats.org/officeDocument/2006/relationships/hyperlink" Target="http://generaclatam.com/" TargetMode="External"/><Relationship Id="rId1190" Type="http://schemas.openxmlformats.org/officeDocument/2006/relationships/hyperlink" Target="https://www.linkedin.com/in/ruben-sanchez-huitron-28650622/" TargetMode="External"/><Relationship Id="rId2034" Type="http://schemas.openxmlformats.org/officeDocument/2006/relationships/hyperlink" Target="http://www.linkedin.com/in/andres-lopez-b9ab81172" TargetMode="External"/><Relationship Id="rId2241" Type="http://schemas.openxmlformats.org/officeDocument/2006/relationships/hyperlink" Target="http://www.linkedin.com/in/gabriel-adrian-teneyuque-cardenas-90636a84" TargetMode="External"/><Relationship Id="rId213" Type="http://schemas.openxmlformats.org/officeDocument/2006/relationships/hyperlink" Target="https://www.linkedin.com/in/ACwAABsEeb4BtxR3vK6fHoHokuLLiL9X_UR4NBQ" TargetMode="External"/><Relationship Id="rId420" Type="http://schemas.openxmlformats.org/officeDocument/2006/relationships/hyperlink" Target="https://www.linkedin.com/in/jason-du-21965114b" TargetMode="External"/><Relationship Id="rId1050" Type="http://schemas.openxmlformats.org/officeDocument/2006/relationships/hyperlink" Target="http://novartis.com.mx/" TargetMode="External"/><Relationship Id="rId2101" Type="http://schemas.openxmlformats.org/officeDocument/2006/relationships/hyperlink" Target="http://www.linkedin.com/in/lwoods828" TargetMode="External"/><Relationship Id="rId1867" Type="http://schemas.openxmlformats.org/officeDocument/2006/relationships/hyperlink" Target="http://www.linkedin.com/in/lena-jones-285586219" TargetMode="External"/><Relationship Id="rId2918" Type="http://schemas.openxmlformats.org/officeDocument/2006/relationships/hyperlink" Target="http://www.linkedin.com/in/nicole-shain-7426817" TargetMode="External"/><Relationship Id="rId1727" Type="http://schemas.openxmlformats.org/officeDocument/2006/relationships/hyperlink" Target="http://www.linkedin.com/in/muriel-matter-516b43b2" TargetMode="External"/><Relationship Id="rId1934" Type="http://schemas.openxmlformats.org/officeDocument/2006/relationships/hyperlink" Target="http://www.linkedin.com/in/kimberly-wallengren" TargetMode="External"/><Relationship Id="rId3082" Type="http://schemas.openxmlformats.org/officeDocument/2006/relationships/hyperlink" Target="http://www.linkedin.com/in/ramiro-mart%c3%adnez-camacho-2834b867" TargetMode="External"/><Relationship Id="rId19" Type="http://schemas.openxmlformats.org/officeDocument/2006/relationships/hyperlink" Target="http://adecoco.com/" TargetMode="External"/><Relationship Id="rId3" Type="http://schemas.openxmlformats.org/officeDocument/2006/relationships/hyperlink" Target="https://www.linkedin.com/in/ferhaaz" TargetMode="External"/><Relationship Id="rId887" Type="http://schemas.openxmlformats.org/officeDocument/2006/relationships/hyperlink" Target="http://macaflight.com/" TargetMode="External"/><Relationship Id="rId2568" Type="http://schemas.openxmlformats.org/officeDocument/2006/relationships/hyperlink" Target="http://www.linkedin.com/in/jordi-sendra-3617ba264" TargetMode="External"/><Relationship Id="rId2775" Type="http://schemas.openxmlformats.org/officeDocument/2006/relationships/hyperlink" Target="http://www.linkedin.com/in/kris-chichak-b6315798" TargetMode="External"/><Relationship Id="rId2982" Type="http://schemas.openxmlformats.org/officeDocument/2006/relationships/hyperlink" Target="http://www.linkedin.com/in/andr%c3%a9s-jael-carbajal-porras-48b080197" TargetMode="External"/><Relationship Id="rId747" Type="http://schemas.openxmlformats.org/officeDocument/2006/relationships/hyperlink" Target="https://www.linkedin.com/in/ACwAAAruhfkBA46feYV13w8uDFo-zgqfxns6g2w" TargetMode="External"/><Relationship Id="rId954" Type="http://schemas.openxmlformats.org/officeDocument/2006/relationships/hyperlink" Target="https://www.linkedin.com/in/noraestrada" TargetMode="External"/><Relationship Id="rId1377" Type="http://schemas.openxmlformats.org/officeDocument/2006/relationships/hyperlink" Target="https://www.linkedin.com/in/cesar-padilla-romero" TargetMode="External"/><Relationship Id="rId1584" Type="http://schemas.openxmlformats.org/officeDocument/2006/relationships/hyperlink" Target="https://www.linkedin.com/in/hschaen" TargetMode="External"/><Relationship Id="rId1791" Type="http://schemas.openxmlformats.org/officeDocument/2006/relationships/hyperlink" Target="http://www.linkedin.com/in/darpanvyas" TargetMode="External"/><Relationship Id="rId2428" Type="http://schemas.openxmlformats.org/officeDocument/2006/relationships/hyperlink" Target="http://www.linkedin.com/in/gerardo-m-saucedo-ramirez-8b676038" TargetMode="External"/><Relationship Id="rId2635" Type="http://schemas.openxmlformats.org/officeDocument/2006/relationships/hyperlink" Target="http://www.linkedin.com/in/claudia-navarro-roa-b78662205" TargetMode="External"/><Relationship Id="rId2842" Type="http://schemas.openxmlformats.org/officeDocument/2006/relationships/hyperlink" Target="http://www.linkedin.com/in/micaela-mazzi-converso-b30733117" TargetMode="External"/><Relationship Id="rId83" Type="http://schemas.openxmlformats.org/officeDocument/2006/relationships/hyperlink" Target="https://www.linkedin.com/in/luis-lobatomx" TargetMode="External"/><Relationship Id="rId607" Type="http://schemas.openxmlformats.org/officeDocument/2006/relationships/hyperlink" Target="https://www.linkedin.com/in/ACwAAAeoLwwBp21mBJDuQ3GnonyNN0OF5OhWGcs" TargetMode="External"/><Relationship Id="rId814" Type="http://schemas.openxmlformats.org/officeDocument/2006/relationships/hyperlink" Target="https://www.linkedin.com/in/ACwAAAD2ZYUBqOadzEiwEzmcRFAt_-Bs44lpBJs" TargetMode="External"/><Relationship Id="rId1237" Type="http://schemas.openxmlformats.org/officeDocument/2006/relationships/hyperlink" Target="http://reynera.com.mx/" TargetMode="External"/><Relationship Id="rId1444" Type="http://schemas.openxmlformats.org/officeDocument/2006/relationships/hyperlink" Target="https://www.linkedin.com/in/ACwAADyDJ1ABmwuMCRk7uQzSOhEtcWgnQbPF5hc" TargetMode="External"/><Relationship Id="rId1651" Type="http://schemas.openxmlformats.org/officeDocument/2006/relationships/hyperlink" Target="http://www.linkedin.com/in/preetam-dhaneriya-808a44122" TargetMode="External"/><Relationship Id="rId2702" Type="http://schemas.openxmlformats.org/officeDocument/2006/relationships/hyperlink" Target="http://www.linkedin.com/in/cristobal-abugaber-8a380a76" TargetMode="External"/><Relationship Id="rId1304" Type="http://schemas.openxmlformats.org/officeDocument/2006/relationships/hyperlink" Target="http://sicar.mx/" TargetMode="External"/><Relationship Id="rId1511" Type="http://schemas.openxmlformats.org/officeDocument/2006/relationships/hyperlink" Target="https://www.linkedin.com/in/ACwAAAcbg2YBA46b1mbn_OLdagQyYgw29y7P0OY" TargetMode="External"/><Relationship Id="rId3269" Type="http://schemas.openxmlformats.org/officeDocument/2006/relationships/hyperlink" Target="http://www.linkedin.com/in/nayelli-serna-6148b73b" TargetMode="External"/><Relationship Id="rId10" Type="http://schemas.openxmlformats.org/officeDocument/2006/relationships/hyperlink" Target="http://accesoriosavemaria.com/" TargetMode="External"/><Relationship Id="rId397" Type="http://schemas.openxmlformats.org/officeDocument/2006/relationships/hyperlink" Target="https://www.linkedin.com/in/edesul" TargetMode="External"/><Relationship Id="rId2078" Type="http://schemas.openxmlformats.org/officeDocument/2006/relationships/hyperlink" Target="http://www.linkedin.com/in/simona-nardon-88929a113" TargetMode="External"/><Relationship Id="rId2285" Type="http://schemas.openxmlformats.org/officeDocument/2006/relationships/hyperlink" Target="http://www.linkedin.com/in/alejandro-regardiz-marketing-ecommerce" TargetMode="External"/><Relationship Id="rId2492" Type="http://schemas.openxmlformats.org/officeDocument/2006/relationships/hyperlink" Target="http://www.linkedin.com/in/andrea-nunezrob" TargetMode="External"/><Relationship Id="rId3129" Type="http://schemas.openxmlformats.org/officeDocument/2006/relationships/hyperlink" Target="http://www.linkedin.com/in/juan-ignacio-guido-66860970" TargetMode="External"/><Relationship Id="rId257" Type="http://schemas.openxmlformats.org/officeDocument/2006/relationships/hyperlink" Target="https://www.linkedin.com/in/oscar-murra-morales-1487563b" TargetMode="External"/><Relationship Id="rId464" Type="http://schemas.openxmlformats.org/officeDocument/2006/relationships/hyperlink" Target="http://elektra.com.mx/" TargetMode="External"/><Relationship Id="rId1094" Type="http://schemas.openxmlformats.org/officeDocument/2006/relationships/hyperlink" Target="http://officemax.com.mx/" TargetMode="External"/><Relationship Id="rId2145" Type="http://schemas.openxmlformats.org/officeDocument/2006/relationships/hyperlink" Target="http://www.linkedin.com/in/ing-marco-antonio-sanchez-zacarias" TargetMode="External"/><Relationship Id="rId117" Type="http://schemas.openxmlformats.org/officeDocument/2006/relationships/hyperlink" Target="http://baladigala.com.mx/" TargetMode="External"/><Relationship Id="rId671" Type="http://schemas.openxmlformats.org/officeDocument/2006/relationships/hyperlink" Target="https://www.linkedin.com/in/claudia-m-ram%C3%ADrez-ortiz-0a444646/" TargetMode="External"/><Relationship Id="rId2352" Type="http://schemas.openxmlformats.org/officeDocument/2006/relationships/hyperlink" Target="http://www.linkedin.com/in/jhonatan-soares-2ab0511a3" TargetMode="External"/><Relationship Id="rId324" Type="http://schemas.openxmlformats.org/officeDocument/2006/relationships/hyperlink" Target="http://cuidadoconelperro.com.mx/" TargetMode="External"/><Relationship Id="rId531" Type="http://schemas.openxmlformats.org/officeDocument/2006/relationships/hyperlink" Target="https://www.linkedin.com/in/rodolfo-alvarez-loeza" TargetMode="External"/><Relationship Id="rId1161" Type="http://schemas.openxmlformats.org/officeDocument/2006/relationships/hyperlink" Target="http://pinkrevolver.com.mx/" TargetMode="External"/><Relationship Id="rId2005" Type="http://schemas.openxmlformats.org/officeDocument/2006/relationships/hyperlink" Target="http://www.linkedin.com/in/miriam-czuberny-24836b131" TargetMode="External"/><Relationship Id="rId2212" Type="http://schemas.openxmlformats.org/officeDocument/2006/relationships/hyperlink" Target="http://www.linkedin.com/in/pamela-hernandez-torres-66b99a38" TargetMode="External"/><Relationship Id="rId1021" Type="http://schemas.openxmlformats.org/officeDocument/2006/relationships/hyperlink" Target="https://www.linkedin.com/in/bamaya" TargetMode="External"/><Relationship Id="rId1978" Type="http://schemas.openxmlformats.org/officeDocument/2006/relationships/hyperlink" Target="http://www.linkedin.com/in/ezer-fernan-pe%c3%b1a-ram%c3%adrez-a20875128" TargetMode="External"/><Relationship Id="rId3193" Type="http://schemas.openxmlformats.org/officeDocument/2006/relationships/hyperlink" Target="http://www.linkedin.com/in/haydee-garcia-b211b016a" TargetMode="External"/><Relationship Id="rId1838" Type="http://schemas.openxmlformats.org/officeDocument/2006/relationships/hyperlink" Target="http://www.linkedin.com/in/rosmadh" TargetMode="External"/><Relationship Id="rId3053" Type="http://schemas.openxmlformats.org/officeDocument/2006/relationships/hyperlink" Target="http://www.linkedin.com/in/fernando-tombesi-70a373b2" TargetMode="External"/><Relationship Id="rId3260" Type="http://schemas.openxmlformats.org/officeDocument/2006/relationships/hyperlink" Target="http://www.linkedin.com/in/mar%c3%ada-camila-cetina-mart%c3%adnez-a8b2ba191" TargetMode="External"/><Relationship Id="rId181" Type="http://schemas.openxmlformats.org/officeDocument/2006/relationships/hyperlink" Target="https://www.linkedin.com/in/jacquelyn-allison-a1026b157" TargetMode="External"/><Relationship Id="rId1905" Type="http://schemas.openxmlformats.org/officeDocument/2006/relationships/hyperlink" Target="http://www.linkedin.com/in/alice-zhao-010838a5" TargetMode="External"/><Relationship Id="rId3120" Type="http://schemas.openxmlformats.org/officeDocument/2006/relationships/hyperlink" Target="http://www.linkedin.com/in/jesusbogado" TargetMode="External"/><Relationship Id="rId998" Type="http://schemas.openxmlformats.org/officeDocument/2006/relationships/hyperlink" Target="https://www.linkedin.com/in/antonionavas" TargetMode="External"/><Relationship Id="rId2679" Type="http://schemas.openxmlformats.org/officeDocument/2006/relationships/hyperlink" Target="http://www.linkedin.com/in/contacto-alterco-3a903b169" TargetMode="External"/><Relationship Id="rId2886" Type="http://schemas.openxmlformats.org/officeDocument/2006/relationships/hyperlink" Target="http://www.linkedin.com/in/stephaniesullivan2" TargetMode="External"/><Relationship Id="rId858" Type="http://schemas.openxmlformats.org/officeDocument/2006/relationships/hyperlink" Target="http://lievant.com/" TargetMode="External"/><Relationship Id="rId1488" Type="http://schemas.openxmlformats.org/officeDocument/2006/relationships/hyperlink" Target="http://udg.mx/" TargetMode="External"/><Relationship Id="rId1695" Type="http://schemas.openxmlformats.org/officeDocument/2006/relationships/hyperlink" Target="http://www.linkedin.com/in/daniella-loza-clausen-ab01369a" TargetMode="External"/><Relationship Id="rId2539" Type="http://schemas.openxmlformats.org/officeDocument/2006/relationships/hyperlink" Target="http://www.linkedin.com/in/gianbaldrati" TargetMode="External"/><Relationship Id="rId2746" Type="http://schemas.openxmlformats.org/officeDocument/2006/relationships/hyperlink" Target="http://www.linkedin.com/in/gonzalo-ruiz-19463615" TargetMode="External"/><Relationship Id="rId2953" Type="http://schemas.openxmlformats.org/officeDocument/2006/relationships/hyperlink" Target="http://www.linkedin.com/in/stephanie-jim%c3%a9nez-guti%c3%a9rrez-04b3465a" TargetMode="External"/><Relationship Id="rId718" Type="http://schemas.openxmlformats.org/officeDocument/2006/relationships/hyperlink" Target="https://www.linkedin.com/in/pedrovirguez1808" TargetMode="External"/><Relationship Id="rId925" Type="http://schemas.openxmlformats.org/officeDocument/2006/relationships/hyperlink" Target="http://megalabs.mx/" TargetMode="External"/><Relationship Id="rId1348" Type="http://schemas.openxmlformats.org/officeDocument/2006/relationships/hyperlink" Target="https://www.linkedin.com/in/lynnowejan" TargetMode="External"/><Relationship Id="rId1555" Type="http://schemas.openxmlformats.org/officeDocument/2006/relationships/hyperlink" Target="http://wayakit.com/" TargetMode="External"/><Relationship Id="rId1762" Type="http://schemas.openxmlformats.org/officeDocument/2006/relationships/hyperlink" Target="http://joyeriasbizzaro.com/" TargetMode="External"/><Relationship Id="rId2606" Type="http://schemas.openxmlformats.org/officeDocument/2006/relationships/hyperlink" Target="http://www.linkedin.com/in/fernanda-olivar-055084173" TargetMode="External"/><Relationship Id="rId1208" Type="http://schemas.openxmlformats.org/officeDocument/2006/relationships/hyperlink" Target="https://www.linkedin.com/in/francisco-rodriguezmuniz" TargetMode="External"/><Relationship Id="rId1415" Type="http://schemas.openxmlformats.org/officeDocument/2006/relationships/hyperlink" Target="https://www.linkedin.com/in/ACwAAC5ABj4BhfKnSysBBvKNUGOVP1kZY3ZeTs4" TargetMode="External"/><Relationship Id="rId2813" Type="http://schemas.openxmlformats.org/officeDocument/2006/relationships/hyperlink" Target="http://www.linkedin.com/in/fernandoguzram" TargetMode="External"/><Relationship Id="rId54" Type="http://schemas.openxmlformats.org/officeDocument/2006/relationships/hyperlink" Target="http://andrea.com/" TargetMode="External"/><Relationship Id="rId1622" Type="http://schemas.openxmlformats.org/officeDocument/2006/relationships/hyperlink" Target="http://www.linkedin.com/in/oksana-tsvigun" TargetMode="External"/><Relationship Id="rId2189" Type="http://schemas.openxmlformats.org/officeDocument/2006/relationships/hyperlink" Target="http://www.linkedin.com/in/lizbeth-vaca-gil-44052752" TargetMode="External"/><Relationship Id="rId2396" Type="http://schemas.openxmlformats.org/officeDocument/2006/relationships/hyperlink" Target="http://www.linkedin.com/in/mauricioguzmansantiago" TargetMode="External"/><Relationship Id="rId368" Type="http://schemas.openxmlformats.org/officeDocument/2006/relationships/hyperlink" Target="http://dargenta.com/" TargetMode="External"/><Relationship Id="rId575" Type="http://schemas.openxmlformats.org/officeDocument/2006/relationships/hyperlink" Target="http://gilsa.mx/" TargetMode="External"/><Relationship Id="rId782" Type="http://schemas.openxmlformats.org/officeDocument/2006/relationships/hyperlink" Target="http://jetstore.com.mx/" TargetMode="External"/><Relationship Id="rId2049" Type="http://schemas.openxmlformats.org/officeDocument/2006/relationships/hyperlink" Target="http://www.linkedin.com/in/jehovana-jacobo-a1631a73" TargetMode="External"/><Relationship Id="rId2256" Type="http://schemas.openxmlformats.org/officeDocument/2006/relationships/hyperlink" Target="http://www.linkedin.com/in/baltazar-z%c3%ba%c3%b1iga-cervantes-43655b8b" TargetMode="External"/><Relationship Id="rId2463" Type="http://schemas.openxmlformats.org/officeDocument/2006/relationships/hyperlink" Target="http://www.linkedin.com/in/caro-saracho" TargetMode="External"/><Relationship Id="rId2670" Type="http://schemas.openxmlformats.org/officeDocument/2006/relationships/hyperlink" Target="http://www.linkedin.com/in/esmeralda-romo-avila-66a649182" TargetMode="External"/><Relationship Id="rId228" Type="http://schemas.openxmlformats.org/officeDocument/2006/relationships/hyperlink" Target="https://www.linkedin.com/in/ACwAAAYETO0BGok88eqLE3bPMJWPxY4pfkgI0M8" TargetMode="External"/><Relationship Id="rId435" Type="http://schemas.openxmlformats.org/officeDocument/2006/relationships/hyperlink" Target="https://www.linkedin.com/in/adrian-mejia" TargetMode="External"/><Relationship Id="rId642" Type="http://schemas.openxmlformats.org/officeDocument/2006/relationships/hyperlink" Target="http://heb.com.mx/" TargetMode="External"/><Relationship Id="rId1065" Type="http://schemas.openxmlformats.org/officeDocument/2006/relationships/hyperlink" Target="https://www.linkedin.com/in/maria-virginia-figueroa-moya-24731a3b" TargetMode="External"/><Relationship Id="rId1272" Type="http://schemas.openxmlformats.org/officeDocument/2006/relationships/hyperlink" Target="http://samsonite.com/" TargetMode="External"/><Relationship Id="rId2116" Type="http://schemas.openxmlformats.org/officeDocument/2006/relationships/hyperlink" Target="http://www.linkedin.com/in/shaun-taylor-439a7a11b" TargetMode="External"/><Relationship Id="rId2323" Type="http://schemas.openxmlformats.org/officeDocument/2006/relationships/hyperlink" Target="http://www.linkedin.com/in/almudenarod" TargetMode="External"/><Relationship Id="rId2530" Type="http://schemas.openxmlformats.org/officeDocument/2006/relationships/hyperlink" Target="http://www.linkedin.com/in/betsy-serrano-mercadotecnia" TargetMode="External"/><Relationship Id="rId502" Type="http://schemas.openxmlformats.org/officeDocument/2006/relationships/hyperlink" Target="https://www.linkedin.com/in/ignacio-segura-012a5b10/" TargetMode="External"/><Relationship Id="rId1132" Type="http://schemas.openxmlformats.org/officeDocument/2006/relationships/hyperlink" Target="http://pedrodomecq.com/" TargetMode="External"/><Relationship Id="rId3097" Type="http://schemas.openxmlformats.org/officeDocument/2006/relationships/hyperlink" Target="http://www.linkedin.com/in/kseniya-pinkova-a53291114" TargetMode="External"/><Relationship Id="rId1949" Type="http://schemas.openxmlformats.org/officeDocument/2006/relationships/hyperlink" Target="http://www.linkedin.com/in/brittany-berliere" TargetMode="External"/><Relationship Id="rId3164" Type="http://schemas.openxmlformats.org/officeDocument/2006/relationships/hyperlink" Target="http://www.linkedin.com/in/canacintraemex" TargetMode="External"/><Relationship Id="rId292" Type="http://schemas.openxmlformats.org/officeDocument/2006/relationships/hyperlink" Target="https://www.linkedin.com/in/ACwAABFN8kEBK9o3ALM06E6U4iM341xOxJ7iRYg" TargetMode="External"/><Relationship Id="rId1809" Type="http://schemas.openxmlformats.org/officeDocument/2006/relationships/hyperlink" Target="http://www.linkedin.com/in/joey-ng-b5b72a82" TargetMode="External"/><Relationship Id="rId2180" Type="http://schemas.openxmlformats.org/officeDocument/2006/relationships/hyperlink" Target="http://www.linkedin.com/in/adriana-olivo-padilla-0449021b3" TargetMode="External"/><Relationship Id="rId3024" Type="http://schemas.openxmlformats.org/officeDocument/2006/relationships/hyperlink" Target="http://www.linkedin.com/in/sheira-yaret-segundo-rebollo-224202202" TargetMode="External"/><Relationship Id="rId3231" Type="http://schemas.openxmlformats.org/officeDocument/2006/relationships/hyperlink" Target="http://www.linkedin.com/in/norma-hern%c3%a1ndez-cuevas-0715ab103" TargetMode="External"/><Relationship Id="rId152" Type="http://schemas.openxmlformats.org/officeDocument/2006/relationships/hyperlink" Target="http://bim.mx/" TargetMode="External"/><Relationship Id="rId2040" Type="http://schemas.openxmlformats.org/officeDocument/2006/relationships/hyperlink" Target="http://www.linkedin.com/in/lourdes-g-3076a5228" TargetMode="External"/><Relationship Id="rId2997" Type="http://schemas.openxmlformats.org/officeDocument/2006/relationships/hyperlink" Target="http://www.linkedin.com/in/alonso-nava-vives-70383b7" TargetMode="External"/><Relationship Id="rId969" Type="http://schemas.openxmlformats.org/officeDocument/2006/relationships/hyperlink" Target="http://mobo.com.mx/" TargetMode="External"/><Relationship Id="rId1599" Type="http://schemas.openxmlformats.org/officeDocument/2006/relationships/hyperlink" Target="http://yhjglobal.com/" TargetMode="External"/><Relationship Id="rId1459" Type="http://schemas.openxmlformats.org/officeDocument/2006/relationships/hyperlink" Target="http://tramontina.com.mx/" TargetMode="External"/><Relationship Id="rId2857" Type="http://schemas.openxmlformats.org/officeDocument/2006/relationships/hyperlink" Target="http://www.linkedin.com/in/angel-omar-canto-cural-363267153" TargetMode="External"/><Relationship Id="rId98" Type="http://schemas.openxmlformats.org/officeDocument/2006/relationships/hyperlink" Target="http://austromex.com.mx/" TargetMode="External"/><Relationship Id="rId829" Type="http://schemas.openxmlformats.org/officeDocument/2006/relationships/hyperlink" Target="http://krispykreme.mx/" TargetMode="External"/><Relationship Id="rId1666" Type="http://schemas.openxmlformats.org/officeDocument/2006/relationships/hyperlink" Target="http://www.linkedin.com/in/barbara-fanfani-8a1a0015a" TargetMode="External"/><Relationship Id="rId1873" Type="http://schemas.openxmlformats.org/officeDocument/2006/relationships/hyperlink" Target="http://www.linkedin.com/in/estefan%c3%ada-alarc%c3%b3n-nava-25a4b9188" TargetMode="External"/><Relationship Id="rId2717" Type="http://schemas.openxmlformats.org/officeDocument/2006/relationships/hyperlink" Target="http://www.linkedin.com/in/ivan-scally-778690147" TargetMode="External"/><Relationship Id="rId2924" Type="http://schemas.openxmlformats.org/officeDocument/2006/relationships/hyperlink" Target="http://www.linkedin.com/in/ana-lorena-ruiz-gonz%c3%a1lez-55b16269" TargetMode="External"/><Relationship Id="rId1319" Type="http://schemas.openxmlformats.org/officeDocument/2006/relationships/hyperlink" Target="https://www.linkedin.com/in/christoff-leon-18425044" TargetMode="External"/><Relationship Id="rId1526" Type="http://schemas.openxmlformats.org/officeDocument/2006/relationships/hyperlink" Target="http://vidabirdman.com/" TargetMode="External"/><Relationship Id="rId1733" Type="http://schemas.openxmlformats.org/officeDocument/2006/relationships/hyperlink" Target="http://www.linkedin.com/in/ruth-jafet-moronatti-hernandez-75b052201" TargetMode="External"/><Relationship Id="rId1940" Type="http://schemas.openxmlformats.org/officeDocument/2006/relationships/hyperlink" Target="http://www.linkedin.com/in/jeong-yeol-evan-lee-4a7372142" TargetMode="External"/><Relationship Id="rId25" Type="http://schemas.openxmlformats.org/officeDocument/2006/relationships/hyperlink" Target="https://www.linkedin.com/in/hazel-zaragoza-435aa9219" TargetMode="External"/><Relationship Id="rId1800" Type="http://schemas.openxmlformats.org/officeDocument/2006/relationships/hyperlink" Target="http://www.linkedin.com/in/harpreet-singh-2b3005290" TargetMode="External"/><Relationship Id="rId479" Type="http://schemas.openxmlformats.org/officeDocument/2006/relationships/hyperlink" Target="https://www.linkedin.com/in/maria-teresa-villarreal-658380185" TargetMode="External"/><Relationship Id="rId686" Type="http://schemas.openxmlformats.org/officeDocument/2006/relationships/hyperlink" Target="https://cantia.com.mx/" TargetMode="External"/><Relationship Id="rId893" Type="http://schemas.openxmlformats.org/officeDocument/2006/relationships/hyperlink" Target="https://www.linkedin.com/in/ACwAAB_VOecB9OFCMktM1ApnyB9tx8U7KccbnJM" TargetMode="External"/><Relationship Id="rId2367" Type="http://schemas.openxmlformats.org/officeDocument/2006/relationships/hyperlink" Target="http://www.linkedin.com/in/yess-cuevas-557b63173" TargetMode="External"/><Relationship Id="rId2574" Type="http://schemas.openxmlformats.org/officeDocument/2006/relationships/hyperlink" Target="http://www.linkedin.com/in/agostina-dottori-28979054" TargetMode="External"/><Relationship Id="rId2781" Type="http://schemas.openxmlformats.org/officeDocument/2006/relationships/hyperlink" Target="http://www.linkedin.com/in/yair-franco-hern%c3%a1ndez-656175178" TargetMode="External"/><Relationship Id="rId339" Type="http://schemas.openxmlformats.org/officeDocument/2006/relationships/hyperlink" Target="http://cvdirectomexico.com/" TargetMode="External"/><Relationship Id="rId546" Type="http://schemas.openxmlformats.org/officeDocument/2006/relationships/hyperlink" Target="http://gaiadesign.com.mx/" TargetMode="External"/><Relationship Id="rId753" Type="http://schemas.openxmlformats.org/officeDocument/2006/relationships/hyperlink" Target="https://www.linkedin.com/in/laura-zendejas-b02520162" TargetMode="External"/><Relationship Id="rId1176" Type="http://schemas.openxmlformats.org/officeDocument/2006/relationships/hyperlink" Target="http://portoalegre.com.mx/" TargetMode="External"/><Relationship Id="rId1383" Type="http://schemas.openxmlformats.org/officeDocument/2006/relationships/hyperlink" Target="https://www.linkedin.com/in/jaime-jackson-87357542" TargetMode="External"/><Relationship Id="rId2227" Type="http://schemas.openxmlformats.org/officeDocument/2006/relationships/hyperlink" Target="http://www.linkedin.com/in/marianna-godoy-dom%c3%adnguez-54807a158" TargetMode="External"/><Relationship Id="rId2434" Type="http://schemas.openxmlformats.org/officeDocument/2006/relationships/hyperlink" Target="http://www.linkedin.com/in/alexis-guti%c3%a9rrez-rodr%c3%adguez-a62485256" TargetMode="External"/><Relationship Id="rId406" Type="http://schemas.openxmlformats.org/officeDocument/2006/relationships/hyperlink" Target="http://dicipa.com.mx/" TargetMode="External"/><Relationship Id="rId960" Type="http://schemas.openxmlformats.org/officeDocument/2006/relationships/hyperlink" Target="https://www.linkedin.com/in/pausantillan" TargetMode="External"/><Relationship Id="rId1036" Type="http://schemas.openxmlformats.org/officeDocument/2006/relationships/hyperlink" Target="http://nettbee.com/" TargetMode="External"/><Relationship Id="rId1243" Type="http://schemas.openxmlformats.org/officeDocument/2006/relationships/hyperlink" Target="http://ror.org/" TargetMode="External"/><Relationship Id="rId1590" Type="http://schemas.openxmlformats.org/officeDocument/2006/relationships/hyperlink" Target="https://www.linkedin.com/in/truong-le-vu-nhat-test-8b9172265-test" TargetMode="External"/><Relationship Id="rId2641" Type="http://schemas.openxmlformats.org/officeDocument/2006/relationships/hyperlink" Target="http://www.linkedin.com/in/ana-paula-jim%c3%a9nez-castro-84159211b" TargetMode="External"/><Relationship Id="rId613" Type="http://schemas.openxmlformats.org/officeDocument/2006/relationships/hyperlink" Target="http://grupoandersons.com/" TargetMode="External"/><Relationship Id="rId820" Type="http://schemas.openxmlformats.org/officeDocument/2006/relationships/hyperlink" Target="https://www.linkedin.com/in/rene-degre-34a6311" TargetMode="External"/><Relationship Id="rId1450" Type="http://schemas.openxmlformats.org/officeDocument/2006/relationships/hyperlink" Target="http://totto.com/" TargetMode="External"/><Relationship Id="rId2501" Type="http://schemas.openxmlformats.org/officeDocument/2006/relationships/hyperlink" Target="http://www.linkedin.com/in/juan-ignacio-guido-66860970" TargetMode="External"/><Relationship Id="rId1103" Type="http://schemas.openxmlformats.org/officeDocument/2006/relationships/hyperlink" Target="https://www.linkedin.com/in/xime-gastelum" TargetMode="External"/><Relationship Id="rId1310" Type="http://schemas.openxmlformats.org/officeDocument/2006/relationships/hyperlink" Target="http://sipse.com/" TargetMode="External"/><Relationship Id="rId3068" Type="http://schemas.openxmlformats.org/officeDocument/2006/relationships/hyperlink" Target="http://www.linkedin.com/in/javier-felix-castaneda-seo" TargetMode="External"/><Relationship Id="rId3275" Type="http://schemas.openxmlformats.org/officeDocument/2006/relationships/hyperlink" Target="http://www.linkedin.com/in/lorena-fuentes-13649467" TargetMode="External"/><Relationship Id="rId196" Type="http://schemas.openxmlformats.org/officeDocument/2006/relationships/hyperlink" Target="http://cadeco.com.mx/" TargetMode="External"/><Relationship Id="rId2084" Type="http://schemas.openxmlformats.org/officeDocument/2006/relationships/hyperlink" Target="http://www.linkedin.com/in/mrodrom" TargetMode="External"/><Relationship Id="rId2291" Type="http://schemas.openxmlformats.org/officeDocument/2006/relationships/hyperlink" Target="http://www.linkedin.com/in/cesar-juarez-garcia-b17810216" TargetMode="External"/><Relationship Id="rId3135" Type="http://schemas.openxmlformats.org/officeDocument/2006/relationships/hyperlink" Target="http://www.linkedin.com/in/agostina-dottori-28979054" TargetMode="External"/><Relationship Id="rId263" Type="http://schemas.openxmlformats.org/officeDocument/2006/relationships/hyperlink" Target="https://www.linkedin.com/in/miguel-angel-moreno-103a3780" TargetMode="External"/><Relationship Id="rId470" Type="http://schemas.openxmlformats.org/officeDocument/2006/relationships/hyperlink" Target="http://empacados.com/" TargetMode="External"/><Relationship Id="rId2151" Type="http://schemas.openxmlformats.org/officeDocument/2006/relationships/hyperlink" Target="http://www.linkedin.com/in/natalia-ceja-14a778256" TargetMode="External"/><Relationship Id="rId3202" Type="http://schemas.openxmlformats.org/officeDocument/2006/relationships/hyperlink" Target="http://www.linkedin.com/in/karsynansari" TargetMode="External"/><Relationship Id="rId123" Type="http://schemas.openxmlformats.org/officeDocument/2006/relationships/hyperlink" Target="https://www.linkedin.com/in/selene-m-115319152" TargetMode="External"/><Relationship Id="rId330" Type="http://schemas.openxmlformats.org/officeDocument/2006/relationships/hyperlink" Target="http://curatif.com/" TargetMode="External"/><Relationship Id="rId2011" Type="http://schemas.openxmlformats.org/officeDocument/2006/relationships/hyperlink" Target="http://www.linkedin.com/in/claudia-patricia-ramirez-monroy-b6a75034" TargetMode="External"/><Relationship Id="rId2968" Type="http://schemas.openxmlformats.org/officeDocument/2006/relationships/hyperlink" Target="http://www.linkedin.com/in/daniela-obregon-6a2a47259" TargetMode="External"/><Relationship Id="rId1777" Type="http://schemas.openxmlformats.org/officeDocument/2006/relationships/hyperlink" Target="http://www.linkedin.com/in/sara-valderrama" TargetMode="External"/><Relationship Id="rId1984" Type="http://schemas.openxmlformats.org/officeDocument/2006/relationships/hyperlink" Target="http://www.linkedin.com/in/viviana-w-b2617594" TargetMode="External"/><Relationship Id="rId2828" Type="http://schemas.openxmlformats.org/officeDocument/2006/relationships/hyperlink" Target="http://www.linkedin.com/in/karen-uribe" TargetMode="External"/><Relationship Id="rId69" Type="http://schemas.openxmlformats.org/officeDocument/2006/relationships/hyperlink" Target="https://www.linkedin.com/in/ACwAAC076GEBniXB7mI1r7TWhpnWflglZDdMc8Q" TargetMode="External"/><Relationship Id="rId1637" Type="http://schemas.openxmlformats.org/officeDocument/2006/relationships/hyperlink" Target="http://www.linkedin.com/in/alex-turati" TargetMode="External"/><Relationship Id="rId1844" Type="http://schemas.openxmlformats.org/officeDocument/2006/relationships/hyperlink" Target="http://www.linkedin.com/in/monica-daniela-sanmiguel-hernandez-b05919166" TargetMode="External"/><Relationship Id="rId1704" Type="http://schemas.openxmlformats.org/officeDocument/2006/relationships/hyperlink" Target="http://www.linkedin.com/in/pam-williams-5285a2" TargetMode="External"/><Relationship Id="rId1911" Type="http://schemas.openxmlformats.org/officeDocument/2006/relationships/hyperlink" Target="http://www.linkedin.com/in/selene-montiel-d%c3%adaz-656851225" TargetMode="External"/><Relationship Id="rId797" Type="http://schemas.openxmlformats.org/officeDocument/2006/relationships/hyperlink" Target="http://kabrita.com.mx/" TargetMode="External"/><Relationship Id="rId2478" Type="http://schemas.openxmlformats.org/officeDocument/2006/relationships/hyperlink" Target="http://www.linkedin.com/in/heather-a-schmidt-3b91829" TargetMode="External"/><Relationship Id="rId1287" Type="http://schemas.openxmlformats.org/officeDocument/2006/relationships/hyperlink" Target="https://www.linkedin.com/in/realnathanielsmith" TargetMode="External"/><Relationship Id="rId2685" Type="http://schemas.openxmlformats.org/officeDocument/2006/relationships/hyperlink" Target="http://www.linkedin.com/in/mar%c3%ada-l-bermejo-ortega-80597186" TargetMode="External"/><Relationship Id="rId2892" Type="http://schemas.openxmlformats.org/officeDocument/2006/relationships/hyperlink" Target="http://www.linkedin.com/in/richardotey" TargetMode="External"/><Relationship Id="rId657" Type="http://schemas.openxmlformats.org/officeDocument/2006/relationships/hyperlink" Target="https://www.linkedin.com/in/aagm111192" TargetMode="External"/><Relationship Id="rId864" Type="http://schemas.openxmlformats.org/officeDocument/2006/relationships/hyperlink" Target="https://www.linkedin.com/in/ACwAAA5_s0UBqpBanCvZqUNWCtWFhbdPPFWpqb4" TargetMode="External"/><Relationship Id="rId1494" Type="http://schemas.openxmlformats.org/officeDocument/2006/relationships/hyperlink" Target="http://ui.com/" TargetMode="External"/><Relationship Id="rId2338" Type="http://schemas.openxmlformats.org/officeDocument/2006/relationships/hyperlink" Target="http://www.linkedin.com/in/sandra-manterola-rencher" TargetMode="External"/><Relationship Id="rId2545" Type="http://schemas.openxmlformats.org/officeDocument/2006/relationships/hyperlink" Target="http://www.linkedin.com/in/paloma-rodriguez-moreno-8106b8a2" TargetMode="External"/><Relationship Id="rId2752" Type="http://schemas.openxmlformats.org/officeDocument/2006/relationships/hyperlink" Target="http://www.linkedin.com/in/jesus-omar-delgado-gomez-mkt" TargetMode="External"/><Relationship Id="rId517" Type="http://schemas.openxmlformats.org/officeDocument/2006/relationships/hyperlink" Target="http://feenicia.com/" TargetMode="External"/><Relationship Id="rId724" Type="http://schemas.openxmlformats.org/officeDocument/2006/relationships/hyperlink" Target="https://www.linkedin.com/in/arguevarag" TargetMode="External"/><Relationship Id="rId931" Type="http://schemas.openxmlformats.org/officeDocument/2006/relationships/hyperlink" Target="http://merco.mx/" TargetMode="External"/><Relationship Id="rId1147" Type="http://schemas.openxmlformats.org/officeDocument/2006/relationships/hyperlink" Target="http://permachef.com/" TargetMode="External"/><Relationship Id="rId1354" Type="http://schemas.openxmlformats.org/officeDocument/2006/relationships/hyperlink" Target="https://www.linkedin.com/in/juan-carlos-lira-luna" TargetMode="External"/><Relationship Id="rId1561" Type="http://schemas.openxmlformats.org/officeDocument/2006/relationships/hyperlink" Target="http://webnode.com/" TargetMode="External"/><Relationship Id="rId2405" Type="http://schemas.openxmlformats.org/officeDocument/2006/relationships/hyperlink" Target="http://www.linkedin.com/in/netzerurrea" TargetMode="External"/><Relationship Id="rId2612" Type="http://schemas.openxmlformats.org/officeDocument/2006/relationships/hyperlink" Target="http://www.linkedin.com/in/jonathan-coronado-comunicaci%c3%b3n" TargetMode="External"/><Relationship Id="rId60" Type="http://schemas.openxmlformats.org/officeDocument/2006/relationships/hyperlink" Target="http://applecosmetics.com.mx/" TargetMode="External"/><Relationship Id="rId1007" Type="http://schemas.openxmlformats.org/officeDocument/2006/relationships/hyperlink" Target="http://mueblesamerica.mx/" TargetMode="External"/><Relationship Id="rId1214" Type="http://schemas.openxmlformats.org/officeDocument/2006/relationships/hyperlink" Target="https://www.linkedin.com/in/sabrina-herrera-aspra-9310712" TargetMode="External"/><Relationship Id="rId1421" Type="http://schemas.openxmlformats.org/officeDocument/2006/relationships/hyperlink" Target="http://thehomestore.com.mx/" TargetMode="External"/><Relationship Id="rId3179" Type="http://schemas.openxmlformats.org/officeDocument/2006/relationships/hyperlink" Target="http://www.linkedin.com/in/brenda-avila-ganoexcel" TargetMode="External"/><Relationship Id="rId2195" Type="http://schemas.openxmlformats.org/officeDocument/2006/relationships/hyperlink" Target="http://www.linkedin.com/in/lisa-liu-192b112a" TargetMode="External"/><Relationship Id="rId3039" Type="http://schemas.openxmlformats.org/officeDocument/2006/relationships/hyperlink" Target="http://www.linkedin.com/in/ver%c3%b3nica-camacho-hern%c3%a1ndez-11b448194" TargetMode="External"/><Relationship Id="rId3246" Type="http://schemas.openxmlformats.org/officeDocument/2006/relationships/hyperlink" Target="http://www.linkedin.com/in/axeljmujica" TargetMode="External"/><Relationship Id="rId167" Type="http://schemas.openxmlformats.org/officeDocument/2006/relationships/hyperlink" Target="https://www.linkedin.com/in/karen-staton-41374552" TargetMode="External"/><Relationship Id="rId374" Type="http://schemas.openxmlformats.org/officeDocument/2006/relationships/hyperlink" Target="http://deacero.com/" TargetMode="External"/><Relationship Id="rId581" Type="http://schemas.openxmlformats.org/officeDocument/2006/relationships/hyperlink" Target="http://gnc.com.mx/" TargetMode="External"/><Relationship Id="rId2055" Type="http://schemas.openxmlformats.org/officeDocument/2006/relationships/hyperlink" Target="http://www.linkedin.com/in/erica-yuan-b93447139" TargetMode="External"/><Relationship Id="rId2262" Type="http://schemas.openxmlformats.org/officeDocument/2006/relationships/hyperlink" Target="http://www.linkedin.com/in/luis-antonio-olivares-40b2791b" TargetMode="External"/><Relationship Id="rId3106" Type="http://schemas.openxmlformats.org/officeDocument/2006/relationships/hyperlink" Target="http://www.linkedin.com/in/alejandra-c-alvarado-419084128" TargetMode="External"/><Relationship Id="rId234" Type="http://schemas.openxmlformats.org/officeDocument/2006/relationships/hyperlink" Target="https://www.linkedin.com/in/mafernandagarfi" TargetMode="External"/><Relationship Id="rId441" Type="http://schemas.openxmlformats.org/officeDocument/2006/relationships/hyperlink" Target="http://dynaproco.com/" TargetMode="External"/><Relationship Id="rId1071" Type="http://schemas.openxmlformats.org/officeDocument/2006/relationships/hyperlink" Target="https://www.linkedin.com/in/lisa-morelli-a23903156" TargetMode="External"/><Relationship Id="rId2122" Type="http://schemas.openxmlformats.org/officeDocument/2006/relationships/hyperlink" Target="http://www.linkedin.com/in/eulalia-canudas-584a8813" TargetMode="External"/><Relationship Id="rId301" Type="http://schemas.openxmlformats.org/officeDocument/2006/relationships/hyperlink" Target="https://www.linkedin.com/in/ACwAAAjfsN8Bg9PFSylV2X7H1vDXtviKgAVLDBg" TargetMode="External"/><Relationship Id="rId1888" Type="http://schemas.openxmlformats.org/officeDocument/2006/relationships/hyperlink" Target="http://www.linkedin.com/in/ingrid-hajek-schinkenberger-51554619a" TargetMode="External"/><Relationship Id="rId2939" Type="http://schemas.openxmlformats.org/officeDocument/2006/relationships/hyperlink" Target="http://www.linkedin.com/in/sergio-martinez-vielledent-493944233" TargetMode="External"/><Relationship Id="rId82" Type="http://schemas.openxmlformats.org/officeDocument/2006/relationships/hyperlink" Target="http://ascm.org/" TargetMode="External"/><Relationship Id="rId606" Type="http://schemas.openxmlformats.org/officeDocument/2006/relationships/hyperlink" Target="http://grupo-deco.com/" TargetMode="External"/><Relationship Id="rId813" Type="http://schemas.openxmlformats.org/officeDocument/2006/relationships/hyperlink" Target="http://klokker.com.mx/" TargetMode="External"/><Relationship Id="rId1443" Type="http://schemas.openxmlformats.org/officeDocument/2006/relationships/hyperlink" Target="http://tintarella.com.mx/" TargetMode="External"/><Relationship Id="rId1650" Type="http://schemas.openxmlformats.org/officeDocument/2006/relationships/hyperlink" Target="http://www.linkedin.com/in/armando-melchor-cercas-b7b858191" TargetMode="External"/><Relationship Id="rId1748" Type="http://schemas.openxmlformats.org/officeDocument/2006/relationships/hyperlink" Target="http://www.linkedin.com/in/mmarquezm" TargetMode="External"/><Relationship Id="rId2701" Type="http://schemas.openxmlformats.org/officeDocument/2006/relationships/hyperlink" Target="http://www.linkedin.com/in/mar%c3%ada-g%c3%b3mez-a22156172" TargetMode="External"/><Relationship Id="rId1303" Type="http://schemas.openxmlformats.org/officeDocument/2006/relationships/hyperlink" Target="https://www.linkedin.com/in/eliseodediosmx" TargetMode="External"/><Relationship Id="rId1510" Type="http://schemas.openxmlformats.org/officeDocument/2006/relationships/hyperlink" Target="http://utel.edu.mx/" TargetMode="External"/><Relationship Id="rId1955" Type="http://schemas.openxmlformats.org/officeDocument/2006/relationships/hyperlink" Target="http://www.linkedin.com/in/dawn-brooks-4b889253" TargetMode="External"/><Relationship Id="rId3170" Type="http://schemas.openxmlformats.org/officeDocument/2006/relationships/hyperlink" Target="http://www.linkedin.com/in/maria-fernanda-rodriguez-3625917b" TargetMode="External"/><Relationship Id="rId1608" Type="http://schemas.openxmlformats.org/officeDocument/2006/relationships/hyperlink" Target="https://www.linkedin.com/in/ACwAABR3RTsBYxVvkCAuKPB5thzxh1fXpQIs3ik" TargetMode="External"/><Relationship Id="rId1815" Type="http://schemas.openxmlformats.org/officeDocument/2006/relationships/hyperlink" Target="http://www.linkedin.com/in/albane-duthoit-9227553" TargetMode="External"/><Relationship Id="rId3030" Type="http://schemas.openxmlformats.org/officeDocument/2006/relationships/hyperlink" Target="http://www.linkedin.com/in/mauricioguzmansantiago" TargetMode="External"/><Relationship Id="rId3268" Type="http://schemas.openxmlformats.org/officeDocument/2006/relationships/hyperlink" Target="http://www.linkedin.com/in/abikoye-olamilekan-3764ba287" TargetMode="External"/><Relationship Id="rId189" Type="http://schemas.openxmlformats.org/officeDocument/2006/relationships/hyperlink" Target="https://www.linkedin.com/in/germanrangel" TargetMode="External"/><Relationship Id="rId396" Type="http://schemas.openxmlformats.org/officeDocument/2006/relationships/hyperlink" Target="http://dentalia.com/" TargetMode="External"/><Relationship Id="rId2077" Type="http://schemas.openxmlformats.org/officeDocument/2006/relationships/hyperlink" Target="http://www.linkedin.com/in/denisse-rosales" TargetMode="External"/><Relationship Id="rId2284" Type="http://schemas.openxmlformats.org/officeDocument/2006/relationships/hyperlink" Target="http://www.linkedin.com/in/tania-villal%c3%b3n-178281142" TargetMode="External"/><Relationship Id="rId2491" Type="http://schemas.openxmlformats.org/officeDocument/2006/relationships/hyperlink" Target="http://www.linkedin.com/in/martha-gabriela-reynoso-alvarez-26b696178" TargetMode="External"/><Relationship Id="rId3128" Type="http://schemas.openxmlformats.org/officeDocument/2006/relationships/hyperlink" Target="http://www.linkedin.com/in/marcos-alejandro-gonzalez-6232781ab" TargetMode="External"/><Relationship Id="rId256" Type="http://schemas.openxmlformats.org/officeDocument/2006/relationships/hyperlink" Target="http://cimaco.com.mx/" TargetMode="External"/><Relationship Id="rId463" Type="http://schemas.openxmlformats.org/officeDocument/2006/relationships/hyperlink" Target="https://www.linkedin.com/in/emmanuel-martinez-vazquez" TargetMode="External"/><Relationship Id="rId670" Type="http://schemas.openxmlformats.org/officeDocument/2006/relationships/hyperlink" Target="http://www.fahorro.com/" TargetMode="External"/><Relationship Id="rId1093" Type="http://schemas.openxmlformats.org/officeDocument/2006/relationships/hyperlink" Target="https://www.linkedin.com/in/oscar-manuel-guadarrama-zamudio-2794759b" TargetMode="External"/><Relationship Id="rId2144" Type="http://schemas.openxmlformats.org/officeDocument/2006/relationships/hyperlink" Target="http://www.linkedin.com/in/shrusti-goswami-099597179" TargetMode="External"/><Relationship Id="rId2351" Type="http://schemas.openxmlformats.org/officeDocument/2006/relationships/hyperlink" Target="http://www.linkedin.com/in/sarah%c3%ad-mart%c3%adnez-957aaa1b9" TargetMode="External"/><Relationship Id="rId2589" Type="http://schemas.openxmlformats.org/officeDocument/2006/relationships/hyperlink" Target="http://www.linkedin.com/in/lucasferh" TargetMode="External"/><Relationship Id="rId2796" Type="http://schemas.openxmlformats.org/officeDocument/2006/relationships/hyperlink" Target="http://www.linkedin.com/in/juanfairstein" TargetMode="External"/><Relationship Id="rId116" Type="http://schemas.openxmlformats.org/officeDocument/2006/relationships/hyperlink" Target="http://azulik.com/" TargetMode="External"/><Relationship Id="rId323" Type="http://schemas.openxmlformats.org/officeDocument/2006/relationships/hyperlink" Target="https://www.linkedin.com/in/andres-fernandez-tames" TargetMode="External"/><Relationship Id="rId530" Type="http://schemas.openxmlformats.org/officeDocument/2006/relationships/hyperlink" Target="http://flexi.com.mx/" TargetMode="External"/><Relationship Id="rId768" Type="http://schemas.openxmlformats.org/officeDocument/2006/relationships/hyperlink" Target="http://iqos.com/" TargetMode="External"/><Relationship Id="rId975" Type="http://schemas.openxmlformats.org/officeDocument/2006/relationships/hyperlink" Target="http://momijibeauty.com/" TargetMode="External"/><Relationship Id="rId1160" Type="http://schemas.openxmlformats.org/officeDocument/2006/relationships/hyperlink" Target="https://www.linkedin.com/in/ACwAABsTU-wBg1ZySYemWlYrfeAulT74bFXP4ac" TargetMode="External"/><Relationship Id="rId1398" Type="http://schemas.openxmlformats.org/officeDocument/2006/relationships/hyperlink" Target="https://www.linkedin.com/in/ACwAAD6FLYMBBaPxuoEbH7q9o2HF7RvmRwHtltc" TargetMode="External"/><Relationship Id="rId2004" Type="http://schemas.openxmlformats.org/officeDocument/2006/relationships/hyperlink" Target="http://www.linkedin.com/in/jolie-wu-01a744145" TargetMode="External"/><Relationship Id="rId2211" Type="http://schemas.openxmlformats.org/officeDocument/2006/relationships/hyperlink" Target="http://www.linkedin.com/in/antonioandreuc" TargetMode="External"/><Relationship Id="rId2449" Type="http://schemas.openxmlformats.org/officeDocument/2006/relationships/hyperlink" Target="http://www.linkedin.com/in/hugolopezalvarez" TargetMode="External"/><Relationship Id="rId2656" Type="http://schemas.openxmlformats.org/officeDocument/2006/relationships/hyperlink" Target="http://www.linkedin.com/in/armando-mu%c3%b1iz" TargetMode="External"/><Relationship Id="rId2863" Type="http://schemas.openxmlformats.org/officeDocument/2006/relationships/hyperlink" Target="http://www.linkedin.com/in/fernando-tombesi-70a373b2" TargetMode="External"/><Relationship Id="rId628" Type="http://schemas.openxmlformats.org/officeDocument/2006/relationships/hyperlink" Target="http://grupomercurio.mx/" TargetMode="External"/><Relationship Id="rId835" Type="http://schemas.openxmlformats.org/officeDocument/2006/relationships/hyperlink" Target="https://www.linkedin.com/in/hugoramosreyna" TargetMode="External"/><Relationship Id="rId1258" Type="http://schemas.openxmlformats.org/officeDocument/2006/relationships/hyperlink" Target="https://www.linkedin.com/in/ACwAAAUD1v4B21-Dl79xNtK4_PTe_CWe7Ju0_WQ" TargetMode="External"/><Relationship Id="rId1465" Type="http://schemas.openxmlformats.org/officeDocument/2006/relationships/hyperlink" Target="http://travers.com.mx/" TargetMode="External"/><Relationship Id="rId1672" Type="http://schemas.openxmlformats.org/officeDocument/2006/relationships/hyperlink" Target="http://www.linkedin.com/in/scott-matthews-250a411aa" TargetMode="External"/><Relationship Id="rId2309" Type="http://schemas.openxmlformats.org/officeDocument/2006/relationships/hyperlink" Target="http://www.linkedin.com/in/diana-r%c3%ados-76a35629" TargetMode="External"/><Relationship Id="rId2516" Type="http://schemas.openxmlformats.org/officeDocument/2006/relationships/hyperlink" Target="http://www.linkedin.com/in/germ%c3%a1n-carmona-824628b2" TargetMode="External"/><Relationship Id="rId2723" Type="http://schemas.openxmlformats.org/officeDocument/2006/relationships/hyperlink" Target="http://www.linkedin.com/in/ricardo-serrano-840b03155" TargetMode="External"/><Relationship Id="rId1020" Type="http://schemas.openxmlformats.org/officeDocument/2006/relationships/hyperlink" Target="http://mundojoven.com/" TargetMode="External"/><Relationship Id="rId1118" Type="http://schemas.openxmlformats.org/officeDocument/2006/relationships/hyperlink" Target="https://www.linkedin.com/in/lauochoaa" TargetMode="External"/><Relationship Id="rId1325" Type="http://schemas.openxmlformats.org/officeDocument/2006/relationships/hyperlink" Target="https://www.linkedin.com/in/eva-lopez-duenas" TargetMode="External"/><Relationship Id="rId1532" Type="http://schemas.openxmlformats.org/officeDocument/2006/relationships/hyperlink" Target="http://vidabirdman.com/" TargetMode="External"/><Relationship Id="rId1977" Type="http://schemas.openxmlformats.org/officeDocument/2006/relationships/hyperlink" Target="http://www.linkedin.com/in/gustavogonzalezb" TargetMode="External"/><Relationship Id="rId2930" Type="http://schemas.openxmlformats.org/officeDocument/2006/relationships/hyperlink" Target="http://www.linkedin.com/in/irina-zukova-b36608105" TargetMode="External"/><Relationship Id="rId902" Type="http://schemas.openxmlformats.org/officeDocument/2006/relationships/hyperlink" Target="http://maped.com/" TargetMode="External"/><Relationship Id="rId1837" Type="http://schemas.openxmlformats.org/officeDocument/2006/relationships/hyperlink" Target="http://www.linkedin.com/in/todd-leiser-11384b6" TargetMode="External"/><Relationship Id="rId3192" Type="http://schemas.openxmlformats.org/officeDocument/2006/relationships/hyperlink" Target="http://www.linkedin.com/in/nuri-carmen-reyes-valdez" TargetMode="External"/><Relationship Id="rId31" Type="http://schemas.openxmlformats.org/officeDocument/2006/relationships/hyperlink" Target="http://amatruck.com.mx/" TargetMode="External"/><Relationship Id="rId2099" Type="http://schemas.openxmlformats.org/officeDocument/2006/relationships/hyperlink" Target="http://www.linkedin.com/in/vitor-onishi-297b2817" TargetMode="External"/><Relationship Id="rId3052" Type="http://schemas.openxmlformats.org/officeDocument/2006/relationships/hyperlink" Target="http://www.linkedin.com/in/stephaniejsharpe" TargetMode="External"/><Relationship Id="rId180" Type="http://schemas.openxmlformats.org/officeDocument/2006/relationships/hyperlink" Target="http://brooksrunning.com/" TargetMode="External"/><Relationship Id="rId278" Type="http://schemas.openxmlformats.org/officeDocument/2006/relationships/hyperlink" Target="http://comeme.com.mx/" TargetMode="External"/><Relationship Id="rId1904" Type="http://schemas.openxmlformats.org/officeDocument/2006/relationships/hyperlink" Target="http://www.linkedin.com/in/acdantes" TargetMode="External"/><Relationship Id="rId485" Type="http://schemas.openxmlformats.org/officeDocument/2006/relationships/hyperlink" Target="https://www.linkedin.com/in/ACwAAD6pG8wBNTnmK4hSRKV0JQ8t0_aEkVGFu2s" TargetMode="External"/><Relationship Id="rId692" Type="http://schemas.openxmlformats.org/officeDocument/2006/relationships/hyperlink" Target="https://soyparrillero.mx/" TargetMode="External"/><Relationship Id="rId2166" Type="http://schemas.openxmlformats.org/officeDocument/2006/relationships/hyperlink" Target="http://www.linkedin.com/in/luisrobledomedrano" TargetMode="External"/><Relationship Id="rId2373" Type="http://schemas.openxmlformats.org/officeDocument/2006/relationships/hyperlink" Target="http://www.linkedin.com/in/eduardoguzmancavazos" TargetMode="External"/><Relationship Id="rId2580" Type="http://schemas.openxmlformats.org/officeDocument/2006/relationships/hyperlink" Target="http://www.linkedin.com/in/esteban-escamilla-guzm%c3%a1n-61770339" TargetMode="External"/><Relationship Id="rId3217" Type="http://schemas.openxmlformats.org/officeDocument/2006/relationships/hyperlink" Target="http://www.linkedin.com/in/angel-soriano-arce-32590972" TargetMode="External"/><Relationship Id="rId138" Type="http://schemas.openxmlformats.org/officeDocument/2006/relationships/hyperlink" Target="https://www.linkedin.com/in/andrea-holoschutz-76a90a6a" TargetMode="External"/><Relationship Id="rId345" Type="http://schemas.openxmlformats.org/officeDocument/2006/relationships/hyperlink" Target="http://cyamoda.com/" TargetMode="External"/><Relationship Id="rId552" Type="http://schemas.openxmlformats.org/officeDocument/2006/relationships/hyperlink" Target="http://gamamusic.com/" TargetMode="External"/><Relationship Id="rId997" Type="http://schemas.openxmlformats.org/officeDocument/2006/relationships/hyperlink" Target="http://moreragrosso.com/" TargetMode="External"/><Relationship Id="rId1182" Type="http://schemas.openxmlformats.org/officeDocument/2006/relationships/hyperlink" Target="https://www.linkedin.com/in/carlos-ramirez-zamores-862444192" TargetMode="External"/><Relationship Id="rId2026" Type="http://schemas.openxmlformats.org/officeDocument/2006/relationships/hyperlink" Target="http://www.linkedin.com/in/yessica-guadalupe-castro-fern%c3%a1ndez-79351917b" TargetMode="External"/><Relationship Id="rId2233" Type="http://schemas.openxmlformats.org/officeDocument/2006/relationships/hyperlink" Target="http://www.linkedin.com/in/ya%c3%b1ezbalivieres" TargetMode="External"/><Relationship Id="rId2440" Type="http://schemas.openxmlformats.org/officeDocument/2006/relationships/hyperlink" Target="http://www.linkedin.com/in/regina-de-la-torre-arias-ab730726a" TargetMode="External"/><Relationship Id="rId2678" Type="http://schemas.openxmlformats.org/officeDocument/2006/relationships/hyperlink" Target="http://www.linkedin.com/in/tracy-garc%c3%ada-g-16819a125" TargetMode="External"/><Relationship Id="rId2885" Type="http://schemas.openxmlformats.org/officeDocument/2006/relationships/hyperlink" Target="http://www.linkedin.com/in/roberto-brise%c3%b1o-11588864" TargetMode="External"/><Relationship Id="rId205" Type="http://schemas.openxmlformats.org/officeDocument/2006/relationships/hyperlink" Target="https://www.linkedin.com/in/simonefranchi" TargetMode="External"/><Relationship Id="rId412" Type="http://schemas.openxmlformats.org/officeDocument/2006/relationships/hyperlink" Target="https://www.linkedin.com/in/alcirarodriguez" TargetMode="External"/><Relationship Id="rId857" Type="http://schemas.openxmlformats.org/officeDocument/2006/relationships/hyperlink" Target="https://www.linkedin.com/in/ACwAAAiT7iMB7HLVBt3aLca0hsMuENtX0BOPEYs" TargetMode="External"/><Relationship Id="rId1042" Type="http://schemas.openxmlformats.org/officeDocument/2006/relationships/hyperlink" Target="http://northernep.com/" TargetMode="External"/><Relationship Id="rId1487" Type="http://schemas.openxmlformats.org/officeDocument/2006/relationships/hyperlink" Target="https://www.linkedin.com/in/ACwAAB3Mm_sB3GTj1Oub34vWG0zRwWoSHRXpXug" TargetMode="External"/><Relationship Id="rId1694" Type="http://schemas.openxmlformats.org/officeDocument/2006/relationships/hyperlink" Target="http://www.linkedin.com/in/adam-g-283603146" TargetMode="External"/><Relationship Id="rId2300" Type="http://schemas.openxmlformats.org/officeDocument/2006/relationships/hyperlink" Target="http://www.linkedin.com/sales/lead/ACwAADJjboQBXZ_deGcvTkKx9hW6S96Jxm7BmJw,NAME_SEARCH,uWPp" TargetMode="External"/><Relationship Id="rId2538" Type="http://schemas.openxmlformats.org/officeDocument/2006/relationships/hyperlink" Target="http://www.linkedin.com/in/patricio-ram%c3%adrez-2b15b9215" TargetMode="External"/><Relationship Id="rId2745" Type="http://schemas.openxmlformats.org/officeDocument/2006/relationships/hyperlink" Target="http://www.linkedin.com/in/juli%c3%a1n-s%c3%a1nchez-163aa5224" TargetMode="External"/><Relationship Id="rId2952" Type="http://schemas.openxmlformats.org/officeDocument/2006/relationships/hyperlink" Target="http://www.linkedin.com/in/leonardoflores0907" TargetMode="External"/><Relationship Id="rId717" Type="http://schemas.openxmlformats.org/officeDocument/2006/relationships/hyperlink" Target="http://iexe.edu.mx/" TargetMode="External"/><Relationship Id="rId924" Type="http://schemas.openxmlformats.org/officeDocument/2006/relationships/hyperlink" Target="https://www.linkedin.com/in/guillermo-alvarez-r" TargetMode="External"/><Relationship Id="rId1347" Type="http://schemas.openxmlformats.org/officeDocument/2006/relationships/hyperlink" Target="https://www.linkedin.com/in/kevinehrenstrom" TargetMode="External"/><Relationship Id="rId1554" Type="http://schemas.openxmlformats.org/officeDocument/2006/relationships/hyperlink" Target="https://www.linkedin.com/in/ACwAABsaa_kBcYcQhYCtiHWJcmOLPBkQ4VBdc8c" TargetMode="External"/><Relationship Id="rId1761" Type="http://schemas.openxmlformats.org/officeDocument/2006/relationships/hyperlink" Target="http://www.linkedin.com/in/noem%c3%ad-cort%c3%a9s-lamarketera" TargetMode="External"/><Relationship Id="rId1999" Type="http://schemas.openxmlformats.org/officeDocument/2006/relationships/hyperlink" Target="http://www.linkedin.com/in/icarrascoalvarez" TargetMode="External"/><Relationship Id="rId2605" Type="http://schemas.openxmlformats.org/officeDocument/2006/relationships/hyperlink" Target="http://www.linkedin.com/in/elizabeth-andrade-a816656b" TargetMode="External"/><Relationship Id="rId2812" Type="http://schemas.openxmlformats.org/officeDocument/2006/relationships/hyperlink" Target="http://www.linkedin.com/in/kiflemariam-abraha-2a163b153" TargetMode="External"/><Relationship Id="rId53" Type="http://schemas.openxmlformats.org/officeDocument/2006/relationships/hyperlink" Target="https://www.linkedin.com/in/andrespava" TargetMode="External"/><Relationship Id="rId1207" Type="http://schemas.openxmlformats.org/officeDocument/2006/relationships/hyperlink" Target="http://puretabletop.com/" TargetMode="External"/><Relationship Id="rId1414" Type="http://schemas.openxmlformats.org/officeDocument/2006/relationships/hyperlink" Target="http://techzone.com.mx/" TargetMode="External"/><Relationship Id="rId1621" Type="http://schemas.openxmlformats.org/officeDocument/2006/relationships/hyperlink" Target="http://www.linkedin.com/in/shaileshmendonca" TargetMode="External"/><Relationship Id="rId1859" Type="http://schemas.openxmlformats.org/officeDocument/2006/relationships/hyperlink" Target="http://www.linkedin.com/in/enrique-gomis-aznar-50b485115" TargetMode="External"/><Relationship Id="rId3074" Type="http://schemas.openxmlformats.org/officeDocument/2006/relationships/hyperlink" Target="http://www.linkedin.com/in/vanessagranadosm" TargetMode="External"/><Relationship Id="rId1719" Type="http://schemas.openxmlformats.org/officeDocument/2006/relationships/hyperlink" Target="http://www.linkedin.com/in/andrewcorkill" TargetMode="External"/><Relationship Id="rId1926" Type="http://schemas.openxmlformats.org/officeDocument/2006/relationships/hyperlink" Target="http://www.linkedin.com/in/hunter-w-93a9bb91" TargetMode="External"/><Relationship Id="rId3281" Type="http://schemas.openxmlformats.org/officeDocument/2006/relationships/hyperlink" Target="http://www.linkedin.com/in/andressa-santos-cardoso" TargetMode="External"/><Relationship Id="rId2090" Type="http://schemas.openxmlformats.org/officeDocument/2006/relationships/hyperlink" Target="http://www.linkedin.com/in/rasha-luntin-387491163" TargetMode="External"/><Relationship Id="rId2188" Type="http://schemas.openxmlformats.org/officeDocument/2006/relationships/hyperlink" Target="http://www.linkedin.com/in/marketing-specialist-33405116b" TargetMode="External"/><Relationship Id="rId2395" Type="http://schemas.openxmlformats.org/officeDocument/2006/relationships/hyperlink" Target="http://www.linkedin.com/in/maria-jose-cruz" TargetMode="External"/><Relationship Id="rId3141" Type="http://schemas.openxmlformats.org/officeDocument/2006/relationships/hyperlink" Target="http://www.linkedin.com/in/roberto-vidal-99a298142" TargetMode="External"/><Relationship Id="rId3239" Type="http://schemas.openxmlformats.org/officeDocument/2006/relationships/hyperlink" Target="http://www.linkedin.com/in/karen-estudillo-hern%c3%a1ndez-25b028168" TargetMode="External"/><Relationship Id="rId367" Type="http://schemas.openxmlformats.org/officeDocument/2006/relationships/hyperlink" Target="https://www.linkedin.com/in/simonabrahama" TargetMode="External"/><Relationship Id="rId574" Type="http://schemas.openxmlformats.org/officeDocument/2006/relationships/hyperlink" Target="http://gideas.com.mx/" TargetMode="External"/><Relationship Id="rId2048" Type="http://schemas.openxmlformats.org/officeDocument/2006/relationships/hyperlink" Target="http://www.linkedin.com/in/diana-gomezpazarin" TargetMode="External"/><Relationship Id="rId2255" Type="http://schemas.openxmlformats.org/officeDocument/2006/relationships/hyperlink" Target="http://www.linkedin.com/in/gloestefania" TargetMode="External"/><Relationship Id="rId3001" Type="http://schemas.openxmlformats.org/officeDocument/2006/relationships/hyperlink" Target="http://www.linkedin.com/in/fabi%c3%a1n-gurrola-202037198" TargetMode="External"/><Relationship Id="rId227" Type="http://schemas.openxmlformats.org/officeDocument/2006/relationships/hyperlink" Target="http://cemix.com/" TargetMode="External"/><Relationship Id="rId781" Type="http://schemas.openxmlformats.org/officeDocument/2006/relationships/hyperlink" Target="https://www.linkedin.com/in/ACwAABJjSPUBMwL7sZlakV69AU48bkmx0lH5J6Y" TargetMode="External"/><Relationship Id="rId879" Type="http://schemas.openxmlformats.org/officeDocument/2006/relationships/hyperlink" Target="http://locotequila.mx/" TargetMode="External"/><Relationship Id="rId2462" Type="http://schemas.openxmlformats.org/officeDocument/2006/relationships/hyperlink" Target="http://www.linkedin.com/in/christian-escoto-castro-0119673b" TargetMode="External"/><Relationship Id="rId2767" Type="http://schemas.openxmlformats.org/officeDocument/2006/relationships/hyperlink" Target="http://www.linkedin.com/in/candy-montes" TargetMode="External"/><Relationship Id="rId434" Type="http://schemas.openxmlformats.org/officeDocument/2006/relationships/hyperlink" Target="http://dslaboratories.com/" TargetMode="External"/><Relationship Id="rId641" Type="http://schemas.openxmlformats.org/officeDocument/2006/relationships/hyperlink" Target="https://www.linkedin.com/in/edwin-cardenas-6a799449" TargetMode="External"/><Relationship Id="rId739" Type="http://schemas.openxmlformats.org/officeDocument/2006/relationships/hyperlink" Target="https://www.linkedin.com/in/ACwAABHrBkkBlIljdlVTmayO8V9u3sZxFbEX-QU" TargetMode="External"/><Relationship Id="rId1064" Type="http://schemas.openxmlformats.org/officeDocument/2006/relationships/hyperlink" Target="http://nutribits.com/" TargetMode="External"/><Relationship Id="rId1271" Type="http://schemas.openxmlformats.org/officeDocument/2006/relationships/hyperlink" Target="https://www.linkedin.com/in/facundo-forgione-241327100" TargetMode="External"/><Relationship Id="rId1369" Type="http://schemas.openxmlformats.org/officeDocument/2006/relationships/hyperlink" Target="https://www.linkedin.com/in/veronica-sanchez-cruzalta-69a72432" TargetMode="External"/><Relationship Id="rId1576" Type="http://schemas.openxmlformats.org/officeDocument/2006/relationships/hyperlink" Target="https://www.linkedin.com/in/dafne-s%C3%A1nchez" TargetMode="External"/><Relationship Id="rId2115" Type="http://schemas.openxmlformats.org/officeDocument/2006/relationships/hyperlink" Target="http://www.linkedin.com/in/weiting-lan-584251130" TargetMode="External"/><Relationship Id="rId2322" Type="http://schemas.openxmlformats.org/officeDocument/2006/relationships/hyperlink" Target="http://www.linkedin.com/in/gerry-velasco-04a27636" TargetMode="External"/><Relationship Id="rId2974" Type="http://schemas.openxmlformats.org/officeDocument/2006/relationships/hyperlink" Target="http://www.linkedin.com/in/angel-josue-garc%c3%ada-y%c3%a1%c3%b1ez-203533222" TargetMode="External"/><Relationship Id="rId501" Type="http://schemas.openxmlformats.org/officeDocument/2006/relationships/hyperlink" Target="http://farmaciasanpablo.com.mx/" TargetMode="External"/><Relationship Id="rId946" Type="http://schemas.openxmlformats.org/officeDocument/2006/relationships/hyperlink" Target="https://www.linkedin.com/in/angel-algara-8b91617a" TargetMode="External"/><Relationship Id="rId1131" Type="http://schemas.openxmlformats.org/officeDocument/2006/relationships/hyperlink" Target="http://paviitaly.com/" TargetMode="External"/><Relationship Id="rId1229" Type="http://schemas.openxmlformats.org/officeDocument/2006/relationships/hyperlink" Target="https://www.linkedin.com/in/bianca-reyes-arias" TargetMode="External"/><Relationship Id="rId1783" Type="http://schemas.openxmlformats.org/officeDocument/2006/relationships/hyperlink" Target="http://www.linkedin.com/in/steinbergmarty" TargetMode="External"/><Relationship Id="rId1990" Type="http://schemas.openxmlformats.org/officeDocument/2006/relationships/hyperlink" Target="http://www.linkedin.com/in/michelle-hindle-9a1b455" TargetMode="External"/><Relationship Id="rId2627" Type="http://schemas.openxmlformats.org/officeDocument/2006/relationships/hyperlink" Target="http://www.linkedin.com/in/probiotek-marketing-853535160" TargetMode="External"/><Relationship Id="rId2834" Type="http://schemas.openxmlformats.org/officeDocument/2006/relationships/hyperlink" Target="http://www.linkedin.com/in/haydee-garcia-b211b016a" TargetMode="External"/><Relationship Id="rId75" Type="http://schemas.openxmlformats.org/officeDocument/2006/relationships/hyperlink" Target="https://www.linkedin.com/in/davis2022" TargetMode="External"/><Relationship Id="rId806" Type="http://schemas.openxmlformats.org/officeDocument/2006/relationships/hyperlink" Target="https://www.linkedin.com/in/april-taylor-20b076165" TargetMode="External"/><Relationship Id="rId1436" Type="http://schemas.openxmlformats.org/officeDocument/2006/relationships/hyperlink" Target="http://threadless.com/" TargetMode="External"/><Relationship Id="rId1643" Type="http://schemas.openxmlformats.org/officeDocument/2006/relationships/hyperlink" Target="http://www.linkedin.com/in/andrea-ojeda-garcia-ecommerce" TargetMode="External"/><Relationship Id="rId1850" Type="http://schemas.openxmlformats.org/officeDocument/2006/relationships/hyperlink" Target="http://www.linkedin.com/in/dadrianregalado" TargetMode="External"/><Relationship Id="rId2901" Type="http://schemas.openxmlformats.org/officeDocument/2006/relationships/hyperlink" Target="http://www.linkedin.com/in/irsa-guerra-2257b0125" TargetMode="External"/><Relationship Id="rId3096" Type="http://schemas.openxmlformats.org/officeDocument/2006/relationships/hyperlink" Target="http://www.linkedin.com/in/tinastar" TargetMode="External"/><Relationship Id="rId1503" Type="http://schemas.openxmlformats.org/officeDocument/2006/relationships/hyperlink" Target="https://www.linkedin.com/in/ACwAACO4HxIBRCOTaDjUzcBYciQi5Jle9RjlR14" TargetMode="External"/><Relationship Id="rId1710" Type="http://schemas.openxmlformats.org/officeDocument/2006/relationships/hyperlink" Target="http://www.linkedin.com/in/ashutoshgoyal" TargetMode="External"/><Relationship Id="rId1948" Type="http://schemas.openxmlformats.org/officeDocument/2006/relationships/hyperlink" Target="http://www.linkedin.com/in/miao-r-976572149" TargetMode="External"/><Relationship Id="rId3163" Type="http://schemas.openxmlformats.org/officeDocument/2006/relationships/hyperlink" Target="http://www.linkedin.com/in/liza-novoselova" TargetMode="External"/><Relationship Id="rId291" Type="http://schemas.openxmlformats.org/officeDocument/2006/relationships/hyperlink" Target="http://conekta.com/" TargetMode="External"/><Relationship Id="rId1808" Type="http://schemas.openxmlformats.org/officeDocument/2006/relationships/hyperlink" Target="http://www.linkedin.com/in/anabel-zazueta-56b74412b" TargetMode="External"/><Relationship Id="rId3023" Type="http://schemas.openxmlformats.org/officeDocument/2006/relationships/hyperlink" Target="http://www.linkedin.com/in/daniela-obregon-6a2a47259" TargetMode="External"/><Relationship Id="rId151" Type="http://schemas.openxmlformats.org/officeDocument/2006/relationships/hyperlink" Target="https://www.linkedin.com/in/marco-paredes" TargetMode="External"/><Relationship Id="rId389" Type="http://schemas.openxmlformats.org/officeDocument/2006/relationships/hyperlink" Target="https://www.linkedin.com/in/ACwAABWP5KIBk8j-aaH1a5xg1SU0ez93LKxzTYY" TargetMode="External"/><Relationship Id="rId596" Type="http://schemas.openxmlformats.org/officeDocument/2006/relationships/hyperlink" Target="https://www.linkedin.com/in/ACwAAChqVacBKy93Bu2OdJBmHVyVnCt25eQGxXg" TargetMode="External"/><Relationship Id="rId2277" Type="http://schemas.openxmlformats.org/officeDocument/2006/relationships/hyperlink" Target="http://www.linkedin.com/in/oscar-balderas-herrera-2843401b0" TargetMode="External"/><Relationship Id="rId2484" Type="http://schemas.openxmlformats.org/officeDocument/2006/relationships/hyperlink" Target="http://www.linkedin.com/in/olga-torres-42643521b" TargetMode="External"/><Relationship Id="rId2691" Type="http://schemas.openxmlformats.org/officeDocument/2006/relationships/hyperlink" Target="http://www.linkedin.com/in/norma-ponce-a54244221" TargetMode="External"/><Relationship Id="rId3230" Type="http://schemas.openxmlformats.org/officeDocument/2006/relationships/hyperlink" Target="http://www.linkedin.com/in/lorena-de-la-torre-54360a98" TargetMode="External"/><Relationship Id="rId249" Type="http://schemas.openxmlformats.org/officeDocument/2006/relationships/hyperlink" Target="https://www.linkedin.com/in/alejandro-mejia-0460aa196" TargetMode="External"/><Relationship Id="rId456" Type="http://schemas.openxmlformats.org/officeDocument/2006/relationships/hyperlink" Target="https://www.linkedin.com/in/rodrigo-gama" TargetMode="External"/><Relationship Id="rId663" Type="http://schemas.openxmlformats.org/officeDocument/2006/relationships/hyperlink" Target="https://www.linkedin.com/in/malcolm-coleman-bab5bb99" TargetMode="External"/><Relationship Id="rId870" Type="http://schemas.openxmlformats.org/officeDocument/2006/relationships/hyperlink" Target="https://www.linkedin.com/in/mauriciosanchezmarketing" TargetMode="External"/><Relationship Id="rId1086" Type="http://schemas.openxmlformats.org/officeDocument/2006/relationships/hyperlink" Target="http://officedepot.com.mx/" TargetMode="External"/><Relationship Id="rId1293" Type="http://schemas.openxmlformats.org/officeDocument/2006/relationships/hyperlink" Target="https://www.linkedin.com/in/ACwAAEMoFXUBO0llkU09G8yFwI9_Hp_fhI1R4CM" TargetMode="External"/><Relationship Id="rId2137" Type="http://schemas.openxmlformats.org/officeDocument/2006/relationships/hyperlink" Target="http://www.linkedin.com/in/helenaestypuspa" TargetMode="External"/><Relationship Id="rId2344" Type="http://schemas.openxmlformats.org/officeDocument/2006/relationships/hyperlink" Target="http://www.linkedin.com/in/andy-luis-chavez-zagal-40926a76" TargetMode="External"/><Relationship Id="rId2551" Type="http://schemas.openxmlformats.org/officeDocument/2006/relationships/hyperlink" Target="http://www.linkedin.com/in/javiermaldonadoarg%c3%bcello" TargetMode="External"/><Relationship Id="rId2789" Type="http://schemas.openxmlformats.org/officeDocument/2006/relationships/hyperlink" Target="http://www.linkedin.com/in/keanenbuckley" TargetMode="External"/><Relationship Id="rId2996" Type="http://schemas.openxmlformats.org/officeDocument/2006/relationships/hyperlink" Target="http://www.linkedin.com/in/alessiavillena" TargetMode="External"/><Relationship Id="rId109" Type="http://schemas.openxmlformats.org/officeDocument/2006/relationships/hyperlink" Target="https://www.linkedin.com/in/ACwAADLxpTkBWR_uf7iNOG0PzdEG6lPT8lHdlPM" TargetMode="External"/><Relationship Id="rId316" Type="http://schemas.openxmlformats.org/officeDocument/2006/relationships/hyperlink" Target="http://crownbaccara.com/" TargetMode="External"/><Relationship Id="rId523" Type="http://schemas.openxmlformats.org/officeDocument/2006/relationships/hyperlink" Target="http://ferrioni.com/" TargetMode="External"/><Relationship Id="rId968" Type="http://schemas.openxmlformats.org/officeDocument/2006/relationships/hyperlink" Target="https://www.linkedin.com/in/cosetter" TargetMode="External"/><Relationship Id="rId1153" Type="http://schemas.openxmlformats.org/officeDocument/2006/relationships/hyperlink" Target="http://phiten.com.mx/" TargetMode="External"/><Relationship Id="rId1598" Type="http://schemas.openxmlformats.org/officeDocument/2006/relationships/hyperlink" Target="https://www.linkedin.com/in/shuo-chen-0233a9212" TargetMode="External"/><Relationship Id="rId2204" Type="http://schemas.openxmlformats.org/officeDocument/2006/relationships/hyperlink" Target="http://www.linkedin.com/in/cesar-muratalla" TargetMode="External"/><Relationship Id="rId2649" Type="http://schemas.openxmlformats.org/officeDocument/2006/relationships/hyperlink" Target="http://www.linkedin.com/in/mireya-pablo-rodr%c3%adguez-5b72146b" TargetMode="External"/><Relationship Id="rId2856" Type="http://schemas.openxmlformats.org/officeDocument/2006/relationships/hyperlink" Target="http://www.linkedin.com/in/aurazama1751" TargetMode="External"/><Relationship Id="rId97" Type="http://schemas.openxmlformats.org/officeDocument/2006/relationships/hyperlink" Target="https://www.linkedin.com/in/jenny-montoya" TargetMode="External"/><Relationship Id="rId730" Type="http://schemas.openxmlformats.org/officeDocument/2006/relationships/hyperlink" Target="http://imperquimia.mx/" TargetMode="External"/><Relationship Id="rId828" Type="http://schemas.openxmlformats.org/officeDocument/2006/relationships/hyperlink" Target="https://www.linkedin.com/in/guadalupename" TargetMode="External"/><Relationship Id="rId1013" Type="http://schemas.openxmlformats.org/officeDocument/2006/relationships/hyperlink" Target="http://mueblesplacencia.com/" TargetMode="External"/><Relationship Id="rId1360" Type="http://schemas.openxmlformats.org/officeDocument/2006/relationships/hyperlink" Target="http://sunbeam.com/" TargetMode="External"/><Relationship Id="rId1458" Type="http://schemas.openxmlformats.org/officeDocument/2006/relationships/hyperlink" Target="https://www.linkedin.com/in/ACwAAA8eb8kBUfhIktbZkPVzuWA4qNJeAs0Pp-Q" TargetMode="External"/><Relationship Id="rId1665" Type="http://schemas.openxmlformats.org/officeDocument/2006/relationships/hyperlink" Target="http://www.linkedin.com/in/miraye" TargetMode="External"/><Relationship Id="rId1872" Type="http://schemas.openxmlformats.org/officeDocument/2006/relationships/hyperlink" Target="http://www.linkedin.com/in/amal-shomar-7586a2149" TargetMode="External"/><Relationship Id="rId2411" Type="http://schemas.openxmlformats.org/officeDocument/2006/relationships/hyperlink" Target="http://www.linkedin.com/in/javier-felix-castaneda-seo" TargetMode="External"/><Relationship Id="rId2509" Type="http://schemas.openxmlformats.org/officeDocument/2006/relationships/hyperlink" Target="http://www.linkedin.com/in/abigail-sep%c3%balveda-bustamante-9a8573109" TargetMode="External"/><Relationship Id="rId2716" Type="http://schemas.openxmlformats.org/officeDocument/2006/relationships/hyperlink" Target="http://www.linkedin.com/in/amygillvendasta" TargetMode="External"/><Relationship Id="rId1220" Type="http://schemas.openxmlformats.org/officeDocument/2006/relationships/hyperlink" Target="http://remediosdelbosque.com/" TargetMode="External"/><Relationship Id="rId1318" Type="http://schemas.openxmlformats.org/officeDocument/2006/relationships/hyperlink" Target="http://snowballpartners.mx/" TargetMode="External"/><Relationship Id="rId1525" Type="http://schemas.openxmlformats.org/officeDocument/2006/relationships/hyperlink" Target="https://www.linkedin.com/in/jorgegarzacavazos" TargetMode="External"/><Relationship Id="rId2923" Type="http://schemas.openxmlformats.org/officeDocument/2006/relationships/hyperlink" Target="http://www.linkedin.com/in/felipe-antonio-sosa" TargetMode="External"/><Relationship Id="rId1732" Type="http://schemas.openxmlformats.org/officeDocument/2006/relationships/hyperlink" Target="http://www.linkedin.com/in/rocio-guadalupe-rodriguez-garcia-765719130" TargetMode="External"/><Relationship Id="rId3185" Type="http://schemas.openxmlformats.org/officeDocument/2006/relationships/hyperlink" Target="http://www.linkedin.com/in/miguel-angel-martinez-garcia-01455499" TargetMode="External"/><Relationship Id="rId24" Type="http://schemas.openxmlformats.org/officeDocument/2006/relationships/hyperlink" Target="http://aldoconti.com/" TargetMode="External"/><Relationship Id="rId2299" Type="http://schemas.openxmlformats.org/officeDocument/2006/relationships/hyperlink" Target="http://www.linkedin.com/in/rodrigofloresecommerce" TargetMode="External"/><Relationship Id="rId3045" Type="http://schemas.openxmlformats.org/officeDocument/2006/relationships/hyperlink" Target="http://www.linkedin.com/in/jonathan-coronado-comunicaci%c3%b3n" TargetMode="External"/><Relationship Id="rId3252" Type="http://schemas.openxmlformats.org/officeDocument/2006/relationships/hyperlink" Target="http://www.linkedin.com/in/alonso-nava-vives-70383b7" TargetMode="External"/><Relationship Id="rId173" Type="http://schemas.openxmlformats.org/officeDocument/2006/relationships/hyperlink" Target="https://www.linkedin.com/in/amanda-pile" TargetMode="External"/><Relationship Id="rId380" Type="http://schemas.openxmlformats.org/officeDocument/2006/relationships/hyperlink" Target="http://decathlon.com.mx/" TargetMode="External"/><Relationship Id="rId2061" Type="http://schemas.openxmlformats.org/officeDocument/2006/relationships/hyperlink" Target="http://www.linkedin.com/in/hary-gonz%c3%a1lez-a5843419" TargetMode="External"/><Relationship Id="rId3112" Type="http://schemas.openxmlformats.org/officeDocument/2006/relationships/hyperlink" Target="http://www.linkedin.com/in/valerialunav" TargetMode="External"/><Relationship Id="rId240" Type="http://schemas.openxmlformats.org/officeDocument/2006/relationships/hyperlink" Target="https://www.linkedin.com/in/david-chong-2048841a8" TargetMode="External"/><Relationship Id="rId478" Type="http://schemas.openxmlformats.org/officeDocument/2006/relationships/hyperlink" Target="http://epicland.com.mx/" TargetMode="External"/><Relationship Id="rId685" Type="http://schemas.openxmlformats.org/officeDocument/2006/relationships/hyperlink" Target="https://www.linkedin.com/in/mar%C3%ADa-fernanda-ram%C3%ADrez-castorena-11a746183/" TargetMode="External"/><Relationship Id="rId892" Type="http://schemas.openxmlformats.org/officeDocument/2006/relationships/hyperlink" Target="http://madisa.com/" TargetMode="External"/><Relationship Id="rId2159" Type="http://schemas.openxmlformats.org/officeDocument/2006/relationships/hyperlink" Target="http://www.linkedin.com/in/sheryldubitsky" TargetMode="External"/><Relationship Id="rId2366" Type="http://schemas.openxmlformats.org/officeDocument/2006/relationships/hyperlink" Target="http://www.linkedin.com/in/pedro-baptista-ba903180" TargetMode="External"/><Relationship Id="rId2573" Type="http://schemas.openxmlformats.org/officeDocument/2006/relationships/hyperlink" Target="http://www.linkedin.com/in/mario-gamboa" TargetMode="External"/><Relationship Id="rId2780" Type="http://schemas.openxmlformats.org/officeDocument/2006/relationships/hyperlink" Target="http://www.linkedin.com/in/farhad-teymoorzade" TargetMode="External"/><Relationship Id="rId100" Type="http://schemas.openxmlformats.org/officeDocument/2006/relationships/hyperlink" Target="http://autycom.com/" TargetMode="External"/><Relationship Id="rId338" Type="http://schemas.openxmlformats.org/officeDocument/2006/relationships/hyperlink" Target="https://www.linkedin.com/in/gerardo-o-6350aa30" TargetMode="External"/><Relationship Id="rId545" Type="http://schemas.openxmlformats.org/officeDocument/2006/relationships/hyperlink" Target="https://www.linkedin.com/in/brunagirata" TargetMode="External"/><Relationship Id="rId752" Type="http://schemas.openxmlformats.org/officeDocument/2006/relationships/hyperlink" Target="http://inova.com.mx/" TargetMode="External"/><Relationship Id="rId1175" Type="http://schemas.openxmlformats.org/officeDocument/2006/relationships/hyperlink" Target="https://www.linkedin.com/in/maria-sanderson-406" TargetMode="External"/><Relationship Id="rId1382" Type="http://schemas.openxmlformats.org/officeDocument/2006/relationships/hyperlink" Target="http://syd.com.mx/" TargetMode="External"/><Relationship Id="rId2019" Type="http://schemas.openxmlformats.org/officeDocument/2006/relationships/hyperlink" Target="http://www.linkedin.com/in/alexroma" TargetMode="External"/><Relationship Id="rId2226" Type="http://schemas.openxmlformats.org/officeDocument/2006/relationships/hyperlink" Target="http://www.linkedin.com/in/selina-estrada-bb1003151" TargetMode="External"/><Relationship Id="rId2433" Type="http://schemas.openxmlformats.org/officeDocument/2006/relationships/hyperlink" Target="http://www.linkedin.com/in/salomon-dabbah-beracha-95b147108" TargetMode="External"/><Relationship Id="rId2640" Type="http://schemas.openxmlformats.org/officeDocument/2006/relationships/hyperlink" Target="http://www.linkedin.com/in/mariana-dur%c3%a1n-renter%c3%ada-49775a58" TargetMode="External"/><Relationship Id="rId2878" Type="http://schemas.openxmlformats.org/officeDocument/2006/relationships/hyperlink" Target="http://www.linkedin.com/in/tinastar" TargetMode="External"/><Relationship Id="rId405" Type="http://schemas.openxmlformats.org/officeDocument/2006/relationships/hyperlink" Target="https://www.linkedin.com/in/edmundocoy" TargetMode="External"/><Relationship Id="rId612" Type="http://schemas.openxmlformats.org/officeDocument/2006/relationships/hyperlink" Target="http://grupoandersons.com/" TargetMode="External"/><Relationship Id="rId1035" Type="http://schemas.openxmlformats.org/officeDocument/2006/relationships/hyperlink" Target="https://www.linkedin.com/in/nettbeat-audio-1686ab120" TargetMode="External"/><Relationship Id="rId1242" Type="http://schemas.openxmlformats.org/officeDocument/2006/relationships/hyperlink" Target="https://www.linkedin.com/in/ACwAAAwOfrMBdDX_N975xwLxFQ3i-oJtgKxCD4c" TargetMode="External"/><Relationship Id="rId1687" Type="http://schemas.openxmlformats.org/officeDocument/2006/relationships/hyperlink" Target="http://www.linkedin.com/in/antonio-gregorio-vazquez" TargetMode="External"/><Relationship Id="rId1894" Type="http://schemas.openxmlformats.org/officeDocument/2006/relationships/hyperlink" Target="http://www.linkedin.com/in/angela-wong-8ab967177" TargetMode="External"/><Relationship Id="rId2500" Type="http://schemas.openxmlformats.org/officeDocument/2006/relationships/hyperlink" Target="http://www.linkedin.com/in/raquel-jaquelina-estrada-carmona-8b1436144" TargetMode="External"/><Relationship Id="rId2738" Type="http://schemas.openxmlformats.org/officeDocument/2006/relationships/hyperlink" Target="http://www.linkedin.com/in/marlon-garay-431016180" TargetMode="External"/><Relationship Id="rId2945" Type="http://schemas.openxmlformats.org/officeDocument/2006/relationships/hyperlink" Target="http://www.linkedin.com/in/ramiro-mart%c3%adnez-camacho-2834b867" TargetMode="External"/><Relationship Id="rId917" Type="http://schemas.openxmlformats.org/officeDocument/2006/relationships/hyperlink" Target="http://mascaradelatex.com/" TargetMode="External"/><Relationship Id="rId1102" Type="http://schemas.openxmlformats.org/officeDocument/2006/relationships/hyperlink" Target="http://onena.mx/" TargetMode="External"/><Relationship Id="rId1547" Type="http://schemas.openxmlformats.org/officeDocument/2006/relationships/hyperlink" Target="http://viralfeed.mx/" TargetMode="External"/><Relationship Id="rId1754" Type="http://schemas.openxmlformats.org/officeDocument/2006/relationships/hyperlink" Target="http://www.linkedin.com/in/madison-newman-45306948" TargetMode="External"/><Relationship Id="rId1961" Type="http://schemas.openxmlformats.org/officeDocument/2006/relationships/hyperlink" Target="http://www.linkedin.com/in/adella-lin-389a8a158" TargetMode="External"/><Relationship Id="rId2805" Type="http://schemas.openxmlformats.org/officeDocument/2006/relationships/hyperlink" Target="http://www.linkedin.com/in/seg-m%c3%a9xico-8b722823a" TargetMode="External"/><Relationship Id="rId46" Type="http://schemas.openxmlformats.org/officeDocument/2006/relationships/hyperlink" Target="http://andrea.com/" TargetMode="External"/><Relationship Id="rId1407" Type="http://schemas.openxmlformats.org/officeDocument/2006/relationships/hyperlink" Target="http://tec.mx/" TargetMode="External"/><Relationship Id="rId1614" Type="http://schemas.openxmlformats.org/officeDocument/2006/relationships/hyperlink" Target="https://www.linkedin.com/in/carmen-quiroga-aa7ba9173" TargetMode="External"/><Relationship Id="rId1821" Type="http://schemas.openxmlformats.org/officeDocument/2006/relationships/hyperlink" Target="http://www.linkedin.com/in/brischaefer" TargetMode="External"/><Relationship Id="rId3067" Type="http://schemas.openxmlformats.org/officeDocument/2006/relationships/hyperlink" Target="http://www.linkedin.com/in/sayra-nubia-t%c3%a9llez" TargetMode="External"/><Relationship Id="rId3274" Type="http://schemas.openxmlformats.org/officeDocument/2006/relationships/hyperlink" Target="http://www.linkedin.com/in/guillermo-olarte-7a2130248" TargetMode="External"/><Relationship Id="rId195" Type="http://schemas.openxmlformats.org/officeDocument/2006/relationships/hyperlink" Target="https://www.linkedin.com/in/raulrios23" TargetMode="External"/><Relationship Id="rId1919" Type="http://schemas.openxmlformats.org/officeDocument/2006/relationships/hyperlink" Target="http://www.linkedin.com/in/ariella-sziraki-839337a1" TargetMode="External"/><Relationship Id="rId2083" Type="http://schemas.openxmlformats.org/officeDocument/2006/relationships/hyperlink" Target="http://www.linkedin.com/in/eduardo-armenta-748907126" TargetMode="External"/><Relationship Id="rId2290" Type="http://schemas.openxmlformats.org/officeDocument/2006/relationships/hyperlink" Target="http://www.linkedin.com/in/ren%c3%a9-trujillo-24717313" TargetMode="External"/><Relationship Id="rId2388" Type="http://schemas.openxmlformats.org/officeDocument/2006/relationships/hyperlink" Target="http://www.linkedin.com/in/mariana-hern%c3%a1ndez-y%c3%a1%c3%b1ez-468aa721b" TargetMode="External"/><Relationship Id="rId2595" Type="http://schemas.openxmlformats.org/officeDocument/2006/relationships/hyperlink" Target="http://www.linkedin.com/in/mozaguet-guerrero-370993186" TargetMode="External"/><Relationship Id="rId3134" Type="http://schemas.openxmlformats.org/officeDocument/2006/relationships/hyperlink" Target="http://www.linkedin.com/in/magaly-flores-165946ab" TargetMode="External"/><Relationship Id="rId262" Type="http://schemas.openxmlformats.org/officeDocument/2006/relationships/hyperlink" Target="http://class.com.mx/" TargetMode="External"/><Relationship Id="rId567" Type="http://schemas.openxmlformats.org/officeDocument/2006/relationships/hyperlink" Target="https://www.linkedin.com/in/ACwAADM5teMBGj9FvR80W1aqv86tt9TKxhVQ07Y" TargetMode="External"/><Relationship Id="rId1197" Type="http://schemas.openxmlformats.org/officeDocument/2006/relationships/hyperlink" Target="http://promoopcion.com/" TargetMode="External"/><Relationship Id="rId2150" Type="http://schemas.openxmlformats.org/officeDocument/2006/relationships/hyperlink" Target="http://www.linkedin.com/in/miguel-angel-llama-alanis-50515850" TargetMode="External"/><Relationship Id="rId2248" Type="http://schemas.openxmlformats.org/officeDocument/2006/relationships/hyperlink" Target="http://www.linkedin.com/in/rafael-sandoval-garcia-a36336142" TargetMode="External"/><Relationship Id="rId3201" Type="http://schemas.openxmlformats.org/officeDocument/2006/relationships/hyperlink" Target="http://www.linkedin.com/in/monserrat-berthier-vera-012a9a13b" TargetMode="External"/><Relationship Id="rId122" Type="http://schemas.openxmlformats.org/officeDocument/2006/relationships/hyperlink" Target="http://beautyart.com.mx/" TargetMode="External"/><Relationship Id="rId774" Type="http://schemas.openxmlformats.org/officeDocument/2006/relationships/hyperlink" Target="http://italika.mx/" TargetMode="External"/><Relationship Id="rId981" Type="http://schemas.openxmlformats.org/officeDocument/2006/relationships/hyperlink" Target="http://montepiedad.com.mx/" TargetMode="External"/><Relationship Id="rId1057" Type="http://schemas.openxmlformats.org/officeDocument/2006/relationships/hyperlink" Target="https://www.linkedin.com/in/ACwAABceNDwBLYe3zAH2s_XtCRUm7UKadtrvjdw" TargetMode="External"/><Relationship Id="rId2010" Type="http://schemas.openxmlformats.org/officeDocument/2006/relationships/hyperlink" Target="http://www.linkedin.com/in/nelson-irias-nunez" TargetMode="External"/><Relationship Id="rId2455" Type="http://schemas.openxmlformats.org/officeDocument/2006/relationships/hyperlink" Target="http://www.linkedin.com/in/karina-barrera-279580207" TargetMode="External"/><Relationship Id="rId2662" Type="http://schemas.openxmlformats.org/officeDocument/2006/relationships/hyperlink" Target="http://www.linkedin.com/in/gerardo-ballin-castellot-946530a9" TargetMode="External"/><Relationship Id="rId427" Type="http://schemas.openxmlformats.org/officeDocument/2006/relationships/hyperlink" Target="http://doto.com.mx/" TargetMode="External"/><Relationship Id="rId634" Type="http://schemas.openxmlformats.org/officeDocument/2006/relationships/hyperlink" Target="http://hacienda1800.com/" TargetMode="External"/><Relationship Id="rId841" Type="http://schemas.openxmlformats.org/officeDocument/2006/relationships/hyperlink" Target="https://www.linkedin.com/in/ACwAABCycK0Br1OF0islBuyANy-v7pRTweH1M_E" TargetMode="External"/><Relationship Id="rId1264" Type="http://schemas.openxmlformats.org/officeDocument/2006/relationships/hyperlink" Target="http://samsclub.com/" TargetMode="External"/><Relationship Id="rId1471" Type="http://schemas.openxmlformats.org/officeDocument/2006/relationships/hyperlink" Target="http://triciclo.mx/" TargetMode="External"/><Relationship Id="rId1569" Type="http://schemas.openxmlformats.org/officeDocument/2006/relationships/hyperlink" Target="http://williams-sonomainc.com/" TargetMode="External"/><Relationship Id="rId2108" Type="http://schemas.openxmlformats.org/officeDocument/2006/relationships/hyperlink" Target="http://www.linkedin.com/sales/lead/ACwAADfCNRMBAIddtpN9XR26GuVolrNps_FsDBo,NAME_SEARCH,nr-G" TargetMode="External"/><Relationship Id="rId2315" Type="http://schemas.openxmlformats.org/officeDocument/2006/relationships/hyperlink" Target="http://www.linkedin.com/in/kevin-gaughan-0ba90417" TargetMode="External"/><Relationship Id="rId2522" Type="http://schemas.openxmlformats.org/officeDocument/2006/relationships/hyperlink" Target="http://www.linkedin.com/in/paola-escobar-375a3381" TargetMode="External"/><Relationship Id="rId2967" Type="http://schemas.openxmlformats.org/officeDocument/2006/relationships/hyperlink" Target="http://www.linkedin.com/in/h%c3%a9ctor-flores-64a861202" TargetMode="External"/><Relationship Id="rId701" Type="http://schemas.openxmlformats.org/officeDocument/2006/relationships/hyperlink" Target="https://www.linkedin.com/in/ACwAABYo6BIB4aMp43z0BzPlT-94kWkTMm06BhA" TargetMode="External"/><Relationship Id="rId939" Type="http://schemas.openxmlformats.org/officeDocument/2006/relationships/hyperlink" Target="http://mezcalamaras.com/" TargetMode="External"/><Relationship Id="rId1124" Type="http://schemas.openxmlformats.org/officeDocument/2006/relationships/hyperlink" Target="https://www.linkedin.com/in/ACwAACnxrYkBEzwM-KGYi15nyq1R1yCYlLuJLYA" TargetMode="External"/><Relationship Id="rId1331" Type="http://schemas.openxmlformats.org/officeDocument/2006/relationships/hyperlink" Target="https://www.linkedin.com/in/anne-sophie-hebert-71522b3" TargetMode="External"/><Relationship Id="rId1776" Type="http://schemas.openxmlformats.org/officeDocument/2006/relationships/hyperlink" Target="http://www.linkedin.com/in/joyce-bdilla" TargetMode="External"/><Relationship Id="rId1983" Type="http://schemas.openxmlformats.org/officeDocument/2006/relationships/hyperlink" Target="http://www.linkedin.com/in/jerry-zhang-446b7332" TargetMode="External"/><Relationship Id="rId2827" Type="http://schemas.openxmlformats.org/officeDocument/2006/relationships/hyperlink" Target="http://www.linkedin.com/in/mkt-gremsa-2802741ba" TargetMode="External"/><Relationship Id="rId68" Type="http://schemas.openxmlformats.org/officeDocument/2006/relationships/hyperlink" Target="http://armatura.com.co/" TargetMode="External"/><Relationship Id="rId1429" Type="http://schemas.openxmlformats.org/officeDocument/2006/relationships/hyperlink" Target="http://thinkific.com/" TargetMode="External"/><Relationship Id="rId1636" Type="http://schemas.openxmlformats.org/officeDocument/2006/relationships/hyperlink" Target="http://www.linkedin.com/in/kasenjames" TargetMode="External"/><Relationship Id="rId1843" Type="http://schemas.openxmlformats.org/officeDocument/2006/relationships/hyperlink" Target="http://www.linkedin.com/in/tyler-bradbury-51621542" TargetMode="External"/><Relationship Id="rId3089" Type="http://schemas.openxmlformats.org/officeDocument/2006/relationships/hyperlink" Target="http://www.linkedin.com/in/haydee-garcia-b211b016a" TargetMode="External"/><Relationship Id="rId1703" Type="http://schemas.openxmlformats.org/officeDocument/2006/relationships/hyperlink" Target="http://www.linkedin.com/in/mona-leo-500179130" TargetMode="External"/><Relationship Id="rId1910" Type="http://schemas.openxmlformats.org/officeDocument/2006/relationships/hyperlink" Target="http://www.linkedin.com/in/jessicagraciagzz" TargetMode="External"/><Relationship Id="rId3156" Type="http://schemas.openxmlformats.org/officeDocument/2006/relationships/hyperlink" Target="http://www.linkedin.com/in/karlareygo" TargetMode="External"/><Relationship Id="rId284" Type="http://schemas.openxmlformats.org/officeDocument/2006/relationships/hyperlink" Target="https://www.linkedin.com/in/santiago-solano-0475b4298" TargetMode="External"/><Relationship Id="rId491" Type="http://schemas.openxmlformats.org/officeDocument/2006/relationships/hyperlink" Target="https://www.linkedin.com/in/jesustrevino210" TargetMode="External"/><Relationship Id="rId2172" Type="http://schemas.openxmlformats.org/officeDocument/2006/relationships/hyperlink" Target="http://www.linkedin.com/in/carmen-urzua-%c3%a1lvarez-687663144" TargetMode="External"/><Relationship Id="rId3016" Type="http://schemas.openxmlformats.org/officeDocument/2006/relationships/hyperlink" Target="http://www.linkedin.com/in/adrian-gutierrez-escarra-67023a1a2" TargetMode="External"/><Relationship Id="rId3223" Type="http://schemas.openxmlformats.org/officeDocument/2006/relationships/hyperlink" Target="http://www.linkedin.com/in/fernanda-aguilar-de-la-torre-219706231" TargetMode="External"/><Relationship Id="rId144" Type="http://schemas.openxmlformats.org/officeDocument/2006/relationships/hyperlink" Target="http://bfit.mx/" TargetMode="External"/><Relationship Id="rId589" Type="http://schemas.openxmlformats.org/officeDocument/2006/relationships/hyperlink" Target="http://godaddy.com/" TargetMode="External"/><Relationship Id="rId796" Type="http://schemas.openxmlformats.org/officeDocument/2006/relationships/hyperlink" Target="https://www.linkedin.com/in/karinamme" TargetMode="External"/><Relationship Id="rId2477" Type="http://schemas.openxmlformats.org/officeDocument/2006/relationships/hyperlink" Target="http://www.linkedin.com/in/mar%c3%ada-fernanda-tamayo-soto-300900227" TargetMode="External"/><Relationship Id="rId2684" Type="http://schemas.openxmlformats.org/officeDocument/2006/relationships/hyperlink" Target="http://www.linkedin.com/in/aisulu" TargetMode="External"/><Relationship Id="rId351" Type="http://schemas.openxmlformats.org/officeDocument/2006/relationships/hyperlink" Target="http://cymaq.mx/" TargetMode="External"/><Relationship Id="rId449" Type="http://schemas.openxmlformats.org/officeDocument/2006/relationships/hyperlink" Target="http://ecwid.com/" TargetMode="External"/><Relationship Id="rId656" Type="http://schemas.openxmlformats.org/officeDocument/2006/relationships/hyperlink" Target="http://homedepot.com.mx/" TargetMode="External"/><Relationship Id="rId863" Type="http://schemas.openxmlformats.org/officeDocument/2006/relationships/hyperlink" Target="http://liverpool.com.mx/" TargetMode="External"/><Relationship Id="rId1079" Type="http://schemas.openxmlformats.org/officeDocument/2006/relationships/hyperlink" Target="https://www.linkedin.com/in/kong-meas-925113a2" TargetMode="External"/><Relationship Id="rId1286" Type="http://schemas.openxmlformats.org/officeDocument/2006/relationships/hyperlink" Target="http://sarellysarelly.com/" TargetMode="External"/><Relationship Id="rId1493" Type="http://schemas.openxmlformats.org/officeDocument/2006/relationships/hyperlink" Target="https://www.linkedin.com/in/audrey-eaton-39a653223" TargetMode="External"/><Relationship Id="rId2032" Type="http://schemas.openxmlformats.org/officeDocument/2006/relationships/hyperlink" Target="http://www.linkedin.com/in/lindsyspiegelman" TargetMode="External"/><Relationship Id="rId2337" Type="http://schemas.openxmlformats.org/officeDocument/2006/relationships/hyperlink" Target="http://www.linkedin.com/in/guillermo-padilla-morales-64915650" TargetMode="External"/><Relationship Id="rId2544" Type="http://schemas.openxmlformats.org/officeDocument/2006/relationships/hyperlink" Target="http://www.linkedin.com/in/alejandro-ben%c3%adtez-43a720287" TargetMode="External"/><Relationship Id="rId2891" Type="http://schemas.openxmlformats.org/officeDocument/2006/relationships/hyperlink" Target="http://www.linkedin.com/in/karla-maldonado-57784b216" TargetMode="External"/><Relationship Id="rId2989" Type="http://schemas.openxmlformats.org/officeDocument/2006/relationships/hyperlink" Target="http://www.linkedin.com/in/ver%c3%b3nica-camacho-hern%c3%a1ndez-11b448194" TargetMode="External"/><Relationship Id="rId211" Type="http://schemas.openxmlformats.org/officeDocument/2006/relationships/hyperlink" Target="https://www.linkedin.com/in/cesar-perez-alegria-3614b4bb" TargetMode="External"/><Relationship Id="rId309" Type="http://schemas.openxmlformats.org/officeDocument/2006/relationships/hyperlink" Target="https://www.linkedin.com/in/ACwAACTVbYYBTxhWctGqbq5PKLhNZe5AP-ErC-o" TargetMode="External"/><Relationship Id="rId516" Type="http://schemas.openxmlformats.org/officeDocument/2006/relationships/hyperlink" Target="https://www.linkedin.com/in/luis-macias-1843b823" TargetMode="External"/><Relationship Id="rId1146" Type="http://schemas.openxmlformats.org/officeDocument/2006/relationships/hyperlink" Target="https://www.linkedin.com/in/irvingvme" TargetMode="External"/><Relationship Id="rId1798" Type="http://schemas.openxmlformats.org/officeDocument/2006/relationships/hyperlink" Target="http://www.linkedin.com/in/chris-diepeveen" TargetMode="External"/><Relationship Id="rId2751" Type="http://schemas.openxmlformats.org/officeDocument/2006/relationships/hyperlink" Target="http://www.linkedin.com/in/novapelletier" TargetMode="External"/><Relationship Id="rId2849" Type="http://schemas.openxmlformats.org/officeDocument/2006/relationships/hyperlink" Target="http://www.linkedin.com/in/bah-hamadi-50682a220" TargetMode="External"/><Relationship Id="rId723" Type="http://schemas.openxmlformats.org/officeDocument/2006/relationships/hyperlink" Target="http://iho.com.mx/" TargetMode="External"/><Relationship Id="rId930" Type="http://schemas.openxmlformats.org/officeDocument/2006/relationships/hyperlink" Target="https://www.linkedin.com/in/almarosaarteaga" TargetMode="External"/><Relationship Id="rId1006" Type="http://schemas.openxmlformats.org/officeDocument/2006/relationships/hyperlink" Target="https://www.linkedin.com/in/ACwAAA2ST_oBRfksdiC2XlB8Ufuf0O9XqgKqzRw" TargetMode="External"/><Relationship Id="rId1353" Type="http://schemas.openxmlformats.org/officeDocument/2006/relationships/hyperlink" Target="http://steelcase.com/" TargetMode="External"/><Relationship Id="rId1560" Type="http://schemas.openxmlformats.org/officeDocument/2006/relationships/hyperlink" Target="https://www.linkedin.com/in/ACwAAAfPcpEBS421EMvIglTrl7HdmtkNdotuykI" TargetMode="External"/><Relationship Id="rId1658" Type="http://schemas.openxmlformats.org/officeDocument/2006/relationships/hyperlink" Target="http://www.linkedin.com/in/martha-gamboa-a3323417" TargetMode="External"/><Relationship Id="rId1865" Type="http://schemas.openxmlformats.org/officeDocument/2006/relationships/hyperlink" Target="http://www.linkedin.com/in/jos%c3%a9-antonio-rodr%c3%adguez-duarte-867ba895" TargetMode="External"/><Relationship Id="rId2404" Type="http://schemas.openxmlformats.org/officeDocument/2006/relationships/hyperlink" Target="http://www.linkedin.com/in/carvic-artaban-oliver-hern%c3%a1ndez-63488a1bb" TargetMode="External"/><Relationship Id="rId2611" Type="http://schemas.openxmlformats.org/officeDocument/2006/relationships/hyperlink" Target="http://www.linkedin.com/in/jaime-de-la-mora-66b4a060" TargetMode="External"/><Relationship Id="rId2709" Type="http://schemas.openxmlformats.org/officeDocument/2006/relationships/hyperlink" Target="http://www.linkedin.com/in/neyrahern%c3%a1ndez" TargetMode="External"/><Relationship Id="rId1213" Type="http://schemas.openxmlformats.org/officeDocument/2006/relationships/hyperlink" Target="http://regalresultsllc.com/" TargetMode="External"/><Relationship Id="rId1420" Type="http://schemas.openxmlformats.org/officeDocument/2006/relationships/hyperlink" Target="https://www.linkedin.com/in/bilawal-javed-720186221" TargetMode="External"/><Relationship Id="rId1518" Type="http://schemas.openxmlformats.org/officeDocument/2006/relationships/hyperlink" Target="http://varlion.com/" TargetMode="External"/><Relationship Id="rId2916" Type="http://schemas.openxmlformats.org/officeDocument/2006/relationships/hyperlink" Target="http://www.linkedin.com/in/maria-fernanda-rodriguez-3625917b" TargetMode="External"/><Relationship Id="rId3080" Type="http://schemas.openxmlformats.org/officeDocument/2006/relationships/hyperlink" Target="http://www.linkedin.com/in/mci-automation-076a09189" TargetMode="External"/><Relationship Id="rId1725" Type="http://schemas.openxmlformats.org/officeDocument/2006/relationships/hyperlink" Target="http://www.linkedin.com/in/cathy-baydianz-93a36217" TargetMode="External"/><Relationship Id="rId1932" Type="http://schemas.openxmlformats.org/officeDocument/2006/relationships/hyperlink" Target="http://www.linkedin.com/in/judith-villalpando-4a640214a" TargetMode="External"/><Relationship Id="rId3178" Type="http://schemas.openxmlformats.org/officeDocument/2006/relationships/hyperlink" Target="http://www.linkedin.com/in/richardotey" TargetMode="External"/><Relationship Id="rId17" Type="http://schemas.openxmlformats.org/officeDocument/2006/relationships/hyperlink" Target="http://adecoco.com/" TargetMode="External"/><Relationship Id="rId2194" Type="http://schemas.openxmlformats.org/officeDocument/2006/relationships/hyperlink" Target="http://www.linkedin.com/in/nestor-daniel-olvera-ibarra-850231229" TargetMode="External"/><Relationship Id="rId3038" Type="http://schemas.openxmlformats.org/officeDocument/2006/relationships/hyperlink" Target="http://www.linkedin.com/in/adolfo-barrera-1447ba92" TargetMode="External"/><Relationship Id="rId3245" Type="http://schemas.openxmlformats.org/officeDocument/2006/relationships/hyperlink" Target="http://www.linkedin.com/in/daniela-pacheco-rueda-385b24ab" TargetMode="External"/><Relationship Id="rId166" Type="http://schemas.openxmlformats.org/officeDocument/2006/relationships/hyperlink" Target="http://brantano.com.mx/" TargetMode="External"/><Relationship Id="rId373" Type="http://schemas.openxmlformats.org/officeDocument/2006/relationships/hyperlink" Target="https://www.linkedin.com/in/angeles-l-72a07034" TargetMode="External"/><Relationship Id="rId580" Type="http://schemas.openxmlformats.org/officeDocument/2006/relationships/hyperlink" Target="https://www.linkedin.com/in/soniamezav" TargetMode="External"/><Relationship Id="rId2054" Type="http://schemas.openxmlformats.org/officeDocument/2006/relationships/hyperlink" Target="http://www.linkedin.com/in/cindy-kyungah-lee" TargetMode="External"/><Relationship Id="rId2261" Type="http://schemas.openxmlformats.org/officeDocument/2006/relationships/hyperlink" Target="http://www.linkedin.com/in/claudia-lopez-039717b3" TargetMode="External"/><Relationship Id="rId2499" Type="http://schemas.openxmlformats.org/officeDocument/2006/relationships/hyperlink" Target="http://www.linkedin.com/in/yatziri-velazquez-82b2aa19a" TargetMode="External"/><Relationship Id="rId3105" Type="http://schemas.openxmlformats.org/officeDocument/2006/relationships/hyperlink" Target="http://www.linkedin.com/in/mario-guti%c3%a9rrez-42a708a3" TargetMode="External"/><Relationship Id="rId1" Type="http://schemas.openxmlformats.org/officeDocument/2006/relationships/hyperlink" Target="https://www.linkedin.com/in/leethompsonflashpack" TargetMode="External"/><Relationship Id="rId233" Type="http://schemas.openxmlformats.org/officeDocument/2006/relationships/hyperlink" Target="http://century3d.com.mx/" TargetMode="External"/><Relationship Id="rId440" Type="http://schemas.openxmlformats.org/officeDocument/2006/relationships/hyperlink" Target="https://www.linkedin.com/in/ACwAAB6Be7YBgOtlQRVt3W3T0iITFFezS04ogp0" TargetMode="External"/><Relationship Id="rId678" Type="http://schemas.openxmlformats.org/officeDocument/2006/relationships/hyperlink" Target="http://www.homedepot.com.mx/" TargetMode="External"/><Relationship Id="rId885" Type="http://schemas.openxmlformats.org/officeDocument/2006/relationships/hyperlink" Target="http://lumimexico.com.mx/" TargetMode="External"/><Relationship Id="rId1070" Type="http://schemas.openxmlformats.org/officeDocument/2006/relationships/hyperlink" Target="http://oasisofhope.com/" TargetMode="External"/><Relationship Id="rId2121" Type="http://schemas.openxmlformats.org/officeDocument/2006/relationships/hyperlink" Target="http://www.linkedin.com/in/jeancano" TargetMode="External"/><Relationship Id="rId2359" Type="http://schemas.openxmlformats.org/officeDocument/2006/relationships/hyperlink" Target="http://www.linkedin.com/sales/lead/ACwAAD9F5EUB3Frku2l4L8ZV7mhsPj2StmPwhqQ,NAME_SEARCH,zJ2R" TargetMode="External"/><Relationship Id="rId2566" Type="http://schemas.openxmlformats.org/officeDocument/2006/relationships/hyperlink" Target="http://www.linkedin.com/in/brenda-ivette-paredes-8248a1160" TargetMode="External"/><Relationship Id="rId2773" Type="http://schemas.openxmlformats.org/officeDocument/2006/relationships/hyperlink" Target="http://www.linkedin.com/in/raina-armstrong-59541446" TargetMode="External"/><Relationship Id="rId2980" Type="http://schemas.openxmlformats.org/officeDocument/2006/relationships/hyperlink" Target="http://www.linkedin.com/in/fernanda-aguilar-de-la-torre-219706231" TargetMode="External"/><Relationship Id="rId300" Type="http://schemas.openxmlformats.org/officeDocument/2006/relationships/hyperlink" Target="http://coralprincess.com/" TargetMode="External"/><Relationship Id="rId538" Type="http://schemas.openxmlformats.org/officeDocument/2006/relationships/hyperlink" Target="http://fuller.com.mx/" TargetMode="External"/><Relationship Id="rId745" Type="http://schemas.openxmlformats.org/officeDocument/2006/relationships/hyperlink" Target="https://www.linkedin.com/in/feracocera" TargetMode="External"/><Relationship Id="rId952" Type="http://schemas.openxmlformats.org/officeDocument/2006/relationships/hyperlink" Target="https://www.linkedin.com/in/vanessa-rojas-61b26623b" TargetMode="External"/><Relationship Id="rId1168" Type="http://schemas.openxmlformats.org/officeDocument/2006/relationships/hyperlink" Target="http://pisa.com.mx/" TargetMode="External"/><Relationship Id="rId1375" Type="http://schemas.openxmlformats.org/officeDocument/2006/relationships/hyperlink" Target="https://www.linkedin.com/in/mauricio-david-padilla-romero-9ab8826a" TargetMode="External"/><Relationship Id="rId1582" Type="http://schemas.openxmlformats.org/officeDocument/2006/relationships/hyperlink" Target="https://www.linkedin.com/in/ACwAAAFIY1EBgeBb171WLFdwHubj7HqIygTbjyU" TargetMode="External"/><Relationship Id="rId2219" Type="http://schemas.openxmlformats.org/officeDocument/2006/relationships/hyperlink" Target="http://www.linkedin.com/in/juan-armando-reos-hern%c3%a1ndez-157285159" TargetMode="External"/><Relationship Id="rId2426" Type="http://schemas.openxmlformats.org/officeDocument/2006/relationships/hyperlink" Target="http://www.linkedin.com/in/alejandro-diaz-ruiz-4282aa204" TargetMode="External"/><Relationship Id="rId2633" Type="http://schemas.openxmlformats.org/officeDocument/2006/relationships/hyperlink" Target="http://www.linkedin.com/in/toyo-kasei-769812243" TargetMode="External"/><Relationship Id="rId81" Type="http://schemas.openxmlformats.org/officeDocument/2006/relationships/hyperlink" Target="https://www.linkedin.com/in/sherrimaxson" TargetMode="External"/><Relationship Id="rId605" Type="http://schemas.openxmlformats.org/officeDocument/2006/relationships/hyperlink" Target="https://www.linkedin.com/in/ACwAAB8nqHwBJcIgbvw1uKB2PHW7lUXdFamWiek" TargetMode="External"/><Relationship Id="rId812" Type="http://schemas.openxmlformats.org/officeDocument/2006/relationships/hyperlink" Target="https://www.linkedin.com/in/ACwAABfADhIBMuqICryqvxflu7USXdtpgWlZAdE" TargetMode="External"/><Relationship Id="rId1028" Type="http://schemas.openxmlformats.org/officeDocument/2006/relationships/hyperlink" Target="https://www.linkedin.com/in/jasonstothard" TargetMode="External"/><Relationship Id="rId1235" Type="http://schemas.openxmlformats.org/officeDocument/2006/relationships/hyperlink" Target="http://reynera.com.mx/" TargetMode="External"/><Relationship Id="rId1442" Type="http://schemas.openxmlformats.org/officeDocument/2006/relationships/hyperlink" Target="http://tiendas3b.com/" TargetMode="External"/><Relationship Id="rId1887" Type="http://schemas.openxmlformats.org/officeDocument/2006/relationships/hyperlink" Target="http://www.linkedin.com/in/blakely-roberson-660208292" TargetMode="External"/><Relationship Id="rId2840" Type="http://schemas.openxmlformats.org/officeDocument/2006/relationships/hyperlink" Target="http://www.linkedin.com/in/alejandra-nu%c3%b1ez-garcia-b87852212" TargetMode="External"/><Relationship Id="rId2938" Type="http://schemas.openxmlformats.org/officeDocument/2006/relationships/hyperlink" Target="http://www.linkedin.com/in/tania-castillo-28942998" TargetMode="External"/><Relationship Id="rId1302" Type="http://schemas.openxmlformats.org/officeDocument/2006/relationships/hyperlink" Target="http://shyla.com/" TargetMode="External"/><Relationship Id="rId1747" Type="http://schemas.openxmlformats.org/officeDocument/2006/relationships/hyperlink" Target="http://www.linkedin.com/in/moeun-sung-2a6221106" TargetMode="External"/><Relationship Id="rId1954" Type="http://schemas.openxmlformats.org/officeDocument/2006/relationships/hyperlink" Target="http://www.linkedin.com/in/joon-silverstein-487471" TargetMode="External"/><Relationship Id="rId2700" Type="http://schemas.openxmlformats.org/officeDocument/2006/relationships/hyperlink" Target="http://www.linkedin.com/in/alejandra-contreras-marquez-76774471" TargetMode="External"/><Relationship Id="rId39" Type="http://schemas.openxmlformats.org/officeDocument/2006/relationships/hyperlink" Target="https://www.linkedin.com/in/julianprashad" TargetMode="External"/><Relationship Id="rId1607" Type="http://schemas.openxmlformats.org/officeDocument/2006/relationships/hyperlink" Target="http://zoewater.com.mx/" TargetMode="External"/><Relationship Id="rId1814" Type="http://schemas.openxmlformats.org/officeDocument/2006/relationships/hyperlink" Target="http://www.linkedin.com/in/vera-muijsson-a9682a67" TargetMode="External"/><Relationship Id="rId3267" Type="http://schemas.openxmlformats.org/officeDocument/2006/relationships/hyperlink" Target="http://www.linkedin.com/in/fabiola-mor%c3%a1n-ba076b155" TargetMode="External"/><Relationship Id="rId188" Type="http://schemas.openxmlformats.org/officeDocument/2006/relationships/hyperlink" Target="http://broxel.com/" TargetMode="External"/><Relationship Id="rId395" Type="http://schemas.openxmlformats.org/officeDocument/2006/relationships/hyperlink" Target="https://www.linkedin.com/in/ACwAAApAkdEBfK_K6W2uU12ok3zCPAYVqIuNBB4" TargetMode="External"/><Relationship Id="rId2076" Type="http://schemas.openxmlformats.org/officeDocument/2006/relationships/hyperlink" Target="http://www.linkedin.com/in/brayan-hernandez-70a642a0" TargetMode="External"/><Relationship Id="rId2283" Type="http://schemas.openxmlformats.org/officeDocument/2006/relationships/hyperlink" Target="http://www.linkedin.com/in/cesia-santos-chang-356882149" TargetMode="External"/><Relationship Id="rId2490" Type="http://schemas.openxmlformats.org/officeDocument/2006/relationships/hyperlink" Target="http://www.linkedin.com/in/karlareygo" TargetMode="External"/><Relationship Id="rId2588" Type="http://schemas.openxmlformats.org/officeDocument/2006/relationships/hyperlink" Target="http://www.linkedin.com/in/luis-ram%c3%b3n-rodr%c3%adguez-avalos-864191131" TargetMode="External"/><Relationship Id="rId3127" Type="http://schemas.openxmlformats.org/officeDocument/2006/relationships/hyperlink" Target="http://www.linkedin.com/in/leonardoflores0907" TargetMode="External"/><Relationship Id="rId255" Type="http://schemas.openxmlformats.org/officeDocument/2006/relationships/hyperlink" Target="https://www.linkedin.com/in/ACwAACSNg08BUgYXe0Mgi6x8vl9eLgvu4rpDBaE" TargetMode="External"/><Relationship Id="rId462" Type="http://schemas.openxmlformats.org/officeDocument/2006/relationships/hyperlink" Target="http://elektra.com.mx/" TargetMode="External"/><Relationship Id="rId1092" Type="http://schemas.openxmlformats.org/officeDocument/2006/relationships/hyperlink" Target="http://officemax.com.mx/" TargetMode="External"/><Relationship Id="rId1397" Type="http://schemas.openxmlformats.org/officeDocument/2006/relationships/hyperlink" Target="http://tapni.co/" TargetMode="External"/><Relationship Id="rId2143" Type="http://schemas.openxmlformats.org/officeDocument/2006/relationships/hyperlink" Target="http://www.linkedin.com/in/juliana-fran%c3%a7a-65412b9b" TargetMode="External"/><Relationship Id="rId2350" Type="http://schemas.openxmlformats.org/officeDocument/2006/relationships/hyperlink" Target="http://www.linkedin.com/in/fernanda-l%c3%b3pez-061b9316b" TargetMode="External"/><Relationship Id="rId2795" Type="http://schemas.openxmlformats.org/officeDocument/2006/relationships/hyperlink" Target="http://www.linkedin.com/in/aisulu" TargetMode="External"/><Relationship Id="rId115" Type="http://schemas.openxmlformats.org/officeDocument/2006/relationships/hyperlink" Target="https://www.linkedin.com/in/gonzalopolis" TargetMode="External"/><Relationship Id="rId322" Type="http://schemas.openxmlformats.org/officeDocument/2006/relationships/hyperlink" Target="http://cuadra.com.mx/" TargetMode="External"/><Relationship Id="rId767" Type="http://schemas.openxmlformats.org/officeDocument/2006/relationships/hyperlink" Target="https://www.linkedin.com/in/bourdaisnicolas" TargetMode="External"/><Relationship Id="rId974" Type="http://schemas.openxmlformats.org/officeDocument/2006/relationships/hyperlink" Target="https://www.linkedin.com/in/daveocampo" TargetMode="External"/><Relationship Id="rId2003" Type="http://schemas.openxmlformats.org/officeDocument/2006/relationships/hyperlink" Target="http://www.linkedin.com/in/bella-zhang-4b497018" TargetMode="External"/><Relationship Id="rId2210" Type="http://schemas.openxmlformats.org/officeDocument/2006/relationships/hyperlink" Target="http://www.linkedin.com/in/esmeralda-gonz%c3%a1lez-89296a58" TargetMode="External"/><Relationship Id="rId2448" Type="http://schemas.openxmlformats.org/officeDocument/2006/relationships/hyperlink" Target="http://www.linkedin.com/in/francesca-patterson-27676042" TargetMode="External"/><Relationship Id="rId2655" Type="http://schemas.openxmlformats.org/officeDocument/2006/relationships/hyperlink" Target="http://www.linkedin.com/in/maria-fernanda-rodriguez-3625917b" TargetMode="External"/><Relationship Id="rId2862" Type="http://schemas.openxmlformats.org/officeDocument/2006/relationships/hyperlink" Target="http://www.linkedin.com/in/stephaniejsharpe" TargetMode="External"/><Relationship Id="rId627" Type="http://schemas.openxmlformats.org/officeDocument/2006/relationships/hyperlink" Target="https://www.linkedin.com/in/ACwAAAvqyb0B5gqLzrErSjJzUJTuLqbBbcR8mZE" TargetMode="External"/><Relationship Id="rId834" Type="http://schemas.openxmlformats.org/officeDocument/2006/relationships/hyperlink" Target="http://lacastellana.com/" TargetMode="External"/><Relationship Id="rId1257" Type="http://schemas.openxmlformats.org/officeDocument/2006/relationships/hyperlink" Target="http://salud-digna.org/" TargetMode="External"/><Relationship Id="rId1464" Type="http://schemas.openxmlformats.org/officeDocument/2006/relationships/hyperlink" Target="https://www.linkedin.com/in/arturo-meza-212b099" TargetMode="External"/><Relationship Id="rId1671" Type="http://schemas.openxmlformats.org/officeDocument/2006/relationships/hyperlink" Target="http://www.linkedin.com/in/suraj-choudhary-4b209215b" TargetMode="External"/><Relationship Id="rId2308" Type="http://schemas.openxmlformats.org/officeDocument/2006/relationships/hyperlink" Target="http://www.linkedin.com/in/evelyn-cuellar-rios-31980b56" TargetMode="External"/><Relationship Id="rId2515" Type="http://schemas.openxmlformats.org/officeDocument/2006/relationships/hyperlink" Target="http://www.linkedin.com/in/reyna-felix-41295b92" TargetMode="External"/><Relationship Id="rId2722" Type="http://schemas.openxmlformats.org/officeDocument/2006/relationships/hyperlink" Target="http://www.linkedin.com/in/danielamochoa" TargetMode="External"/><Relationship Id="rId901" Type="http://schemas.openxmlformats.org/officeDocument/2006/relationships/hyperlink" Target="https://www.linkedin.com/in/ACwAAAE66IoB1yn5rIIpiJpPUdjc9shmuawqFuY" TargetMode="External"/><Relationship Id="rId1117" Type="http://schemas.openxmlformats.org/officeDocument/2006/relationships/hyperlink" Target="http://orange.com/" TargetMode="External"/><Relationship Id="rId1324" Type="http://schemas.openxmlformats.org/officeDocument/2006/relationships/hyperlink" Target="http://someonesomewhere.mx/" TargetMode="External"/><Relationship Id="rId1531" Type="http://schemas.openxmlformats.org/officeDocument/2006/relationships/hyperlink" Target="https://www.linkedin.com/in/alfonso-gomezf" TargetMode="External"/><Relationship Id="rId1769" Type="http://schemas.openxmlformats.org/officeDocument/2006/relationships/hyperlink" Target="http://www.linkedin.com/in/fernando-garc%c3%ada-montesinos-981205bb" TargetMode="External"/><Relationship Id="rId1976" Type="http://schemas.openxmlformats.org/officeDocument/2006/relationships/hyperlink" Target="http://www.linkedin.com/in/erica-wertheim-522a353b" TargetMode="External"/><Relationship Id="rId3191" Type="http://schemas.openxmlformats.org/officeDocument/2006/relationships/hyperlink" Target="http://www.linkedin.com/in/nayeli-v%c3%a1zquez-vega-7881b21b9" TargetMode="External"/><Relationship Id="rId30" Type="http://schemas.openxmlformats.org/officeDocument/2006/relationships/hyperlink" Target="https://www.linkedin.com/in/consergioalanis" TargetMode="External"/><Relationship Id="rId1629" Type="http://schemas.openxmlformats.org/officeDocument/2006/relationships/hyperlink" Target="http://www.linkedin.com/in/hari-sugiharto" TargetMode="External"/><Relationship Id="rId1836" Type="http://schemas.openxmlformats.org/officeDocument/2006/relationships/hyperlink" Target="http://www.linkedin.com/in/ricardo-david-alvarez-mu%c3%b1oz-800b43123" TargetMode="External"/><Relationship Id="rId1903" Type="http://schemas.openxmlformats.org/officeDocument/2006/relationships/hyperlink" Target="http://www.linkedin.com/in/jese-garcia-073102bb" TargetMode="External"/><Relationship Id="rId2098" Type="http://schemas.openxmlformats.org/officeDocument/2006/relationships/hyperlink" Target="http://www.linkedin.com/in/rocio-g%c3%b3mez-b3b1aa92" TargetMode="External"/><Relationship Id="rId3051" Type="http://schemas.openxmlformats.org/officeDocument/2006/relationships/hyperlink" Target="http://www.linkedin.com/in/amber-muench-5195ab77" TargetMode="External"/><Relationship Id="rId3149" Type="http://schemas.openxmlformats.org/officeDocument/2006/relationships/hyperlink" Target="http://www.linkedin.com/in/paloma-rodriguez-moreno-8106b8a2" TargetMode="External"/><Relationship Id="rId277" Type="http://schemas.openxmlformats.org/officeDocument/2006/relationships/hyperlink" Target="https://www.linkedin.com/in/rubengutz" TargetMode="External"/><Relationship Id="rId484" Type="http://schemas.openxmlformats.org/officeDocument/2006/relationships/hyperlink" Target="http://eurocotton.com.mx/" TargetMode="External"/><Relationship Id="rId2165" Type="http://schemas.openxmlformats.org/officeDocument/2006/relationships/hyperlink" Target="http://www.linkedin.com/in/lin-anna-45a0aa33" TargetMode="External"/><Relationship Id="rId3009" Type="http://schemas.openxmlformats.org/officeDocument/2006/relationships/hyperlink" Target="http://www.linkedin.com/in/berezhnaya-michelle-revilla-estrada-89606020b" TargetMode="External"/><Relationship Id="rId3216" Type="http://schemas.openxmlformats.org/officeDocument/2006/relationships/hyperlink" Target="http://www.linkedin.com/in/kiflemariam-abraha-2a163b153" TargetMode="External"/><Relationship Id="rId137" Type="http://schemas.openxmlformats.org/officeDocument/2006/relationships/hyperlink" Target="http://benandfrank.com/" TargetMode="External"/><Relationship Id="rId344" Type="http://schemas.openxmlformats.org/officeDocument/2006/relationships/hyperlink" Target="https://www.linkedin.com/in/guillermo-dorado-183a4271" TargetMode="External"/><Relationship Id="rId691" Type="http://schemas.openxmlformats.org/officeDocument/2006/relationships/hyperlink" Target="https://www.linkedin.com/in/arely-vasquez-3ab2709a/" TargetMode="External"/><Relationship Id="rId789" Type="http://schemas.openxmlformats.org/officeDocument/2006/relationships/hyperlink" Target="https://www.linkedin.com/in/danielapliego" TargetMode="External"/><Relationship Id="rId996" Type="http://schemas.openxmlformats.org/officeDocument/2006/relationships/hyperlink" Target="https://www.linkedin.com/in/erika-paola-pacheco-anguiano-7703871a9" TargetMode="External"/><Relationship Id="rId2025" Type="http://schemas.openxmlformats.org/officeDocument/2006/relationships/hyperlink" Target="http://www.linkedin.com/in/catalina-w-67a7661b8" TargetMode="External"/><Relationship Id="rId2372" Type="http://schemas.openxmlformats.org/officeDocument/2006/relationships/hyperlink" Target="http://www.linkedin.com/in/pilardeleon" TargetMode="External"/><Relationship Id="rId2677" Type="http://schemas.openxmlformats.org/officeDocument/2006/relationships/hyperlink" Target="http://www.linkedin.com/in/juan-ignacio-guido-66860970" TargetMode="External"/><Relationship Id="rId2884" Type="http://schemas.openxmlformats.org/officeDocument/2006/relationships/hyperlink" Target="http://www.linkedin.com/in/claudia-cant%c3%ba-4571231b5" TargetMode="External"/><Relationship Id="rId551" Type="http://schemas.openxmlformats.org/officeDocument/2006/relationships/hyperlink" Target="https://www.linkedin.com/in/ACwAAAUEVIgBdea1OsqrNZ1GXdAGdP7TJ_XL3qI" TargetMode="External"/><Relationship Id="rId649" Type="http://schemas.openxmlformats.org/officeDocument/2006/relationships/hyperlink" Target="http://helvex.com.mx/" TargetMode="External"/><Relationship Id="rId856" Type="http://schemas.openxmlformats.org/officeDocument/2006/relationships/hyperlink" Target="http://leroy.com.mx/" TargetMode="External"/><Relationship Id="rId1181" Type="http://schemas.openxmlformats.org/officeDocument/2006/relationships/hyperlink" Target="http://priceshoes.com/" TargetMode="External"/><Relationship Id="rId1279" Type="http://schemas.openxmlformats.org/officeDocument/2006/relationships/hyperlink" Target="https://www.linkedin.com/in/michelle-tarr-306a35203" TargetMode="External"/><Relationship Id="rId1486" Type="http://schemas.openxmlformats.org/officeDocument/2006/relationships/hyperlink" Target="http://udg.mx/" TargetMode="External"/><Relationship Id="rId2232" Type="http://schemas.openxmlformats.org/officeDocument/2006/relationships/hyperlink" Target="http://www.linkedin.com/in/gabriel-mart%c3%adnez-valdivia-89250866" TargetMode="External"/><Relationship Id="rId2537" Type="http://schemas.openxmlformats.org/officeDocument/2006/relationships/hyperlink" Target="http://www.linkedin.com/in/ana-mar%c3%ada-islas-z%c3%ba%c3%b1iga-911b511aa" TargetMode="External"/><Relationship Id="rId204" Type="http://schemas.openxmlformats.org/officeDocument/2006/relationships/hyperlink" Target="https://www.linkedin.com/in/magdalena-olszewska-309263" TargetMode="External"/><Relationship Id="rId411" Type="http://schemas.openxmlformats.org/officeDocument/2006/relationships/hyperlink" Target="http://dielsa.com/" TargetMode="External"/><Relationship Id="rId509" Type="http://schemas.openxmlformats.org/officeDocument/2006/relationships/hyperlink" Target="http://farmaciasguadalajara.com.mx/" TargetMode="External"/><Relationship Id="rId1041" Type="http://schemas.openxmlformats.org/officeDocument/2006/relationships/hyperlink" Target="https://www.linkedin.com/in/ACwAAC6paZoByiREHM8IRC-zwilRykQ-05HzR4E" TargetMode="External"/><Relationship Id="rId1139" Type="http://schemas.openxmlformats.org/officeDocument/2006/relationships/hyperlink" Target="http://penalty.com.br/" TargetMode="External"/><Relationship Id="rId1346" Type="http://schemas.openxmlformats.org/officeDocument/2006/relationships/hyperlink" Target="http://springair.com.mx/" TargetMode="External"/><Relationship Id="rId1693" Type="http://schemas.openxmlformats.org/officeDocument/2006/relationships/hyperlink" Target="http://www.linkedin.com/in/sapun-samarawijaya-bb3b64a9" TargetMode="External"/><Relationship Id="rId1998" Type="http://schemas.openxmlformats.org/officeDocument/2006/relationships/hyperlink" Target="http://www.linkedin.com/in/ingrid-soto-adorno-9b5266161" TargetMode="External"/><Relationship Id="rId2744" Type="http://schemas.openxmlformats.org/officeDocument/2006/relationships/hyperlink" Target="http://www.linkedin.com/in/luis-flores-05056542" TargetMode="External"/><Relationship Id="rId2951" Type="http://schemas.openxmlformats.org/officeDocument/2006/relationships/hyperlink" Target="http://www.linkedin.com/in/karsynansari" TargetMode="External"/><Relationship Id="rId716" Type="http://schemas.openxmlformats.org/officeDocument/2006/relationships/hyperlink" Target="https://www.linkedin.com/in/ACwAABhcZMEBtZj8sv-62CJZV0k4lPFwHvNJ5VM" TargetMode="External"/><Relationship Id="rId923" Type="http://schemas.openxmlformats.org/officeDocument/2006/relationships/hyperlink" Target="http://megalabs.mx/" TargetMode="External"/><Relationship Id="rId1553" Type="http://schemas.openxmlformats.org/officeDocument/2006/relationships/hyperlink" Target="http://waldos.com.mx/" TargetMode="External"/><Relationship Id="rId1760" Type="http://schemas.openxmlformats.org/officeDocument/2006/relationships/hyperlink" Target="http://www.linkedin.com/in/robert-bruce-419067b2" TargetMode="External"/><Relationship Id="rId1858" Type="http://schemas.openxmlformats.org/officeDocument/2006/relationships/hyperlink" Target="http://www.linkedin.com/in/itsfideljimenez" TargetMode="External"/><Relationship Id="rId2604" Type="http://schemas.openxmlformats.org/officeDocument/2006/relationships/hyperlink" Target="http://www.linkedin.com/in/davidmerel" TargetMode="External"/><Relationship Id="rId2811" Type="http://schemas.openxmlformats.org/officeDocument/2006/relationships/hyperlink" Target="http://www.linkedin.com/in/borja-mu%c3%b1oz-21938527" TargetMode="External"/><Relationship Id="rId52" Type="http://schemas.openxmlformats.org/officeDocument/2006/relationships/hyperlink" Target="http://andrea.com/" TargetMode="External"/><Relationship Id="rId1206" Type="http://schemas.openxmlformats.org/officeDocument/2006/relationships/hyperlink" Target="https://www.linkedin.com/in/lucie-taff-4b070847" TargetMode="External"/><Relationship Id="rId1413" Type="http://schemas.openxmlformats.org/officeDocument/2006/relationships/hyperlink" Target="https://www.linkedin.com/in/apcuadra" TargetMode="External"/><Relationship Id="rId1620" Type="http://schemas.openxmlformats.org/officeDocument/2006/relationships/hyperlink" Target="http://www.linkedin.com/in/sandra-anah%c3%ad-lezama-p%c3%a9rez-07b827bb" TargetMode="External"/><Relationship Id="rId2909" Type="http://schemas.openxmlformats.org/officeDocument/2006/relationships/hyperlink" Target="http://www.linkedin.com/in/raina-armstrong-59541446" TargetMode="External"/><Relationship Id="rId3073" Type="http://schemas.openxmlformats.org/officeDocument/2006/relationships/hyperlink" Target="http://www.linkedin.com/in/vero-maldonado" TargetMode="External"/><Relationship Id="rId3280" Type="http://schemas.openxmlformats.org/officeDocument/2006/relationships/hyperlink" Target="http://www.linkedin.com/in/ivan-ramirez-gerente-de-marketing-senior" TargetMode="External"/><Relationship Id="rId1718" Type="http://schemas.openxmlformats.org/officeDocument/2006/relationships/hyperlink" Target="http://www.linkedin.com/in/julie-donohue-1a8571165" TargetMode="External"/><Relationship Id="rId1925" Type="http://schemas.openxmlformats.org/officeDocument/2006/relationships/hyperlink" Target="http://www.linkedin.com/in/jennifer-martinezvelazquez" TargetMode="External"/><Relationship Id="rId3140" Type="http://schemas.openxmlformats.org/officeDocument/2006/relationships/hyperlink" Target="http://www.linkedin.com/in/abikoye-olamilekan-3764ba287" TargetMode="External"/><Relationship Id="rId299" Type="http://schemas.openxmlformats.org/officeDocument/2006/relationships/hyperlink" Target="https://www.linkedin.com/in/jrominamora" TargetMode="External"/><Relationship Id="rId2187" Type="http://schemas.openxmlformats.org/officeDocument/2006/relationships/hyperlink" Target="http://www.linkedin.com/in/alicia-hern%c3%a1ndez-garc%c3%ada-1761a11b1" TargetMode="External"/><Relationship Id="rId2394" Type="http://schemas.openxmlformats.org/officeDocument/2006/relationships/hyperlink" Target="http://www.linkedin.com/in/alejandro-mart%c3%adnez-38a77312b" TargetMode="External"/><Relationship Id="rId3238" Type="http://schemas.openxmlformats.org/officeDocument/2006/relationships/hyperlink" Target="http://www.linkedin.com/in/veneramuslimova" TargetMode="External"/><Relationship Id="rId159" Type="http://schemas.openxmlformats.org/officeDocument/2006/relationships/hyperlink" Target="https://www.linkedin.com/in/ACwAAA7jIlgBmzWtDGrfonBV7flBeaiou73yYlg" TargetMode="External"/><Relationship Id="rId366" Type="http://schemas.openxmlformats.org/officeDocument/2006/relationships/hyperlink" Target="http://daraju.com/" TargetMode="External"/><Relationship Id="rId573" Type="http://schemas.openxmlformats.org/officeDocument/2006/relationships/hyperlink" Target="https://www.linkedin.com/in/alberto-carreon" TargetMode="External"/><Relationship Id="rId780" Type="http://schemas.openxmlformats.org/officeDocument/2006/relationships/hyperlink" Target="http://jemil.mx/" TargetMode="External"/><Relationship Id="rId2047" Type="http://schemas.openxmlformats.org/officeDocument/2006/relationships/hyperlink" Target="http://www.linkedin.com/in/melissa-hinojosa-956093a0" TargetMode="External"/><Relationship Id="rId2254" Type="http://schemas.openxmlformats.org/officeDocument/2006/relationships/hyperlink" Target="http://www.linkedin.com/in/karla-pantoja-68241912" TargetMode="External"/><Relationship Id="rId2461" Type="http://schemas.openxmlformats.org/officeDocument/2006/relationships/hyperlink" Target="http://www.linkedin.com/in/samantha-bautista-69776142" TargetMode="External"/><Relationship Id="rId2699" Type="http://schemas.openxmlformats.org/officeDocument/2006/relationships/hyperlink" Target="http://www.linkedin.com/in/stephaniejsharpe" TargetMode="External"/><Relationship Id="rId3000" Type="http://schemas.openxmlformats.org/officeDocument/2006/relationships/hyperlink" Target="http://www.linkedin.com/in/abigail-sep%c3%balveda-bustamante-9a8573109" TargetMode="External"/><Relationship Id="rId226" Type="http://schemas.openxmlformats.org/officeDocument/2006/relationships/hyperlink" Target="http://cemix.com/" TargetMode="External"/><Relationship Id="rId433" Type="http://schemas.openxmlformats.org/officeDocument/2006/relationships/hyperlink" Target="https://www.linkedin.com/in/pablopalatnik" TargetMode="External"/><Relationship Id="rId878" Type="http://schemas.openxmlformats.org/officeDocument/2006/relationships/hyperlink" Target="https://www.linkedin.com/in/jjbarroso" TargetMode="External"/><Relationship Id="rId1063" Type="http://schemas.openxmlformats.org/officeDocument/2006/relationships/hyperlink" Target="https://www.linkedin.com/in/ACwAABApHAABC-TM2jbiKBBVA5URAhgEX5lxrm4" TargetMode="External"/><Relationship Id="rId1270" Type="http://schemas.openxmlformats.org/officeDocument/2006/relationships/hyperlink" Target="http://samsclub.com/" TargetMode="External"/><Relationship Id="rId2114" Type="http://schemas.openxmlformats.org/officeDocument/2006/relationships/hyperlink" Target="http://www.linkedin.com/in/mariana-guti%c3%a9rrez-t%c3%a9llez-45a901209" TargetMode="External"/><Relationship Id="rId2559" Type="http://schemas.openxmlformats.org/officeDocument/2006/relationships/hyperlink" Target="http://www.linkedin.com/in/andreariosaltamirano" TargetMode="External"/><Relationship Id="rId2766" Type="http://schemas.openxmlformats.org/officeDocument/2006/relationships/hyperlink" Target="http://www.linkedin.com/in/paloma-rodriguez-moreno-8106b8a2" TargetMode="External"/><Relationship Id="rId2973" Type="http://schemas.openxmlformats.org/officeDocument/2006/relationships/hyperlink" Target="http://www.linkedin.com/in/sayuriramosvaldes24" TargetMode="External"/><Relationship Id="rId640" Type="http://schemas.openxmlformats.org/officeDocument/2006/relationships/hyperlink" Target="http://heb.com.mx/" TargetMode="External"/><Relationship Id="rId738" Type="http://schemas.openxmlformats.org/officeDocument/2006/relationships/hyperlink" Target="http://inasa.mx/" TargetMode="External"/><Relationship Id="rId945" Type="http://schemas.openxmlformats.org/officeDocument/2006/relationships/hyperlink" Target="http://mezcalamaras.com/" TargetMode="External"/><Relationship Id="rId1368" Type="http://schemas.openxmlformats.org/officeDocument/2006/relationships/hyperlink" Target="http://sunorabacanora.com/" TargetMode="External"/><Relationship Id="rId1575" Type="http://schemas.openxmlformats.org/officeDocument/2006/relationships/hyperlink" Target="http://wolfsellers.com/" TargetMode="External"/><Relationship Id="rId1782" Type="http://schemas.openxmlformats.org/officeDocument/2006/relationships/hyperlink" Target="http://www.linkedin.com/in/lexi-singer-4397b2149" TargetMode="External"/><Relationship Id="rId2321" Type="http://schemas.openxmlformats.org/officeDocument/2006/relationships/hyperlink" Target="http://www.linkedin.com/in/yobana-valle-a24639248" TargetMode="External"/><Relationship Id="rId2419" Type="http://schemas.openxmlformats.org/officeDocument/2006/relationships/hyperlink" Target="http://www.linkedin.com/in/adriana-l-a12410157" TargetMode="External"/><Relationship Id="rId2626" Type="http://schemas.openxmlformats.org/officeDocument/2006/relationships/hyperlink" Target="http://www.linkedin.com/in/ra%c3%bal-jim%c3%a9nez-a140b81ab" TargetMode="External"/><Relationship Id="rId2833" Type="http://schemas.openxmlformats.org/officeDocument/2006/relationships/hyperlink" Target="http://www.linkedin.com/in/anu-rajaharju-88b366127" TargetMode="External"/><Relationship Id="rId74" Type="http://schemas.openxmlformats.org/officeDocument/2006/relationships/hyperlink" Target="http://ascm.org/" TargetMode="External"/><Relationship Id="rId500" Type="http://schemas.openxmlformats.org/officeDocument/2006/relationships/hyperlink" Target="https://www.linkedin.com/in/jimena-contreras-gamboa-015242190" TargetMode="External"/><Relationship Id="rId805" Type="http://schemas.openxmlformats.org/officeDocument/2006/relationships/hyperlink" Target="http://kfc.com.mx/" TargetMode="External"/><Relationship Id="rId1130" Type="http://schemas.openxmlformats.org/officeDocument/2006/relationships/hyperlink" Target="https://www.linkedin.com/in/ACwAAEFW5GQBuz5nUzy9ij8Q07wGT5zkKG1CvXE" TargetMode="External"/><Relationship Id="rId1228" Type="http://schemas.openxmlformats.org/officeDocument/2006/relationships/hyperlink" Target="http://renogy.com/" TargetMode="External"/><Relationship Id="rId1435" Type="http://schemas.openxmlformats.org/officeDocument/2006/relationships/hyperlink" Target="https://www.linkedin.com/in/nathanhinshaw" TargetMode="External"/><Relationship Id="rId1642" Type="http://schemas.openxmlformats.org/officeDocument/2006/relationships/hyperlink" Target="http://www.linkedin.com/in/sophiadevivo" TargetMode="External"/><Relationship Id="rId1947" Type="http://schemas.openxmlformats.org/officeDocument/2006/relationships/hyperlink" Target="http://www.linkedin.com/in/mariana-franco-amador-a56818230" TargetMode="External"/><Relationship Id="rId2900" Type="http://schemas.openxmlformats.org/officeDocument/2006/relationships/hyperlink" Target="http://www.linkedin.com/in/mercadotecnia-murban-596b28117" TargetMode="External"/><Relationship Id="rId3095" Type="http://schemas.openxmlformats.org/officeDocument/2006/relationships/hyperlink" Target="http://www.linkedin.com/in/agustindmartinezr" TargetMode="External"/><Relationship Id="rId1502" Type="http://schemas.openxmlformats.org/officeDocument/2006/relationships/hyperlink" Target="http://up.edu.mx/" TargetMode="External"/><Relationship Id="rId1807" Type="http://schemas.openxmlformats.org/officeDocument/2006/relationships/hyperlink" Target="http://www.linkedin.com/in/nicole-depene-sander-a72426b8" TargetMode="External"/><Relationship Id="rId3162" Type="http://schemas.openxmlformats.org/officeDocument/2006/relationships/hyperlink" Target="http://www.linkedin.com/in/nardie-ghebreyesus-a0916b195" TargetMode="External"/><Relationship Id="rId290" Type="http://schemas.openxmlformats.org/officeDocument/2006/relationships/hyperlink" Target="https://www.linkedin.com/in/karla-j-alvarez-008b1293" TargetMode="External"/><Relationship Id="rId388" Type="http://schemas.openxmlformats.org/officeDocument/2006/relationships/hyperlink" Target="http://delrecords.com/" TargetMode="External"/><Relationship Id="rId2069" Type="http://schemas.openxmlformats.org/officeDocument/2006/relationships/hyperlink" Target="http://www.linkedin.com/in/andrea-pappolla-2804537" TargetMode="External"/><Relationship Id="rId3022" Type="http://schemas.openxmlformats.org/officeDocument/2006/relationships/hyperlink" Target="http://www.linkedin.com/in/claudia-cant%c3%ba-4571231b5" TargetMode="External"/><Relationship Id="rId150" Type="http://schemas.openxmlformats.org/officeDocument/2006/relationships/hyperlink" Target="http://bigcartel.com/" TargetMode="External"/><Relationship Id="rId595" Type="http://schemas.openxmlformats.org/officeDocument/2006/relationships/hyperlink" Target="http://gowin.com/" TargetMode="External"/><Relationship Id="rId2276" Type="http://schemas.openxmlformats.org/officeDocument/2006/relationships/hyperlink" Target="http://www.linkedin.com/in/alejandro-sosa-garcia-95ab9616" TargetMode="External"/><Relationship Id="rId2483" Type="http://schemas.openxmlformats.org/officeDocument/2006/relationships/hyperlink" Target="http://www.linkedin.com/in/ana-paula-valencia-497434125" TargetMode="External"/><Relationship Id="rId2690" Type="http://schemas.openxmlformats.org/officeDocument/2006/relationships/hyperlink" Target="http://www.linkedin.com/in/agustindmartinezr" TargetMode="External"/><Relationship Id="rId248" Type="http://schemas.openxmlformats.org/officeDocument/2006/relationships/hyperlink" Target="http://chintglobal.mx/" TargetMode="External"/><Relationship Id="rId455" Type="http://schemas.openxmlformats.org/officeDocument/2006/relationships/hyperlink" Target="http://elektra.com.mx/" TargetMode="External"/><Relationship Id="rId662" Type="http://schemas.openxmlformats.org/officeDocument/2006/relationships/hyperlink" Target="http://homedepot.com.mx/" TargetMode="External"/><Relationship Id="rId1085" Type="http://schemas.openxmlformats.org/officeDocument/2006/relationships/hyperlink" Target="https://www.linkedin.com/in/ACwAABSF_DkBskb1D5D3deMY1Yu8ZD6LamVzw-Q" TargetMode="External"/><Relationship Id="rId1292" Type="http://schemas.openxmlformats.org/officeDocument/2006/relationships/hyperlink" Target="http://sephora.com.mx/" TargetMode="External"/><Relationship Id="rId2136" Type="http://schemas.openxmlformats.org/officeDocument/2006/relationships/hyperlink" Target="http://www.linkedin.com/in/ashley-jefferson-430223aa" TargetMode="External"/><Relationship Id="rId2343" Type="http://schemas.openxmlformats.org/officeDocument/2006/relationships/hyperlink" Target="http://www.linkedin.com/in/estefaniarmzinteriordesigner" TargetMode="External"/><Relationship Id="rId2550" Type="http://schemas.openxmlformats.org/officeDocument/2006/relationships/hyperlink" Target="http://www.linkedin.com/sales/lead/ACwAADJjboQBXZ_deGcvTkKx9hW6S96Jxm7BmJw,NAME_SEARCH,uWPp" TargetMode="External"/><Relationship Id="rId2788" Type="http://schemas.openxmlformats.org/officeDocument/2006/relationships/hyperlink" Target="http://www.linkedin.com/in/ninaskaaning" TargetMode="External"/><Relationship Id="rId2995" Type="http://schemas.openxmlformats.org/officeDocument/2006/relationships/hyperlink" Target="http://lalur.com.mx/" TargetMode="External"/><Relationship Id="rId108" Type="http://schemas.openxmlformats.org/officeDocument/2006/relationships/hyperlink" Target="http://azconsulting.mx/" TargetMode="External"/><Relationship Id="rId315" Type="http://schemas.openxmlformats.org/officeDocument/2006/relationships/hyperlink" Target="https://www.linkedin.com/in/luis-rivas-951b47155" TargetMode="External"/><Relationship Id="rId522" Type="http://schemas.openxmlformats.org/officeDocument/2006/relationships/hyperlink" Target="https://www.linkedin.com/in/ACwAAENKClQBh9FOel7YhZ7qR33QneNEqRO0TNw" TargetMode="External"/><Relationship Id="rId967" Type="http://schemas.openxmlformats.org/officeDocument/2006/relationships/hyperlink" Target="http://mobiik.com/" TargetMode="External"/><Relationship Id="rId1152" Type="http://schemas.openxmlformats.org/officeDocument/2006/relationships/hyperlink" Target="https://www.linkedin.com/in/ACwAABzTVYoBNbwUp8M7hmtHhaNQVdpBzwxn__4" TargetMode="External"/><Relationship Id="rId1597" Type="http://schemas.openxmlformats.org/officeDocument/2006/relationships/hyperlink" Target="http://xnprotel.com/" TargetMode="External"/><Relationship Id="rId2203" Type="http://schemas.openxmlformats.org/officeDocument/2006/relationships/hyperlink" Target="http://www.linkedin.com/in/christian-escoto-castro-0119673b" TargetMode="External"/><Relationship Id="rId2410" Type="http://schemas.openxmlformats.org/officeDocument/2006/relationships/hyperlink" Target="http://www.linkedin.com/in/brayan-perea-41a4711b1" TargetMode="External"/><Relationship Id="rId2648" Type="http://schemas.openxmlformats.org/officeDocument/2006/relationships/hyperlink" Target="http://www.linkedin.com/in/mafer-garnica-2b4642a1" TargetMode="External"/><Relationship Id="rId2855" Type="http://schemas.openxmlformats.org/officeDocument/2006/relationships/hyperlink" Target="http://www.linkedin.com/in/veneramuslimova" TargetMode="External"/><Relationship Id="rId96" Type="http://schemas.openxmlformats.org/officeDocument/2006/relationships/hyperlink" Target="http://audioonline.com.mx/" TargetMode="External"/><Relationship Id="rId827" Type="http://schemas.openxmlformats.org/officeDocument/2006/relationships/hyperlink" Target="http://kovparts.com/" TargetMode="External"/><Relationship Id="rId1012" Type="http://schemas.openxmlformats.org/officeDocument/2006/relationships/hyperlink" Target="https://www.linkedin.com/in/javierblack" TargetMode="External"/><Relationship Id="rId1457" Type="http://schemas.openxmlformats.org/officeDocument/2006/relationships/hyperlink" Target="http://tramontina.com.mx/" TargetMode="External"/><Relationship Id="rId1664" Type="http://schemas.openxmlformats.org/officeDocument/2006/relationships/hyperlink" Target="http://www.linkedin.com/in/jared-smith-6b69393b" TargetMode="External"/><Relationship Id="rId1871" Type="http://schemas.openxmlformats.org/officeDocument/2006/relationships/hyperlink" Target="http://www.linkedin.com/in/jean-luc-sansot-23277312b" TargetMode="External"/><Relationship Id="rId2508" Type="http://schemas.openxmlformats.org/officeDocument/2006/relationships/hyperlink" Target="http://www.linkedin.com/in/xime-gastelum" TargetMode="External"/><Relationship Id="rId2715" Type="http://schemas.openxmlformats.org/officeDocument/2006/relationships/hyperlink" Target="http://www.linkedin.com/in/lucasferh" TargetMode="External"/><Relationship Id="rId2922" Type="http://schemas.openxmlformats.org/officeDocument/2006/relationships/hyperlink" Target="http://www.linkedin.com/in/ana-maria-san-martin-m-a6535b36" TargetMode="External"/><Relationship Id="rId1317" Type="http://schemas.openxmlformats.org/officeDocument/2006/relationships/hyperlink" Target="https://www.linkedin.com/in/alexascuellar" TargetMode="External"/><Relationship Id="rId1524" Type="http://schemas.openxmlformats.org/officeDocument/2006/relationships/hyperlink" Target="http://vianney.com.mx/" TargetMode="External"/><Relationship Id="rId1731" Type="http://schemas.openxmlformats.org/officeDocument/2006/relationships/hyperlink" Target="http://www.linkedin.com/in/frida-gachuz-mercadologa" TargetMode="External"/><Relationship Id="rId1969" Type="http://schemas.openxmlformats.org/officeDocument/2006/relationships/hyperlink" Target="http://www.linkedin.com/in/azusa-sekine-730422130" TargetMode="External"/><Relationship Id="rId3184" Type="http://schemas.openxmlformats.org/officeDocument/2006/relationships/hyperlink" Target="http://www.linkedin.com/in/daniel-quijano-trejo" TargetMode="External"/><Relationship Id="rId23" Type="http://schemas.openxmlformats.org/officeDocument/2006/relationships/hyperlink" Target="https://www.linkedin.com/in/alanmoronesmarketing" TargetMode="External"/><Relationship Id="rId1829" Type="http://schemas.openxmlformats.org/officeDocument/2006/relationships/hyperlink" Target="http://www.linkedin.com/in/jose-francisco-sandoval-torres-0577b715b" TargetMode="External"/><Relationship Id="rId2298" Type="http://schemas.openxmlformats.org/officeDocument/2006/relationships/hyperlink" Target="http://www.linkedin.com/in/manuela-arango-mej%c3%ada-333b5096" TargetMode="External"/><Relationship Id="rId3044" Type="http://schemas.openxmlformats.org/officeDocument/2006/relationships/hyperlink" Target="http://www.linkedin.com/in/aurazama1751" TargetMode="External"/><Relationship Id="rId3251" Type="http://schemas.openxmlformats.org/officeDocument/2006/relationships/hyperlink" Target="http://www.linkedin.com/in/jesseness" TargetMode="External"/><Relationship Id="rId172" Type="http://schemas.openxmlformats.org/officeDocument/2006/relationships/hyperlink" Target="http://brooksrunning.com/" TargetMode="External"/><Relationship Id="rId477" Type="http://schemas.openxmlformats.org/officeDocument/2006/relationships/hyperlink" Target="https://www.linkedin.com/in/ACwAADm-Vm4BebfsqsHaSFlNxOYZn6fDfXwAT2U" TargetMode="External"/><Relationship Id="rId684" Type="http://schemas.openxmlformats.org/officeDocument/2006/relationships/hyperlink" Target="https://cantia.com.mx/" TargetMode="External"/><Relationship Id="rId2060" Type="http://schemas.openxmlformats.org/officeDocument/2006/relationships/hyperlink" Target="http://www.linkedin.com/in/andrea-viridiana-garcia-1487a56a" TargetMode="External"/><Relationship Id="rId2158" Type="http://schemas.openxmlformats.org/officeDocument/2006/relationships/hyperlink" Target="http://www.linkedin.com/in/daniellemoroukian" TargetMode="External"/><Relationship Id="rId2365" Type="http://schemas.openxmlformats.org/officeDocument/2006/relationships/hyperlink" Target="http://www.linkedin.com/in/apcuadra" TargetMode="External"/><Relationship Id="rId3111" Type="http://schemas.openxmlformats.org/officeDocument/2006/relationships/hyperlink" Target="http://www.linkedin.com/in/fernando-nieves-1a7467144" TargetMode="External"/><Relationship Id="rId3209" Type="http://schemas.openxmlformats.org/officeDocument/2006/relationships/hyperlink" Target="http://www.linkedin.com/in/paola-toledo-aguilar-a8b74b65" TargetMode="External"/><Relationship Id="rId337" Type="http://schemas.openxmlformats.org/officeDocument/2006/relationships/hyperlink" Target="http://cvdirectomexico.com/" TargetMode="External"/><Relationship Id="rId891" Type="http://schemas.openxmlformats.org/officeDocument/2006/relationships/hyperlink" Target="https://www.linkedin.com/in/victor-villegas-1515a77" TargetMode="External"/><Relationship Id="rId989" Type="http://schemas.openxmlformats.org/officeDocument/2006/relationships/hyperlink" Target="http://moramora.mx/" TargetMode="External"/><Relationship Id="rId2018" Type="http://schemas.openxmlformats.org/officeDocument/2006/relationships/hyperlink" Target="http://www.linkedin.com/in/rev-p-legg-825b97120" TargetMode="External"/><Relationship Id="rId2572" Type="http://schemas.openxmlformats.org/officeDocument/2006/relationships/hyperlink" Target="http://www.linkedin.com/in/jes%c3%bas-amador-2a697166" TargetMode="External"/><Relationship Id="rId2877" Type="http://schemas.openxmlformats.org/officeDocument/2006/relationships/hyperlink" Target="http://www.linkedin.com/in/agustindmartinezr" TargetMode="External"/><Relationship Id="rId544" Type="http://schemas.openxmlformats.org/officeDocument/2006/relationships/hyperlink" Target="http://fundraisingtransformed.com/" TargetMode="External"/><Relationship Id="rId751" Type="http://schemas.openxmlformats.org/officeDocument/2006/relationships/hyperlink" Target="https://www.linkedin.com/in/estebancontre" TargetMode="External"/><Relationship Id="rId849" Type="http://schemas.openxmlformats.org/officeDocument/2006/relationships/hyperlink" Target="https://www.linkedin.com/in/ACwAAAfuTo0B1aGyidzxer6bpYgF3wnWqmB9QKE" TargetMode="External"/><Relationship Id="rId1174" Type="http://schemas.openxmlformats.org/officeDocument/2006/relationships/hyperlink" Target="http://portenntum.com/" TargetMode="External"/><Relationship Id="rId1381" Type="http://schemas.openxmlformats.org/officeDocument/2006/relationships/hyperlink" Target="https://www.linkedin.com/in/ACwAAAPa5WMBDOi7q90TG2zy-0-kNyR2YSmPRYk" TargetMode="External"/><Relationship Id="rId1479" Type="http://schemas.openxmlformats.org/officeDocument/2006/relationships/hyperlink" Target="https://www.linkedin.com/in/danielroy-procurement" TargetMode="External"/><Relationship Id="rId1686" Type="http://schemas.openxmlformats.org/officeDocument/2006/relationships/hyperlink" Target="http://www.linkedin.com/in/seanpreynolds" TargetMode="External"/><Relationship Id="rId2225" Type="http://schemas.openxmlformats.org/officeDocument/2006/relationships/hyperlink" Target="http://www.linkedin.com/in/d%c3%a1nae-fern%c3%a1ndez-951532a2" TargetMode="External"/><Relationship Id="rId2432" Type="http://schemas.openxmlformats.org/officeDocument/2006/relationships/hyperlink" Target="http://www.linkedin.com/in/juan-david-guti%c3%a9rrez-31a212171" TargetMode="External"/><Relationship Id="rId404" Type="http://schemas.openxmlformats.org/officeDocument/2006/relationships/hyperlink" Target="http://devlyn.com.mx/" TargetMode="External"/><Relationship Id="rId611" Type="http://schemas.openxmlformats.org/officeDocument/2006/relationships/hyperlink" Target="https://www.linkedin.com/in/paula-olivares-dena-1a0856117" TargetMode="External"/><Relationship Id="rId1034" Type="http://schemas.openxmlformats.org/officeDocument/2006/relationships/hyperlink" Target="http://netpay.mx/" TargetMode="External"/><Relationship Id="rId1241" Type="http://schemas.openxmlformats.org/officeDocument/2006/relationships/hyperlink" Target="http://romwe.com/" TargetMode="External"/><Relationship Id="rId1339" Type="http://schemas.openxmlformats.org/officeDocument/2006/relationships/hyperlink" Target="https://www.linkedin.com/in/omar-cisneros" TargetMode="External"/><Relationship Id="rId1893" Type="http://schemas.openxmlformats.org/officeDocument/2006/relationships/hyperlink" Target="http://www.linkedin.com/in/claus-krombach-3a0b49156" TargetMode="External"/><Relationship Id="rId2737" Type="http://schemas.openxmlformats.org/officeDocument/2006/relationships/hyperlink" Target="http://www.linkedin.com/in/ale-matheus-sp%c3%b3sito" TargetMode="External"/><Relationship Id="rId2944" Type="http://schemas.openxmlformats.org/officeDocument/2006/relationships/hyperlink" Target="http://www.linkedin.com/in/daniela-de-llano-pedroza-495b1b134" TargetMode="External"/><Relationship Id="rId709" Type="http://schemas.openxmlformats.org/officeDocument/2006/relationships/hyperlink" Target="http://ibushak.com/" TargetMode="External"/><Relationship Id="rId916" Type="http://schemas.openxmlformats.org/officeDocument/2006/relationships/hyperlink" Target="https://www.linkedin.com/in/luisipert" TargetMode="External"/><Relationship Id="rId1101" Type="http://schemas.openxmlformats.org/officeDocument/2006/relationships/hyperlink" Target="https://www.linkedin.com/in/omarsanchez1708" TargetMode="External"/><Relationship Id="rId1546" Type="http://schemas.openxmlformats.org/officeDocument/2006/relationships/hyperlink" Target="https://www.linkedin.com/in/jalejandro112" TargetMode="External"/><Relationship Id="rId1753" Type="http://schemas.openxmlformats.org/officeDocument/2006/relationships/hyperlink" Target="http://www.linkedin.com/in/chasewatts" TargetMode="External"/><Relationship Id="rId1960" Type="http://schemas.openxmlformats.org/officeDocument/2006/relationships/hyperlink" Target="http://www.linkedin.com/in/kelly-moore-081aa935" TargetMode="External"/><Relationship Id="rId2804" Type="http://schemas.openxmlformats.org/officeDocument/2006/relationships/hyperlink" Target="http://www.linkedin.com/in/paola-campos-530070163" TargetMode="External"/><Relationship Id="rId45" Type="http://schemas.openxmlformats.org/officeDocument/2006/relationships/hyperlink" Target="https://www.linkedin.com/in/vanessa-g-9494a5b7" TargetMode="External"/><Relationship Id="rId1406" Type="http://schemas.openxmlformats.org/officeDocument/2006/relationships/hyperlink" Target="https://www.linkedin.com/in/carlos-agredano-10947130" TargetMode="External"/><Relationship Id="rId1613" Type="http://schemas.openxmlformats.org/officeDocument/2006/relationships/hyperlink" Target="http://zoewater.com.mx/" TargetMode="External"/><Relationship Id="rId1820" Type="http://schemas.openxmlformats.org/officeDocument/2006/relationships/hyperlink" Target="http://www.linkedin.com/in/sarahboyer01" TargetMode="External"/><Relationship Id="rId3066" Type="http://schemas.openxmlformats.org/officeDocument/2006/relationships/hyperlink" Target="http://www.linkedin.com/in/daniel-rosales-b67280239" TargetMode="External"/><Relationship Id="rId3273" Type="http://schemas.openxmlformats.org/officeDocument/2006/relationships/hyperlink" Target="http://www.linkedin.com/in/frank-s%c3%a1nchez-171153112" TargetMode="External"/><Relationship Id="rId194" Type="http://schemas.openxmlformats.org/officeDocument/2006/relationships/hyperlink" Target="http://cade.com.mx/" TargetMode="External"/><Relationship Id="rId1918" Type="http://schemas.openxmlformats.org/officeDocument/2006/relationships/hyperlink" Target="http://www.linkedin.com/in/yonat-fastag-7072a174" TargetMode="External"/><Relationship Id="rId2082" Type="http://schemas.openxmlformats.org/officeDocument/2006/relationships/hyperlink" Target="http://www.linkedin.com/in/ana-carolina-goytia-mart%c3%adnez-05b958191" TargetMode="External"/><Relationship Id="rId3133" Type="http://schemas.openxmlformats.org/officeDocument/2006/relationships/hyperlink" Target="http://www.linkedin.com/in/morgan-liang-298128208" TargetMode="External"/><Relationship Id="rId261" Type="http://schemas.openxmlformats.org/officeDocument/2006/relationships/hyperlink" Target="https://www.linkedin.com/in/ACwAACEAaxwB3GljmEytrpGF18QGyKUPXIvSd4Y" TargetMode="External"/><Relationship Id="rId499" Type="http://schemas.openxmlformats.org/officeDocument/2006/relationships/hyperlink" Target="http://fanasa.com/" TargetMode="External"/><Relationship Id="rId2387" Type="http://schemas.openxmlformats.org/officeDocument/2006/relationships/hyperlink" Target="http://www.linkedin.com/in/anapaula-peres" TargetMode="External"/><Relationship Id="rId2594" Type="http://schemas.openxmlformats.org/officeDocument/2006/relationships/hyperlink" Target="http://www.linkedin.com/in/rodrigo-mu%c3%b1oz-mu%c3%b1oz-857ab8148" TargetMode="External"/><Relationship Id="rId359" Type="http://schemas.openxmlformats.org/officeDocument/2006/relationships/hyperlink" Target="https://www.linkedin.com/in/alex-pesel-67905a5b" TargetMode="External"/><Relationship Id="rId566" Type="http://schemas.openxmlformats.org/officeDocument/2006/relationships/hyperlink" Target="http://georgieboy.com.mx/" TargetMode="External"/><Relationship Id="rId773" Type="http://schemas.openxmlformats.org/officeDocument/2006/relationships/hyperlink" Target="https://www.linkedin.com/in/edgargarcia10" TargetMode="External"/><Relationship Id="rId1196" Type="http://schemas.openxmlformats.org/officeDocument/2006/relationships/hyperlink" Target="https://www.linkedin.com/in/ginamendoza" TargetMode="External"/><Relationship Id="rId2247" Type="http://schemas.openxmlformats.org/officeDocument/2006/relationships/hyperlink" Target="http://www.linkedin.com/in/aide-guillen-466206205" TargetMode="External"/><Relationship Id="rId2454" Type="http://schemas.openxmlformats.org/officeDocument/2006/relationships/hyperlink" Target="http://www.linkedin.com/in/denis-serrano-a1753061" TargetMode="External"/><Relationship Id="rId2899" Type="http://schemas.openxmlformats.org/officeDocument/2006/relationships/hyperlink" Target="http://www.linkedin.com/in/lourdes-angel-4b4421114" TargetMode="External"/><Relationship Id="rId3200" Type="http://schemas.openxmlformats.org/officeDocument/2006/relationships/hyperlink" Target="http://www.linkedin.com/in/emmanuel-martinez-vazquez" TargetMode="External"/><Relationship Id="rId121" Type="http://schemas.openxmlformats.org/officeDocument/2006/relationships/hyperlink" Target="https://www.linkedin.com/in/erik-arreola-1980-28196b111" TargetMode="External"/><Relationship Id="rId219" Type="http://schemas.openxmlformats.org/officeDocument/2006/relationships/hyperlink" Target="https://www.linkedin.com/in/ACwAACXr2xQB-lUx1qogJUSNqfgyL6Re6D-NnXU" TargetMode="External"/><Relationship Id="rId426" Type="http://schemas.openxmlformats.org/officeDocument/2006/relationships/hyperlink" Target="https://www.linkedin.com/in/enriquemiralda" TargetMode="External"/><Relationship Id="rId633" Type="http://schemas.openxmlformats.org/officeDocument/2006/relationships/hyperlink" Target="http://guinnessworldrecords.com/" TargetMode="External"/><Relationship Id="rId980" Type="http://schemas.openxmlformats.org/officeDocument/2006/relationships/hyperlink" Target="https://www.linkedin.com/in/sandra-alvarez-8b9a9746" TargetMode="External"/><Relationship Id="rId1056" Type="http://schemas.openxmlformats.org/officeDocument/2006/relationships/hyperlink" Target="http://novartis.com.mx/" TargetMode="External"/><Relationship Id="rId1263" Type="http://schemas.openxmlformats.org/officeDocument/2006/relationships/hyperlink" Target="https://www.linkedin.com/in/lonnie-murrillo-06386478" TargetMode="External"/><Relationship Id="rId2107" Type="http://schemas.openxmlformats.org/officeDocument/2006/relationships/hyperlink" Target="http://www.linkedin.com/in/sanae-kamii-b58770168" TargetMode="External"/><Relationship Id="rId2314" Type="http://schemas.openxmlformats.org/officeDocument/2006/relationships/hyperlink" Target="http://www.linkedin.com/in/carmenmtapia" TargetMode="External"/><Relationship Id="rId2661" Type="http://schemas.openxmlformats.org/officeDocument/2006/relationships/hyperlink" Target="http://www.linkedin.com/in/jos%c3%a9-alfredo-aldana-ram%c3%adrez-6b643b19b" TargetMode="External"/><Relationship Id="rId2759" Type="http://schemas.openxmlformats.org/officeDocument/2006/relationships/hyperlink" Target="http://www.linkedin.com/in/jonathan-coronado-comunicaci%c3%b3n" TargetMode="External"/><Relationship Id="rId2966" Type="http://schemas.openxmlformats.org/officeDocument/2006/relationships/hyperlink" Target="http://www.linkedin.com/in/joey-sweeney-60314948" TargetMode="External"/><Relationship Id="rId840" Type="http://schemas.openxmlformats.org/officeDocument/2006/relationships/hyperlink" Target="http://laferre.com.mx/" TargetMode="External"/><Relationship Id="rId938" Type="http://schemas.openxmlformats.org/officeDocument/2006/relationships/hyperlink" Target="https://www.linkedin.com/in/michelle-shadei-morales-ornelas-5a8293166" TargetMode="External"/><Relationship Id="rId1470" Type="http://schemas.openxmlformats.org/officeDocument/2006/relationships/hyperlink" Target="https://www.linkedin.com/in/michelledelasota" TargetMode="External"/><Relationship Id="rId1568" Type="http://schemas.openxmlformats.org/officeDocument/2006/relationships/hyperlink" Target="https://www.linkedin.com/in/sara-morley-684ab1a" TargetMode="External"/><Relationship Id="rId1775" Type="http://schemas.openxmlformats.org/officeDocument/2006/relationships/hyperlink" Target="http://www.linkedin.com/in/cristiancamposrodriguez" TargetMode="External"/><Relationship Id="rId2521" Type="http://schemas.openxmlformats.org/officeDocument/2006/relationships/hyperlink" Target="http://www.linkedin.com/in/mauricio-islas-saldivar-8017aa2a" TargetMode="External"/><Relationship Id="rId2619" Type="http://schemas.openxmlformats.org/officeDocument/2006/relationships/hyperlink" Target="http://www.linkedin.com/in/sandra-oliva-mej%c3%ada-phd-38997871" TargetMode="External"/><Relationship Id="rId2826" Type="http://schemas.openxmlformats.org/officeDocument/2006/relationships/hyperlink" Target="http://www.linkedin.com/in/jonathan-coronado-comunicaci%c3%b3n" TargetMode="External"/><Relationship Id="rId67" Type="http://schemas.openxmlformats.org/officeDocument/2006/relationships/hyperlink" Target="https://www.linkedin.com/in/ACwAAB5Y0VEB6T1yQ04dg_ki5_JKHruYNB5Nb8Y" TargetMode="External"/><Relationship Id="rId700" Type="http://schemas.openxmlformats.org/officeDocument/2006/relationships/hyperlink" Target="http://hubbell.com.mx/" TargetMode="External"/><Relationship Id="rId1123" Type="http://schemas.openxmlformats.org/officeDocument/2006/relationships/hyperlink" Target="http://paquetexpress.com.mx/" TargetMode="External"/><Relationship Id="rId1330" Type="http://schemas.openxmlformats.org/officeDocument/2006/relationships/hyperlink" Target="http://sony.com.mx/" TargetMode="External"/><Relationship Id="rId1428" Type="http://schemas.openxmlformats.org/officeDocument/2006/relationships/hyperlink" Target="https://www.linkedin.com/in/stephaniesullivan2" TargetMode="External"/><Relationship Id="rId1635" Type="http://schemas.openxmlformats.org/officeDocument/2006/relationships/hyperlink" Target="http://www.linkedin.com/in/ruchika-singh-6922661a" TargetMode="External"/><Relationship Id="rId1982" Type="http://schemas.openxmlformats.org/officeDocument/2006/relationships/hyperlink" Target="http://www.linkedin.com/in/catherine-song-b9812b260" TargetMode="External"/><Relationship Id="rId3088" Type="http://schemas.openxmlformats.org/officeDocument/2006/relationships/hyperlink" Target="http://www.linkedin.com/in/ra%c3%bal-cavazos-seguridad-industrial-hse-b16876163" TargetMode="External"/><Relationship Id="rId1842" Type="http://schemas.openxmlformats.org/officeDocument/2006/relationships/hyperlink" Target="http://www.linkedin.com/in/a-s-7586a2149" TargetMode="External"/><Relationship Id="rId1702" Type="http://schemas.openxmlformats.org/officeDocument/2006/relationships/hyperlink" Target="http://www.linkedin.com/in/sandra-g%c3%b3mez-franco-b8937197" TargetMode="External"/><Relationship Id="rId3155" Type="http://schemas.openxmlformats.org/officeDocument/2006/relationships/hyperlink" Target="http://www.linkedin.com/in/nenoc" TargetMode="External"/><Relationship Id="rId283" Type="http://schemas.openxmlformats.org/officeDocument/2006/relationships/hyperlink" Target="http://comex.com.mx/" TargetMode="External"/><Relationship Id="rId490" Type="http://schemas.openxmlformats.org/officeDocument/2006/relationships/hyperlink" Target="http://explotumarca.com/" TargetMode="External"/><Relationship Id="rId2171" Type="http://schemas.openxmlformats.org/officeDocument/2006/relationships/hyperlink" Target="http://www.linkedin.com/in/sylvia-wang-3ab4b31bb" TargetMode="External"/><Relationship Id="rId3015" Type="http://schemas.openxmlformats.org/officeDocument/2006/relationships/hyperlink" Target="http://www.linkedin.com/in/andrea-paulina-rios-barreto-194a71144" TargetMode="External"/><Relationship Id="rId3222" Type="http://schemas.openxmlformats.org/officeDocument/2006/relationships/hyperlink" Target="http://www.linkedin.com/in/alessiavillena" TargetMode="External"/><Relationship Id="rId143" Type="http://schemas.openxmlformats.org/officeDocument/2006/relationships/hyperlink" Target="https://www.linkedin.com/in/ravish-arora-a3b474251" TargetMode="External"/><Relationship Id="rId350" Type="http://schemas.openxmlformats.org/officeDocument/2006/relationships/hyperlink" Target="https://www.linkedin.com/in/mercadotecniab2b" TargetMode="External"/><Relationship Id="rId588" Type="http://schemas.openxmlformats.org/officeDocument/2006/relationships/hyperlink" Target="https://www.linkedin.com/in/yannth" TargetMode="External"/><Relationship Id="rId795" Type="http://schemas.openxmlformats.org/officeDocument/2006/relationships/hyperlink" Target="http://kabrita.com.mx/" TargetMode="External"/><Relationship Id="rId2031" Type="http://schemas.openxmlformats.org/officeDocument/2006/relationships/hyperlink" Target="http://www.linkedin.com/in/rachel-blitz-aaa5bb48" TargetMode="External"/><Relationship Id="rId2269" Type="http://schemas.openxmlformats.org/officeDocument/2006/relationships/hyperlink" Target="http://www.linkedin.com/in/oliver-barajas-7708865b" TargetMode="External"/><Relationship Id="rId2476" Type="http://schemas.openxmlformats.org/officeDocument/2006/relationships/hyperlink" Target="http://www.linkedin.com/in/pamela-madrigal-94518546" TargetMode="External"/><Relationship Id="rId2683" Type="http://schemas.openxmlformats.org/officeDocument/2006/relationships/hyperlink" Target="http://www.linkedin.com/in/denis-serrano-a1753061" TargetMode="External"/><Relationship Id="rId2890" Type="http://schemas.openxmlformats.org/officeDocument/2006/relationships/hyperlink" Target="http://www.linkedin.com/in/paloma-rodriguez-moreno-8106b8a2" TargetMode="External"/><Relationship Id="rId9" Type="http://schemas.openxmlformats.org/officeDocument/2006/relationships/hyperlink" Target="https://www.linkedin.com/in/ACwAABp_ieEBxQg0q2EFCfd8T_zUlwIYQ1T5aWs" TargetMode="External"/><Relationship Id="rId210" Type="http://schemas.openxmlformats.org/officeDocument/2006/relationships/hyperlink" Target="http://cassavaroots.com/" TargetMode="External"/><Relationship Id="rId448" Type="http://schemas.openxmlformats.org/officeDocument/2006/relationships/hyperlink" Target="https://www.linkedin.com/in/kseniya-pinkova-a53291114" TargetMode="External"/><Relationship Id="rId655" Type="http://schemas.openxmlformats.org/officeDocument/2006/relationships/hyperlink" Target="https://www.linkedin.com/in/aguileraloya" TargetMode="External"/><Relationship Id="rId862" Type="http://schemas.openxmlformats.org/officeDocument/2006/relationships/hyperlink" Target="https://www.linkedin.com/in/rodrigo-luna-quezadas-592a3850" TargetMode="External"/><Relationship Id="rId1078" Type="http://schemas.openxmlformats.org/officeDocument/2006/relationships/hyperlink" Target="http://odoo.com/" TargetMode="External"/><Relationship Id="rId1285" Type="http://schemas.openxmlformats.org/officeDocument/2006/relationships/hyperlink" Target="https://www.linkedin.com/in/juan-grimaldo-palomino-1b4a9817a" TargetMode="External"/><Relationship Id="rId1492" Type="http://schemas.openxmlformats.org/officeDocument/2006/relationships/hyperlink" Target="http://uey.mx/" TargetMode="External"/><Relationship Id="rId2129" Type="http://schemas.openxmlformats.org/officeDocument/2006/relationships/hyperlink" Target="http://www.linkedin.com/in/thierry-maisonneuve-76396ab" TargetMode="External"/><Relationship Id="rId2336" Type="http://schemas.openxmlformats.org/officeDocument/2006/relationships/hyperlink" Target="http://www.linkedin.com/in/jes%c3%bas-amador-2a697166" TargetMode="External"/><Relationship Id="rId2543" Type="http://schemas.openxmlformats.org/officeDocument/2006/relationships/hyperlink" Target="http://www.linkedin.com/in/francisco-javier-l%c3%b3pez-mu%c3%b1oz-1b877710a" TargetMode="External"/><Relationship Id="rId2750" Type="http://schemas.openxmlformats.org/officeDocument/2006/relationships/hyperlink" Target="http://www.linkedin.com/in/lizbeth-esmeralda-ramirez-saenz-185b5217a" TargetMode="External"/><Relationship Id="rId2988" Type="http://schemas.openxmlformats.org/officeDocument/2006/relationships/hyperlink" Target="http://www.linkedin.com/in/paola-toledo-aguilar-a8b74b65" TargetMode="External"/><Relationship Id="rId308" Type="http://schemas.openxmlformats.org/officeDocument/2006/relationships/hyperlink" Target="http://crickex.com.mx/" TargetMode="External"/><Relationship Id="rId515" Type="http://schemas.openxmlformats.org/officeDocument/2006/relationships/hyperlink" Target="http://fashionstartup.mx/" TargetMode="External"/><Relationship Id="rId722" Type="http://schemas.openxmlformats.org/officeDocument/2006/relationships/hyperlink" Target="https://www.linkedin.com/in/ACwAACo_Ci8B9pWakY77xnL-lsFgpLdtiYys3Q4" TargetMode="External"/><Relationship Id="rId1145" Type="http://schemas.openxmlformats.org/officeDocument/2006/relationships/hyperlink" Target="http://pennsylvania.com.mx/" TargetMode="External"/><Relationship Id="rId1352" Type="http://schemas.openxmlformats.org/officeDocument/2006/relationships/hyperlink" Target="https://www.linkedin.com/in/ACwAAD2N9T8BxEGxYRgKx5B-mt2dl6wQxESUGYI" TargetMode="External"/><Relationship Id="rId1797" Type="http://schemas.openxmlformats.org/officeDocument/2006/relationships/hyperlink" Target="http://www.linkedin.com/in/hyunmi-kim-085306113" TargetMode="External"/><Relationship Id="rId2403" Type="http://schemas.openxmlformats.org/officeDocument/2006/relationships/hyperlink" Target="http://www.linkedin.com/in/adriana-l%c3%b3pez-a12410157" TargetMode="External"/><Relationship Id="rId2848" Type="http://schemas.openxmlformats.org/officeDocument/2006/relationships/hyperlink" Target="http://www.linkedin.com/in/sa%c3%bal-israel-olvera-guerrero-7b5876187" TargetMode="External"/><Relationship Id="rId89" Type="http://schemas.openxmlformats.org/officeDocument/2006/relationships/hyperlink" Target="https://www.linkedin.com/in/marisol-lopez-sosa" TargetMode="External"/><Relationship Id="rId1005" Type="http://schemas.openxmlformats.org/officeDocument/2006/relationships/hyperlink" Target="http://muebleria-villarreal.com/" TargetMode="External"/><Relationship Id="rId1212" Type="http://schemas.openxmlformats.org/officeDocument/2006/relationships/hyperlink" Target="https://www.linkedin.com/in/karakadow" TargetMode="External"/><Relationship Id="rId1657" Type="http://schemas.openxmlformats.org/officeDocument/2006/relationships/hyperlink" Target="http://enviaflores.com/" TargetMode="External"/><Relationship Id="rId1864" Type="http://schemas.openxmlformats.org/officeDocument/2006/relationships/hyperlink" Target="http://www.linkedin.com/in/maruarroyo" TargetMode="External"/><Relationship Id="rId2610" Type="http://schemas.openxmlformats.org/officeDocument/2006/relationships/hyperlink" Target="http://www.linkedin.com/in/agustindmartinezr" TargetMode="External"/><Relationship Id="rId2708" Type="http://schemas.openxmlformats.org/officeDocument/2006/relationships/hyperlink" Target="http://www.linkedin.com/in/danielatrejo" TargetMode="External"/><Relationship Id="rId2915" Type="http://schemas.openxmlformats.org/officeDocument/2006/relationships/hyperlink" Target="http://www.linkedin.com/in/javiermaldonadoarg%c3%bcello" TargetMode="External"/><Relationship Id="rId1517" Type="http://schemas.openxmlformats.org/officeDocument/2006/relationships/hyperlink" Target="https://www.linkedin.com/in/ACwAACagBDwBcHgYz62cz4jdNADOfSqbdvGSjRY" TargetMode="External"/><Relationship Id="rId1724" Type="http://schemas.openxmlformats.org/officeDocument/2006/relationships/hyperlink" Target="http://www.linkedin.com/in/eduardo-arnulfo-garza-l%c3%b3pez-7ba26845" TargetMode="External"/><Relationship Id="rId3177" Type="http://schemas.openxmlformats.org/officeDocument/2006/relationships/hyperlink" Target="http://www.linkedin.com/in/carlos-cata%c3%b1o-a2468a169" TargetMode="External"/><Relationship Id="rId16" Type="http://schemas.openxmlformats.org/officeDocument/2006/relationships/hyperlink" Target="https://www.linkedin.com/in/ACwAAAmGNBsB58mr9UkRJorUfqiA-zNB9uHAOxo" TargetMode="External"/><Relationship Id="rId1931" Type="http://schemas.openxmlformats.org/officeDocument/2006/relationships/hyperlink" Target="http://www.linkedin.com/in/alonso-alonso-ventura-940697200" TargetMode="External"/><Relationship Id="rId3037" Type="http://schemas.openxmlformats.org/officeDocument/2006/relationships/hyperlink" Target="http://www.linkedin.com/in/marisol-tapia-garc%c3%ada-17160519a" TargetMode="External"/><Relationship Id="rId2193" Type="http://schemas.openxmlformats.org/officeDocument/2006/relationships/hyperlink" Target="http://www.linkedin.com/in/martina-peace-25413b114" TargetMode="External"/><Relationship Id="rId2498" Type="http://schemas.openxmlformats.org/officeDocument/2006/relationships/hyperlink" Target="http://www.linkedin.com/in/luis-alexis-lujano-jauregui-695377203" TargetMode="External"/><Relationship Id="rId3244" Type="http://schemas.openxmlformats.org/officeDocument/2006/relationships/hyperlink" Target="http://www.linkedin.com/in/jessica-cardenas-espinoza" TargetMode="External"/><Relationship Id="rId165" Type="http://schemas.openxmlformats.org/officeDocument/2006/relationships/hyperlink" Target="https://www.linkedin.com/in/yanantalypicazo" TargetMode="External"/><Relationship Id="rId372" Type="http://schemas.openxmlformats.org/officeDocument/2006/relationships/hyperlink" Target="http://deacero.com/" TargetMode="External"/><Relationship Id="rId677" Type="http://schemas.openxmlformats.org/officeDocument/2006/relationships/hyperlink" Target="https://www.linkedin.com/in/jealejandre/" TargetMode="External"/><Relationship Id="rId2053" Type="http://schemas.openxmlformats.org/officeDocument/2006/relationships/hyperlink" Target="http://www.linkedin.com/in/jade-feng-b57b5a9a" TargetMode="External"/><Relationship Id="rId2260" Type="http://schemas.openxmlformats.org/officeDocument/2006/relationships/hyperlink" Target="http://www.linkedin.com/in/paulo-zerghio-escalona-b536b7a1" TargetMode="External"/><Relationship Id="rId2358" Type="http://schemas.openxmlformats.org/officeDocument/2006/relationships/hyperlink" Target="http://www.linkedin.com/in/samuel-garc%c3%ada-palacios-164010172" TargetMode="External"/><Relationship Id="rId3104" Type="http://schemas.openxmlformats.org/officeDocument/2006/relationships/hyperlink" Target="http://www.linkedin.com/in/mireya-pablo-rodr%c3%adguez-5b72146b" TargetMode="External"/><Relationship Id="rId232" Type="http://schemas.openxmlformats.org/officeDocument/2006/relationships/hyperlink" Target="https://www.linkedin.com/in/ACwAABL-HQ8Blis4iYp1LYOF0PmILUdP6nltB8g" TargetMode="External"/><Relationship Id="rId884" Type="http://schemas.openxmlformats.org/officeDocument/2006/relationships/hyperlink" Target="https://www.linkedin.com/in/juan-velandia-b620894a" TargetMode="External"/><Relationship Id="rId2120" Type="http://schemas.openxmlformats.org/officeDocument/2006/relationships/hyperlink" Target="http://www.linkedin.com/in/fahruriza-ramansyah-3ab6b9114" TargetMode="External"/><Relationship Id="rId2565" Type="http://schemas.openxmlformats.org/officeDocument/2006/relationships/hyperlink" Target="http://www.linkedin.com/in/ayari-barr%c3%b3n-hern%c3%a1ndez-77454b184" TargetMode="External"/><Relationship Id="rId2772" Type="http://schemas.openxmlformats.org/officeDocument/2006/relationships/hyperlink" Target="http://www.linkedin.com/in/nardos-ghebreyesus-a0916b195" TargetMode="External"/><Relationship Id="rId537" Type="http://schemas.openxmlformats.org/officeDocument/2006/relationships/hyperlink" Target="http://folklore.mx/" TargetMode="External"/><Relationship Id="rId744" Type="http://schemas.openxmlformats.org/officeDocument/2006/relationships/hyperlink" Target="http://infonavit.org.mx/" TargetMode="External"/><Relationship Id="rId951" Type="http://schemas.openxmlformats.org/officeDocument/2006/relationships/hyperlink" Target="http://milano.com/" TargetMode="External"/><Relationship Id="rId1167" Type="http://schemas.openxmlformats.org/officeDocument/2006/relationships/hyperlink" Target="https://www.linkedin.com/in/martincruzc" TargetMode="External"/><Relationship Id="rId1374" Type="http://schemas.openxmlformats.org/officeDocument/2006/relationships/hyperlink" Target="http://surtidoradepartamental.com/" TargetMode="External"/><Relationship Id="rId1581" Type="http://schemas.openxmlformats.org/officeDocument/2006/relationships/hyperlink" Target="http://wortev.com/" TargetMode="External"/><Relationship Id="rId1679" Type="http://schemas.openxmlformats.org/officeDocument/2006/relationships/hyperlink" Target="http://www.linkedin.com/in/luisa-gurdi%c3%a1n-b6b42a60" TargetMode="External"/><Relationship Id="rId2218" Type="http://schemas.openxmlformats.org/officeDocument/2006/relationships/hyperlink" Target="http://www.linkedin.com/in/mauricio-valanci-757815b2" TargetMode="External"/><Relationship Id="rId2425" Type="http://schemas.openxmlformats.org/officeDocument/2006/relationships/hyperlink" Target="http://www.linkedin.com/in/marco-antonio-duran-garc%c3%ada-678190125" TargetMode="External"/><Relationship Id="rId2632" Type="http://schemas.openxmlformats.org/officeDocument/2006/relationships/hyperlink" Target="http://www.linkedin.com/in/graciela-zu%c3%b1iga-19881ba6" TargetMode="External"/><Relationship Id="rId80" Type="http://schemas.openxmlformats.org/officeDocument/2006/relationships/hyperlink" Target="http://ascm.org/" TargetMode="External"/><Relationship Id="rId604" Type="http://schemas.openxmlformats.org/officeDocument/2006/relationships/hyperlink" Target="http://growjet.com.mx/" TargetMode="External"/><Relationship Id="rId811" Type="http://schemas.openxmlformats.org/officeDocument/2006/relationships/hyperlink" Target="http://kitchenaid.com/" TargetMode="External"/><Relationship Id="rId1027" Type="http://schemas.openxmlformats.org/officeDocument/2006/relationships/hyperlink" Target="http://myshopify.com/" TargetMode="External"/><Relationship Id="rId1234" Type="http://schemas.openxmlformats.org/officeDocument/2006/relationships/hyperlink" Target="https://www.linkedin.com/in/cesar-pena-garcia" TargetMode="External"/><Relationship Id="rId1441" Type="http://schemas.openxmlformats.org/officeDocument/2006/relationships/hyperlink" Target="https://www.linkedin.com/in/santiago-r-75719312" TargetMode="External"/><Relationship Id="rId1886" Type="http://schemas.openxmlformats.org/officeDocument/2006/relationships/hyperlink" Target="http://www.linkedin.com/in/pascalnguyen306" TargetMode="External"/><Relationship Id="rId2937" Type="http://schemas.openxmlformats.org/officeDocument/2006/relationships/hyperlink" Target="http://www.linkedin.com/in/daniel-quijano-trejo" TargetMode="External"/><Relationship Id="rId909" Type="http://schemas.openxmlformats.org/officeDocument/2006/relationships/hyperlink" Target="https://www.linkedin.com/in/ACwAABLtUXEBdw6-L_F6Fli7Ifk0FTq6xRSWZbQ" TargetMode="External"/><Relationship Id="rId1301" Type="http://schemas.openxmlformats.org/officeDocument/2006/relationships/hyperlink" Target="https://www.linkedin.com/in/ana-karen-bustamante-marketing-digital" TargetMode="External"/><Relationship Id="rId1539" Type="http://schemas.openxmlformats.org/officeDocument/2006/relationships/hyperlink" Target="https://www.linkedin.com/in/martha-paredes-5059a014" TargetMode="External"/><Relationship Id="rId1746" Type="http://schemas.openxmlformats.org/officeDocument/2006/relationships/hyperlink" Target="http://www.linkedin.com/in/caroline-de-jenlis-86938235" TargetMode="External"/><Relationship Id="rId1953" Type="http://schemas.openxmlformats.org/officeDocument/2006/relationships/hyperlink" Target="http://www.linkedin.com/in/amy-wang-72219b2b" TargetMode="External"/><Relationship Id="rId3199" Type="http://schemas.openxmlformats.org/officeDocument/2006/relationships/hyperlink" Target="http://www.linkedin.com/in/emmanuel-martinez-vazquez" TargetMode="External"/><Relationship Id="rId38" Type="http://schemas.openxmlformats.org/officeDocument/2006/relationships/hyperlink" Target="http://andishere.com/" TargetMode="External"/><Relationship Id="rId1606" Type="http://schemas.openxmlformats.org/officeDocument/2006/relationships/hyperlink" Target="http://zele.mx/" TargetMode="External"/><Relationship Id="rId1813" Type="http://schemas.openxmlformats.org/officeDocument/2006/relationships/hyperlink" Target="http://www.linkedin.com/in/oana-diaconu-22463b146" TargetMode="External"/><Relationship Id="rId3059" Type="http://schemas.openxmlformats.org/officeDocument/2006/relationships/hyperlink" Target="http://www.linkedin.com/in/ignacio-salvador-chamorro-vega-92080a51" TargetMode="External"/><Relationship Id="rId3266" Type="http://schemas.openxmlformats.org/officeDocument/2006/relationships/hyperlink" Target="http://www.linkedin.com/in/adrian-gutierrez-escarra-67023a1a2" TargetMode="External"/><Relationship Id="rId187" Type="http://schemas.openxmlformats.org/officeDocument/2006/relationships/hyperlink" Target="https://www.linkedin.com/in/ACwAACK8tDoBJtQyDLa0oLxA30s7nQN4rocAM9c" TargetMode="External"/><Relationship Id="rId394" Type="http://schemas.openxmlformats.org/officeDocument/2006/relationships/hyperlink" Target="http://dentalia.com/" TargetMode="External"/><Relationship Id="rId2075" Type="http://schemas.openxmlformats.org/officeDocument/2006/relationships/hyperlink" Target="http://www.linkedin.com/in/rafael-hector-martinez-marquez" TargetMode="External"/><Relationship Id="rId2282" Type="http://schemas.openxmlformats.org/officeDocument/2006/relationships/hyperlink" Target="http://www.linkedin.com/in/michelfraire" TargetMode="External"/><Relationship Id="rId3126" Type="http://schemas.openxmlformats.org/officeDocument/2006/relationships/hyperlink" Target="http://www.linkedin.com/in/ramiromartinez-marketing" TargetMode="External"/><Relationship Id="rId254" Type="http://schemas.openxmlformats.org/officeDocument/2006/relationships/hyperlink" Target="http://chopo.com.mx/" TargetMode="External"/><Relationship Id="rId699" Type="http://schemas.openxmlformats.org/officeDocument/2006/relationships/hyperlink" Target="https://www.linkedin.com/in/isaac-nishimura" TargetMode="External"/><Relationship Id="rId1091" Type="http://schemas.openxmlformats.org/officeDocument/2006/relationships/hyperlink" Target="https://www.linkedin.com/in/rolando-armando-lopez-vazquez" TargetMode="External"/><Relationship Id="rId2587" Type="http://schemas.openxmlformats.org/officeDocument/2006/relationships/hyperlink" Target="http://www.linkedin.com/in/mauricio-guevara-755b9114a" TargetMode="External"/><Relationship Id="rId2794" Type="http://schemas.openxmlformats.org/officeDocument/2006/relationships/hyperlink" Target="http://www.linkedin.com/in/denis-serrano-a1753061" TargetMode="External"/><Relationship Id="rId114" Type="http://schemas.openxmlformats.org/officeDocument/2006/relationships/hyperlink" Target="http://azulik.com/" TargetMode="External"/><Relationship Id="rId461" Type="http://schemas.openxmlformats.org/officeDocument/2006/relationships/hyperlink" Target="https://www.linkedin.com/in/ACwAABe3lVEBxXzdppqdBlrdK8Mm95utFx7mTig" TargetMode="External"/><Relationship Id="rId559" Type="http://schemas.openxmlformats.org/officeDocument/2006/relationships/hyperlink" Target="https://www.linkedin.com/in/marlene-hinojosa-56571739" TargetMode="External"/><Relationship Id="rId766" Type="http://schemas.openxmlformats.org/officeDocument/2006/relationships/hyperlink" Target="http://iqos.com/" TargetMode="External"/><Relationship Id="rId1189" Type="http://schemas.openxmlformats.org/officeDocument/2006/relationships/hyperlink" Target="http://prinsel.com.mx/" TargetMode="External"/><Relationship Id="rId1396" Type="http://schemas.openxmlformats.org/officeDocument/2006/relationships/hyperlink" Target="https://www.linkedin.com/in/aleksandarnikodijevic" TargetMode="External"/><Relationship Id="rId2142" Type="http://schemas.openxmlformats.org/officeDocument/2006/relationships/hyperlink" Target="http://www.linkedin.com/in/smsimnor" TargetMode="External"/><Relationship Id="rId2447" Type="http://schemas.openxmlformats.org/officeDocument/2006/relationships/hyperlink" Target="http://www.linkedin.com/in/auroramoralesv77" TargetMode="External"/><Relationship Id="rId321" Type="http://schemas.openxmlformats.org/officeDocument/2006/relationships/hyperlink" Target="https://www.linkedin.com/in/daniel-almanza-10295682" TargetMode="External"/><Relationship Id="rId419" Type="http://schemas.openxmlformats.org/officeDocument/2006/relationships/hyperlink" Target="http://distroller.com/" TargetMode="External"/><Relationship Id="rId626" Type="http://schemas.openxmlformats.org/officeDocument/2006/relationships/hyperlink" Target="http://grupomaxima.com/" TargetMode="External"/><Relationship Id="rId973" Type="http://schemas.openxmlformats.org/officeDocument/2006/relationships/hyperlink" Target="http://moleskine.com/" TargetMode="External"/><Relationship Id="rId1049" Type="http://schemas.openxmlformats.org/officeDocument/2006/relationships/hyperlink" Target="https://www.linkedin.com/in/ACwAABNu1I4BaCugF_7kliYl1IFJ_cAXxOZKWdM" TargetMode="External"/><Relationship Id="rId1256" Type="http://schemas.openxmlformats.org/officeDocument/2006/relationships/hyperlink" Target="https://www.linkedin.com/in/steph-meza-b72795192" TargetMode="External"/><Relationship Id="rId2002" Type="http://schemas.openxmlformats.org/officeDocument/2006/relationships/hyperlink" Target="http://www.linkedin.com/in/linda-liu-3bab0429" TargetMode="External"/><Relationship Id="rId2307" Type="http://schemas.openxmlformats.org/officeDocument/2006/relationships/hyperlink" Target="http://www.linkedin.com/in/m%c3%b3nica-m-z%c3%ba%c3%b1iga-mha" TargetMode="External"/><Relationship Id="rId2654" Type="http://schemas.openxmlformats.org/officeDocument/2006/relationships/hyperlink" Target="http://www.linkedin.com/in/javiermaldonadoarg%c3%bcello" TargetMode="External"/><Relationship Id="rId2861" Type="http://schemas.openxmlformats.org/officeDocument/2006/relationships/hyperlink" Target="http://www.linkedin.com/in/amber-muench-5195ab77" TargetMode="External"/><Relationship Id="rId2959" Type="http://schemas.openxmlformats.org/officeDocument/2006/relationships/hyperlink" Target="http://www.linkedin.com/in/perezvargas" TargetMode="External"/><Relationship Id="rId833" Type="http://schemas.openxmlformats.org/officeDocument/2006/relationships/hyperlink" Target="https://www.linkedin.com/in/yanira-munoz-duarte-marketing-innovation-shopper-consumption-occasions-marketinghead-innovationhead" TargetMode="External"/><Relationship Id="rId1116" Type="http://schemas.openxmlformats.org/officeDocument/2006/relationships/hyperlink" Target="https://www.linkedin.com/in/bobbyikebudu" TargetMode="External"/><Relationship Id="rId1463" Type="http://schemas.openxmlformats.org/officeDocument/2006/relationships/hyperlink" Target="http://transforming-technologies.com/" TargetMode="External"/><Relationship Id="rId1670" Type="http://schemas.openxmlformats.org/officeDocument/2006/relationships/hyperlink" Target="http://www.linkedin.com/in/alejandra-rico-de-la-rosa-a42371134" TargetMode="External"/><Relationship Id="rId1768" Type="http://schemas.openxmlformats.org/officeDocument/2006/relationships/hyperlink" Target="http://www.linkedin.com/in/jerry-ng-87279861" TargetMode="External"/><Relationship Id="rId2514" Type="http://schemas.openxmlformats.org/officeDocument/2006/relationships/hyperlink" Target="http://www.linkedin.com/in/mariana-pelcastre" TargetMode="External"/><Relationship Id="rId2721" Type="http://schemas.openxmlformats.org/officeDocument/2006/relationships/hyperlink" Target="http://www.linkedin.com/in/mehapowani" TargetMode="External"/><Relationship Id="rId2819" Type="http://schemas.openxmlformats.org/officeDocument/2006/relationships/hyperlink" Target="http://www.linkedin.com/in/christie-e-horsman" TargetMode="External"/><Relationship Id="rId900" Type="http://schemas.openxmlformats.org/officeDocument/2006/relationships/hyperlink" Target="http://maped.com/" TargetMode="External"/><Relationship Id="rId1323" Type="http://schemas.openxmlformats.org/officeDocument/2006/relationships/hyperlink" Target="https://www.linkedin.com/in/carlo-magno-de-ita-98b280124" TargetMode="External"/><Relationship Id="rId1530" Type="http://schemas.openxmlformats.org/officeDocument/2006/relationships/hyperlink" Target="http://vidabirdman.com/" TargetMode="External"/><Relationship Id="rId1628" Type="http://schemas.openxmlformats.org/officeDocument/2006/relationships/hyperlink" Target="http://www.linkedin.com/in/harrisonschaen" TargetMode="External"/><Relationship Id="rId1975" Type="http://schemas.openxmlformats.org/officeDocument/2006/relationships/hyperlink" Target="http://www.linkedin.com/in/emma-barakovac-615788172" TargetMode="External"/><Relationship Id="rId3190" Type="http://schemas.openxmlformats.org/officeDocument/2006/relationships/hyperlink" Target="http://www.linkedin.com/in/eriksalmong" TargetMode="External"/><Relationship Id="rId1835" Type="http://schemas.openxmlformats.org/officeDocument/2006/relationships/hyperlink" Target="http://www.linkedin.com/in/gerardo-m-saucedo-ramirez-8b676038" TargetMode="External"/><Relationship Id="rId3050" Type="http://schemas.openxmlformats.org/officeDocument/2006/relationships/hyperlink" Target="http://www.linkedin.com/in/itzel-s%c3%a1nchez-rodr%c3%adguez-1baabb153" TargetMode="External"/><Relationship Id="rId1902" Type="http://schemas.openxmlformats.org/officeDocument/2006/relationships/hyperlink" Target="http://www.linkedin.com/in/lucy-mi-94757052" TargetMode="External"/><Relationship Id="rId2097" Type="http://schemas.openxmlformats.org/officeDocument/2006/relationships/hyperlink" Target="http://www.linkedin.com/in/fernandazuccolotto" TargetMode="External"/><Relationship Id="rId3148" Type="http://schemas.openxmlformats.org/officeDocument/2006/relationships/hyperlink" Target="http://www.linkedin.com/in/miguel-ortega-969447192" TargetMode="External"/><Relationship Id="rId276" Type="http://schemas.openxmlformats.org/officeDocument/2006/relationships/hyperlink" Target="http://columbia.edu/" TargetMode="External"/><Relationship Id="rId483" Type="http://schemas.openxmlformats.org/officeDocument/2006/relationships/hyperlink" Target="https://www.linkedin.com/in/olivermillermarketing" TargetMode="External"/><Relationship Id="rId690" Type="http://schemas.openxmlformats.org/officeDocument/2006/relationships/hyperlink" Target="https://guvier.com/" TargetMode="External"/><Relationship Id="rId2164" Type="http://schemas.openxmlformats.org/officeDocument/2006/relationships/hyperlink" Target="http://www.linkedin.com/in/alessandra-sonsini-4548792a" TargetMode="External"/><Relationship Id="rId2371" Type="http://schemas.openxmlformats.org/officeDocument/2006/relationships/hyperlink" Target="http://www.linkedin.com/in/cecilia-ramos-737848164" TargetMode="External"/><Relationship Id="rId3008" Type="http://schemas.openxmlformats.org/officeDocument/2006/relationships/hyperlink" Target="http://www.linkedin.com/in/axeljmujica" TargetMode="External"/><Relationship Id="rId3215" Type="http://schemas.openxmlformats.org/officeDocument/2006/relationships/hyperlink" Target="http://www.linkedin.com/in/andrea-villarreal-noyola-102359205" TargetMode="External"/><Relationship Id="rId136" Type="http://schemas.openxmlformats.org/officeDocument/2006/relationships/hyperlink" Target="https://www.linkedin.com/in/ricardo-de-la-huerta-a3224023" TargetMode="External"/><Relationship Id="rId343" Type="http://schemas.openxmlformats.org/officeDocument/2006/relationships/hyperlink" Target="http://cyamoda.com/" TargetMode="External"/><Relationship Id="rId550" Type="http://schemas.openxmlformats.org/officeDocument/2006/relationships/hyperlink" Target="http://gaiadesign.com.mx/" TargetMode="External"/><Relationship Id="rId788" Type="http://schemas.openxmlformats.org/officeDocument/2006/relationships/hyperlink" Target="http://justo.mx/" TargetMode="External"/><Relationship Id="rId995" Type="http://schemas.openxmlformats.org/officeDocument/2006/relationships/hyperlink" Target="http://moramora.mx/" TargetMode="External"/><Relationship Id="rId1180" Type="http://schemas.openxmlformats.org/officeDocument/2006/relationships/hyperlink" Target="http://preslow.com/" TargetMode="External"/><Relationship Id="rId2024" Type="http://schemas.openxmlformats.org/officeDocument/2006/relationships/hyperlink" Target="http://www.linkedin.com/in/miguel-angel-fajardo-75a38b199" TargetMode="External"/><Relationship Id="rId2231" Type="http://schemas.openxmlformats.org/officeDocument/2006/relationships/hyperlink" Target="http://www.linkedin.com/in/nataliemartinez01" TargetMode="External"/><Relationship Id="rId2469" Type="http://schemas.openxmlformats.org/officeDocument/2006/relationships/hyperlink" Target="http://www.linkedin.com/in/moises-salazar-3b502b1a0" TargetMode="External"/><Relationship Id="rId2676" Type="http://schemas.openxmlformats.org/officeDocument/2006/relationships/hyperlink" Target="http://www.linkedin.com/in/adabella-gavia-9a084753" TargetMode="External"/><Relationship Id="rId2883" Type="http://schemas.openxmlformats.org/officeDocument/2006/relationships/hyperlink" Target="http://www.linkedin.com/in/leyracolina" TargetMode="External"/><Relationship Id="rId203" Type="http://schemas.openxmlformats.org/officeDocument/2006/relationships/hyperlink" Target="http://canvaslab.com/" TargetMode="External"/><Relationship Id="rId648" Type="http://schemas.openxmlformats.org/officeDocument/2006/relationships/hyperlink" Target="https://www.linkedin.com/in/juliosotomx" TargetMode="External"/><Relationship Id="rId855" Type="http://schemas.openxmlformats.org/officeDocument/2006/relationships/hyperlink" Target="https://www.linkedin.com/in/alejandrodeteresabuendia" TargetMode="External"/><Relationship Id="rId1040" Type="http://schemas.openxmlformats.org/officeDocument/2006/relationships/hyperlink" Target="http://northernep.com/" TargetMode="External"/><Relationship Id="rId1278" Type="http://schemas.openxmlformats.org/officeDocument/2006/relationships/hyperlink" Target="http://samsung.com/" TargetMode="External"/><Relationship Id="rId1485" Type="http://schemas.openxmlformats.org/officeDocument/2006/relationships/hyperlink" Target="https://www.linkedin.com/in/ACwAABr2SOYBX_OuJGvsbEzG8A9dtEnHB_6I5ec" TargetMode="External"/><Relationship Id="rId1692" Type="http://schemas.openxmlformats.org/officeDocument/2006/relationships/hyperlink" Target="http://www.linkedin.com/in/brookesavitt" TargetMode="External"/><Relationship Id="rId2329" Type="http://schemas.openxmlformats.org/officeDocument/2006/relationships/hyperlink" Target="http://www.linkedin.com/in/raul-arredondo-alegret-7357aa6b" TargetMode="External"/><Relationship Id="rId2536" Type="http://schemas.openxmlformats.org/officeDocument/2006/relationships/hyperlink" Target="http://www.linkedin.com/in/mariana-g%c3%b3mez-a59268212" TargetMode="External"/><Relationship Id="rId2743" Type="http://schemas.openxmlformats.org/officeDocument/2006/relationships/hyperlink" Target="http://www.linkedin.com/in/alicia-burgos-75301254" TargetMode="External"/><Relationship Id="rId410" Type="http://schemas.openxmlformats.org/officeDocument/2006/relationships/hyperlink" Target="https://www.linkedin.com/in/ACwAAAdDJLYBr2N1SllgygiCcmBD09NDpFcivfA" TargetMode="External"/><Relationship Id="rId508" Type="http://schemas.openxmlformats.org/officeDocument/2006/relationships/hyperlink" Target="https://www.linkedin.com/in/ckarla-padilla" TargetMode="External"/><Relationship Id="rId715" Type="http://schemas.openxmlformats.org/officeDocument/2006/relationships/hyperlink" Target="http://icorp.com.mx/" TargetMode="External"/><Relationship Id="rId922" Type="http://schemas.openxmlformats.org/officeDocument/2006/relationships/hyperlink" Target="https://www.linkedin.com/in/ACwAAAfWewwBM-p19ZEXhV2K3wrZWAa3KoBWELI" TargetMode="External"/><Relationship Id="rId1138" Type="http://schemas.openxmlformats.org/officeDocument/2006/relationships/hyperlink" Target="https://www.linkedin.com/in/carla-dutra?miniProfileUrn=urn%3Ali%3Afs_miniProfile%3AACoAACeuMPkB56LYl-VvkZ3VI6oyT3YIfbDaGDs" TargetMode="External"/><Relationship Id="rId1345" Type="http://schemas.openxmlformats.org/officeDocument/2006/relationships/hyperlink" Target="https://www.linkedin.com/in/homero-flores-cruz-20757749" TargetMode="External"/><Relationship Id="rId1552" Type="http://schemas.openxmlformats.org/officeDocument/2006/relationships/hyperlink" Target="https://www.linkedin.com/in/annarrmarketing" TargetMode="External"/><Relationship Id="rId1997" Type="http://schemas.openxmlformats.org/officeDocument/2006/relationships/hyperlink" Target="http://www.linkedin.com/in/ariel-jones-6b5bb5126" TargetMode="External"/><Relationship Id="rId2603" Type="http://schemas.openxmlformats.org/officeDocument/2006/relationships/hyperlink" Target="http://www.linkedin.com/in/gonzalo-ruiz-19463615" TargetMode="External"/><Relationship Id="rId2950" Type="http://schemas.openxmlformats.org/officeDocument/2006/relationships/hyperlink" Target="http://www.linkedin.com/in/monserrat-berthier-vera-012a9a13b" TargetMode="External"/><Relationship Id="rId1205" Type="http://schemas.openxmlformats.org/officeDocument/2006/relationships/hyperlink" Target="http://puratos.com.mx/" TargetMode="External"/><Relationship Id="rId1857" Type="http://schemas.openxmlformats.org/officeDocument/2006/relationships/hyperlink" Target="http://www.linkedin.com/in/armando-sanchez-sanjuan-98b4193a" TargetMode="External"/><Relationship Id="rId2810" Type="http://schemas.openxmlformats.org/officeDocument/2006/relationships/hyperlink" Target="http://www.linkedin.com/in/marisol-tapia-garc%c3%ada-17160519a" TargetMode="External"/><Relationship Id="rId2908" Type="http://schemas.openxmlformats.org/officeDocument/2006/relationships/hyperlink" Target="http://www.linkedin.com/in/nardos-ghebreyesus-a0916b195" TargetMode="External"/><Relationship Id="rId51" Type="http://schemas.openxmlformats.org/officeDocument/2006/relationships/hyperlink" Target="https://www.linkedin.com/in/adriana-ortiz-202a2249" TargetMode="External"/><Relationship Id="rId1412" Type="http://schemas.openxmlformats.org/officeDocument/2006/relationships/hyperlink" Target="http://techzone.com.mx/" TargetMode="External"/><Relationship Id="rId1717" Type="http://schemas.openxmlformats.org/officeDocument/2006/relationships/hyperlink" Target="http://www.linkedin.com/in/pooja-sujay-tawade-b5b001119" TargetMode="External"/><Relationship Id="rId1924" Type="http://schemas.openxmlformats.org/officeDocument/2006/relationships/hyperlink" Target="http://www.linkedin.com/in/dalfzen-juniors-0665001aa" TargetMode="External"/><Relationship Id="rId3072" Type="http://schemas.openxmlformats.org/officeDocument/2006/relationships/hyperlink" Target="http://www.linkedin.com/in/keanenbuckley" TargetMode="External"/><Relationship Id="rId298" Type="http://schemas.openxmlformats.org/officeDocument/2006/relationships/hyperlink" Target="http://coquetayaudaz.com.mx/" TargetMode="External"/><Relationship Id="rId158" Type="http://schemas.openxmlformats.org/officeDocument/2006/relationships/hyperlink" Target="http://biob.com.mx/" TargetMode="External"/><Relationship Id="rId2186" Type="http://schemas.openxmlformats.org/officeDocument/2006/relationships/hyperlink" Target="http://www.linkedin.com/in/gisele-ceja-herrera-487734162" TargetMode="External"/><Relationship Id="rId2393" Type="http://schemas.openxmlformats.org/officeDocument/2006/relationships/hyperlink" Target="http://www.linkedin.com/in/audrey-bonilla-6b360694" TargetMode="External"/><Relationship Id="rId2698" Type="http://schemas.openxmlformats.org/officeDocument/2006/relationships/hyperlink" Target="http://www.linkedin.com/in/fernandotapiatajonar" TargetMode="External"/><Relationship Id="rId3237" Type="http://schemas.openxmlformats.org/officeDocument/2006/relationships/hyperlink" Target="http://www.linkedin.com/in/alondra-gastelum-860489218" TargetMode="External"/><Relationship Id="rId365" Type="http://schemas.openxmlformats.org/officeDocument/2006/relationships/hyperlink" Target="https://www.linkedin.com/in/atulmishraaa" TargetMode="External"/><Relationship Id="rId572" Type="http://schemas.openxmlformats.org/officeDocument/2006/relationships/hyperlink" Target="http://gideas.com.mx/" TargetMode="External"/><Relationship Id="rId2046" Type="http://schemas.openxmlformats.org/officeDocument/2006/relationships/hyperlink" Target="http://www.linkedin.com/in/connietucker" TargetMode="External"/><Relationship Id="rId2253" Type="http://schemas.openxmlformats.org/officeDocument/2006/relationships/hyperlink" Target="http://www.linkedin.com/in/alma-lorena-hernandez-reyes-89a386120" TargetMode="External"/><Relationship Id="rId2460" Type="http://schemas.openxmlformats.org/officeDocument/2006/relationships/hyperlink" Target="http://www.linkedin.com/in/nadia-alvarez-carrasco" TargetMode="External"/><Relationship Id="rId225" Type="http://schemas.openxmlformats.org/officeDocument/2006/relationships/hyperlink" Target="https://www.linkedin.com/in/ACwAAAYSdp0B4DCh3n8_sabR-uhwJYb3SRs2LR0" TargetMode="External"/><Relationship Id="rId432" Type="http://schemas.openxmlformats.org/officeDocument/2006/relationships/hyperlink" Target="http://drinkfitzer.com/" TargetMode="External"/><Relationship Id="rId877" Type="http://schemas.openxmlformats.org/officeDocument/2006/relationships/hyperlink" Target="http://loccitane.com/" TargetMode="External"/><Relationship Id="rId1062" Type="http://schemas.openxmlformats.org/officeDocument/2006/relationships/hyperlink" Target="http://nubosperta.com/" TargetMode="External"/><Relationship Id="rId2113" Type="http://schemas.openxmlformats.org/officeDocument/2006/relationships/hyperlink" Target="http://www.linkedin.com/in/janos-varga-phd" TargetMode="External"/><Relationship Id="rId2320" Type="http://schemas.openxmlformats.org/officeDocument/2006/relationships/hyperlink" Target="http://www.linkedin.com/in/jluisp11" TargetMode="External"/><Relationship Id="rId2558" Type="http://schemas.openxmlformats.org/officeDocument/2006/relationships/hyperlink" Target="http://www.linkedin.com/in/armando-mu%c3%b1iz" TargetMode="External"/><Relationship Id="rId2765" Type="http://schemas.openxmlformats.org/officeDocument/2006/relationships/hyperlink" Target="http://www.linkedin.com/in/diana-cecilia-jauregui-gonzalez-70a7bb177" TargetMode="External"/><Relationship Id="rId2972" Type="http://schemas.openxmlformats.org/officeDocument/2006/relationships/hyperlink" Target="http://www.linkedin.com/in/nuri-carmen-reyes-valdez" TargetMode="External"/><Relationship Id="rId737" Type="http://schemas.openxmlformats.org/officeDocument/2006/relationships/hyperlink" Target="https://www.linkedin.com/in/ACwAACLyhusBfgPTnWURk38ETsffLmftEqx6GTw" TargetMode="External"/><Relationship Id="rId944" Type="http://schemas.openxmlformats.org/officeDocument/2006/relationships/hyperlink" Target="https://www.linkedin.com/in/andrea-bilbao" TargetMode="External"/><Relationship Id="rId1367" Type="http://schemas.openxmlformats.org/officeDocument/2006/relationships/hyperlink" Target="https://www.linkedin.com/in/tomi-sue-dinsman-73833b20" TargetMode="External"/><Relationship Id="rId1574" Type="http://schemas.openxmlformats.org/officeDocument/2006/relationships/hyperlink" Target="https://www.linkedin.com/in/alan-araujo-a0199b211" TargetMode="External"/><Relationship Id="rId1781" Type="http://schemas.openxmlformats.org/officeDocument/2006/relationships/hyperlink" Target="http://www.linkedin.com/in/caroline-caudalie-de-jenlis-18b61a210" TargetMode="External"/><Relationship Id="rId2418" Type="http://schemas.openxmlformats.org/officeDocument/2006/relationships/hyperlink" Target="http://www.linkedin.com/in/ruben-vargas-89b23125" TargetMode="External"/><Relationship Id="rId2625" Type="http://schemas.openxmlformats.org/officeDocument/2006/relationships/hyperlink" Target="http://www.linkedin.com/in/marketing-coatzacoalcos-9b3ba7170" TargetMode="External"/><Relationship Id="rId2832" Type="http://schemas.openxmlformats.org/officeDocument/2006/relationships/hyperlink" Target="http://www.linkedin.com/in/marco-ayora-a5674590" TargetMode="External"/><Relationship Id="rId73" Type="http://schemas.openxmlformats.org/officeDocument/2006/relationships/hyperlink" Target="https://www.linkedin.com/in/nancy-clarke-ma-7a25607" TargetMode="External"/><Relationship Id="rId804" Type="http://schemas.openxmlformats.org/officeDocument/2006/relationships/hyperlink" Target="https://www.linkedin.com/in/gabriela-lara-chavez" TargetMode="External"/><Relationship Id="rId1227" Type="http://schemas.openxmlformats.org/officeDocument/2006/relationships/hyperlink" Target="https://www.linkedin.com/in/ariasestefania" TargetMode="External"/><Relationship Id="rId1434" Type="http://schemas.openxmlformats.org/officeDocument/2006/relationships/hyperlink" Target="http://thomsonreutersmexico.com/" TargetMode="External"/><Relationship Id="rId1641" Type="http://schemas.openxmlformats.org/officeDocument/2006/relationships/hyperlink" Target="http://www.linkedin.com/in/geoffreysbrown" TargetMode="External"/><Relationship Id="rId1879" Type="http://schemas.openxmlformats.org/officeDocument/2006/relationships/hyperlink" Target="http://www.linkedin.com/in/dana-liu-985671144" TargetMode="External"/><Relationship Id="rId3094" Type="http://schemas.openxmlformats.org/officeDocument/2006/relationships/hyperlink" Target="http://www.linkedin.com/in/maribel-gonz%c3%a1lez-gil-10256048" TargetMode="External"/><Relationship Id="rId1501" Type="http://schemas.openxmlformats.org/officeDocument/2006/relationships/hyperlink" Target="https://www.linkedin.com/in/ACwAAAFMWaMBSS_FPa9YugboEH8IkC6ZFxyH3pI" TargetMode="External"/><Relationship Id="rId1739" Type="http://schemas.openxmlformats.org/officeDocument/2006/relationships/hyperlink" Target="http://www.linkedin.com/in/isadorarlvarricchio" TargetMode="External"/><Relationship Id="rId1946" Type="http://schemas.openxmlformats.org/officeDocument/2006/relationships/hyperlink" Target="http://www.linkedin.com/in/kaitlinheck" TargetMode="External"/><Relationship Id="rId1806" Type="http://schemas.openxmlformats.org/officeDocument/2006/relationships/hyperlink" Target="http://www.linkedin.com/in/elias-litchi" TargetMode="External"/><Relationship Id="rId3161" Type="http://schemas.openxmlformats.org/officeDocument/2006/relationships/hyperlink" Target="http://www.linkedin.com/in/ayari-barr%c3%b3n-hern%c3%a1ndez-77454b184" TargetMode="External"/><Relationship Id="rId3259" Type="http://schemas.openxmlformats.org/officeDocument/2006/relationships/hyperlink" Target="http://www.linkedin.com/in/andrea-sandoval-1a676bab" TargetMode="External"/><Relationship Id="rId387" Type="http://schemas.openxmlformats.org/officeDocument/2006/relationships/hyperlink" Target="https://www.linkedin.com/in/marlyn-curiel-b180aa1a4" TargetMode="External"/><Relationship Id="rId594" Type="http://schemas.openxmlformats.org/officeDocument/2006/relationships/hyperlink" Target="https://www.linkedin.com/in/ACwAADIkNekBmhezYV5lDR2jovpwtrGiJWv87S0" TargetMode="External"/><Relationship Id="rId2068" Type="http://schemas.openxmlformats.org/officeDocument/2006/relationships/hyperlink" Target="http://www.linkedin.com/in/cheer-lien-03a9a6128" TargetMode="External"/><Relationship Id="rId2275" Type="http://schemas.openxmlformats.org/officeDocument/2006/relationships/hyperlink" Target="http://www.linkedin.com/in/adela-isabel-correa-corona-68b2a118b" TargetMode="External"/><Relationship Id="rId3021" Type="http://schemas.openxmlformats.org/officeDocument/2006/relationships/hyperlink" Target="http://www.linkedin.com/in/leyracolina" TargetMode="External"/><Relationship Id="rId3119" Type="http://schemas.openxmlformats.org/officeDocument/2006/relationships/hyperlink" Target="http://www.linkedin.com/in/karen-uribe" TargetMode="External"/><Relationship Id="rId247" Type="http://schemas.openxmlformats.org/officeDocument/2006/relationships/hyperlink" Target="https://www.linkedin.com/in/ACwAABfKTXABUOzkBVTsOg5z2-BxwwfP_AIZX34" TargetMode="External"/><Relationship Id="rId899" Type="http://schemas.openxmlformats.org/officeDocument/2006/relationships/hyperlink" Target="https://www.linkedin.com/in/ACwAABQQ17MBnvjpO3bZBJQt-LJ6Q7R1ZCW8ZyI" TargetMode="External"/><Relationship Id="rId1084" Type="http://schemas.openxmlformats.org/officeDocument/2006/relationships/hyperlink" Target="http://officedepot.com.mx/" TargetMode="External"/><Relationship Id="rId2482" Type="http://schemas.openxmlformats.org/officeDocument/2006/relationships/hyperlink" Target="http://www.linkedin.com/in/mafer-garnica-2b4642a1" TargetMode="External"/><Relationship Id="rId2787" Type="http://schemas.openxmlformats.org/officeDocument/2006/relationships/hyperlink" Target="http://www.linkedin.com/in/christie-e-horsman" TargetMode="External"/><Relationship Id="rId107" Type="http://schemas.openxmlformats.org/officeDocument/2006/relationships/hyperlink" Target="https://www.linkedin.com/in/ACwAABqQdtYBj7aaSEJAByeY8KOofMMhXFRxxZc" TargetMode="External"/><Relationship Id="rId454" Type="http://schemas.openxmlformats.org/officeDocument/2006/relationships/hyperlink" Target="https://www.linkedin.com/in/raul-cornejo-diaz" TargetMode="External"/><Relationship Id="rId661" Type="http://schemas.openxmlformats.org/officeDocument/2006/relationships/hyperlink" Target="https://www.linkedin.com/in/ulisessguzman" TargetMode="External"/><Relationship Id="rId759" Type="http://schemas.openxmlformats.org/officeDocument/2006/relationships/hyperlink" Target="http://interferenciales.com.mx/" TargetMode="External"/><Relationship Id="rId966" Type="http://schemas.openxmlformats.org/officeDocument/2006/relationships/hyperlink" Target="https://www.linkedin.com/in/ACwAAAHD3rYBNUTk9zT7tSTbZmLydwMxMn1iQ-8" TargetMode="External"/><Relationship Id="rId1291" Type="http://schemas.openxmlformats.org/officeDocument/2006/relationships/hyperlink" Target="https://www.linkedin.com/in/rominapombo" TargetMode="External"/><Relationship Id="rId1389" Type="http://schemas.openxmlformats.org/officeDocument/2006/relationships/hyperlink" Target="https://www.linkedin.com/in/rocio-bilbao-1425389" TargetMode="External"/><Relationship Id="rId1596" Type="http://schemas.openxmlformats.org/officeDocument/2006/relationships/hyperlink" Target="https://www.linkedin.com/in/craigchait" TargetMode="External"/><Relationship Id="rId2135" Type="http://schemas.openxmlformats.org/officeDocument/2006/relationships/hyperlink" Target="http://www.linkedin.com/in/tori-nicholas-98b762178" TargetMode="External"/><Relationship Id="rId2342" Type="http://schemas.openxmlformats.org/officeDocument/2006/relationships/hyperlink" Target="http://www.linkedin.com/in/haydee-lara-calder%c3%b3n-57823b17a" TargetMode="External"/><Relationship Id="rId2647" Type="http://schemas.openxmlformats.org/officeDocument/2006/relationships/hyperlink" Target="http://www.linkedin.com/in/leyracolina" TargetMode="External"/><Relationship Id="rId2994" Type="http://schemas.openxmlformats.org/officeDocument/2006/relationships/hyperlink" Target="http://www.linkedin.com/in/daniela-o-047229103" TargetMode="External"/><Relationship Id="rId314" Type="http://schemas.openxmlformats.org/officeDocument/2006/relationships/hyperlink" Target="http://crownbaccara.com/" TargetMode="External"/><Relationship Id="rId521" Type="http://schemas.openxmlformats.org/officeDocument/2006/relationships/hyperlink" Target="http://ferrioni.com/" TargetMode="External"/><Relationship Id="rId619" Type="http://schemas.openxmlformats.org/officeDocument/2006/relationships/hyperlink" Target="https://www.linkedin.com/in/roberto-ugalde-2a706431" TargetMode="External"/><Relationship Id="rId1151" Type="http://schemas.openxmlformats.org/officeDocument/2006/relationships/hyperlink" Target="http://petco.com.mx/" TargetMode="External"/><Relationship Id="rId1249" Type="http://schemas.openxmlformats.org/officeDocument/2006/relationships/hyperlink" Target="http://rumex.net/" TargetMode="External"/><Relationship Id="rId2202" Type="http://schemas.openxmlformats.org/officeDocument/2006/relationships/hyperlink" Target="http://www.linkedin.com/in/helloserch" TargetMode="External"/><Relationship Id="rId2854" Type="http://schemas.openxmlformats.org/officeDocument/2006/relationships/hyperlink" Target="http://www.linkedin.com/in/nadia-alvarez-carrasco" TargetMode="External"/><Relationship Id="rId95" Type="http://schemas.openxmlformats.org/officeDocument/2006/relationships/hyperlink" Target="https://www.linkedin.com/in/juanrarivasbaltazar" TargetMode="External"/><Relationship Id="rId826" Type="http://schemas.openxmlformats.org/officeDocument/2006/relationships/hyperlink" Target="https://www.linkedin.com/in/ACwAAAkR_wUBN-UTCoimf8ZZ687jReQsH_L4VGs" TargetMode="External"/><Relationship Id="rId1011" Type="http://schemas.openxmlformats.org/officeDocument/2006/relationships/hyperlink" Target="http://mueblespergo.com/" TargetMode="External"/><Relationship Id="rId1109" Type="http://schemas.openxmlformats.org/officeDocument/2006/relationships/hyperlink" Target="http://openpay.mx/" TargetMode="External"/><Relationship Id="rId1456" Type="http://schemas.openxmlformats.org/officeDocument/2006/relationships/hyperlink" Target="https://www.linkedin.com/in/caroline-miranda-5464b456" TargetMode="External"/><Relationship Id="rId1663" Type="http://schemas.openxmlformats.org/officeDocument/2006/relationships/hyperlink" Target="http://www.linkedin.com/in/lisa-parsons-7036367" TargetMode="External"/><Relationship Id="rId1870" Type="http://schemas.openxmlformats.org/officeDocument/2006/relationships/hyperlink" Target="http://www.linkedin.com/in/judith-angel-1a83361a8" TargetMode="External"/><Relationship Id="rId1968" Type="http://schemas.openxmlformats.org/officeDocument/2006/relationships/hyperlink" Target="http://www.linkedin.com/in/deniz-ulger" TargetMode="External"/><Relationship Id="rId2507" Type="http://schemas.openxmlformats.org/officeDocument/2006/relationships/hyperlink" Target="http://www.linkedin.com/in/zyanya-bonilla-406b04151" TargetMode="External"/><Relationship Id="rId2714" Type="http://schemas.openxmlformats.org/officeDocument/2006/relationships/hyperlink" Target="http://www.linkedin.com/in/omar-fonseca-4895b6200" TargetMode="External"/><Relationship Id="rId2921" Type="http://schemas.openxmlformats.org/officeDocument/2006/relationships/hyperlink" Target="http://www.linkedin.com/in/melissanicolwong" TargetMode="External"/><Relationship Id="rId1316" Type="http://schemas.openxmlformats.org/officeDocument/2006/relationships/hyperlink" Target="http://smartfilter.com.mx/" TargetMode="External"/><Relationship Id="rId1523" Type="http://schemas.openxmlformats.org/officeDocument/2006/relationships/hyperlink" Target="https://www.linkedin.com/in/jasibecanedo" TargetMode="External"/><Relationship Id="rId1730" Type="http://schemas.openxmlformats.org/officeDocument/2006/relationships/hyperlink" Target="http://www.linkedin.com/in/montserrat-ruiz-lemus-27a18940" TargetMode="External"/><Relationship Id="rId3183" Type="http://schemas.openxmlformats.org/officeDocument/2006/relationships/hyperlink" Target="http://www.linkedin.com/in/felipe-antonio-sosa-manjarrez-85b2a5132" TargetMode="External"/><Relationship Id="rId22" Type="http://schemas.openxmlformats.org/officeDocument/2006/relationships/hyperlink" Target="http://akron.com.mx/" TargetMode="External"/><Relationship Id="rId1828" Type="http://schemas.openxmlformats.org/officeDocument/2006/relationships/hyperlink" Target="http://www.linkedin.com/in/fulvio-corcione-aleitte-85643842" TargetMode="External"/><Relationship Id="rId3043" Type="http://schemas.openxmlformats.org/officeDocument/2006/relationships/hyperlink" Target="http://www.linkedin.com/in/veneramuslimova" TargetMode="External"/><Relationship Id="rId3250" Type="http://schemas.openxmlformats.org/officeDocument/2006/relationships/hyperlink" Target="http://www.linkedin.com/in/abigail-sep%c3%balveda-bustamante-9a8573109" TargetMode="External"/><Relationship Id="rId171" Type="http://schemas.openxmlformats.org/officeDocument/2006/relationships/hyperlink" Target="https://www.linkedin.com/in/nicoledesrosier" TargetMode="External"/><Relationship Id="rId2297" Type="http://schemas.openxmlformats.org/officeDocument/2006/relationships/hyperlink" Target="http://www.linkedin.com/in/cristianperezperez940921" TargetMode="External"/><Relationship Id="rId269" Type="http://schemas.openxmlformats.org/officeDocument/2006/relationships/hyperlink" Target="https://www.linkedin.com/in/marcia-lane-27004914" TargetMode="External"/><Relationship Id="rId476" Type="http://schemas.openxmlformats.org/officeDocument/2006/relationships/hyperlink" Target="http://envia.com/" TargetMode="External"/><Relationship Id="rId683" Type="http://schemas.openxmlformats.org/officeDocument/2006/relationships/hyperlink" Target="https://www.linkedin.com/in/leonardo-romo-1213b5254/" TargetMode="External"/><Relationship Id="rId890" Type="http://schemas.openxmlformats.org/officeDocument/2006/relationships/hyperlink" Target="http://macstoreonline.com.mx/" TargetMode="External"/><Relationship Id="rId2157" Type="http://schemas.openxmlformats.org/officeDocument/2006/relationships/hyperlink" Target="http://www.linkedin.com/in/daniela-franco-9ba67264" TargetMode="External"/><Relationship Id="rId2364" Type="http://schemas.openxmlformats.org/officeDocument/2006/relationships/hyperlink" Target="http://www.linkedin.com/in/diana-gonzalez-09331a2a2" TargetMode="External"/><Relationship Id="rId2571" Type="http://schemas.openxmlformats.org/officeDocument/2006/relationships/hyperlink" Target="http://www.linkedin.com/in/pamela-colin-7a754163" TargetMode="External"/><Relationship Id="rId3110" Type="http://schemas.openxmlformats.org/officeDocument/2006/relationships/hyperlink" Target="http://www.linkedin.com/in/juan-pablo-valenzuela-93b1a158" TargetMode="External"/><Relationship Id="rId3208" Type="http://schemas.openxmlformats.org/officeDocument/2006/relationships/hyperlink" Target="http://www.linkedin.com/in/alejandra-cruz-valdez" TargetMode="External"/><Relationship Id="rId129" Type="http://schemas.openxmlformats.org/officeDocument/2006/relationships/hyperlink" Target="https://www.linkedin.com/in/kacy-chow-bn-mba-9614352" TargetMode="External"/><Relationship Id="rId336" Type="http://schemas.openxmlformats.org/officeDocument/2006/relationships/hyperlink" Target="https://www.linkedin.com/in/ACwAABrwxNMBoQFGWeL7143Z0OxhIYSzA9YuWp8" TargetMode="External"/><Relationship Id="rId543" Type="http://schemas.openxmlformats.org/officeDocument/2006/relationships/hyperlink" Target="https://www.linkedin.com/in/rtrentthompson" TargetMode="External"/><Relationship Id="rId988" Type="http://schemas.openxmlformats.org/officeDocument/2006/relationships/hyperlink" Target="https://www.linkedin.com/in/ACwAABlf0BQBKqMZ3FGny-fdUW0URPlt9od6e0U" TargetMode="External"/><Relationship Id="rId1173" Type="http://schemas.openxmlformats.org/officeDocument/2006/relationships/hyperlink" Target="https://www.linkedin.com/in/mayra-vargas-24342b29" TargetMode="External"/><Relationship Id="rId1380" Type="http://schemas.openxmlformats.org/officeDocument/2006/relationships/hyperlink" Target="http://surtidorelectrico.com.mx/" TargetMode="External"/><Relationship Id="rId2017" Type="http://schemas.openxmlformats.org/officeDocument/2006/relationships/hyperlink" Target="http://www.linkedin.com/in/gabriella-l-hammer-61b0bb1b" TargetMode="External"/><Relationship Id="rId2224" Type="http://schemas.openxmlformats.org/officeDocument/2006/relationships/hyperlink" Target="http://www.linkedin.com/sales/lead/ACwAACQDLnoB165wz0AzZNwkZYkclI1I4W3tSys,NAME_SEARCH,ZQkP" TargetMode="External"/><Relationship Id="rId2669" Type="http://schemas.openxmlformats.org/officeDocument/2006/relationships/hyperlink" Target="http://www.linkedin.com/in/alejandro-naranjo-19b7a5b7" TargetMode="External"/><Relationship Id="rId2876" Type="http://schemas.openxmlformats.org/officeDocument/2006/relationships/hyperlink" Target="http://www.linkedin.com/in/eduardo-juache-garc%c3%ada-3a5a45211" TargetMode="External"/><Relationship Id="rId403" Type="http://schemas.openxmlformats.org/officeDocument/2006/relationships/hyperlink" Target="https://www.linkedin.com/in/francisco-garduno-roman-22987618" TargetMode="External"/><Relationship Id="rId750" Type="http://schemas.openxmlformats.org/officeDocument/2006/relationships/hyperlink" Target="http://inova.com.mx/" TargetMode="External"/><Relationship Id="rId848" Type="http://schemas.openxmlformats.org/officeDocument/2006/relationships/hyperlink" Target="http://landsteiner.com/" TargetMode="External"/><Relationship Id="rId1033" Type="http://schemas.openxmlformats.org/officeDocument/2006/relationships/hyperlink" Target="https://www.linkedin.com/in/rodbarbosa" TargetMode="External"/><Relationship Id="rId1478" Type="http://schemas.openxmlformats.org/officeDocument/2006/relationships/hyperlink" Target="http://tupperware.com.mx/" TargetMode="External"/><Relationship Id="rId1685" Type="http://schemas.openxmlformats.org/officeDocument/2006/relationships/hyperlink" Target="http://www.linkedin.com/in/rodrigoperezochoa" TargetMode="External"/><Relationship Id="rId1892" Type="http://schemas.openxmlformats.org/officeDocument/2006/relationships/hyperlink" Target="http://www.linkedin.com/in/diana-sicairos-883a6b119" TargetMode="External"/><Relationship Id="rId2431" Type="http://schemas.openxmlformats.org/officeDocument/2006/relationships/hyperlink" Target="http://www.linkedin.com/in/rosmadh" TargetMode="External"/><Relationship Id="rId2529" Type="http://schemas.openxmlformats.org/officeDocument/2006/relationships/hyperlink" Target="http://www.linkedin.com/in/oscar-omar-lopez-44922420a" TargetMode="External"/><Relationship Id="rId2736" Type="http://schemas.openxmlformats.org/officeDocument/2006/relationships/hyperlink" Target="http://www.linkedin.com/in/fernanda-b-71b72b48" TargetMode="External"/><Relationship Id="rId610" Type="http://schemas.openxmlformats.org/officeDocument/2006/relationships/hyperlink" Target="http://grupoalpha.com/" TargetMode="External"/><Relationship Id="rId708" Type="http://schemas.openxmlformats.org/officeDocument/2006/relationships/hyperlink" Target="https://www.linkedin.com/in/beto-chataj-a97864187" TargetMode="External"/><Relationship Id="rId915" Type="http://schemas.openxmlformats.org/officeDocument/2006/relationships/hyperlink" Target="http://marvelsa.com/" TargetMode="External"/><Relationship Id="rId1240" Type="http://schemas.openxmlformats.org/officeDocument/2006/relationships/hyperlink" Target="https://www.linkedin.com/in/gigi-wang-0977a816b" TargetMode="External"/><Relationship Id="rId1338" Type="http://schemas.openxmlformats.org/officeDocument/2006/relationships/hyperlink" Target="http://spoiledsweetboutique.com/" TargetMode="External"/><Relationship Id="rId1545" Type="http://schemas.openxmlformats.org/officeDocument/2006/relationships/hyperlink" Target="http://vinoteca.com/" TargetMode="External"/><Relationship Id="rId2943" Type="http://schemas.openxmlformats.org/officeDocument/2006/relationships/hyperlink" Target="http://www.linkedin.com/in/andrea-villarreal-noyola-102359205" TargetMode="External"/><Relationship Id="rId1100" Type="http://schemas.openxmlformats.org/officeDocument/2006/relationships/hyperlink" Target="http://olinca.edu.mx/" TargetMode="External"/><Relationship Id="rId1405" Type="http://schemas.openxmlformats.org/officeDocument/2006/relationships/hyperlink" Target="http://tec.mx/" TargetMode="External"/><Relationship Id="rId1752" Type="http://schemas.openxmlformats.org/officeDocument/2006/relationships/hyperlink" Target="http://www.linkedin.com/in/harpreetbaweja" TargetMode="External"/><Relationship Id="rId2803" Type="http://schemas.openxmlformats.org/officeDocument/2006/relationships/hyperlink" Target="http://www.linkedin.com/in/novapelletier" TargetMode="External"/><Relationship Id="rId44" Type="http://schemas.openxmlformats.org/officeDocument/2006/relationships/hyperlink" Target="http://andishere.com/" TargetMode="External"/><Relationship Id="rId1612" Type="http://schemas.openxmlformats.org/officeDocument/2006/relationships/hyperlink" Target="https://www.linkedin.com/in/marianacervanteschavez" TargetMode="External"/><Relationship Id="rId1917" Type="http://schemas.openxmlformats.org/officeDocument/2006/relationships/hyperlink" Target="http://www.linkedin.com/in/valeria-dur%c3%a1n" TargetMode="External"/><Relationship Id="rId3065" Type="http://schemas.openxmlformats.org/officeDocument/2006/relationships/hyperlink" Target="http://www.linkedin.com/in/catalina-planellas-astudillo-307332157" TargetMode="External"/><Relationship Id="rId3272" Type="http://schemas.openxmlformats.org/officeDocument/2006/relationships/hyperlink" Target="http://www.linkedin.com/in/marcos-octavio-l%c3%b3pez-hern%c3%a1ndez-07858a148" TargetMode="External"/><Relationship Id="rId193" Type="http://schemas.openxmlformats.org/officeDocument/2006/relationships/hyperlink" Target="https://www.linkedin.com/in/michelbraverman" TargetMode="External"/><Relationship Id="rId498" Type="http://schemas.openxmlformats.org/officeDocument/2006/relationships/hyperlink" Target="https://www.linkedin.com/in/ACwAADt_PbEB0w0JiD9uMR_b9rXCpOKruvhVn58" TargetMode="External"/><Relationship Id="rId2081" Type="http://schemas.openxmlformats.org/officeDocument/2006/relationships/hyperlink" Target="http://www.linkedin.com/in/carly-gesten-48711a79" TargetMode="External"/><Relationship Id="rId2179" Type="http://schemas.openxmlformats.org/officeDocument/2006/relationships/hyperlink" Target="http://www.linkedin.com/in/bernardo-padilla-merigo" TargetMode="External"/><Relationship Id="rId3132" Type="http://schemas.openxmlformats.org/officeDocument/2006/relationships/hyperlink" Target="http://www.linkedin.com/in/mercadotecnia-murban-596b28117" TargetMode="External"/><Relationship Id="rId260" Type="http://schemas.openxmlformats.org/officeDocument/2006/relationships/hyperlink" Target="http://cinsa.com.mx/" TargetMode="External"/><Relationship Id="rId2386" Type="http://schemas.openxmlformats.org/officeDocument/2006/relationships/hyperlink" Target="http://www.linkedin.com/in/paulina-hernandez-sanchez-312592148" TargetMode="External"/><Relationship Id="rId2593" Type="http://schemas.openxmlformats.org/officeDocument/2006/relationships/hyperlink" Target="http://www.linkedin.com/in/fernando-sagredo-b6a7721aa" TargetMode="External"/><Relationship Id="rId120" Type="http://schemas.openxmlformats.org/officeDocument/2006/relationships/hyperlink" Target="http://beautyart.com.mx/" TargetMode="External"/><Relationship Id="rId358" Type="http://schemas.openxmlformats.org/officeDocument/2006/relationships/hyperlink" Target="http://danielasalcedo.com/" TargetMode="External"/><Relationship Id="rId565" Type="http://schemas.openxmlformats.org/officeDocument/2006/relationships/hyperlink" Target="https://www.linkedin.com/in/alexia-del-villar-933a46281" TargetMode="External"/><Relationship Id="rId772" Type="http://schemas.openxmlformats.org/officeDocument/2006/relationships/hyperlink" Target="http://italika.mx/" TargetMode="External"/><Relationship Id="rId1195" Type="http://schemas.openxmlformats.org/officeDocument/2006/relationships/hyperlink" Target="http://promoopcion.com/" TargetMode="External"/><Relationship Id="rId2039" Type="http://schemas.openxmlformats.org/officeDocument/2006/relationships/hyperlink" Target="http://www.linkedin.com/in/juliette-klipper-94387323" TargetMode="External"/><Relationship Id="rId2246" Type="http://schemas.openxmlformats.org/officeDocument/2006/relationships/hyperlink" Target="http://www.linkedin.com/in/suzanne-harden-b6408597" TargetMode="External"/><Relationship Id="rId2453" Type="http://schemas.openxmlformats.org/officeDocument/2006/relationships/hyperlink" Target="http://www.linkedin.com/in/antonio-noriega-nieblas-0b7181170" TargetMode="External"/><Relationship Id="rId2660" Type="http://schemas.openxmlformats.org/officeDocument/2006/relationships/hyperlink" Target="http://www.linkedin.com/in/ivan-ibarra-colocia" TargetMode="External"/><Relationship Id="rId2898" Type="http://schemas.openxmlformats.org/officeDocument/2006/relationships/hyperlink" Target="http://www.linkedin.com/in/victoria-ruiz-69961173" TargetMode="External"/><Relationship Id="rId218" Type="http://schemas.openxmlformats.org/officeDocument/2006/relationships/hyperlink" Target="http://celex.com/" TargetMode="External"/><Relationship Id="rId425" Type="http://schemas.openxmlformats.org/officeDocument/2006/relationships/hyperlink" Target="http://doncolchon.com.mx/" TargetMode="External"/><Relationship Id="rId632" Type="http://schemas.openxmlformats.org/officeDocument/2006/relationships/hyperlink" Target="https://www.linkedin.com/in/ACwAAC7eekQB98DqwwIXXtkUEfBNxfvdGs6lr6E" TargetMode="External"/><Relationship Id="rId1055" Type="http://schemas.openxmlformats.org/officeDocument/2006/relationships/hyperlink" Target="https://www.linkedin.com/in/ACwAAB6Y9qIBWDDhIQeSkVyxtBPPftYR3LjUDxM" TargetMode="External"/><Relationship Id="rId1262" Type="http://schemas.openxmlformats.org/officeDocument/2006/relationships/hyperlink" Target="http://samsclub.com/" TargetMode="External"/><Relationship Id="rId2106" Type="http://schemas.openxmlformats.org/officeDocument/2006/relationships/hyperlink" Target="http://www.linkedin.com/in/bel%c3%a9n-pomir%c3%b3-b9005618a" TargetMode="External"/><Relationship Id="rId2313" Type="http://schemas.openxmlformats.org/officeDocument/2006/relationships/hyperlink" Target="http://www.linkedin.com/in/liliana-gonzalez" TargetMode="External"/><Relationship Id="rId2520" Type="http://schemas.openxmlformats.org/officeDocument/2006/relationships/hyperlink" Target="http://www.linkedin.com/in/christian-lizarde-6b353b227" TargetMode="External"/><Relationship Id="rId2758" Type="http://schemas.openxmlformats.org/officeDocument/2006/relationships/hyperlink" Target="http://www.linkedin.com/in/arian-alemzadeh" TargetMode="External"/><Relationship Id="rId2965" Type="http://schemas.openxmlformats.org/officeDocument/2006/relationships/hyperlink" Target="http://www.linkedin.com/in/diana-ibarra-66b1a8203" TargetMode="External"/><Relationship Id="rId937" Type="http://schemas.openxmlformats.org/officeDocument/2006/relationships/hyperlink" Target="http://metricser.com/" TargetMode="External"/><Relationship Id="rId1122" Type="http://schemas.openxmlformats.org/officeDocument/2006/relationships/hyperlink" Target="https://www.linkedin.com/in/ACwAACCeW64Bem_Fyzoo6FYS_HKbG5mJd4_VBW8" TargetMode="External"/><Relationship Id="rId1567" Type="http://schemas.openxmlformats.org/officeDocument/2006/relationships/hyperlink" Target="http://wildfork.mx/" TargetMode="External"/><Relationship Id="rId1774" Type="http://schemas.openxmlformats.org/officeDocument/2006/relationships/hyperlink" Target="http://www.linkedin.com/in/brendan-kelleher-a364932" TargetMode="External"/><Relationship Id="rId1981" Type="http://schemas.openxmlformats.org/officeDocument/2006/relationships/hyperlink" Target="http://www.linkedin.com/in/alfaomegagrupoeditor-bb3796137" TargetMode="External"/><Relationship Id="rId2618" Type="http://schemas.openxmlformats.org/officeDocument/2006/relationships/hyperlink" Target="http://www.linkedin.com/in/anaisa-rangel88" TargetMode="External"/><Relationship Id="rId2825" Type="http://schemas.openxmlformats.org/officeDocument/2006/relationships/hyperlink" Target="http://www.linkedin.com/in/valeria-gonzalez-aa628621" TargetMode="External"/><Relationship Id="rId66" Type="http://schemas.openxmlformats.org/officeDocument/2006/relationships/hyperlink" Target="http://arenaswim.com.mx/" TargetMode="External"/><Relationship Id="rId1427" Type="http://schemas.openxmlformats.org/officeDocument/2006/relationships/hyperlink" Target="http://thinkific.com/" TargetMode="External"/><Relationship Id="rId1634" Type="http://schemas.openxmlformats.org/officeDocument/2006/relationships/hyperlink" Target="http://www.linkedin.com/in/yessica-gallardo-torres-73b030167" TargetMode="External"/><Relationship Id="rId1841" Type="http://schemas.openxmlformats.org/officeDocument/2006/relationships/hyperlink" Target="http://www.linkedin.com/in/rodartekaren" TargetMode="External"/><Relationship Id="rId3087" Type="http://schemas.openxmlformats.org/officeDocument/2006/relationships/hyperlink" Target="http://www.linkedin.com/in/cristinacantugtz" TargetMode="External"/><Relationship Id="rId1939" Type="http://schemas.openxmlformats.org/officeDocument/2006/relationships/hyperlink" Target="http://www.linkedin.com/in/compromised-account-lee-08555965" TargetMode="External"/><Relationship Id="rId1701" Type="http://schemas.openxmlformats.org/officeDocument/2006/relationships/hyperlink" Target="http://www.linkedin.com/in/edsanjay" TargetMode="External"/><Relationship Id="rId3154" Type="http://schemas.openxmlformats.org/officeDocument/2006/relationships/hyperlink" Target="http://www.linkedin.com/in/anastacio-escandon-a75b4b37" TargetMode="External"/><Relationship Id="rId282" Type="http://schemas.openxmlformats.org/officeDocument/2006/relationships/hyperlink" Target="http://comex.com.mx/" TargetMode="External"/><Relationship Id="rId587" Type="http://schemas.openxmlformats.org/officeDocument/2006/relationships/hyperlink" Target="http://godaddy.com/" TargetMode="External"/><Relationship Id="rId2170" Type="http://schemas.openxmlformats.org/officeDocument/2006/relationships/hyperlink" Target="http://www.linkedin.com/in/nina-jones-8b1905187" TargetMode="External"/><Relationship Id="rId2268" Type="http://schemas.openxmlformats.org/officeDocument/2006/relationships/hyperlink" Target="http://www.linkedin.com/in/andrea-carmona-99279b247" TargetMode="External"/><Relationship Id="rId3014" Type="http://schemas.openxmlformats.org/officeDocument/2006/relationships/hyperlink" Target="http://www.linkedin.com/in/giovanaortiz" TargetMode="External"/><Relationship Id="rId3221" Type="http://schemas.openxmlformats.org/officeDocument/2006/relationships/hyperlink" Target="http://lalur.com.mx/" TargetMode="External"/><Relationship Id="rId8" Type="http://schemas.openxmlformats.org/officeDocument/2006/relationships/hyperlink" Target="http://accentprone.com/" TargetMode="External"/><Relationship Id="rId142" Type="http://schemas.openxmlformats.org/officeDocument/2006/relationships/hyperlink" Target="http://betterware.com.mx/" TargetMode="External"/><Relationship Id="rId447" Type="http://schemas.openxmlformats.org/officeDocument/2006/relationships/hyperlink" Target="http://ecwid.com/" TargetMode="External"/><Relationship Id="rId794" Type="http://schemas.openxmlformats.org/officeDocument/2006/relationships/hyperlink" Target="http://justo.mx/" TargetMode="External"/><Relationship Id="rId1077" Type="http://schemas.openxmlformats.org/officeDocument/2006/relationships/hyperlink" Target="https://www.linkedin.com/in/kali-fyock" TargetMode="External"/><Relationship Id="rId2030" Type="http://schemas.openxmlformats.org/officeDocument/2006/relationships/hyperlink" Target="http://www.linkedin.com/in/leonardowalker" TargetMode="External"/><Relationship Id="rId2128" Type="http://schemas.openxmlformats.org/officeDocument/2006/relationships/hyperlink" Target="http://www.linkedin.com/in/anna-lin-8290bb28a" TargetMode="External"/><Relationship Id="rId2475" Type="http://schemas.openxmlformats.org/officeDocument/2006/relationships/hyperlink" Target="http://www.linkedin.com/in/karla-z-b2170461" TargetMode="External"/><Relationship Id="rId2682" Type="http://schemas.openxmlformats.org/officeDocument/2006/relationships/hyperlink" Target="http://www.linkedin.com/in/pgrosso" TargetMode="External"/><Relationship Id="rId2987" Type="http://schemas.openxmlformats.org/officeDocument/2006/relationships/hyperlink" Target="http://www.linkedin.com/in/alejandra-cruz-valdez" TargetMode="External"/><Relationship Id="rId654" Type="http://schemas.openxmlformats.org/officeDocument/2006/relationships/hyperlink" Target="http://homedepot.com.mx/" TargetMode="External"/><Relationship Id="rId861" Type="http://schemas.openxmlformats.org/officeDocument/2006/relationships/hyperlink" Target="http://lievant.com/" TargetMode="External"/><Relationship Id="rId959" Type="http://schemas.openxmlformats.org/officeDocument/2006/relationships/hyperlink" Target="http://mindbodyonline.com/" TargetMode="External"/><Relationship Id="rId1284" Type="http://schemas.openxmlformats.org/officeDocument/2006/relationships/hyperlink" Target="http://santory.com.mx/" TargetMode="External"/><Relationship Id="rId1491" Type="http://schemas.openxmlformats.org/officeDocument/2006/relationships/hyperlink" Target="https://www.linkedin.com/in/mauriciopaez-startup-mexico" TargetMode="External"/><Relationship Id="rId1589" Type="http://schemas.openxmlformats.org/officeDocument/2006/relationships/hyperlink" Target="http://xnleisure.com/" TargetMode="External"/><Relationship Id="rId2335" Type="http://schemas.openxmlformats.org/officeDocument/2006/relationships/hyperlink" Target="http://www.linkedin.com/in/bruna-migliavacca" TargetMode="External"/><Relationship Id="rId2542" Type="http://schemas.openxmlformats.org/officeDocument/2006/relationships/hyperlink" Target="http://www.linkedin.com/in/paul-luque-wiley-4b7704211" TargetMode="External"/><Relationship Id="rId307" Type="http://schemas.openxmlformats.org/officeDocument/2006/relationships/hyperlink" Target="https://www.linkedin.com/in/karan-sharma-a09976214" TargetMode="External"/><Relationship Id="rId514" Type="http://schemas.openxmlformats.org/officeDocument/2006/relationships/hyperlink" Target="https://www.linkedin.com/in/katieleejones" TargetMode="External"/><Relationship Id="rId721" Type="http://schemas.openxmlformats.org/officeDocument/2006/relationships/hyperlink" Target="http://iherb.com/" TargetMode="External"/><Relationship Id="rId1144" Type="http://schemas.openxmlformats.org/officeDocument/2006/relationships/hyperlink" Target="https://www.linkedin.com/in/fernandorosalesvilla" TargetMode="External"/><Relationship Id="rId1351" Type="http://schemas.openxmlformats.org/officeDocument/2006/relationships/hyperlink" Target="http://squarespace.com/" TargetMode="External"/><Relationship Id="rId1449" Type="http://schemas.openxmlformats.org/officeDocument/2006/relationships/hyperlink" Target="https://www.linkedin.com/in/carlos-alejandro-alvarez-64b736152" TargetMode="External"/><Relationship Id="rId1796" Type="http://schemas.openxmlformats.org/officeDocument/2006/relationships/hyperlink" Target="http://www.linkedin.com/in/nickgsimon" TargetMode="External"/><Relationship Id="rId2402" Type="http://schemas.openxmlformats.org/officeDocument/2006/relationships/hyperlink" Target="http://www.linkedin.com/in/maria-rgarcia-formenti-rivero-a5372a34" TargetMode="External"/><Relationship Id="rId2847" Type="http://schemas.openxmlformats.org/officeDocument/2006/relationships/hyperlink" Target="http://www.linkedin.com/in/valerialunav" TargetMode="External"/><Relationship Id="rId88" Type="http://schemas.openxmlformats.org/officeDocument/2006/relationships/hyperlink" Target="http://atom-academy.mx/" TargetMode="External"/><Relationship Id="rId819" Type="http://schemas.openxmlformats.org/officeDocument/2006/relationships/hyperlink" Target="http://koblenz.com.mx/" TargetMode="External"/><Relationship Id="rId1004" Type="http://schemas.openxmlformats.org/officeDocument/2006/relationships/hyperlink" Target="https://www.linkedin.com/in/ACwAABZ6AEIBo1Ze9hNkAhM9esV-qaUnqJmH4qo" TargetMode="External"/><Relationship Id="rId1211" Type="http://schemas.openxmlformats.org/officeDocument/2006/relationships/hyperlink" Target="http://redlemon.com.mx/" TargetMode="External"/><Relationship Id="rId1656" Type="http://schemas.openxmlformats.org/officeDocument/2006/relationships/hyperlink" Target="http://www.linkedin.com/in/jessica-de-le%c3%b3n-299979101" TargetMode="External"/><Relationship Id="rId1863" Type="http://schemas.openxmlformats.org/officeDocument/2006/relationships/hyperlink" Target="http://www.linkedin.com/in/celine-andreani-lagneau" TargetMode="External"/><Relationship Id="rId2707" Type="http://schemas.openxmlformats.org/officeDocument/2006/relationships/hyperlink" Target="http://www.linkedin.com/in/caroline-ramsay" TargetMode="External"/><Relationship Id="rId2914" Type="http://schemas.openxmlformats.org/officeDocument/2006/relationships/hyperlink" Target="http://www.linkedin.com/in/kami-viswanathan-8644271a" TargetMode="External"/><Relationship Id="rId1309" Type="http://schemas.openxmlformats.org/officeDocument/2006/relationships/hyperlink" Target="https://www.linkedin.com/in/pato-jimenez-a65860121" TargetMode="External"/><Relationship Id="rId1516" Type="http://schemas.openxmlformats.org/officeDocument/2006/relationships/hyperlink" Target="http://vallen.com.mx/" TargetMode="External"/><Relationship Id="rId1723" Type="http://schemas.openxmlformats.org/officeDocument/2006/relationships/hyperlink" Target="http://www.linkedin.com/in/rommel-flores-ram%c3%adrez-36552521" TargetMode="External"/><Relationship Id="rId1930" Type="http://schemas.openxmlformats.org/officeDocument/2006/relationships/hyperlink" Target="http://www.linkedin.com/in/amelekhavets" TargetMode="External"/><Relationship Id="rId3176" Type="http://schemas.openxmlformats.org/officeDocument/2006/relationships/hyperlink" Target="http://www.linkedin.com/in/eric-preston-7593101b2" TargetMode="External"/><Relationship Id="rId15" Type="http://schemas.openxmlformats.org/officeDocument/2006/relationships/hyperlink" Target="http://adecoco.com/" TargetMode="External"/><Relationship Id="rId2192" Type="http://schemas.openxmlformats.org/officeDocument/2006/relationships/hyperlink" Target="http://www.linkedin.com/in/badirdiaz" TargetMode="External"/><Relationship Id="rId3036" Type="http://schemas.openxmlformats.org/officeDocument/2006/relationships/hyperlink" Target="http://www.linkedin.com/in/daniela-ponce-alvara-7469b0210" TargetMode="External"/><Relationship Id="rId3243" Type="http://schemas.openxmlformats.org/officeDocument/2006/relationships/hyperlink" Target="http://www.linkedin.com/in/marketing-digital-publicidad-mercadotecnia" TargetMode="External"/><Relationship Id="rId164" Type="http://schemas.openxmlformats.org/officeDocument/2006/relationships/hyperlink" Target="http://bonafont.com.mx/" TargetMode="External"/><Relationship Id="rId371" Type="http://schemas.openxmlformats.org/officeDocument/2006/relationships/hyperlink" Target="https://www.linkedin.com/in/jose-alvarado-risoul" TargetMode="External"/><Relationship Id="rId2052" Type="http://schemas.openxmlformats.org/officeDocument/2006/relationships/hyperlink" Target="http://www.linkedin.com/in/sarah-iris-hoffman-13b943162" TargetMode="External"/><Relationship Id="rId2497" Type="http://schemas.openxmlformats.org/officeDocument/2006/relationships/hyperlink" Target="http://www.linkedin.com/in/tvbortoletto" TargetMode="External"/><Relationship Id="rId469" Type="http://schemas.openxmlformats.org/officeDocument/2006/relationships/hyperlink" Target="https://www.linkedin.com/in/ACwAADg2kiQBuX9svqx2ume1n2PmdWlpYQX8iY4" TargetMode="External"/><Relationship Id="rId676" Type="http://schemas.openxmlformats.org/officeDocument/2006/relationships/hyperlink" Target="http://www.homedepot.com.mx/" TargetMode="External"/><Relationship Id="rId883" Type="http://schemas.openxmlformats.org/officeDocument/2006/relationships/hyperlink" Target="http://lumen.com.mx/" TargetMode="External"/><Relationship Id="rId1099" Type="http://schemas.openxmlformats.org/officeDocument/2006/relationships/hyperlink" Target="https://www.linkedin.com/in/ACwAAAJSuBMBizqPiKi5GWFpfGRN06Ob5K7YmHY" TargetMode="External"/><Relationship Id="rId2357" Type="http://schemas.openxmlformats.org/officeDocument/2006/relationships/hyperlink" Target="http://www.linkedin.com/in/marilia-ferro-180885108" TargetMode="External"/><Relationship Id="rId2564" Type="http://schemas.openxmlformats.org/officeDocument/2006/relationships/hyperlink" Target="http://www.linkedin.com/in/virii-vo-43104b252" TargetMode="External"/><Relationship Id="rId3103" Type="http://schemas.openxmlformats.org/officeDocument/2006/relationships/hyperlink" Target="http://www.linkedin.com/in/alejandra-nu%c3%b1ez-garcia-b87852212" TargetMode="External"/><Relationship Id="rId231" Type="http://schemas.openxmlformats.org/officeDocument/2006/relationships/hyperlink" Target="http://century3d.com.mx/" TargetMode="External"/><Relationship Id="rId329" Type="http://schemas.openxmlformats.org/officeDocument/2006/relationships/hyperlink" Target="http://cuponerapp.com/" TargetMode="External"/><Relationship Id="rId536" Type="http://schemas.openxmlformats.org/officeDocument/2006/relationships/hyperlink" Target="https://www.linkedin.com/in/fergalicialegarreta" TargetMode="External"/><Relationship Id="rId1166" Type="http://schemas.openxmlformats.org/officeDocument/2006/relationships/hyperlink" Target="http://pisa.com.mx/" TargetMode="External"/><Relationship Id="rId1373" Type="http://schemas.openxmlformats.org/officeDocument/2006/relationships/hyperlink" Target="https://www.linkedin.com/in/ACwAADY4yo0BZ8xk0npat7pYW4fDk32rCRXlTJ0" TargetMode="External"/><Relationship Id="rId2217" Type="http://schemas.openxmlformats.org/officeDocument/2006/relationships/hyperlink" Target="http://www.linkedin.com/in/circe-mart%c3%adnez-7b7164b5" TargetMode="External"/><Relationship Id="rId2771" Type="http://schemas.openxmlformats.org/officeDocument/2006/relationships/hyperlink" Target="http://www.linkedin.com/in/yina-grisales-motato-06ab12122" TargetMode="External"/><Relationship Id="rId2869" Type="http://schemas.openxmlformats.org/officeDocument/2006/relationships/hyperlink" Target="http://www.linkedin.com/in/jose-bravo-rodriguez-975815181" TargetMode="External"/><Relationship Id="rId743" Type="http://schemas.openxmlformats.org/officeDocument/2006/relationships/hyperlink" Target="https://www.linkedin.com/in/carlos-david-salinas-olascoaga-037a6827" TargetMode="External"/><Relationship Id="rId950" Type="http://schemas.openxmlformats.org/officeDocument/2006/relationships/hyperlink" Target="https://www.linkedin.com/in/jose-antonio-delgado-negrete-87235b106" TargetMode="External"/><Relationship Id="rId1026" Type="http://schemas.openxmlformats.org/officeDocument/2006/relationships/hyperlink" Target="http://myshopify.com/" TargetMode="External"/><Relationship Id="rId1580" Type="http://schemas.openxmlformats.org/officeDocument/2006/relationships/hyperlink" Target="https://www.linkedin.com/in/ACwAAAcGRdgBrgRYqHI8niDospZF_CD6_dWmaWQ" TargetMode="External"/><Relationship Id="rId1678" Type="http://schemas.openxmlformats.org/officeDocument/2006/relationships/hyperlink" Target="http://www.linkedin.com/in/lydia-zhu-920434a" TargetMode="External"/><Relationship Id="rId1885" Type="http://schemas.openxmlformats.org/officeDocument/2006/relationships/hyperlink" Target="http://www.linkedin.com/in/vincent-van-tonder-82862b138" TargetMode="External"/><Relationship Id="rId2424" Type="http://schemas.openxmlformats.org/officeDocument/2006/relationships/hyperlink" Target="http://www.linkedin.com/in/gonzalo-ruiz-19463615" TargetMode="External"/><Relationship Id="rId2631" Type="http://schemas.openxmlformats.org/officeDocument/2006/relationships/hyperlink" Target="http://www.linkedin.com/in/axel-castellanos-8a040155" TargetMode="External"/><Relationship Id="rId2729" Type="http://schemas.openxmlformats.org/officeDocument/2006/relationships/hyperlink" Target="http://www.linkedin.com/in/mauricio-de-la-torre-73b75a101" TargetMode="External"/><Relationship Id="rId2936" Type="http://schemas.openxmlformats.org/officeDocument/2006/relationships/hyperlink" Target="http://www.linkedin.com/in/felipe-antonio-sosa-manjarrez-85b2a5132" TargetMode="External"/><Relationship Id="rId603" Type="http://schemas.openxmlformats.org/officeDocument/2006/relationships/hyperlink" Target="https://www.linkedin.com/in/ACwAAAPjHwUBYSqLuh_zuMCcXFQrtyK_b1Nu76A" TargetMode="External"/><Relationship Id="rId810" Type="http://schemas.openxmlformats.org/officeDocument/2006/relationships/hyperlink" Target="https://www.linkedin.com/in/davidellerbee" TargetMode="External"/><Relationship Id="rId908" Type="http://schemas.openxmlformats.org/officeDocument/2006/relationships/hyperlink" Target="http://marco.org.mx/" TargetMode="External"/><Relationship Id="rId1233" Type="http://schemas.openxmlformats.org/officeDocument/2006/relationships/hyperlink" Target="http://republiccosmetics.com/" TargetMode="External"/><Relationship Id="rId1440" Type="http://schemas.openxmlformats.org/officeDocument/2006/relationships/hyperlink" Target="http://ticsa.mx/" TargetMode="External"/><Relationship Id="rId1538" Type="http://schemas.openxmlformats.org/officeDocument/2006/relationships/hyperlink" Target="http://vinosamerica.com/" TargetMode="External"/><Relationship Id="rId1300" Type="http://schemas.openxmlformats.org/officeDocument/2006/relationships/hyperlink" Target="http://shasa.com/" TargetMode="External"/><Relationship Id="rId1745" Type="http://schemas.openxmlformats.org/officeDocument/2006/relationships/hyperlink" Target="http://www.linkedin.com/in/ricardo-garcia-zamora-9ba22472" TargetMode="External"/><Relationship Id="rId1952" Type="http://schemas.openxmlformats.org/officeDocument/2006/relationships/hyperlink" Target="http://www.linkedin.com/in/rodrigoperezmares" TargetMode="External"/><Relationship Id="rId3198" Type="http://schemas.openxmlformats.org/officeDocument/2006/relationships/hyperlink" Target="http://www.linkedin.com/in/claudia-caballero-5a874934" TargetMode="External"/><Relationship Id="rId37" Type="http://schemas.openxmlformats.org/officeDocument/2006/relationships/hyperlink" Target="https://www.linkedin.com/in/biljanafilinova" TargetMode="External"/><Relationship Id="rId1605" Type="http://schemas.openxmlformats.org/officeDocument/2006/relationships/hyperlink" Target="https://www.linkedin.com/in/ACwAABBnNYgBYUCHa-bk4vqxML52J9oi31L4Nd0" TargetMode="External"/><Relationship Id="rId1812" Type="http://schemas.openxmlformats.org/officeDocument/2006/relationships/hyperlink" Target="http://www.linkedin.com/in/andrewlightman1" TargetMode="External"/><Relationship Id="rId3058" Type="http://schemas.openxmlformats.org/officeDocument/2006/relationships/hyperlink" Target="http://www.linkedin.com/in/stephaniesullivan2" TargetMode="External"/><Relationship Id="rId3265" Type="http://schemas.openxmlformats.org/officeDocument/2006/relationships/hyperlink" Target="http://www.linkedin.com/in/andrea-paulina-rios-barreto-194a71144" TargetMode="External"/><Relationship Id="rId186" Type="http://schemas.openxmlformats.org/officeDocument/2006/relationships/hyperlink" Target="http://brother.com.mx/" TargetMode="External"/><Relationship Id="rId393" Type="http://schemas.openxmlformats.org/officeDocument/2006/relationships/hyperlink" Target="https://www.linkedin.com/in/ACwAAAR5SQIBdsokgQw8t0o70OlMvSAOD9qNP4w" TargetMode="External"/><Relationship Id="rId2074" Type="http://schemas.openxmlformats.org/officeDocument/2006/relationships/hyperlink" Target="http://www.linkedin.com/in/kevin-luo-44767290" TargetMode="External"/><Relationship Id="rId2281" Type="http://schemas.openxmlformats.org/officeDocument/2006/relationships/hyperlink" Target="http://www.linkedin.com/in/jesus-villalobos-gtz" TargetMode="External"/><Relationship Id="rId3125" Type="http://schemas.openxmlformats.org/officeDocument/2006/relationships/hyperlink" Target="http://www.linkedin.com/in/josealbertoapezteguia" TargetMode="External"/><Relationship Id="rId253" Type="http://schemas.openxmlformats.org/officeDocument/2006/relationships/hyperlink" Target="https://www.linkedin.com/in/ACwAAAocVSABuo-N9Mu9mRfSxNGhTRxDA1mTPDc" TargetMode="External"/><Relationship Id="rId460" Type="http://schemas.openxmlformats.org/officeDocument/2006/relationships/hyperlink" Target="http://elektra.com.mx/" TargetMode="External"/><Relationship Id="rId698" Type="http://schemas.openxmlformats.org/officeDocument/2006/relationships/hyperlink" Target="https://www.costco.com.mx/" TargetMode="External"/><Relationship Id="rId1090" Type="http://schemas.openxmlformats.org/officeDocument/2006/relationships/hyperlink" Target="http://officemax.com.mx/" TargetMode="External"/><Relationship Id="rId2141" Type="http://schemas.openxmlformats.org/officeDocument/2006/relationships/hyperlink" Target="http://www.linkedin.com/in/ella-parker" TargetMode="External"/><Relationship Id="rId2379" Type="http://schemas.openxmlformats.org/officeDocument/2006/relationships/hyperlink" Target="http://www.linkedin.com/in/nogary-rocha-44655b125" TargetMode="External"/><Relationship Id="rId2586" Type="http://schemas.openxmlformats.org/officeDocument/2006/relationships/hyperlink" Target="http://www.linkedin.com/in/nadia-alvarez-carrasco" TargetMode="External"/><Relationship Id="rId2793" Type="http://schemas.openxmlformats.org/officeDocument/2006/relationships/hyperlink" Target="http://www.linkedin.com/in/sheira-yaret-segundo-rebollo-224202202" TargetMode="External"/><Relationship Id="rId113" Type="http://schemas.openxmlformats.org/officeDocument/2006/relationships/hyperlink" Target="https://www.linkedin.com/in/melinajavkin" TargetMode="External"/><Relationship Id="rId320" Type="http://schemas.openxmlformats.org/officeDocument/2006/relationships/hyperlink" Target="http://cu4dra.com/" TargetMode="External"/><Relationship Id="rId558" Type="http://schemas.openxmlformats.org/officeDocument/2006/relationships/hyperlink" Target="http://gehealthcare.com/" TargetMode="External"/><Relationship Id="rId765" Type="http://schemas.openxmlformats.org/officeDocument/2006/relationships/hyperlink" Target="https://www.linkedin.com/in/alex-berman-a7828b63" TargetMode="External"/><Relationship Id="rId972" Type="http://schemas.openxmlformats.org/officeDocument/2006/relationships/hyperlink" Target="https://www.linkedin.com/in/sara-chalifoux-b1bb38191" TargetMode="External"/><Relationship Id="rId1188" Type="http://schemas.openxmlformats.org/officeDocument/2006/relationships/hyperlink" Target="http://priceshoes.com/" TargetMode="External"/><Relationship Id="rId1395" Type="http://schemas.openxmlformats.org/officeDocument/2006/relationships/hyperlink" Target="http://tapni.co/" TargetMode="External"/><Relationship Id="rId2001" Type="http://schemas.openxmlformats.org/officeDocument/2006/relationships/hyperlink" Target="http://www.linkedin.com/in/mosin-moin-a60b74141" TargetMode="External"/><Relationship Id="rId2239" Type="http://schemas.openxmlformats.org/officeDocument/2006/relationships/hyperlink" Target="http://www.linkedin.com/in/sarah%c3%ad-mart%c3%adnez-957aaa1b9" TargetMode="External"/><Relationship Id="rId2446" Type="http://schemas.openxmlformats.org/officeDocument/2006/relationships/hyperlink" Target="http://www.linkedin.com/in/luis-manuel-avalos-g%c3%b3mez-53b3781a2" TargetMode="External"/><Relationship Id="rId2653" Type="http://schemas.openxmlformats.org/officeDocument/2006/relationships/hyperlink" Target="http://www.linkedin.com/in/daniela-rios-carrizales-28a599214" TargetMode="External"/><Relationship Id="rId2860" Type="http://schemas.openxmlformats.org/officeDocument/2006/relationships/hyperlink" Target="http://www.linkedin.com/in/evelyn-g%c3%b3mez-8b505b124" TargetMode="External"/><Relationship Id="rId418" Type="http://schemas.openxmlformats.org/officeDocument/2006/relationships/hyperlink" Target="https://www.linkedin.com/in/elenasoulayrac" TargetMode="External"/><Relationship Id="rId625" Type="http://schemas.openxmlformats.org/officeDocument/2006/relationships/hyperlink" Target="https://www.linkedin.com/in/ACwAAB9__yUBUFFjMfJtXl60yRxR3OI-QewzFAc" TargetMode="External"/><Relationship Id="rId832" Type="http://schemas.openxmlformats.org/officeDocument/2006/relationships/hyperlink" Target="http://la-pasiega.mx/" TargetMode="External"/><Relationship Id="rId1048" Type="http://schemas.openxmlformats.org/officeDocument/2006/relationships/hyperlink" Target="http://novartis.com.mx/" TargetMode="External"/><Relationship Id="rId1255" Type="http://schemas.openxmlformats.org/officeDocument/2006/relationships/hyperlink" Target="http://salud-digna.org/" TargetMode="External"/><Relationship Id="rId1462" Type="http://schemas.openxmlformats.org/officeDocument/2006/relationships/hyperlink" Target="https://www.linkedin.com/in/eric-puszczewicz-78793212" TargetMode="External"/><Relationship Id="rId2306" Type="http://schemas.openxmlformats.org/officeDocument/2006/relationships/hyperlink" Target="http://www.linkedin.com/in/taishah-castillo-5192a9191" TargetMode="External"/><Relationship Id="rId2513" Type="http://schemas.openxmlformats.org/officeDocument/2006/relationships/hyperlink" Target="http://www.linkedin.com/in/pachecovictor1" TargetMode="External"/><Relationship Id="rId2958" Type="http://schemas.openxmlformats.org/officeDocument/2006/relationships/hyperlink" Target="http://www.linkedin.com/in/raul-lozano-marketing" TargetMode="External"/><Relationship Id="rId1115" Type="http://schemas.openxmlformats.org/officeDocument/2006/relationships/hyperlink" Target="http://orange.com/" TargetMode="External"/><Relationship Id="rId1322" Type="http://schemas.openxmlformats.org/officeDocument/2006/relationships/hyperlink" Target="http://sodimac.com.mx/" TargetMode="External"/><Relationship Id="rId1767" Type="http://schemas.openxmlformats.org/officeDocument/2006/relationships/hyperlink" Target="http://www.linkedin.com/in/pratichi-gupta-6b0238a" TargetMode="External"/><Relationship Id="rId1974" Type="http://schemas.openxmlformats.org/officeDocument/2006/relationships/hyperlink" Target="http://www.linkedin.com/in/eric-freckman-04b4a0109" TargetMode="External"/><Relationship Id="rId2720" Type="http://schemas.openxmlformats.org/officeDocument/2006/relationships/hyperlink" Target="http://www.linkedin.com/sales/lead/ACwAAEWKwzcBwbQqoqid0y0uGUWQCESvb637E6c,NAME_SEARCH,_DXy" TargetMode="External"/><Relationship Id="rId2818" Type="http://schemas.openxmlformats.org/officeDocument/2006/relationships/hyperlink" Target="http://www.linkedin.com/in/aurora-lynch-69465131" TargetMode="External"/><Relationship Id="rId59" Type="http://schemas.openxmlformats.org/officeDocument/2006/relationships/hyperlink" Target="https://www.linkedin.com/in/davidvazquezhernandez" TargetMode="External"/><Relationship Id="rId1627" Type="http://schemas.openxmlformats.org/officeDocument/2006/relationships/hyperlink" Target="http://www.linkedin.com/in/greg-chopko-6930567" TargetMode="External"/><Relationship Id="rId1834" Type="http://schemas.openxmlformats.org/officeDocument/2006/relationships/hyperlink" Target="http://www.linkedin.com/in/julio-ruiz-71665b53" TargetMode="External"/><Relationship Id="rId2096" Type="http://schemas.openxmlformats.org/officeDocument/2006/relationships/hyperlink" Target="http://www.linkedin.com/in/jes%c3%bas-amador-2a697166" TargetMode="External"/><Relationship Id="rId1901" Type="http://schemas.openxmlformats.org/officeDocument/2006/relationships/hyperlink" Target="http://www.linkedin.com/in/doug-ward-5185782" TargetMode="External"/><Relationship Id="rId3147" Type="http://schemas.openxmlformats.org/officeDocument/2006/relationships/hyperlink" Target="http://www.linkedin.com/in/ana-lorena-ruiz-gonz%c3%a1lez-55b16269" TargetMode="External"/><Relationship Id="rId275" Type="http://schemas.openxmlformats.org/officeDocument/2006/relationships/hyperlink" Target="https://www.linkedin.com/in/katytassmer" TargetMode="External"/><Relationship Id="rId482" Type="http://schemas.openxmlformats.org/officeDocument/2006/relationships/hyperlink" Target="http://estafeta.com/" TargetMode="External"/><Relationship Id="rId2163" Type="http://schemas.openxmlformats.org/officeDocument/2006/relationships/hyperlink" Target="http://www.linkedin.com/in/tania-mart%c3%adnez-ch%c3%a1vez-bb05a65a" TargetMode="External"/><Relationship Id="rId2370" Type="http://schemas.openxmlformats.org/officeDocument/2006/relationships/hyperlink" Target="http://www.linkedin.com/in/ivan-scally-778690147" TargetMode="External"/><Relationship Id="rId3007" Type="http://schemas.openxmlformats.org/officeDocument/2006/relationships/hyperlink" Target="http://www.linkedin.com/in/josymar-morales-torres-0019a216a" TargetMode="External"/><Relationship Id="rId3214" Type="http://schemas.openxmlformats.org/officeDocument/2006/relationships/hyperlink" Target="http://www.linkedin.com/in/juan-carlos-garcia-b591759" TargetMode="External"/><Relationship Id="rId135" Type="http://schemas.openxmlformats.org/officeDocument/2006/relationships/hyperlink" Target="http://benandfrank.com/" TargetMode="External"/><Relationship Id="rId342" Type="http://schemas.openxmlformats.org/officeDocument/2006/relationships/hyperlink" Target="https://www.linkedin.com/in/marcos-guerrero-951b7a57" TargetMode="External"/><Relationship Id="rId787" Type="http://schemas.openxmlformats.org/officeDocument/2006/relationships/hyperlink" Target="http://justformen.com/" TargetMode="External"/><Relationship Id="rId994" Type="http://schemas.openxmlformats.org/officeDocument/2006/relationships/hyperlink" Target="https://www.linkedin.com/in/ACwAADG0W98BCQNkQzFU6rIYYrt7WmyJro4g1TU" TargetMode="External"/><Relationship Id="rId2023" Type="http://schemas.openxmlformats.org/officeDocument/2006/relationships/hyperlink" Target="http://www.linkedin.com/in/dipikap1791" TargetMode="External"/><Relationship Id="rId2230" Type="http://schemas.openxmlformats.org/officeDocument/2006/relationships/hyperlink" Target="http://www.linkedin.com/in/andr%c3%a9s-joya-7835a6121" TargetMode="External"/><Relationship Id="rId2468" Type="http://schemas.openxmlformats.org/officeDocument/2006/relationships/hyperlink" Target="http://www.linkedin.com/in/juanfairstein" TargetMode="External"/><Relationship Id="rId2675" Type="http://schemas.openxmlformats.org/officeDocument/2006/relationships/hyperlink" Target="http://www.linkedin.com/in/marco-antonio-ponce-bueno-12247930" TargetMode="External"/><Relationship Id="rId2882" Type="http://schemas.openxmlformats.org/officeDocument/2006/relationships/hyperlink" Target="http://www.linkedin.com/in/ra%c3%bal-cavazos-seguridad-industrial-hse-b16876163" TargetMode="External"/><Relationship Id="rId202" Type="http://schemas.openxmlformats.org/officeDocument/2006/relationships/hyperlink" Target="http://calimax.com.mx/" TargetMode="External"/><Relationship Id="rId647" Type="http://schemas.openxmlformats.org/officeDocument/2006/relationships/hyperlink" Target="http://helvex.com.mx/" TargetMode="External"/><Relationship Id="rId854" Type="http://schemas.openxmlformats.org/officeDocument/2006/relationships/hyperlink" Target="http://leroy.com.mx/" TargetMode="External"/><Relationship Id="rId1277" Type="http://schemas.openxmlformats.org/officeDocument/2006/relationships/hyperlink" Target="https://www.linkedin.com/in/jessica-yow-22478b76" TargetMode="External"/><Relationship Id="rId1484" Type="http://schemas.openxmlformats.org/officeDocument/2006/relationships/hyperlink" Target="http://ubits.com/" TargetMode="External"/><Relationship Id="rId1691" Type="http://schemas.openxmlformats.org/officeDocument/2006/relationships/hyperlink" Target="http://www.linkedin.com/in/corinna-weidmann-samak-80522267" TargetMode="External"/><Relationship Id="rId2328" Type="http://schemas.openxmlformats.org/officeDocument/2006/relationships/hyperlink" Target="http://www.linkedin.com/in/jorge-%c3%a1lvarez-v%c3%a9lez-95b61729" TargetMode="External"/><Relationship Id="rId2535" Type="http://schemas.openxmlformats.org/officeDocument/2006/relationships/hyperlink" Target="http://www.linkedin.com/in/juancelias" TargetMode="External"/><Relationship Id="rId2742" Type="http://schemas.openxmlformats.org/officeDocument/2006/relationships/hyperlink" Target="http://www.linkedin.com/in/nicole-shain-7426817" TargetMode="External"/><Relationship Id="rId507" Type="http://schemas.openxmlformats.org/officeDocument/2006/relationships/hyperlink" Target="http://farmaciasespecializadas.com/" TargetMode="External"/><Relationship Id="rId714" Type="http://schemas.openxmlformats.org/officeDocument/2006/relationships/hyperlink" Target="https://www.linkedin.com/in/ruben-vargas-89b23125" TargetMode="External"/><Relationship Id="rId921" Type="http://schemas.openxmlformats.org/officeDocument/2006/relationships/hyperlink" Target="http://meatme.cl/" TargetMode="External"/><Relationship Id="rId1137" Type="http://schemas.openxmlformats.org/officeDocument/2006/relationships/hyperlink" Target="http://pedrodomecq.com/" TargetMode="External"/><Relationship Id="rId1344" Type="http://schemas.openxmlformats.org/officeDocument/2006/relationships/hyperlink" Target="http://springair.com.mx/" TargetMode="External"/><Relationship Id="rId1551" Type="http://schemas.openxmlformats.org/officeDocument/2006/relationships/hyperlink" Target="http://waldos.com.mx/" TargetMode="External"/><Relationship Id="rId1789" Type="http://schemas.openxmlformats.org/officeDocument/2006/relationships/hyperlink" Target="http://www.linkedin.com/in/mariela-portugu%c3%a9s-4a1862103" TargetMode="External"/><Relationship Id="rId1996" Type="http://schemas.openxmlformats.org/officeDocument/2006/relationships/hyperlink" Target="http://www.linkedin.com/in/renee-klein-59653b3" TargetMode="External"/><Relationship Id="rId2602" Type="http://schemas.openxmlformats.org/officeDocument/2006/relationships/hyperlink" Target="http://www.linkedin.com/in/marco-castillo-sanchez-227a13161" TargetMode="External"/><Relationship Id="rId50" Type="http://schemas.openxmlformats.org/officeDocument/2006/relationships/hyperlink" Target="http://andrea.com/" TargetMode="External"/><Relationship Id="rId1204" Type="http://schemas.openxmlformats.org/officeDocument/2006/relationships/hyperlink" Target="https://www.linkedin.com/in/luis-antonio-rojas-becerril-34236224" TargetMode="External"/><Relationship Id="rId1411" Type="http://schemas.openxmlformats.org/officeDocument/2006/relationships/hyperlink" Target="http://tec.mx/" TargetMode="External"/><Relationship Id="rId1649" Type="http://schemas.openxmlformats.org/officeDocument/2006/relationships/hyperlink" Target="http://www.linkedin.com/in/jessica-tapia-l-119628a7" TargetMode="External"/><Relationship Id="rId1856" Type="http://schemas.openxmlformats.org/officeDocument/2006/relationships/hyperlink" Target="http://www.linkedin.com/in/alberto-hern%c3%a1ndez-641684129" TargetMode="External"/><Relationship Id="rId2907" Type="http://schemas.openxmlformats.org/officeDocument/2006/relationships/hyperlink" Target="http://www.linkedin.com/in/yina-grisales-motato-06ab12122" TargetMode="External"/><Relationship Id="rId3071" Type="http://schemas.openxmlformats.org/officeDocument/2006/relationships/hyperlink" Target="http://www.linkedin.com/in/ninaskaaning" TargetMode="External"/><Relationship Id="rId1509" Type="http://schemas.openxmlformats.org/officeDocument/2006/relationships/hyperlink" Target="https://www.linkedin.com/in/ACwAACFY4bgBq1bBPyRDaOEQlShLi7jNDVKOm3A" TargetMode="External"/><Relationship Id="rId1716" Type="http://schemas.openxmlformats.org/officeDocument/2006/relationships/hyperlink" Target="http://www.linkedin.com/in/everest-pedrero-2552ba6a" TargetMode="External"/><Relationship Id="rId1923" Type="http://schemas.openxmlformats.org/officeDocument/2006/relationships/hyperlink" Target="http://www.linkedin.com/in/amielingraham" TargetMode="External"/><Relationship Id="rId3169" Type="http://schemas.openxmlformats.org/officeDocument/2006/relationships/hyperlink" Target="http://www.linkedin.com/in/javiermaldonadoarg%c3%bcello" TargetMode="External"/><Relationship Id="rId297" Type="http://schemas.openxmlformats.org/officeDocument/2006/relationships/hyperlink" Target="https://www.linkedin.com/in/juan-carlos-cashat-usabiaga-a43bba236" TargetMode="External"/><Relationship Id="rId2185" Type="http://schemas.openxmlformats.org/officeDocument/2006/relationships/hyperlink" Target="http://www.linkedin.com/in/ramee-kim-72449045" TargetMode="External"/><Relationship Id="rId2392" Type="http://schemas.openxmlformats.org/officeDocument/2006/relationships/hyperlink" Target="http://www.linkedin.com/in/guilherme-zangali" TargetMode="External"/><Relationship Id="rId3029" Type="http://schemas.openxmlformats.org/officeDocument/2006/relationships/hyperlink" Target="http://velosport.mx/" TargetMode="External"/><Relationship Id="rId3236" Type="http://schemas.openxmlformats.org/officeDocument/2006/relationships/hyperlink" Target="http://www.linkedin.com/in/joey-sweeney-60314948" TargetMode="External"/><Relationship Id="rId157" Type="http://schemas.openxmlformats.org/officeDocument/2006/relationships/hyperlink" Target="https://www.linkedin.com/in/ACwAAA7REuoBcyAYg9qWcz5kUQirM-QO0rdnAjQ" TargetMode="External"/><Relationship Id="rId364" Type="http://schemas.openxmlformats.org/officeDocument/2006/relationships/hyperlink" Target="http://daraju.com/" TargetMode="External"/><Relationship Id="rId2045" Type="http://schemas.openxmlformats.org/officeDocument/2006/relationships/hyperlink" Target="http://www.linkedin.com/in/min-zou-1421b4155" TargetMode="External"/><Relationship Id="rId2697" Type="http://schemas.openxmlformats.org/officeDocument/2006/relationships/hyperlink" Target="http://www.linkedin.com/in/amber-muench-5195ab77" TargetMode="External"/><Relationship Id="rId571" Type="http://schemas.openxmlformats.org/officeDocument/2006/relationships/hyperlink" Target="https://www.linkedin.com/in/ACwAABrzm4kBpgw5rir4TqbRC0NfSLtmznkdrXg" TargetMode="External"/><Relationship Id="rId669" Type="http://schemas.openxmlformats.org/officeDocument/2006/relationships/hyperlink" Target="https://www.linkedin.com/in/carlosabrahamdelacruz/" TargetMode="External"/><Relationship Id="rId876" Type="http://schemas.openxmlformats.org/officeDocument/2006/relationships/hyperlink" Target="https://www.linkedin.com/in/jo-robinson-376109168" TargetMode="External"/><Relationship Id="rId1299" Type="http://schemas.openxmlformats.org/officeDocument/2006/relationships/hyperlink" Target="https://www.linkedin.com/in/gabriela-fragoso-803b6730" TargetMode="External"/><Relationship Id="rId2252" Type="http://schemas.openxmlformats.org/officeDocument/2006/relationships/hyperlink" Target="http://www.linkedin.com/in/ricardo-toledo-27671b37" TargetMode="External"/><Relationship Id="rId2557" Type="http://schemas.openxmlformats.org/officeDocument/2006/relationships/hyperlink" Target="http://www.linkedin.com/in/maria-fernanda-rodriguez-3625917b" TargetMode="External"/><Relationship Id="rId224" Type="http://schemas.openxmlformats.org/officeDocument/2006/relationships/hyperlink" Target="http://cemix.com/" TargetMode="External"/><Relationship Id="rId431" Type="http://schemas.openxmlformats.org/officeDocument/2006/relationships/hyperlink" Target="https://www.linkedin.com/in/henrique-j-perez-e-51722b103" TargetMode="External"/><Relationship Id="rId529" Type="http://schemas.openxmlformats.org/officeDocument/2006/relationships/hyperlink" Target="http://flexi.com.mx/" TargetMode="External"/><Relationship Id="rId736" Type="http://schemas.openxmlformats.org/officeDocument/2006/relationships/hyperlink" Target="http://importbike.mx/" TargetMode="External"/><Relationship Id="rId1061" Type="http://schemas.openxmlformats.org/officeDocument/2006/relationships/hyperlink" Target="https://www.linkedin.com/in/alauraszsz" TargetMode="External"/><Relationship Id="rId1159" Type="http://schemas.openxmlformats.org/officeDocument/2006/relationships/hyperlink" Target="http://pimiola.com/" TargetMode="External"/><Relationship Id="rId1366" Type="http://schemas.openxmlformats.org/officeDocument/2006/relationships/hyperlink" Target="http://sunglasshut.com/" TargetMode="External"/><Relationship Id="rId2112" Type="http://schemas.openxmlformats.org/officeDocument/2006/relationships/hyperlink" Target="http://www.linkedin.com/in/ashley-mondelli-430223aa" TargetMode="External"/><Relationship Id="rId2417" Type="http://schemas.openxmlformats.org/officeDocument/2006/relationships/hyperlink" Target="http://www.linkedin.com/in/citquin" TargetMode="External"/><Relationship Id="rId2764" Type="http://schemas.openxmlformats.org/officeDocument/2006/relationships/hyperlink" Target="http://www.linkedin.com/in/fernanda-cornejo-4b479915a" TargetMode="External"/><Relationship Id="rId2971" Type="http://schemas.openxmlformats.org/officeDocument/2006/relationships/hyperlink" Target="http://www.linkedin.com/in/maria-fernanda-guerrero-ruiz-0b43a720a" TargetMode="External"/><Relationship Id="rId943" Type="http://schemas.openxmlformats.org/officeDocument/2006/relationships/hyperlink" Target="http://mezcalamaras.com/" TargetMode="External"/><Relationship Id="rId1019" Type="http://schemas.openxmlformats.org/officeDocument/2006/relationships/hyperlink" Target="https://www.linkedin.com/in/juan-garoz" TargetMode="External"/><Relationship Id="rId1573" Type="http://schemas.openxmlformats.org/officeDocument/2006/relationships/hyperlink" Target="http://wiwiurka.com/" TargetMode="External"/><Relationship Id="rId1780" Type="http://schemas.openxmlformats.org/officeDocument/2006/relationships/hyperlink" Target="http://www.linkedin.com/in/jason-smith-1b5566235" TargetMode="External"/><Relationship Id="rId1878" Type="http://schemas.openxmlformats.org/officeDocument/2006/relationships/hyperlink" Target="http://www.linkedin.com/in/jorge-alejandro-hernandez-a819b05a" TargetMode="External"/><Relationship Id="rId2624" Type="http://schemas.openxmlformats.org/officeDocument/2006/relationships/hyperlink" Target="http://www.linkedin.com/in/anayansy-zamora-ab099219b" TargetMode="External"/><Relationship Id="rId2831" Type="http://schemas.openxmlformats.org/officeDocument/2006/relationships/hyperlink" Target="http://www.linkedin.com/in/pilardeleon" TargetMode="External"/><Relationship Id="rId2929" Type="http://schemas.openxmlformats.org/officeDocument/2006/relationships/hyperlink" Target="http://www.linkedin.com/in/karla-vanessa-guerra-rodriguez-7b853116a" TargetMode="External"/><Relationship Id="rId72" Type="http://schemas.openxmlformats.org/officeDocument/2006/relationships/hyperlink" Target="http://arrobasystem.com/" TargetMode="External"/><Relationship Id="rId803" Type="http://schemas.openxmlformats.org/officeDocument/2006/relationships/hyperlink" Target="http://kfc.com.mx/" TargetMode="External"/><Relationship Id="rId1226" Type="http://schemas.openxmlformats.org/officeDocument/2006/relationships/hyperlink" Target="http://renogy.com/" TargetMode="External"/><Relationship Id="rId1433" Type="http://schemas.openxmlformats.org/officeDocument/2006/relationships/hyperlink" Target="http://thinkific.com/" TargetMode="External"/><Relationship Id="rId1640" Type="http://schemas.openxmlformats.org/officeDocument/2006/relationships/hyperlink" Target="http://www.linkedin.com/in/paola-guadalupe-vargas-ramos-9593b6158" TargetMode="External"/><Relationship Id="rId1738" Type="http://schemas.openxmlformats.org/officeDocument/2006/relationships/hyperlink" Target="http://www.linkedin.com/in/moises-figueroa-97725331" TargetMode="External"/><Relationship Id="rId3093" Type="http://schemas.openxmlformats.org/officeDocument/2006/relationships/hyperlink" Target="http://www.linkedin.com/in/nancy-sauceda-65581b183" TargetMode="External"/><Relationship Id="rId1500" Type="http://schemas.openxmlformats.org/officeDocument/2006/relationships/hyperlink" Target="http://unitam.com/" TargetMode="External"/><Relationship Id="rId1945" Type="http://schemas.openxmlformats.org/officeDocument/2006/relationships/hyperlink" Target="http://www.linkedin.com/in/caroline-whalen-7a385385" TargetMode="External"/><Relationship Id="rId3160" Type="http://schemas.openxmlformats.org/officeDocument/2006/relationships/hyperlink" Target="http://www.linkedin.com/in/irina-zukova-b36608105" TargetMode="External"/><Relationship Id="rId1805" Type="http://schemas.openxmlformats.org/officeDocument/2006/relationships/hyperlink" Target="http://www.linkedin.com/in/rodrigofloresecommerce" TargetMode="External"/><Relationship Id="rId3020" Type="http://schemas.openxmlformats.org/officeDocument/2006/relationships/hyperlink" Target="http://www.linkedin.com/in/h%c3%a9ctor-flores-64a861202" TargetMode="External"/><Relationship Id="rId3258" Type="http://schemas.openxmlformats.org/officeDocument/2006/relationships/hyperlink" Target="http://www.linkedin.com/in/juan-carlos-duran-riveroll-7627a1a" TargetMode="External"/><Relationship Id="rId179" Type="http://schemas.openxmlformats.org/officeDocument/2006/relationships/hyperlink" Target="https://www.linkedin.com/in/meredith-hamrick-bevis-39576a7b" TargetMode="External"/><Relationship Id="rId386" Type="http://schemas.openxmlformats.org/officeDocument/2006/relationships/hyperlink" Target="http://delrecords.com/" TargetMode="External"/><Relationship Id="rId593" Type="http://schemas.openxmlformats.org/officeDocument/2006/relationships/hyperlink" Target="https://www.linkedin.com/in/ACwAAAxA7i8BbizejCgQ0hIV--f5rx27AuD7e8U" TargetMode="External"/><Relationship Id="rId2067" Type="http://schemas.openxmlformats.org/officeDocument/2006/relationships/hyperlink" Target="http://www.linkedin.com/in/hanneke-smith-8a9295285" TargetMode="External"/><Relationship Id="rId2274" Type="http://schemas.openxmlformats.org/officeDocument/2006/relationships/hyperlink" Target="http://www.linkedin.com/in/contacto-digital-5625721ab" TargetMode="External"/><Relationship Id="rId2481" Type="http://schemas.openxmlformats.org/officeDocument/2006/relationships/hyperlink" Target="http://www.linkedin.com/in/dustin-rosales-garc%c3%ada-b926481a1" TargetMode="External"/><Relationship Id="rId3118" Type="http://schemas.openxmlformats.org/officeDocument/2006/relationships/hyperlink" Target="http://www.linkedin.com/in/martijn-van-de-leest-939609a" TargetMode="External"/><Relationship Id="rId246" Type="http://schemas.openxmlformats.org/officeDocument/2006/relationships/hyperlink" Target="http://cherish.mx/" TargetMode="External"/><Relationship Id="rId453" Type="http://schemas.openxmlformats.org/officeDocument/2006/relationships/hyperlink" Target="http://edebe.com.mx/" TargetMode="External"/><Relationship Id="rId660" Type="http://schemas.openxmlformats.org/officeDocument/2006/relationships/hyperlink" Target="http://homedepot.com.mx/" TargetMode="External"/><Relationship Id="rId898" Type="http://schemas.openxmlformats.org/officeDocument/2006/relationships/hyperlink" Target="http://magmalabs.io/" TargetMode="External"/><Relationship Id="rId1083" Type="http://schemas.openxmlformats.org/officeDocument/2006/relationships/hyperlink" Target="https://www.linkedin.com/in/issac-a-garc%C3%ADa-rodr%C3%ADguez-b714a4177" TargetMode="External"/><Relationship Id="rId1290" Type="http://schemas.openxmlformats.org/officeDocument/2006/relationships/hyperlink" Target="http://sdindustrial.com.mx/" TargetMode="External"/><Relationship Id="rId2134" Type="http://schemas.openxmlformats.org/officeDocument/2006/relationships/hyperlink" Target="http://www.linkedin.com/in/mariagutierrezalvarez" TargetMode="External"/><Relationship Id="rId2341" Type="http://schemas.openxmlformats.org/officeDocument/2006/relationships/hyperlink" Target="http://www.linkedin.com/in/martha-b-54473a132" TargetMode="External"/><Relationship Id="rId2579" Type="http://schemas.openxmlformats.org/officeDocument/2006/relationships/hyperlink" Target="http://www.linkedin.com/in/javier-felix-castaneda-seo" TargetMode="External"/><Relationship Id="rId2786" Type="http://schemas.openxmlformats.org/officeDocument/2006/relationships/hyperlink" Target="http://www.linkedin.com/in/luise-cervantes" TargetMode="External"/><Relationship Id="rId2993" Type="http://schemas.openxmlformats.org/officeDocument/2006/relationships/hyperlink" Target="http://www.linkedin.com/in/jessica-cardenas-espinoza" TargetMode="External"/><Relationship Id="rId106" Type="http://schemas.openxmlformats.org/officeDocument/2006/relationships/hyperlink" Target="http://awasa.com.mx/" TargetMode="External"/><Relationship Id="rId313" Type="http://schemas.openxmlformats.org/officeDocument/2006/relationships/hyperlink" Target="https://www.linkedin.com/in/ACwAABLtplEBYc6DawvMPeFvBYRZ2reaYxUq774" TargetMode="External"/><Relationship Id="rId758" Type="http://schemas.openxmlformats.org/officeDocument/2006/relationships/hyperlink" Target="https://www.linkedin.com/in/ACwAAA9JhhgB_prgxdKm8JFZ9tYN78AshOD5-30" TargetMode="External"/><Relationship Id="rId965" Type="http://schemas.openxmlformats.org/officeDocument/2006/relationships/hyperlink" Target="http://mobiik.com/" TargetMode="External"/><Relationship Id="rId1150" Type="http://schemas.openxmlformats.org/officeDocument/2006/relationships/hyperlink" Target="https://www.linkedin.com/in/marco-rodriguez-222bb3247" TargetMode="External"/><Relationship Id="rId1388" Type="http://schemas.openxmlformats.org/officeDocument/2006/relationships/hyperlink" Target="http://taceamusic.com/" TargetMode="External"/><Relationship Id="rId1595" Type="http://schemas.openxmlformats.org/officeDocument/2006/relationships/hyperlink" Target="http://xnprotel.com/" TargetMode="External"/><Relationship Id="rId2439" Type="http://schemas.openxmlformats.org/officeDocument/2006/relationships/hyperlink" Target="http://www.linkedin.com/in/miguel-angel-cort%c3%a9s-toledo-1a01a8245" TargetMode="External"/><Relationship Id="rId2646" Type="http://schemas.openxmlformats.org/officeDocument/2006/relationships/hyperlink" Target="http://www.linkedin.com/in/marianela-lavin-1548a410" TargetMode="External"/><Relationship Id="rId2853" Type="http://schemas.openxmlformats.org/officeDocument/2006/relationships/hyperlink" Target="http://www.linkedin.com/in/natalia-garc%c3%ada-ab6437165" TargetMode="External"/><Relationship Id="rId94" Type="http://schemas.openxmlformats.org/officeDocument/2006/relationships/hyperlink" Target="http://audi.com.mx/" TargetMode="External"/><Relationship Id="rId520" Type="http://schemas.openxmlformats.org/officeDocument/2006/relationships/hyperlink" Target="https://www.linkedin.com/in/ACwAADDGKL8BfifbrgI9B3-8gHVY2IT8ev3AOWg" TargetMode="External"/><Relationship Id="rId618" Type="http://schemas.openxmlformats.org/officeDocument/2006/relationships/hyperlink" Target="http://grupoexpansion.com/" TargetMode="External"/><Relationship Id="rId825" Type="http://schemas.openxmlformats.org/officeDocument/2006/relationships/hyperlink" Target="http://korianatural.com/" TargetMode="External"/><Relationship Id="rId1248" Type="http://schemas.openxmlformats.org/officeDocument/2006/relationships/hyperlink" Target="https://www.linkedin.com/in/manager-international-co-a2583811a" TargetMode="External"/><Relationship Id="rId1455" Type="http://schemas.openxmlformats.org/officeDocument/2006/relationships/hyperlink" Target="http://tracsa.com.mx/" TargetMode="External"/><Relationship Id="rId1662" Type="http://schemas.openxmlformats.org/officeDocument/2006/relationships/hyperlink" Target="http://www.linkedin.com/in/vinodkaky" TargetMode="External"/><Relationship Id="rId2201" Type="http://schemas.openxmlformats.org/officeDocument/2006/relationships/hyperlink" Target="http://www.linkedin.com/in/anayancy-mayorga-655927aa" TargetMode="External"/><Relationship Id="rId2506" Type="http://schemas.openxmlformats.org/officeDocument/2006/relationships/hyperlink" Target="http://www.linkedin.com/in/andrea-liliana-zu%c3%b1iga-castro-2888b51bb" TargetMode="External"/><Relationship Id="rId1010" Type="http://schemas.openxmlformats.org/officeDocument/2006/relationships/hyperlink" Target="https://www.linkedin.com/in/rochamx" TargetMode="External"/><Relationship Id="rId1108" Type="http://schemas.openxmlformats.org/officeDocument/2006/relationships/hyperlink" Target="https://www.linkedin.com/in/ivan-d-briones" TargetMode="External"/><Relationship Id="rId1315" Type="http://schemas.openxmlformats.org/officeDocument/2006/relationships/hyperlink" Target="https://www.linkedin.com/in/marlee-seidman" TargetMode="External"/><Relationship Id="rId1967" Type="http://schemas.openxmlformats.org/officeDocument/2006/relationships/hyperlink" Target="http://www.linkedin.com/in/ana-patricia-ba%c3%b1uelos-avalos-9489871b5" TargetMode="External"/><Relationship Id="rId2713" Type="http://schemas.openxmlformats.org/officeDocument/2006/relationships/hyperlink" Target="http://www.linkedin.com/in/paola-grosso-chacon" TargetMode="External"/><Relationship Id="rId2920" Type="http://schemas.openxmlformats.org/officeDocument/2006/relationships/hyperlink" Target="http://www.linkedin.com/in/jesseness" TargetMode="External"/><Relationship Id="rId1522" Type="http://schemas.openxmlformats.org/officeDocument/2006/relationships/hyperlink" Target="http://vianney.com.mx/" TargetMode="External"/><Relationship Id="rId21" Type="http://schemas.openxmlformats.org/officeDocument/2006/relationships/hyperlink" Target="https://www.linkedin.com/in/ACwAABbnAgEBmYA6R0yIGsc2zDj8IP_g5GrL99o" TargetMode="External"/><Relationship Id="rId2089" Type="http://schemas.openxmlformats.org/officeDocument/2006/relationships/hyperlink" Target="http://www.linkedin.com/in/roc%c3%ado-toledo-castillejos-11830774" TargetMode="External"/><Relationship Id="rId2296" Type="http://schemas.openxmlformats.org/officeDocument/2006/relationships/hyperlink" Target="http://www.linkedin.com/in/cesar-alberto-torres-mendez-52790b122" TargetMode="External"/><Relationship Id="rId268" Type="http://schemas.openxmlformats.org/officeDocument/2006/relationships/hyperlink" Target="http://colgatepalmolive.com/" TargetMode="External"/><Relationship Id="rId475" Type="http://schemas.openxmlformats.org/officeDocument/2006/relationships/hyperlink" Target="https://www.linkedin.com/in/ingmiriammartinez" TargetMode="External"/><Relationship Id="rId682" Type="http://schemas.openxmlformats.org/officeDocument/2006/relationships/hyperlink" Target="https://cantia.com.mx/" TargetMode="External"/><Relationship Id="rId2156" Type="http://schemas.openxmlformats.org/officeDocument/2006/relationships/hyperlink" Target="http://www.linkedin.com/in/slwirtjes" TargetMode="External"/><Relationship Id="rId2363" Type="http://schemas.openxmlformats.org/officeDocument/2006/relationships/hyperlink" Target="http://www.linkedin.com/in/viridiana-soto-511428125" TargetMode="External"/><Relationship Id="rId2570" Type="http://schemas.openxmlformats.org/officeDocument/2006/relationships/hyperlink" Target="http://www.linkedin.com/in/pamela-ochoa-azamar-695290193" TargetMode="External"/><Relationship Id="rId3207" Type="http://schemas.openxmlformats.org/officeDocument/2006/relationships/hyperlink" Target="http://www.linkedin.com/in/diego-israel-p%c3%a9rez-s%c3%a1nchez-310779118" TargetMode="External"/><Relationship Id="rId128" Type="http://schemas.openxmlformats.org/officeDocument/2006/relationships/hyperlink" Target="http://bellisima.mx/" TargetMode="External"/><Relationship Id="rId335" Type="http://schemas.openxmlformats.org/officeDocument/2006/relationships/hyperlink" Target="http://cvdirectomexico.com/" TargetMode="External"/><Relationship Id="rId542" Type="http://schemas.openxmlformats.org/officeDocument/2006/relationships/hyperlink" Target="http://fullsand.com/" TargetMode="External"/><Relationship Id="rId1172" Type="http://schemas.openxmlformats.org/officeDocument/2006/relationships/hyperlink" Target="http://polymershapes.com.mx/" TargetMode="External"/><Relationship Id="rId2016" Type="http://schemas.openxmlformats.org/officeDocument/2006/relationships/hyperlink" Target="http://www.linkedin.com/in/mireille-ake-934590103" TargetMode="External"/><Relationship Id="rId2223" Type="http://schemas.openxmlformats.org/officeDocument/2006/relationships/hyperlink" Target="http://www.linkedin.com/in/rosmadh" TargetMode="External"/><Relationship Id="rId2430" Type="http://schemas.openxmlformats.org/officeDocument/2006/relationships/hyperlink" Target="http://www.linkedin.com/in/jonathan-coronado-comunicaci%c3%b3n" TargetMode="External"/><Relationship Id="rId402" Type="http://schemas.openxmlformats.org/officeDocument/2006/relationships/hyperlink" Target="http://devlyn.com.mx/" TargetMode="External"/><Relationship Id="rId1032" Type="http://schemas.openxmlformats.org/officeDocument/2006/relationships/hyperlink" Target="http://nephosit.com/" TargetMode="External"/><Relationship Id="rId1989" Type="http://schemas.openxmlformats.org/officeDocument/2006/relationships/hyperlink" Target="http://www.linkedin.com/in/marciyarrishsmith" TargetMode="External"/><Relationship Id="rId1849" Type="http://schemas.openxmlformats.org/officeDocument/2006/relationships/hyperlink" Target="http://www.linkedin.com/in/katie-moore-32759023" TargetMode="External"/><Relationship Id="rId3064" Type="http://schemas.openxmlformats.org/officeDocument/2006/relationships/hyperlink" Target="http://www.linkedin.com/in/ana-cristina-salcedo-gonzalez-b8990181" TargetMode="External"/><Relationship Id="rId192" Type="http://schemas.openxmlformats.org/officeDocument/2006/relationships/hyperlink" Target="http://broxel.com/" TargetMode="External"/><Relationship Id="rId1709" Type="http://schemas.openxmlformats.org/officeDocument/2006/relationships/hyperlink" Target="http://www.linkedin.com/in/abdellatif-el-mizeb-01356824" TargetMode="External"/><Relationship Id="rId1916" Type="http://schemas.openxmlformats.org/officeDocument/2006/relationships/hyperlink" Target="http://www.linkedin.com/in/dawn-li-28817577" TargetMode="External"/><Relationship Id="rId3271" Type="http://schemas.openxmlformats.org/officeDocument/2006/relationships/hyperlink" Target="http://www.linkedin.com/in/sergio-martinez-vielledent-493944233" TargetMode="External"/><Relationship Id="rId2080" Type="http://schemas.openxmlformats.org/officeDocument/2006/relationships/hyperlink" Target="http://www.linkedin.com/in/dora-liu-64273a179" TargetMode="External"/><Relationship Id="rId3131" Type="http://schemas.openxmlformats.org/officeDocument/2006/relationships/hyperlink" Target="http://www.linkedin.com/in/victoria-ruiz-69961173" TargetMode="External"/><Relationship Id="rId2897" Type="http://schemas.openxmlformats.org/officeDocument/2006/relationships/hyperlink" Target="http://www.linkedin.com/in/tracy-garc%c3%ada-g-16819a125" TargetMode="External"/><Relationship Id="rId869" Type="http://schemas.openxmlformats.org/officeDocument/2006/relationships/hyperlink" Target="http://liverpool.com.mx/" TargetMode="External"/><Relationship Id="rId1499" Type="http://schemas.openxmlformats.org/officeDocument/2006/relationships/hyperlink" Target="https://www.linkedin.com/in/ACwAABt_Kw0Br2sQXqaHqAcgx1GyWv-8r55ULNw" TargetMode="External"/><Relationship Id="rId729" Type="http://schemas.openxmlformats.org/officeDocument/2006/relationships/hyperlink" Target="https://www.linkedin.com/in/ricardolecompte" TargetMode="External"/><Relationship Id="rId1359" Type="http://schemas.openxmlformats.org/officeDocument/2006/relationships/hyperlink" Target="https://www.linkedin.com/in/pat-ross-39bb974" TargetMode="External"/><Relationship Id="rId2757" Type="http://schemas.openxmlformats.org/officeDocument/2006/relationships/hyperlink" Target="http://www.linkedin.com/in/reilly-lievers-72581190" TargetMode="External"/><Relationship Id="rId2964" Type="http://schemas.openxmlformats.org/officeDocument/2006/relationships/hyperlink" Target="http://www.linkedin.com/in/daniel-rosales-b67280239" TargetMode="External"/><Relationship Id="rId936" Type="http://schemas.openxmlformats.org/officeDocument/2006/relationships/hyperlink" Target="https://www.linkedin.com/in/ACwAAATbPygB5T_-MX3VkvG-QGHCI5oiBNqAxYY" TargetMode="External"/><Relationship Id="rId1219" Type="http://schemas.openxmlformats.org/officeDocument/2006/relationships/hyperlink" Target="https://www.linkedin.com/in/zeltzin-quintanar-777a661a2" TargetMode="External"/><Relationship Id="rId1566" Type="http://schemas.openxmlformats.org/officeDocument/2006/relationships/hyperlink" Target="https://www.linkedin.com/in/riquet-zequeira" TargetMode="External"/><Relationship Id="rId1773" Type="http://schemas.openxmlformats.org/officeDocument/2006/relationships/hyperlink" Target="http://www.linkedin.com/in/vincentsuntw" TargetMode="External"/><Relationship Id="rId1980" Type="http://schemas.openxmlformats.org/officeDocument/2006/relationships/hyperlink" Target="http://www.linkedin.com/in/iliana-amellali-marin-falcon-523993aa" TargetMode="External"/><Relationship Id="rId2617" Type="http://schemas.openxmlformats.org/officeDocument/2006/relationships/hyperlink" Target="http://www.linkedin.com/in/marketing-riverline-075bb8116" TargetMode="External"/><Relationship Id="rId2824" Type="http://schemas.openxmlformats.org/officeDocument/2006/relationships/hyperlink" Target="http://www.linkedin.com/in/v%c3%adctor-alonso-maciel-guzman-a922b4100" TargetMode="External"/><Relationship Id="rId65" Type="http://schemas.openxmlformats.org/officeDocument/2006/relationships/hyperlink" Target="https://www.linkedin.com/in/adrian-rodarte-a8562b272" TargetMode="External"/><Relationship Id="rId1426" Type="http://schemas.openxmlformats.org/officeDocument/2006/relationships/hyperlink" Target="https://www.linkedin.com/in/nicole-shain" TargetMode="External"/><Relationship Id="rId1633" Type="http://schemas.openxmlformats.org/officeDocument/2006/relationships/hyperlink" Target="http://www.linkedin.com/in/alexandra-garc%c3%ada-z%c3%a1rate-46a084a8" TargetMode="External"/><Relationship Id="rId1840" Type="http://schemas.openxmlformats.org/officeDocument/2006/relationships/hyperlink" Target="http://www.linkedin.com/in/davidboix-digitalmarketing-ecommerce" TargetMode="External"/><Relationship Id="rId1700" Type="http://schemas.openxmlformats.org/officeDocument/2006/relationships/hyperlink" Target="http://www.linkedin.com/in/carine-futselaar-998a1941" TargetMode="External"/><Relationship Id="rId379" Type="http://schemas.openxmlformats.org/officeDocument/2006/relationships/hyperlink" Target="https://www.linkedin.com/in/yoann-kersuzan-40a39433" TargetMode="External"/><Relationship Id="rId586" Type="http://schemas.openxmlformats.org/officeDocument/2006/relationships/hyperlink" Target="https://www.linkedin.com/in/iammikelyons" TargetMode="External"/><Relationship Id="rId793" Type="http://schemas.openxmlformats.org/officeDocument/2006/relationships/hyperlink" Target="https://www.linkedin.com/in/fersanluis" TargetMode="External"/><Relationship Id="rId2267" Type="http://schemas.openxmlformats.org/officeDocument/2006/relationships/hyperlink" Target="http://www.linkedin.com/in/jackyfuentes" TargetMode="External"/><Relationship Id="rId2474" Type="http://schemas.openxmlformats.org/officeDocument/2006/relationships/hyperlink" Target="http://www.linkedin.com/in/nathaly-perez-collantes-227257234" TargetMode="External"/><Relationship Id="rId2681" Type="http://schemas.openxmlformats.org/officeDocument/2006/relationships/hyperlink" Target="http://www.linkedin.com/in/leyracolina" TargetMode="External"/><Relationship Id="rId239" Type="http://schemas.openxmlformats.org/officeDocument/2006/relationships/hyperlink" Target="http://chenson.com.mx/" TargetMode="External"/><Relationship Id="rId446" Type="http://schemas.openxmlformats.org/officeDocument/2006/relationships/hyperlink" Target="https://www.linkedin.com/in/ACwAACTvdtkBeUGFGVu6qEGosFHTARvzy4j3QNI" TargetMode="External"/><Relationship Id="rId653" Type="http://schemas.openxmlformats.org/officeDocument/2006/relationships/hyperlink" Target="https://www.linkedin.com/in/ACwAAB_N8zsBcPAj6S6QEEe6c4Zmh5wTnIXJhV8" TargetMode="External"/><Relationship Id="rId1076" Type="http://schemas.openxmlformats.org/officeDocument/2006/relationships/hyperlink" Target="http://odoo.com/" TargetMode="External"/><Relationship Id="rId1283" Type="http://schemas.openxmlformats.org/officeDocument/2006/relationships/hyperlink" Target="https://www.linkedin.com/in/fernando-vera-delgado-aa222651" TargetMode="External"/><Relationship Id="rId1490" Type="http://schemas.openxmlformats.org/officeDocument/2006/relationships/hyperlink" Target="http://udg.mx/" TargetMode="External"/><Relationship Id="rId2127" Type="http://schemas.openxmlformats.org/officeDocument/2006/relationships/hyperlink" Target="http://www.linkedin.com/in/chloe-wong-2097775a" TargetMode="External"/><Relationship Id="rId2334" Type="http://schemas.openxmlformats.org/officeDocument/2006/relationships/hyperlink" Target="http://www.linkedin.com/in/fernando-wong-6521b120b" TargetMode="External"/><Relationship Id="rId306" Type="http://schemas.openxmlformats.org/officeDocument/2006/relationships/hyperlink" Target="http://costco.com.mx/" TargetMode="External"/><Relationship Id="rId860" Type="http://schemas.openxmlformats.org/officeDocument/2006/relationships/hyperlink" Target="https://www.linkedin.com/in/francisco-arinci-621485" TargetMode="External"/><Relationship Id="rId1143" Type="http://schemas.openxmlformats.org/officeDocument/2006/relationships/hyperlink" Target="http://pennsylvania.com.mx/" TargetMode="External"/><Relationship Id="rId2541" Type="http://schemas.openxmlformats.org/officeDocument/2006/relationships/hyperlink" Target="http://www.linkedin.com/in/agustindmartinezr" TargetMode="External"/><Relationship Id="rId513" Type="http://schemas.openxmlformats.org/officeDocument/2006/relationships/hyperlink" Target="http://farmapiel.com/" TargetMode="External"/><Relationship Id="rId720" Type="http://schemas.openxmlformats.org/officeDocument/2006/relationships/hyperlink" Target="https://www.linkedin.com/in/victoria-kozyr-88a183172" TargetMode="External"/><Relationship Id="rId1350" Type="http://schemas.openxmlformats.org/officeDocument/2006/relationships/hyperlink" Target="https://www.linkedin.com/in/xiwangci" TargetMode="External"/><Relationship Id="rId2401" Type="http://schemas.openxmlformats.org/officeDocument/2006/relationships/hyperlink" Target="http://www.linkedin.com/in/armando-monroy" TargetMode="External"/><Relationship Id="rId1003" Type="http://schemas.openxmlformats.org/officeDocument/2006/relationships/hyperlink" Target="http://mtx.com/" TargetMode="External"/><Relationship Id="rId1210" Type="http://schemas.openxmlformats.org/officeDocument/2006/relationships/hyperlink" Target="https://www.linkedin.com/in/taranjot-kaur-2b7b311a4" TargetMode="External"/><Relationship Id="rId3175" Type="http://schemas.openxmlformats.org/officeDocument/2006/relationships/hyperlink" Target="http://www.linkedin.com/in/queren-lopez-4926941b8" TargetMode="External"/><Relationship Id="rId2191" Type="http://schemas.openxmlformats.org/officeDocument/2006/relationships/hyperlink" Target="http://www.linkedin.com/in/hortensia-garcia-0210ba196" TargetMode="External"/><Relationship Id="rId3035" Type="http://schemas.openxmlformats.org/officeDocument/2006/relationships/hyperlink" Target="http://www.linkedin.com/in/stephany-tolentino-4b4399bb" TargetMode="External"/><Relationship Id="rId3242" Type="http://schemas.openxmlformats.org/officeDocument/2006/relationships/hyperlink" Target="http://www.linkedin.com/in/lorena-machaen-783558172" TargetMode="External"/><Relationship Id="rId163" Type="http://schemas.openxmlformats.org/officeDocument/2006/relationships/hyperlink" Target="http://bodegasalianza.com/" TargetMode="External"/><Relationship Id="rId370" Type="http://schemas.openxmlformats.org/officeDocument/2006/relationships/hyperlink" Target="http://davines.com/" TargetMode="External"/><Relationship Id="rId2051" Type="http://schemas.openxmlformats.org/officeDocument/2006/relationships/hyperlink" Target="http://www.linkedin.com/in/fernando-gonz%c3%a1lez-435713143" TargetMode="External"/><Relationship Id="rId3102" Type="http://schemas.openxmlformats.org/officeDocument/2006/relationships/hyperlink" Target="http://www.linkedin.com/in/alfonso-gomez-8b594735" TargetMode="External"/><Relationship Id="rId230" Type="http://schemas.openxmlformats.org/officeDocument/2006/relationships/hyperlink" Target="https://www.linkedin.com/in/rodrigo-reyes-hermosillo-053796138" TargetMode="External"/><Relationship Id="rId2868" Type="http://schemas.openxmlformats.org/officeDocument/2006/relationships/hyperlink" Target="http://www.linkedin.com/in/caroline-ramsay" TargetMode="External"/><Relationship Id="rId1677" Type="http://schemas.openxmlformats.org/officeDocument/2006/relationships/hyperlink" Target="http://joyeriasbizzaro.com/" TargetMode="External"/><Relationship Id="rId1884" Type="http://schemas.openxmlformats.org/officeDocument/2006/relationships/hyperlink" Target="http://www.linkedin.com/in/romeo-zetina-minguez-588a9b20b" TargetMode="External"/><Relationship Id="rId2728" Type="http://schemas.openxmlformats.org/officeDocument/2006/relationships/hyperlink" Target="http://www.linkedin.com/in/allierussell" TargetMode="External"/><Relationship Id="rId2935" Type="http://schemas.openxmlformats.org/officeDocument/2006/relationships/hyperlink" Target="http://www.linkedin.com/in/maria-del-sol-acevedo-pons-61b849bb" TargetMode="External"/><Relationship Id="rId907" Type="http://schemas.openxmlformats.org/officeDocument/2006/relationships/hyperlink" Target="https://www.linkedin.com/in/ACwAABycMJ4BDC3bnVZ0rWvob7lFWtjGrC4fvAA" TargetMode="External"/><Relationship Id="rId1537" Type="http://schemas.openxmlformats.org/officeDocument/2006/relationships/hyperlink" Target="https://www.linkedin.com/in/claudia-perales-5a47b0192" TargetMode="External"/><Relationship Id="rId1744" Type="http://schemas.openxmlformats.org/officeDocument/2006/relationships/hyperlink" Target="http://www.linkedin.com/in/andreaherpu-950311" TargetMode="External"/><Relationship Id="rId1951" Type="http://schemas.openxmlformats.org/officeDocument/2006/relationships/hyperlink" Target="http://www.linkedin.com/in/juan-carlos-gonzalez-tinoco-574b047a" TargetMode="External"/><Relationship Id="rId36" Type="http://schemas.openxmlformats.org/officeDocument/2006/relationships/hyperlink" Target="http://andishere.com/" TargetMode="External"/><Relationship Id="rId1604" Type="http://schemas.openxmlformats.org/officeDocument/2006/relationships/hyperlink" Target="http://zeb.mx/" TargetMode="External"/><Relationship Id="rId1811" Type="http://schemas.openxmlformats.org/officeDocument/2006/relationships/hyperlink" Target="http://www.linkedin.com/in/valeria-aguilar-279596bb" TargetMode="External"/><Relationship Id="rId697" Type="http://schemas.openxmlformats.org/officeDocument/2006/relationships/hyperlink" Target="https://www.linkedin.com/in/nataliavallea/" TargetMode="External"/><Relationship Id="rId2378" Type="http://schemas.openxmlformats.org/officeDocument/2006/relationships/hyperlink" Target="http://www.linkedin.com/in/andrea-garc%c3%ada-cisneros-bb9143100" TargetMode="External"/><Relationship Id="rId1187" Type="http://schemas.openxmlformats.org/officeDocument/2006/relationships/hyperlink" Target="https://www.linkedin.com/in/aldogamarrav" TargetMode="External"/><Relationship Id="rId2585" Type="http://schemas.openxmlformats.org/officeDocument/2006/relationships/hyperlink" Target="http://www.linkedin.com/in/luciano-roa-tortolero" TargetMode="External"/><Relationship Id="rId2792" Type="http://schemas.openxmlformats.org/officeDocument/2006/relationships/hyperlink" Target="http://www.linkedin.com/in/luis-enrique-cervantes-torres-176a9117a" TargetMode="External"/><Relationship Id="rId557" Type="http://schemas.openxmlformats.org/officeDocument/2006/relationships/hyperlink" Target="https://www.linkedin.com/in/victorria-wytcherley-5637735" TargetMode="External"/><Relationship Id="rId764" Type="http://schemas.openxmlformats.org/officeDocument/2006/relationships/hyperlink" Target="http://iqos.com/" TargetMode="External"/><Relationship Id="rId971" Type="http://schemas.openxmlformats.org/officeDocument/2006/relationships/hyperlink" Target="http://moleskine.com/" TargetMode="External"/><Relationship Id="rId1394" Type="http://schemas.openxmlformats.org/officeDocument/2006/relationships/hyperlink" Target="https://www.linkedin.com/in/alexaasuv" TargetMode="External"/><Relationship Id="rId2238" Type="http://schemas.openxmlformats.org/officeDocument/2006/relationships/hyperlink" Target="http://www.linkedin.com/in/garcia-braulio" TargetMode="External"/><Relationship Id="rId2445" Type="http://schemas.openxmlformats.org/officeDocument/2006/relationships/hyperlink" Target="http://www.linkedin.com/in/vanessa-valverde-6a233a24" TargetMode="External"/><Relationship Id="rId2652" Type="http://schemas.openxmlformats.org/officeDocument/2006/relationships/hyperlink" Target="http://www.linkedin.com/in/estefany-rojas-zamudio" TargetMode="External"/><Relationship Id="rId417" Type="http://schemas.openxmlformats.org/officeDocument/2006/relationships/hyperlink" Target="http://distroller.com/" TargetMode="External"/><Relationship Id="rId624" Type="http://schemas.openxmlformats.org/officeDocument/2006/relationships/hyperlink" Target="http://grupoinfra.com/" TargetMode="External"/><Relationship Id="rId831" Type="http://schemas.openxmlformats.org/officeDocument/2006/relationships/hyperlink" Target="http://krispykreme.mx/" TargetMode="External"/><Relationship Id="rId1047" Type="http://schemas.openxmlformats.org/officeDocument/2006/relationships/hyperlink" Target="https://www.linkedin.com/in/alejandro-barrantes-romero" TargetMode="External"/><Relationship Id="rId1254" Type="http://schemas.openxmlformats.org/officeDocument/2006/relationships/hyperlink" Target="https://www.linkedin.com/in/ACwAABO2u9YBAip8APJd_vNBg-5GMilPEdyTBBQ" TargetMode="External"/><Relationship Id="rId1461" Type="http://schemas.openxmlformats.org/officeDocument/2006/relationships/hyperlink" Target="http://transcabo.com/" TargetMode="External"/><Relationship Id="rId2305" Type="http://schemas.openxmlformats.org/officeDocument/2006/relationships/hyperlink" Target="http://www.linkedin.com/in/paula-ivonne-rosas-urcid-565229210" TargetMode="External"/><Relationship Id="rId2512" Type="http://schemas.openxmlformats.org/officeDocument/2006/relationships/hyperlink" Target="http://www.linkedin.com/in/vanesa-yanet-tenorio-xilohua-0a08a6202" TargetMode="External"/><Relationship Id="rId1114" Type="http://schemas.openxmlformats.org/officeDocument/2006/relationships/hyperlink" Target="https://www.linkedin.com/in/michel-puharr%C3%A9-a8772a4" TargetMode="External"/><Relationship Id="rId1321" Type="http://schemas.openxmlformats.org/officeDocument/2006/relationships/hyperlink" Target="https://www.linkedin.com/in/marcela-gomez" TargetMode="External"/><Relationship Id="rId3079" Type="http://schemas.openxmlformats.org/officeDocument/2006/relationships/hyperlink" Target="http://www.linkedin.com/in/selene-rodriguez-28b9bb127" TargetMode="External"/><Relationship Id="rId2095" Type="http://schemas.openxmlformats.org/officeDocument/2006/relationships/hyperlink" Target="http://www.linkedin.com/in/erickcruzgar" TargetMode="External"/><Relationship Id="rId3146" Type="http://schemas.openxmlformats.org/officeDocument/2006/relationships/hyperlink" Target="http://www.linkedin.com/in/felipe-antonio-sosa" TargetMode="External"/><Relationship Id="rId274" Type="http://schemas.openxmlformats.org/officeDocument/2006/relationships/hyperlink" Target="http://columbia.edu/" TargetMode="External"/><Relationship Id="rId481" Type="http://schemas.openxmlformats.org/officeDocument/2006/relationships/hyperlink" Target="https://www.linkedin.com/in/maria-griselda-hernandez-fabregas-48b01311" TargetMode="External"/><Relationship Id="rId2162" Type="http://schemas.openxmlformats.org/officeDocument/2006/relationships/hyperlink" Target="http://www.linkedin.com/in/marco-asis-per%c3%a9z-molina-323a62117" TargetMode="External"/><Relationship Id="rId3006" Type="http://schemas.openxmlformats.org/officeDocument/2006/relationships/hyperlink" Target="http://www.linkedin.com/in/morgan-liang-298128208" TargetMode="External"/><Relationship Id="rId134" Type="http://schemas.openxmlformats.org/officeDocument/2006/relationships/hyperlink" Target="https://www.linkedin.com/in/jorelr7" TargetMode="External"/><Relationship Id="rId3213" Type="http://schemas.openxmlformats.org/officeDocument/2006/relationships/hyperlink" Target="http://www.linkedin.com/in/aldo-garcia-48814043" TargetMode="External"/><Relationship Id="rId341" Type="http://schemas.openxmlformats.org/officeDocument/2006/relationships/hyperlink" Target="http://cyamoda.com/" TargetMode="External"/><Relationship Id="rId2022" Type="http://schemas.openxmlformats.org/officeDocument/2006/relationships/hyperlink" Target="http://www.linkedin.com/in/mariana-martinez-cervantes-8a6b48148" TargetMode="External"/><Relationship Id="rId2979" Type="http://schemas.openxmlformats.org/officeDocument/2006/relationships/hyperlink" Target="http://www.linkedin.com/in/alejandra-gardu%c3%b1o-s%c3%a1nchez-29525917a" TargetMode="External"/><Relationship Id="rId201" Type="http://schemas.openxmlformats.org/officeDocument/2006/relationships/hyperlink" Target="https://www.linkedin.com/in/mariadelmarsanchezdelgado" TargetMode="External"/><Relationship Id="rId1788" Type="http://schemas.openxmlformats.org/officeDocument/2006/relationships/hyperlink" Target="http://www.linkedin.com/in/jonathanjacobo" TargetMode="External"/><Relationship Id="rId1995" Type="http://schemas.openxmlformats.org/officeDocument/2006/relationships/hyperlink" Target="http://www.linkedin.com/in/ellarockjones" TargetMode="External"/><Relationship Id="rId2839" Type="http://schemas.openxmlformats.org/officeDocument/2006/relationships/hyperlink" Target="http://www.linkedin.com/in/alfonso-gomez-8b594735" TargetMode="External"/><Relationship Id="rId1648" Type="http://schemas.openxmlformats.org/officeDocument/2006/relationships/hyperlink" Target="http://www.linkedin.com/in/javier-castillo-martin-29573717" TargetMode="External"/><Relationship Id="rId1508" Type="http://schemas.openxmlformats.org/officeDocument/2006/relationships/hyperlink" Target="http://up.edu.mx/" TargetMode="External"/><Relationship Id="rId1855" Type="http://schemas.openxmlformats.org/officeDocument/2006/relationships/hyperlink" Target="http://www.linkedin.com/in/c%c3%a9sar-hern%c3%a1ndez-cuanalo-1b4614a2" TargetMode="External"/><Relationship Id="rId2906" Type="http://schemas.openxmlformats.org/officeDocument/2006/relationships/hyperlink" Target="http://www.linkedin.com/in/agostina-dottori-28979054" TargetMode="External"/><Relationship Id="rId3070" Type="http://schemas.openxmlformats.org/officeDocument/2006/relationships/hyperlink" Target="http://www.linkedin.com/in/christie-e-horsman" TargetMode="External"/><Relationship Id="rId1715" Type="http://schemas.openxmlformats.org/officeDocument/2006/relationships/hyperlink" Target="http://www.linkedin.com/in/erika-resendiz-2b379910b" TargetMode="External"/><Relationship Id="rId1922" Type="http://schemas.openxmlformats.org/officeDocument/2006/relationships/hyperlink" Target="http://www.linkedin.com/in/xochitlgonzalezg" TargetMode="External"/><Relationship Id="rId2489" Type="http://schemas.openxmlformats.org/officeDocument/2006/relationships/hyperlink" Target="http://www.linkedin.com/in/mar%c3%ada-del-carmen-osnaya-nava-b151b9195" TargetMode="External"/><Relationship Id="rId2696" Type="http://schemas.openxmlformats.org/officeDocument/2006/relationships/hyperlink" Target="http://www.linkedin.com/in/karen-hern%c3%a1ndez-angelino-915415206" TargetMode="External"/><Relationship Id="rId668" Type="http://schemas.openxmlformats.org/officeDocument/2006/relationships/hyperlink" Target="http://republicablanca.com/" TargetMode="External"/><Relationship Id="rId875" Type="http://schemas.openxmlformats.org/officeDocument/2006/relationships/hyperlink" Target="http://loccitane.com/" TargetMode="External"/><Relationship Id="rId1298" Type="http://schemas.openxmlformats.org/officeDocument/2006/relationships/hyperlink" Target="http://shasa.com/" TargetMode="External"/><Relationship Id="rId2349" Type="http://schemas.openxmlformats.org/officeDocument/2006/relationships/hyperlink" Target="http://www.linkedin.com/in/selene-rivera-vilorio-a2a380172" TargetMode="External"/><Relationship Id="rId2556" Type="http://schemas.openxmlformats.org/officeDocument/2006/relationships/hyperlink" Target="http://www.linkedin.com/in/monserrat-palomera-gloria-538964244" TargetMode="External"/><Relationship Id="rId2763" Type="http://schemas.openxmlformats.org/officeDocument/2006/relationships/hyperlink" Target="http://www.linkedin.com/in/stephaniesullivan2" TargetMode="External"/><Relationship Id="rId2970" Type="http://schemas.openxmlformats.org/officeDocument/2006/relationships/hyperlink" Target="http://www.linkedin.com/in/ignacio-salvador-chamorro-vega-92080a51" TargetMode="External"/><Relationship Id="rId528" Type="http://schemas.openxmlformats.org/officeDocument/2006/relationships/hyperlink" Target="https://www.linkedin.com/in/juanfranciscolopez1" TargetMode="External"/><Relationship Id="rId735" Type="http://schemas.openxmlformats.org/officeDocument/2006/relationships/hyperlink" Target="https://www.linkedin.com/in/juancarlossaucedo" TargetMode="External"/><Relationship Id="rId942" Type="http://schemas.openxmlformats.org/officeDocument/2006/relationships/hyperlink" Target="https://www.linkedin.com/in/ravina-soma" TargetMode="External"/><Relationship Id="rId1158" Type="http://schemas.openxmlformats.org/officeDocument/2006/relationships/hyperlink" Target="https://www.linkedin.com/in/ACwAADYD5nQB8qnxSNemjXyDvl_jPoJ6P9Xd9Ak" TargetMode="External"/><Relationship Id="rId1365" Type="http://schemas.openxmlformats.org/officeDocument/2006/relationships/hyperlink" Target="https://www.linkedin.com/in/conner-yoon-7450031a0" TargetMode="External"/><Relationship Id="rId1572" Type="http://schemas.openxmlformats.org/officeDocument/2006/relationships/hyperlink" Target="https://www.linkedin.com/in/cynthia-villamil-ayala" TargetMode="External"/><Relationship Id="rId2209" Type="http://schemas.openxmlformats.org/officeDocument/2006/relationships/hyperlink" Target="http://www.linkedin.com/in/sandyvelperez" TargetMode="External"/><Relationship Id="rId2416" Type="http://schemas.openxmlformats.org/officeDocument/2006/relationships/hyperlink" Target="http://www.linkedin.com/in/pamela-colin-7a754163" TargetMode="External"/><Relationship Id="rId2623" Type="http://schemas.openxmlformats.org/officeDocument/2006/relationships/hyperlink" Target="http://www.linkedin.com/in/elisa-valencia-rosales-349824237" TargetMode="External"/><Relationship Id="rId1018" Type="http://schemas.openxmlformats.org/officeDocument/2006/relationships/hyperlink" Target="http://mundojoven.com/" TargetMode="External"/><Relationship Id="rId1225" Type="http://schemas.openxmlformats.org/officeDocument/2006/relationships/hyperlink" Target="https://www.linkedin.com/in/markamathews" TargetMode="External"/><Relationship Id="rId1432" Type="http://schemas.openxmlformats.org/officeDocument/2006/relationships/hyperlink" Target="https://www.linkedin.com/in/ACwAAC3_uA0BysLM9SLMUN5w3X18203lAJkwV7o" TargetMode="External"/><Relationship Id="rId2830" Type="http://schemas.openxmlformats.org/officeDocument/2006/relationships/hyperlink" Target="http://www.linkedin.com/in/ivan-scally-778690147" TargetMode="External"/><Relationship Id="rId71" Type="http://schemas.openxmlformats.org/officeDocument/2006/relationships/hyperlink" Target="https://www.linkedin.com/in/ACwAAA6Yw7sBPG1AspUugoqpR-_Au7dVFYPYO-Q" TargetMode="External"/><Relationship Id="rId802" Type="http://schemas.openxmlformats.org/officeDocument/2006/relationships/hyperlink" Target="https://www.linkedin.com/in/denise-belmonte" TargetMode="External"/><Relationship Id="rId178" Type="http://schemas.openxmlformats.org/officeDocument/2006/relationships/hyperlink" Target="http://brooksrunning.com/" TargetMode="External"/><Relationship Id="rId3257" Type="http://schemas.openxmlformats.org/officeDocument/2006/relationships/hyperlink" Target="http://www.linkedin.com/in/alejandra-gardu%c3%b1o-s%c3%a1nchez-29525917a" TargetMode="External"/><Relationship Id="rId385" Type="http://schemas.openxmlformats.org/officeDocument/2006/relationships/hyperlink" Target="https://www.linkedin.com/in/karla-cervantes-b-a-94199b63" TargetMode="External"/><Relationship Id="rId592" Type="http://schemas.openxmlformats.org/officeDocument/2006/relationships/hyperlink" Target="https://www.linkedin.com/in/michaelvercelletto" TargetMode="External"/><Relationship Id="rId2066" Type="http://schemas.openxmlformats.org/officeDocument/2006/relationships/hyperlink" Target="http://www.linkedin.com/in/monserrat-c-9a641617a" TargetMode="External"/><Relationship Id="rId2273" Type="http://schemas.openxmlformats.org/officeDocument/2006/relationships/hyperlink" Target="http://www.linkedin.com/in/guillermo-brito-2a901a67" TargetMode="External"/><Relationship Id="rId2480" Type="http://schemas.openxmlformats.org/officeDocument/2006/relationships/hyperlink" Target="http://www.linkedin.com/in/abraham-salazar-88763a1b7" TargetMode="External"/><Relationship Id="rId3117" Type="http://schemas.openxmlformats.org/officeDocument/2006/relationships/hyperlink" Target="http://www.linkedin.com/in/amygillvendasta" TargetMode="External"/><Relationship Id="rId245" Type="http://schemas.openxmlformats.org/officeDocument/2006/relationships/hyperlink" Target="https://www.linkedin.com/in/johanna-maria-kassing-729494b1" TargetMode="External"/><Relationship Id="rId452" Type="http://schemas.openxmlformats.org/officeDocument/2006/relationships/hyperlink" Target="https://www.linkedin.com/in/jesus-suarez" TargetMode="External"/><Relationship Id="rId1082" Type="http://schemas.openxmlformats.org/officeDocument/2006/relationships/hyperlink" Target="http://odoo.com/" TargetMode="External"/><Relationship Id="rId2133" Type="http://schemas.openxmlformats.org/officeDocument/2006/relationships/hyperlink" Target="http://www.linkedin.com/in/scarlett-wang-49b8b839" TargetMode="External"/><Relationship Id="rId2340" Type="http://schemas.openxmlformats.org/officeDocument/2006/relationships/hyperlink" Target="http://www.linkedin.com/in/laura-cervantes-569239171" TargetMode="External"/><Relationship Id="rId105" Type="http://schemas.openxmlformats.org/officeDocument/2006/relationships/hyperlink" Target="https://www.linkedin.com/in/ACwAAC20sTgBiQFqMx92da0elK8kcA_NTPbF3KI" TargetMode="External"/><Relationship Id="rId312" Type="http://schemas.openxmlformats.org/officeDocument/2006/relationships/hyperlink" Target="http://cristaljoyas.com/" TargetMode="External"/><Relationship Id="rId2200" Type="http://schemas.openxmlformats.org/officeDocument/2006/relationships/hyperlink" Target="http://www.linkedin.com/in/daniela-chac%c3%b3n-15b86556" TargetMode="External"/><Relationship Id="rId1899" Type="http://schemas.openxmlformats.org/officeDocument/2006/relationships/hyperlink" Target="http://www.linkedin.com/in/antonioandreuc" TargetMode="External"/><Relationship Id="rId1759" Type="http://schemas.openxmlformats.org/officeDocument/2006/relationships/hyperlink" Target="http://www.linkedin.com/in/kim-d%c3%a9hu-a38aa0b8" TargetMode="External"/><Relationship Id="rId1966" Type="http://schemas.openxmlformats.org/officeDocument/2006/relationships/hyperlink" Target="http://www.linkedin.com/in/karim-bejarano-8359ab217" TargetMode="External"/><Relationship Id="rId3181" Type="http://schemas.openxmlformats.org/officeDocument/2006/relationships/hyperlink" Target="http://www.linkedin.com/in/marina-ducros-maestracci-105506b3" TargetMode="External"/><Relationship Id="rId1619" Type="http://schemas.openxmlformats.org/officeDocument/2006/relationships/hyperlink" Target="http://www.linkedin.com/in/ang%c3%a9lica-ochoa-castro-5a4009ba" TargetMode="External"/><Relationship Id="rId1826" Type="http://schemas.openxmlformats.org/officeDocument/2006/relationships/hyperlink" Target="http://www.linkedin.com/in/juannie-brisson-73469b77" TargetMode="External"/><Relationship Id="rId3041" Type="http://schemas.openxmlformats.org/officeDocument/2006/relationships/hyperlink" Target="http://www.linkedin.com/in/natalia-garc%c3%ada-ab6437165" TargetMode="External"/><Relationship Id="rId779" Type="http://schemas.openxmlformats.org/officeDocument/2006/relationships/hyperlink" Target="https://www.linkedin.com/in/ACwAACYDrQgBaQELdF0yVvNn763A1VgYGow0Xe8" TargetMode="External"/><Relationship Id="rId986" Type="http://schemas.openxmlformats.org/officeDocument/2006/relationships/hyperlink" Target="https://www.linkedin.com/in/candyherreralopez" TargetMode="External"/><Relationship Id="rId2667" Type="http://schemas.openxmlformats.org/officeDocument/2006/relationships/hyperlink" Target="http://www.linkedin.com/in/lujain-alam-alamex" TargetMode="External"/><Relationship Id="rId639" Type="http://schemas.openxmlformats.org/officeDocument/2006/relationships/hyperlink" Target="https://www.linkedin.com/in/kikeaguirre" TargetMode="External"/><Relationship Id="rId1269" Type="http://schemas.openxmlformats.org/officeDocument/2006/relationships/hyperlink" Target="https://www.linkedin.com/in/rory-davis-9573487a" TargetMode="External"/><Relationship Id="rId1476" Type="http://schemas.openxmlformats.org/officeDocument/2006/relationships/hyperlink" Target="http://tupperware.com.mx/" TargetMode="External"/><Relationship Id="rId2874" Type="http://schemas.openxmlformats.org/officeDocument/2006/relationships/hyperlink" Target="http://www.linkedin.com/in/amygillvendasta" TargetMode="External"/><Relationship Id="rId846" Type="http://schemas.openxmlformats.org/officeDocument/2006/relationships/hyperlink" Target="http://lamarina.com.mx/" TargetMode="External"/><Relationship Id="rId1129" Type="http://schemas.openxmlformats.org/officeDocument/2006/relationships/hyperlink" Target="http://pardefrance.com.mx/" TargetMode="External"/><Relationship Id="rId1683" Type="http://schemas.openxmlformats.org/officeDocument/2006/relationships/hyperlink" Target="http://www.linkedin.com/in/ana-daniela-escutia-callejas-a0b358158" TargetMode="External"/><Relationship Id="rId1890" Type="http://schemas.openxmlformats.org/officeDocument/2006/relationships/hyperlink" Target="http://www.linkedin.com/in/erin-gates8" TargetMode="External"/><Relationship Id="rId2527" Type="http://schemas.openxmlformats.org/officeDocument/2006/relationships/hyperlink" Target="http://www.linkedin.com/in/luisa-fernanda-l%c3%b3pez-beltr%c3%a1n-36393313b" TargetMode="External"/><Relationship Id="rId2734" Type="http://schemas.openxmlformats.org/officeDocument/2006/relationships/hyperlink" Target="http://www.linkedin.com/in/katiasarai" TargetMode="External"/><Relationship Id="rId2941" Type="http://schemas.openxmlformats.org/officeDocument/2006/relationships/hyperlink" Target="http://www.linkedin.com/in/alfredo-rivera-6a172727" TargetMode="External"/><Relationship Id="rId706" Type="http://schemas.openxmlformats.org/officeDocument/2006/relationships/hyperlink" Target="https://www.linkedin.com/in/ACwAAA8_1rABu3hXIVhFzLcbNzqrHudTEjkpDx0" TargetMode="External"/><Relationship Id="rId913" Type="http://schemas.openxmlformats.org/officeDocument/2006/relationships/hyperlink" Target="http://marti.mx/" TargetMode="External"/><Relationship Id="rId1336" Type="http://schemas.openxmlformats.org/officeDocument/2006/relationships/hyperlink" Target="http://specialyoga.co.uk/" TargetMode="External"/><Relationship Id="rId1543" Type="http://schemas.openxmlformats.org/officeDocument/2006/relationships/hyperlink" Target="https://www.linkedin.com/in/alfredo-gonzalez-reyes" TargetMode="External"/><Relationship Id="rId1750" Type="http://schemas.openxmlformats.org/officeDocument/2006/relationships/hyperlink" Target="http://www.linkedin.com/in/mariana-garcia-1622abbb" TargetMode="External"/><Relationship Id="rId2801" Type="http://schemas.openxmlformats.org/officeDocument/2006/relationships/hyperlink" Target="http://www.linkedin.com/in/alicia-rodriguez-ayala-827763189" TargetMode="External"/><Relationship Id="rId42" Type="http://schemas.openxmlformats.org/officeDocument/2006/relationships/hyperlink" Target="http://andishere.com/" TargetMode="External"/><Relationship Id="rId1403" Type="http://schemas.openxmlformats.org/officeDocument/2006/relationships/hyperlink" Target="http://tec.mx/" TargetMode="External"/><Relationship Id="rId1610" Type="http://schemas.openxmlformats.org/officeDocument/2006/relationships/hyperlink" Target="https://www.linkedin.com/in/victor-justo-alonso-2317b2b4" TargetMode="External"/><Relationship Id="rId289" Type="http://schemas.openxmlformats.org/officeDocument/2006/relationships/hyperlink" Target="http://conekta.com/" TargetMode="External"/><Relationship Id="rId496" Type="http://schemas.openxmlformats.org/officeDocument/2006/relationships/hyperlink" Target="http://fanasa.com/" TargetMode="External"/><Relationship Id="rId2177" Type="http://schemas.openxmlformats.org/officeDocument/2006/relationships/hyperlink" Target="http://www.linkedin.com/in/salvadorarias" TargetMode="External"/><Relationship Id="rId2384" Type="http://schemas.openxmlformats.org/officeDocument/2006/relationships/hyperlink" Target="http://www.linkedin.com/in/alejandra-l%c3%b3pez-986a5257" TargetMode="External"/><Relationship Id="rId2591" Type="http://schemas.openxmlformats.org/officeDocument/2006/relationships/hyperlink" Target="http://www.linkedin.com/in/magdaliamckey" TargetMode="External"/><Relationship Id="rId3228" Type="http://schemas.openxmlformats.org/officeDocument/2006/relationships/hyperlink" Target="http://www.linkedin.com/in/juan-carlos-duran-riveroll-7627a1a" TargetMode="External"/><Relationship Id="rId149" Type="http://schemas.openxmlformats.org/officeDocument/2006/relationships/hyperlink" Target="https://www.linkedin.com/in/karsynansari" TargetMode="External"/><Relationship Id="rId356" Type="http://schemas.openxmlformats.org/officeDocument/2006/relationships/hyperlink" Target="https://www.linkedin.com/in/mar0893" TargetMode="External"/><Relationship Id="rId563" Type="http://schemas.openxmlformats.org/officeDocument/2006/relationships/hyperlink" Target="https://www.linkedin.com/in/ACwAADpP2i4BRQluDubDs5W7hcnOcwUJ9gcg5_w" TargetMode="External"/><Relationship Id="rId770" Type="http://schemas.openxmlformats.org/officeDocument/2006/relationships/hyperlink" Target="http://italika.mx/" TargetMode="External"/><Relationship Id="rId1193" Type="http://schemas.openxmlformats.org/officeDocument/2006/relationships/hyperlink" Target="http://prodynamics.com.mx/" TargetMode="External"/><Relationship Id="rId2037" Type="http://schemas.openxmlformats.org/officeDocument/2006/relationships/hyperlink" Target="http://www.linkedin.com/in/fernanda-quintana07" TargetMode="External"/><Relationship Id="rId2244" Type="http://schemas.openxmlformats.org/officeDocument/2006/relationships/hyperlink" Target="http://www.linkedin.com/in/julian-cajero" TargetMode="External"/><Relationship Id="rId2451" Type="http://schemas.openxmlformats.org/officeDocument/2006/relationships/hyperlink" Target="http://www.linkedin.com/in/albertomunozhuerta" TargetMode="External"/><Relationship Id="rId216" Type="http://schemas.openxmlformats.org/officeDocument/2006/relationships/hyperlink" Target="http://cbrands.mx/" TargetMode="External"/><Relationship Id="rId423" Type="http://schemas.openxmlformats.org/officeDocument/2006/relationships/hyperlink" Target="http://dominion.com.mx/" TargetMode="External"/><Relationship Id="rId1053" Type="http://schemas.openxmlformats.org/officeDocument/2006/relationships/hyperlink" Target="https://www.linkedin.com/in/ACwAAAWBxWkBYiEnIKwTav43WQKrn-quNcRMzw8" TargetMode="External"/><Relationship Id="rId1260" Type="http://schemas.openxmlformats.org/officeDocument/2006/relationships/hyperlink" Target="http://samawifi.com.mx/" TargetMode="External"/><Relationship Id="rId2104" Type="http://schemas.openxmlformats.org/officeDocument/2006/relationships/hyperlink" Target="http://www.linkedin.com/in/chandler-sullivan-86153959" TargetMode="External"/><Relationship Id="rId630" Type="http://schemas.openxmlformats.org/officeDocument/2006/relationships/hyperlink" Target="https://www.linkedin.com/in/joaquinrdzl" TargetMode="External"/><Relationship Id="rId2311" Type="http://schemas.openxmlformats.org/officeDocument/2006/relationships/hyperlink" Target="http://www.linkedin.com/in/jenny-alejandra-torres-campos-786682186" TargetMode="External"/><Relationship Id="rId1120" Type="http://schemas.openxmlformats.org/officeDocument/2006/relationships/hyperlink" Target="https://www.linkedin.com/in/ACwAACau7SABhWN_-CBf53qzOnTESvuH2vhUZIA" TargetMode="External"/><Relationship Id="rId1937" Type="http://schemas.openxmlformats.org/officeDocument/2006/relationships/hyperlink" Target="http://www.linkedin.com/in/gerardo-santa-maria-mart%c3%adnez-06bb05209" TargetMode="External"/><Relationship Id="rId3085" Type="http://schemas.openxmlformats.org/officeDocument/2006/relationships/hyperlink" Target="http://www.linkedin.com/in/paola-campos-530070163" TargetMode="External"/><Relationship Id="rId3152" Type="http://schemas.openxmlformats.org/officeDocument/2006/relationships/hyperlink" Target="http://www.linkedin.com/in/allierussell" TargetMode="External"/><Relationship Id="rId280" Type="http://schemas.openxmlformats.org/officeDocument/2006/relationships/hyperlink" Target="http://comex.com.mx/" TargetMode="External"/><Relationship Id="rId3012" Type="http://schemas.openxmlformats.org/officeDocument/2006/relationships/hyperlink" Target="http://www.linkedin.com/in/lorena-fuentes-13649467" TargetMode="External"/><Relationship Id="rId140" Type="http://schemas.openxmlformats.org/officeDocument/2006/relationships/hyperlink" Target="http://berger.com.mx/" TargetMode="External"/><Relationship Id="rId6" Type="http://schemas.openxmlformats.org/officeDocument/2006/relationships/hyperlink" Target="http://abitu.mx/" TargetMode="External"/><Relationship Id="rId2778" Type="http://schemas.openxmlformats.org/officeDocument/2006/relationships/hyperlink" Target="http://www.linkedin.com/in/in%c3%a9s-rodr%c3%adguez-7b8a8aa6" TargetMode="External"/><Relationship Id="rId2985" Type="http://schemas.openxmlformats.org/officeDocument/2006/relationships/hyperlink" Target="http://www.linkedin.com/in/jesicaesquivel" TargetMode="External"/><Relationship Id="rId957" Type="http://schemas.openxmlformats.org/officeDocument/2006/relationships/hyperlink" Target="http://mindbodyonline.com/" TargetMode="External"/><Relationship Id="rId1587" Type="http://schemas.openxmlformats.org/officeDocument/2006/relationships/hyperlink" Target="http://xn.com/" TargetMode="External"/><Relationship Id="rId1794" Type="http://schemas.openxmlformats.org/officeDocument/2006/relationships/hyperlink" Target="http://www.linkedin.com/in/jenicedsouza" TargetMode="External"/><Relationship Id="rId2638" Type="http://schemas.openxmlformats.org/officeDocument/2006/relationships/hyperlink" Target="http://www.linkedin.com/in/alan-santiago-garc%c3%ada-a24b527a" TargetMode="External"/><Relationship Id="rId2845" Type="http://schemas.openxmlformats.org/officeDocument/2006/relationships/hyperlink" Target="http://www.linkedin.com/in/yul-byron-perez-martinez-11a839100" TargetMode="External"/><Relationship Id="rId86" Type="http://schemas.openxmlformats.org/officeDocument/2006/relationships/hyperlink" Target="http://atfil.com.mx/" TargetMode="External"/><Relationship Id="rId817" Type="http://schemas.openxmlformats.org/officeDocument/2006/relationships/hyperlink" Target="http://koblenz.com.mx/" TargetMode="External"/><Relationship Id="rId1447" Type="http://schemas.openxmlformats.org/officeDocument/2006/relationships/hyperlink" Target="http://tony.com.mx/" TargetMode="External"/><Relationship Id="rId1654" Type="http://schemas.openxmlformats.org/officeDocument/2006/relationships/hyperlink" Target="http://www.linkedin.com/in/saraphia" TargetMode="External"/><Relationship Id="rId1861" Type="http://schemas.openxmlformats.org/officeDocument/2006/relationships/hyperlink" Target="http://www.linkedin.com/in/covadonga-alvarez-soberanis-31896548" TargetMode="External"/><Relationship Id="rId2705" Type="http://schemas.openxmlformats.org/officeDocument/2006/relationships/hyperlink" Target="http://www.linkedin.com/in/gabriel-torres-l%c3%b3pez-68110426" TargetMode="External"/><Relationship Id="rId2912" Type="http://schemas.openxmlformats.org/officeDocument/2006/relationships/hyperlink" Target="http://www.linkedin.com/in/roberto-vidal-99a298142" TargetMode="External"/><Relationship Id="rId1307" Type="http://schemas.openxmlformats.org/officeDocument/2006/relationships/hyperlink" Target="https://www.linkedin.com/in/ACwAAB3NRIcBftgQ0ZznDGWFJycgrADzM6AWREc" TargetMode="External"/><Relationship Id="rId1514" Type="http://schemas.openxmlformats.org/officeDocument/2006/relationships/hyperlink" Target="http://valentinmaya.com/" TargetMode="External"/><Relationship Id="rId1721" Type="http://schemas.openxmlformats.org/officeDocument/2006/relationships/hyperlink" Target="http://www.linkedin.com/in/kazimirkatie" TargetMode="External"/><Relationship Id="rId13" Type="http://schemas.openxmlformats.org/officeDocument/2006/relationships/hyperlink" Target="http://accesoriosavemaria.com/" TargetMode="External"/><Relationship Id="rId2288" Type="http://schemas.openxmlformats.org/officeDocument/2006/relationships/hyperlink" Target="http://www.linkedin.com/in/david-maxey-9755331a" TargetMode="External"/><Relationship Id="rId2495" Type="http://schemas.openxmlformats.org/officeDocument/2006/relationships/hyperlink" Target="http://www.linkedin.com/in/irsa-guerra-2257b0125" TargetMode="External"/><Relationship Id="rId467" Type="http://schemas.openxmlformats.org/officeDocument/2006/relationships/hyperlink" Target="https://www.linkedin.com/in/aggilberto" TargetMode="External"/><Relationship Id="rId1097" Type="http://schemas.openxmlformats.org/officeDocument/2006/relationships/hyperlink" Target="https://www.linkedin.com/in/carlos-guadarrama-8644a068" TargetMode="External"/><Relationship Id="rId2148" Type="http://schemas.openxmlformats.org/officeDocument/2006/relationships/hyperlink" Target="http://www.linkedin.com/in/mreal30" TargetMode="External"/><Relationship Id="rId674" Type="http://schemas.openxmlformats.org/officeDocument/2006/relationships/hyperlink" Target="http://www.homedepot.com.mx/" TargetMode="External"/><Relationship Id="rId881" Type="http://schemas.openxmlformats.org/officeDocument/2006/relationships/hyperlink" Target="http://lubtrac.com.mx/" TargetMode="External"/><Relationship Id="rId2355" Type="http://schemas.openxmlformats.org/officeDocument/2006/relationships/hyperlink" Target="http://www.linkedin.com/in/ana-fabiola-soto-velazquez-a27592133" TargetMode="External"/><Relationship Id="rId2562" Type="http://schemas.openxmlformats.org/officeDocument/2006/relationships/hyperlink" Target="http://www.linkedin.com/in/matias-righi" TargetMode="External"/><Relationship Id="rId327" Type="http://schemas.openxmlformats.org/officeDocument/2006/relationships/hyperlink" Target="http://cuidadoconelperro.com.mx/" TargetMode="External"/><Relationship Id="rId534" Type="http://schemas.openxmlformats.org/officeDocument/2006/relationships/hyperlink" Target="http://fmcagroquimica.com.mx/" TargetMode="External"/><Relationship Id="rId741" Type="http://schemas.openxmlformats.org/officeDocument/2006/relationships/hyperlink" Target="https://www.linkedin.com/in/ACwAACtWnP8BsSWCpkjfb3kS6JXHchyCQebgqdA" TargetMode="External"/><Relationship Id="rId1164" Type="http://schemas.openxmlformats.org/officeDocument/2006/relationships/hyperlink" Target="https://www.linkedin.com/in/karol-fermin-villalobos-896339208" TargetMode="External"/><Relationship Id="rId1371" Type="http://schemas.openxmlformats.org/officeDocument/2006/relationships/hyperlink" Target="https://www.linkedin.com/in/ACwAABlJtS8BShyFtMZn_oau4x7d1dk3asojzNM" TargetMode="External"/><Relationship Id="rId2008" Type="http://schemas.openxmlformats.org/officeDocument/2006/relationships/hyperlink" Target="http://www.linkedin.com/in/poojachandiramani" TargetMode="External"/><Relationship Id="rId2215" Type="http://schemas.openxmlformats.org/officeDocument/2006/relationships/hyperlink" Target="http://www.linkedin.com/in/jorge-arrubarrena-m-5670a639" TargetMode="External"/><Relationship Id="rId2422" Type="http://schemas.openxmlformats.org/officeDocument/2006/relationships/hyperlink" Target="http://www.linkedin.com/in/edmundonavarrogomez" TargetMode="External"/><Relationship Id="rId601" Type="http://schemas.openxmlformats.org/officeDocument/2006/relationships/hyperlink" Target="https://www.linkedin.com/in/ACwAADPSp-4BTfzIaqhPMZ817Mur2R2GxpObSzM" TargetMode="External"/><Relationship Id="rId1024" Type="http://schemas.openxmlformats.org/officeDocument/2006/relationships/hyperlink" Target="http://myshopify.com/" TargetMode="External"/><Relationship Id="rId1231" Type="http://schemas.openxmlformats.org/officeDocument/2006/relationships/hyperlink" Target="https://www.linkedin.com/in/urinchomiguel" TargetMode="External"/><Relationship Id="rId3196" Type="http://schemas.openxmlformats.org/officeDocument/2006/relationships/hyperlink" Target="http://www.linkedin.com/in/elizabeth-mart%c3%adnez-estrada-21a87342" TargetMode="External"/><Relationship Id="rId3056" Type="http://schemas.openxmlformats.org/officeDocument/2006/relationships/hyperlink" Target="http://www.linkedin.com/in/roberto-brise%c3%b1o-11588864" TargetMode="External"/><Relationship Id="rId3263" Type="http://schemas.openxmlformats.org/officeDocument/2006/relationships/hyperlink" Target="http://www.linkedin.com/in/alejandra-amparo-guzm%c3%a1n-escalante-3a33621a9" TargetMode="External"/><Relationship Id="rId184" Type="http://schemas.openxmlformats.org/officeDocument/2006/relationships/hyperlink" Target="https://www.linkedin.com/in/lucelenamarichi" TargetMode="External"/><Relationship Id="rId391" Type="http://schemas.openxmlformats.org/officeDocument/2006/relationships/hyperlink" Target="https://www.linkedin.com/in/rodner-vivas-contreras-5498baa" TargetMode="External"/><Relationship Id="rId1908" Type="http://schemas.openxmlformats.org/officeDocument/2006/relationships/hyperlink" Target="http://www.linkedin.com/in/feryalrehman" TargetMode="External"/><Relationship Id="rId2072" Type="http://schemas.openxmlformats.org/officeDocument/2006/relationships/hyperlink" Target="http://www.linkedin.com/in/karen-jameson" TargetMode="External"/><Relationship Id="rId3123" Type="http://schemas.openxmlformats.org/officeDocument/2006/relationships/hyperlink" Target="http://www.linkedin.com/in/marco-ayora-a5674590" TargetMode="External"/><Relationship Id="rId251" Type="http://schemas.openxmlformats.org/officeDocument/2006/relationships/hyperlink" Target="http://chopo.com.mx/" TargetMode="External"/><Relationship Id="rId2889" Type="http://schemas.openxmlformats.org/officeDocument/2006/relationships/hyperlink" Target="http://www.linkedin.com/in/miguel-ortega-969447192" TargetMode="External"/><Relationship Id="rId111" Type="http://schemas.openxmlformats.org/officeDocument/2006/relationships/hyperlink" Target="https://www.linkedin.com/in/hernanramirezmarketing" TargetMode="External"/><Relationship Id="rId1698" Type="http://schemas.openxmlformats.org/officeDocument/2006/relationships/hyperlink" Target="http://www.linkedin.com/in/christopherdbrown" TargetMode="External"/><Relationship Id="rId2749" Type="http://schemas.openxmlformats.org/officeDocument/2006/relationships/hyperlink" Target="http://www.linkedin.com/in/luisa-fernanda-caballero-wilches-4b1a001b9" TargetMode="External"/><Relationship Id="rId2956" Type="http://schemas.openxmlformats.org/officeDocument/2006/relationships/hyperlink" Target="http://www.linkedin.com/in/lorena-de-la-torre-54360a98" TargetMode="External"/><Relationship Id="rId928" Type="http://schemas.openxmlformats.org/officeDocument/2006/relationships/hyperlink" Target="https://www.linkedin.com/in/ACwAAC8mzkUBdk9UOF5ZSg0LW1Y75pCDYl5NIZc" TargetMode="External"/><Relationship Id="rId1558" Type="http://schemas.openxmlformats.org/officeDocument/2006/relationships/hyperlink" Target="https://www.linkedin.com/in/jason-cooper-0abb26201" TargetMode="External"/><Relationship Id="rId1765" Type="http://schemas.openxmlformats.org/officeDocument/2006/relationships/hyperlink" Target="http://www.linkedin.com/in/rodrigodiazw" TargetMode="External"/><Relationship Id="rId2609" Type="http://schemas.openxmlformats.org/officeDocument/2006/relationships/hyperlink" Target="http://www.linkedin.com/in/jimena-rivas-aguilera-920272179" TargetMode="External"/><Relationship Id="rId57" Type="http://schemas.openxmlformats.org/officeDocument/2006/relationships/hyperlink" Target="https://www.linkedin.com/in/doug-hughes-60bb0925a" TargetMode="External"/><Relationship Id="rId1418" Type="http://schemas.openxmlformats.org/officeDocument/2006/relationships/hyperlink" Target="http://tendence.com.mx/" TargetMode="External"/><Relationship Id="rId1972" Type="http://schemas.openxmlformats.org/officeDocument/2006/relationships/hyperlink" Target="http://www.linkedin.com/in/jaewoong-han-3bb630b4" TargetMode="External"/><Relationship Id="rId2816" Type="http://schemas.openxmlformats.org/officeDocument/2006/relationships/hyperlink" Target="http://www.linkedin.com/in/sayra-nubia-t%c3%a9llez" TargetMode="External"/><Relationship Id="rId1625" Type="http://schemas.openxmlformats.org/officeDocument/2006/relationships/hyperlink" Target="http://www.linkedin.com/in/omar-naitah-55409221b" TargetMode="External"/><Relationship Id="rId1832" Type="http://schemas.openxmlformats.org/officeDocument/2006/relationships/hyperlink" Target="http://www.linkedin.com/in/christina-halpin-7b119314" TargetMode="External"/><Relationship Id="rId2399" Type="http://schemas.openxmlformats.org/officeDocument/2006/relationships/hyperlink" Target="http://www.linkedin.com/in/omarterrazasgomez" TargetMode="External"/><Relationship Id="rId578" Type="http://schemas.openxmlformats.org/officeDocument/2006/relationships/hyperlink" Target="https://www.linkedin.com/in/ACwAABCioo4B64H2TMzV_Qhryb3JbM8vttdegpI" TargetMode="External"/><Relationship Id="rId785" Type="http://schemas.openxmlformats.org/officeDocument/2006/relationships/hyperlink" Target="http://julio.com/" TargetMode="External"/><Relationship Id="rId992" Type="http://schemas.openxmlformats.org/officeDocument/2006/relationships/hyperlink" Target="https://www.linkedin.com/in/paola-camacho-stern-42611535" TargetMode="External"/><Relationship Id="rId2259" Type="http://schemas.openxmlformats.org/officeDocument/2006/relationships/hyperlink" Target="http://www.linkedin.com/in/carmen-diaz-breceda-a79a94b" TargetMode="External"/><Relationship Id="rId2466" Type="http://schemas.openxmlformats.org/officeDocument/2006/relationships/hyperlink" Target="http://www.linkedin.com/in/leandrocorrea" TargetMode="External"/><Relationship Id="rId2673" Type="http://schemas.openxmlformats.org/officeDocument/2006/relationships/hyperlink" Target="http://www.linkedin.com/in/andrea-vg-vallejo-granados-3451a715a" TargetMode="External"/><Relationship Id="rId2880" Type="http://schemas.openxmlformats.org/officeDocument/2006/relationships/hyperlink" Target="http://www.linkedin.com/in/marialuisacastillomalo" TargetMode="External"/><Relationship Id="rId438" Type="http://schemas.openxmlformats.org/officeDocument/2006/relationships/hyperlink" Target="http://dupuis.com.mx/" TargetMode="External"/><Relationship Id="rId645" Type="http://schemas.openxmlformats.org/officeDocument/2006/relationships/hyperlink" Target="http://helvex.com.mx/" TargetMode="External"/><Relationship Id="rId852" Type="http://schemas.openxmlformats.org/officeDocument/2006/relationships/hyperlink" Target="http://lepetitgourmand.mx/" TargetMode="External"/><Relationship Id="rId1068" Type="http://schemas.openxmlformats.org/officeDocument/2006/relationships/hyperlink" Target="http://o-lab.mx/" TargetMode="External"/><Relationship Id="rId1275" Type="http://schemas.openxmlformats.org/officeDocument/2006/relationships/hyperlink" Target="https://www.linkedin.com/in/tomas-laurito-53524a20" TargetMode="External"/><Relationship Id="rId1482" Type="http://schemas.openxmlformats.org/officeDocument/2006/relationships/hyperlink" Target="http://ubits.com/" TargetMode="External"/><Relationship Id="rId2119" Type="http://schemas.openxmlformats.org/officeDocument/2006/relationships/hyperlink" Target="http://www.linkedin.com/in/aaron-almaraz-a1970729" TargetMode="External"/><Relationship Id="rId2326" Type="http://schemas.openxmlformats.org/officeDocument/2006/relationships/hyperlink" Target="http://www.linkedin.com/in/madeline-gbur-86055a91" TargetMode="External"/><Relationship Id="rId2533" Type="http://schemas.openxmlformats.org/officeDocument/2006/relationships/hyperlink" Target="http://www.linkedin.com/in/atencion-americ-a05567239" TargetMode="External"/><Relationship Id="rId2740" Type="http://schemas.openxmlformats.org/officeDocument/2006/relationships/hyperlink" Target="http://www.linkedin.com/in/maria-fernanda-rodriguez-3625917b" TargetMode="External"/><Relationship Id="rId505" Type="http://schemas.openxmlformats.org/officeDocument/2006/relationships/hyperlink" Target="http://farmaciasanpablo.com.mx/" TargetMode="External"/><Relationship Id="rId712" Type="http://schemas.openxmlformats.org/officeDocument/2006/relationships/hyperlink" Target="https://www.linkedin.com/in/gerardopadron" TargetMode="External"/><Relationship Id="rId1135" Type="http://schemas.openxmlformats.org/officeDocument/2006/relationships/hyperlink" Target="http://pedrodomecq.com/" TargetMode="External"/><Relationship Id="rId1342" Type="http://schemas.openxmlformats.org/officeDocument/2006/relationships/hyperlink" Target="http://sportsworld.com.mx/" TargetMode="External"/><Relationship Id="rId1202" Type="http://schemas.openxmlformats.org/officeDocument/2006/relationships/hyperlink" Target="https://www.linkedin.com/in/ACwAAAsohqsBMcS1S04B9UGB1UFvNTNwi-rhTDI" TargetMode="External"/><Relationship Id="rId2600" Type="http://schemas.openxmlformats.org/officeDocument/2006/relationships/hyperlink" Target="http://www.linkedin.com/in/ivonne-bautista-36b98552" TargetMode="External"/><Relationship Id="rId3167" Type="http://schemas.openxmlformats.org/officeDocument/2006/relationships/hyperlink" Target="http://www.linkedin.com/in/daniel-eudave-03821591" TargetMode="External"/><Relationship Id="rId295" Type="http://schemas.openxmlformats.org/officeDocument/2006/relationships/hyperlink" Target="https://www.linkedin.com/in/yanantalypicazo" TargetMode="External"/><Relationship Id="rId2183" Type="http://schemas.openxmlformats.org/officeDocument/2006/relationships/hyperlink" Target="http://www.linkedin.com/in/saraportilla" TargetMode="External"/><Relationship Id="rId2390" Type="http://schemas.openxmlformats.org/officeDocument/2006/relationships/hyperlink" Target="http://www.linkedin.com/in/dannilolins" TargetMode="External"/><Relationship Id="rId3027" Type="http://schemas.openxmlformats.org/officeDocument/2006/relationships/hyperlink" Target="http://www.linkedin.com/in/alemnrd" TargetMode="External"/><Relationship Id="rId3234" Type="http://schemas.openxmlformats.org/officeDocument/2006/relationships/hyperlink" Target="http://www.linkedin.com/in/rodrigo-ramirez-819876b9" TargetMode="External"/><Relationship Id="rId155" Type="http://schemas.openxmlformats.org/officeDocument/2006/relationships/hyperlink" Target="https://www.linkedin.com/in/ACwAACtD8zYBwLG4hXjzu2KSBmE5AxKg5NtT2As" TargetMode="External"/><Relationship Id="rId362" Type="http://schemas.openxmlformats.org/officeDocument/2006/relationships/hyperlink" Target="http://daonsa.com/" TargetMode="External"/><Relationship Id="rId2043" Type="http://schemas.openxmlformats.org/officeDocument/2006/relationships/hyperlink" Target="http://www.linkedin.com/in/benitaorozco" TargetMode="External"/><Relationship Id="rId2250" Type="http://schemas.openxmlformats.org/officeDocument/2006/relationships/hyperlink" Target="http://www.linkedin.com/in/alejandra-g%c3%a1miz-718a9662" TargetMode="External"/><Relationship Id="rId222" Type="http://schemas.openxmlformats.org/officeDocument/2006/relationships/hyperlink" Target="http://celupal.com.mx/" TargetMode="External"/><Relationship Id="rId2110" Type="http://schemas.openxmlformats.org/officeDocument/2006/relationships/hyperlink" Target="http://www.linkedin.com/in/camilleaujean" TargetMode="External"/><Relationship Id="rId1669" Type="http://schemas.openxmlformats.org/officeDocument/2006/relationships/hyperlink" Target="http://www.linkedin.com/in/alan-rend%c3%b3n-a14a0a96" TargetMode="External"/><Relationship Id="rId1876" Type="http://schemas.openxmlformats.org/officeDocument/2006/relationships/hyperlink" Target="http://www.linkedin.com/in/natanicha" TargetMode="External"/><Relationship Id="rId2927" Type="http://schemas.openxmlformats.org/officeDocument/2006/relationships/hyperlink" Target="http://www.linkedin.com/in/zacnit%c3%a9-a-a748a519" TargetMode="External"/><Relationship Id="rId3091" Type="http://schemas.openxmlformats.org/officeDocument/2006/relationships/hyperlink" Target="http://www.linkedin.com/in/gonzalo-ruiz-19463615" TargetMode="External"/><Relationship Id="rId1529" Type="http://schemas.openxmlformats.org/officeDocument/2006/relationships/hyperlink" Target="https://www.linkedin.com/in/mario-basurto-amezcua" TargetMode="External"/><Relationship Id="rId1736" Type="http://schemas.openxmlformats.org/officeDocument/2006/relationships/hyperlink" Target="http://www.linkedin.com/in/leonardo-daniel-barrera" TargetMode="External"/><Relationship Id="rId1943" Type="http://schemas.openxmlformats.org/officeDocument/2006/relationships/hyperlink" Target="http://www.linkedin.com/in/evelyn-g%c3%b3mez-8b505b124" TargetMode="External"/><Relationship Id="rId28" Type="http://schemas.openxmlformats.org/officeDocument/2006/relationships/hyperlink" Target="https://www.linkedin.com/in/juan-carlos-ayala-cortina" TargetMode="External"/><Relationship Id="rId1803" Type="http://schemas.openxmlformats.org/officeDocument/2006/relationships/hyperlink" Target="http://www.linkedin.com/in/raul-alanis-gonzalez" TargetMode="External"/><Relationship Id="rId689" Type="http://schemas.openxmlformats.org/officeDocument/2006/relationships/hyperlink" Target="https://www.linkedin.com/in/daniela-cruz-38b8b3215/" TargetMode="External"/><Relationship Id="rId896" Type="http://schemas.openxmlformats.org/officeDocument/2006/relationships/hyperlink" Target="http://madisa.com/" TargetMode="External"/><Relationship Id="rId2577" Type="http://schemas.openxmlformats.org/officeDocument/2006/relationships/hyperlink" Target="http://www.linkedin.com/in/yina-grisales-motato-06ab12122" TargetMode="External"/><Relationship Id="rId2784" Type="http://schemas.openxmlformats.org/officeDocument/2006/relationships/hyperlink" Target="http://www.linkedin.com/in/erik-n-canales-13a0491ab" TargetMode="External"/><Relationship Id="rId549" Type="http://schemas.openxmlformats.org/officeDocument/2006/relationships/hyperlink" Target="https://www.linkedin.com/in/brandon-p-b838196" TargetMode="External"/><Relationship Id="rId756" Type="http://schemas.openxmlformats.org/officeDocument/2006/relationships/hyperlink" Target="https://www.linkedin.com/in/chuckkirkpatrick" TargetMode="External"/><Relationship Id="rId1179" Type="http://schemas.openxmlformats.org/officeDocument/2006/relationships/hyperlink" Target="https://www.linkedin.com/in/tierra8ch8" TargetMode="External"/><Relationship Id="rId1386" Type="http://schemas.openxmlformats.org/officeDocument/2006/relationships/hyperlink" Target="http://syscomworld.com/" TargetMode="External"/><Relationship Id="rId1593" Type="http://schemas.openxmlformats.org/officeDocument/2006/relationships/hyperlink" Target="http://xnlp.com/" TargetMode="External"/><Relationship Id="rId2437" Type="http://schemas.openxmlformats.org/officeDocument/2006/relationships/hyperlink" Target="http://www.linkedin.com/in/andrea-bernot-29a2a4173" TargetMode="External"/><Relationship Id="rId2991" Type="http://schemas.openxmlformats.org/officeDocument/2006/relationships/hyperlink" Target="http://www.linkedin.com/in/marketing-digital-publicidad-mercadotecnia" TargetMode="External"/><Relationship Id="rId409" Type="http://schemas.openxmlformats.org/officeDocument/2006/relationships/hyperlink" Target="http://dico.com.mx/" TargetMode="External"/><Relationship Id="rId963" Type="http://schemas.openxmlformats.org/officeDocument/2006/relationships/hyperlink" Target="http://mobica.com.mx/" TargetMode="External"/><Relationship Id="rId1039" Type="http://schemas.openxmlformats.org/officeDocument/2006/relationships/hyperlink" Target="https://www.linkedin.com/in/ACwAAANDWwgBTDrdWgwOzTfvK-IGqGzmSjbmRps" TargetMode="External"/><Relationship Id="rId1246" Type="http://schemas.openxmlformats.org/officeDocument/2006/relationships/hyperlink" Target="https://www.linkedin.com/in/lena-jonsson-6965218" TargetMode="External"/><Relationship Id="rId2644" Type="http://schemas.openxmlformats.org/officeDocument/2006/relationships/hyperlink" Target="http://www.linkedin.com/in/heron-ba%c3%b1uelos-02a4971a2" TargetMode="External"/><Relationship Id="rId2851" Type="http://schemas.openxmlformats.org/officeDocument/2006/relationships/hyperlink" Target="http://www.linkedin.com/in/adolfo-barrera-1447ba92" TargetMode="External"/><Relationship Id="rId92" Type="http://schemas.openxmlformats.org/officeDocument/2006/relationships/hyperlink" Target="http://atx.mx/" TargetMode="External"/><Relationship Id="rId616" Type="http://schemas.openxmlformats.org/officeDocument/2006/relationships/hyperlink" Target="http://grupoexpansion.com/" TargetMode="External"/><Relationship Id="rId823" Type="http://schemas.openxmlformats.org/officeDocument/2006/relationships/hyperlink" Target="http://kompass.com/" TargetMode="External"/><Relationship Id="rId1453" Type="http://schemas.openxmlformats.org/officeDocument/2006/relationships/hyperlink" Target="http://tracsa.com.mx/" TargetMode="External"/><Relationship Id="rId1660" Type="http://schemas.openxmlformats.org/officeDocument/2006/relationships/hyperlink" Target="http://www.linkedin.com/in/raul-esparza" TargetMode="External"/><Relationship Id="rId2504" Type="http://schemas.openxmlformats.org/officeDocument/2006/relationships/hyperlink" Target="http://www.linkedin.com/in/olganairobysaucedo" TargetMode="External"/><Relationship Id="rId2711" Type="http://schemas.openxmlformats.org/officeDocument/2006/relationships/hyperlink" Target="http://www.linkedin.com/in/gabriel-alc%c3%a1ntara-9861941aa" TargetMode="External"/><Relationship Id="rId1106" Type="http://schemas.openxmlformats.org/officeDocument/2006/relationships/hyperlink" Target="https://www.linkedin.com/in/ACwAAAYDzyABgRTlQ2U3j6iZlucV6SCZjvzg_nk" TargetMode="External"/><Relationship Id="rId1313" Type="http://schemas.openxmlformats.org/officeDocument/2006/relationships/hyperlink" Target="https://www.linkedin.com/in/vchristlieb" TargetMode="External"/><Relationship Id="rId1520" Type="http://schemas.openxmlformats.org/officeDocument/2006/relationships/hyperlink" Target="http://vento.com/" TargetMode="External"/><Relationship Id="rId3278" Type="http://schemas.openxmlformats.org/officeDocument/2006/relationships/hyperlink" Target="http://www.linkedin.com/in/bah-hamadi-50682a220" TargetMode="External"/><Relationship Id="rId199" Type="http://schemas.openxmlformats.org/officeDocument/2006/relationships/hyperlink" Target="http://calahua.com.mx/" TargetMode="External"/><Relationship Id="rId2087" Type="http://schemas.openxmlformats.org/officeDocument/2006/relationships/hyperlink" Target="http://www.linkedin.com/in/miguel-angel-suarez-a6087b232" TargetMode="External"/><Relationship Id="rId2294" Type="http://schemas.openxmlformats.org/officeDocument/2006/relationships/hyperlink" Target="http://www.linkedin.com/in/oliver-flores-685b1896" TargetMode="External"/><Relationship Id="rId3138" Type="http://schemas.openxmlformats.org/officeDocument/2006/relationships/hyperlink" Target="http://www.linkedin.com/in/raina-armstrong-59541446" TargetMode="External"/><Relationship Id="rId266" Type="http://schemas.openxmlformats.org/officeDocument/2006/relationships/hyperlink" Target="http://cnci.edu.mx/" TargetMode="External"/><Relationship Id="rId473" Type="http://schemas.openxmlformats.org/officeDocument/2006/relationships/hyperlink" Target="http://emwa.com.mx/" TargetMode="External"/><Relationship Id="rId680" Type="http://schemas.openxmlformats.org/officeDocument/2006/relationships/hyperlink" Target="http://www.homedepot.com.mx/" TargetMode="External"/><Relationship Id="rId2154" Type="http://schemas.openxmlformats.org/officeDocument/2006/relationships/hyperlink" Target="http://www.linkedin.com/in/salvadorarias" TargetMode="External"/><Relationship Id="rId2361" Type="http://schemas.openxmlformats.org/officeDocument/2006/relationships/hyperlink" Target="http://www.linkedin.com/in/veronica-garza-rios-13154031" TargetMode="External"/><Relationship Id="rId3205" Type="http://schemas.openxmlformats.org/officeDocument/2006/relationships/hyperlink" Target="http://www.linkedin.com/in/almendra-hdz-laveaga-6714a376" TargetMode="External"/><Relationship Id="rId126" Type="http://schemas.openxmlformats.org/officeDocument/2006/relationships/hyperlink" Target="http://bellisima.mx/" TargetMode="External"/><Relationship Id="rId333" Type="http://schemas.openxmlformats.org/officeDocument/2006/relationships/hyperlink" Target="http://cvdirectomexico.com/" TargetMode="External"/><Relationship Id="rId540" Type="http://schemas.openxmlformats.org/officeDocument/2006/relationships/hyperlink" Target="http://fuller.com.mx/" TargetMode="External"/><Relationship Id="rId1170" Type="http://schemas.openxmlformats.org/officeDocument/2006/relationships/hyperlink" Target="http://pisa.com.mx/" TargetMode="External"/><Relationship Id="rId2014" Type="http://schemas.openxmlformats.org/officeDocument/2006/relationships/hyperlink" Target="http://www.linkedin.com/in/luz-ma-martinez-camacho-a4979b194" TargetMode="External"/><Relationship Id="rId2221" Type="http://schemas.openxmlformats.org/officeDocument/2006/relationships/hyperlink" Target="http://www.linkedin.com/in/alejandro-diaz-ruiz-4282aa204" TargetMode="External"/><Relationship Id="rId1030" Type="http://schemas.openxmlformats.org/officeDocument/2006/relationships/hyperlink" Target="https://www.linkedin.com/in/ACwAABnCwPkBmvK8L4j5aprx2BVbtIUDZsOZmrg" TargetMode="External"/><Relationship Id="rId400" Type="http://schemas.openxmlformats.org/officeDocument/2006/relationships/hyperlink" Target="http://devlyn.com.mx/" TargetMode="External"/><Relationship Id="rId1987" Type="http://schemas.openxmlformats.org/officeDocument/2006/relationships/hyperlink" Target="http://www.linkedin.com/in/mimi-kocic-9344a6152" TargetMode="External"/><Relationship Id="rId1847" Type="http://schemas.openxmlformats.org/officeDocument/2006/relationships/hyperlink" Target="http://www.linkedin.com/in/erick-lopez-2227711a9" TargetMode="External"/><Relationship Id="rId1707" Type="http://schemas.openxmlformats.org/officeDocument/2006/relationships/hyperlink" Target="http://www.linkedin.com/in/alan-gonzalez-arch" TargetMode="External"/><Relationship Id="rId3062" Type="http://schemas.openxmlformats.org/officeDocument/2006/relationships/hyperlink" Target="http://www.linkedin.com/in/kiflemariam-abraha-2a163b153" TargetMode="External"/><Relationship Id="rId190" Type="http://schemas.openxmlformats.org/officeDocument/2006/relationships/hyperlink" Target="http://broxel.com/" TargetMode="External"/><Relationship Id="rId1914" Type="http://schemas.openxmlformats.org/officeDocument/2006/relationships/hyperlink" Target="http://www.linkedin.com/in/sita-mendoza-467675197" TargetMode="External"/><Relationship Id="rId2688" Type="http://schemas.openxmlformats.org/officeDocument/2006/relationships/hyperlink" Target="http://www.linkedin.com/in/nadia-alvarez-carrasco" TargetMode="External"/><Relationship Id="rId2895" Type="http://schemas.openxmlformats.org/officeDocument/2006/relationships/hyperlink" Target="http://www.linkedin.com/in/marcos-alejandro-gonzalez-6232781ab" TargetMode="External"/><Relationship Id="rId867" Type="http://schemas.openxmlformats.org/officeDocument/2006/relationships/hyperlink" Target="http://liverpool.com.mx/" TargetMode="External"/><Relationship Id="rId1497" Type="http://schemas.openxmlformats.org/officeDocument/2006/relationships/hyperlink" Target="https://www.linkedin.com/in/ACwAABo0dzsBmiMrQmdly6boN397NGjVyMBafPk" TargetMode="External"/><Relationship Id="rId2548" Type="http://schemas.openxmlformats.org/officeDocument/2006/relationships/hyperlink" Target="http://www.linkedin.com/in/mariana-h-aa5b74a5" TargetMode="External"/><Relationship Id="rId2755" Type="http://schemas.openxmlformats.org/officeDocument/2006/relationships/hyperlink" Target="http://www.linkedin.com/in/gounon-gilbert-17a65b40" TargetMode="External"/><Relationship Id="rId2962" Type="http://schemas.openxmlformats.org/officeDocument/2006/relationships/hyperlink" Target="http://www.linkedin.com/in/angel-soriano-arce-32590972" TargetMode="External"/><Relationship Id="rId727" Type="http://schemas.openxmlformats.org/officeDocument/2006/relationships/hyperlink" Target="http://iktatech.com/" TargetMode="External"/><Relationship Id="rId934" Type="http://schemas.openxmlformats.org/officeDocument/2006/relationships/hyperlink" Target="https://www.linkedin.com/in/hector-soto-tdd" TargetMode="External"/><Relationship Id="rId1357" Type="http://schemas.openxmlformats.org/officeDocument/2006/relationships/hyperlink" Target="http://subeagenciadigital.com/" TargetMode="External"/><Relationship Id="rId1564" Type="http://schemas.openxmlformats.org/officeDocument/2006/relationships/hyperlink" Target="https://www.linkedin.com/in/ACwAABTE2goB4Q2glI0pym5hbRx-FGPrLJOrQPs" TargetMode="External"/><Relationship Id="rId1771" Type="http://schemas.openxmlformats.org/officeDocument/2006/relationships/hyperlink" Target="http://www.linkedin.com/in/nataly-vadillo-b9b0621a5" TargetMode="External"/><Relationship Id="rId2408" Type="http://schemas.openxmlformats.org/officeDocument/2006/relationships/hyperlink" Target="http://www.linkedin.com/in/juan-armando-reos-hern%c3%a1ndez-157285159" TargetMode="External"/><Relationship Id="rId2615" Type="http://schemas.openxmlformats.org/officeDocument/2006/relationships/hyperlink" Target="http://www.linkedin.com/in/juanfairstein" TargetMode="External"/><Relationship Id="rId2822" Type="http://schemas.openxmlformats.org/officeDocument/2006/relationships/hyperlink" Target="http://www.linkedin.com/in/vero-maldonado" TargetMode="External"/><Relationship Id="rId63" Type="http://schemas.openxmlformats.org/officeDocument/2006/relationships/hyperlink" Target="https://www.linkedin.com/in/ACwAAESADzkBu9F0U4wqAkws611ux8j5zG1KX7Q" TargetMode="External"/><Relationship Id="rId1217" Type="http://schemas.openxmlformats.org/officeDocument/2006/relationships/hyperlink" Target="http://reginaromero.com/" TargetMode="External"/><Relationship Id="rId1424" Type="http://schemas.openxmlformats.org/officeDocument/2006/relationships/hyperlink" Target="https://www.linkedin.com/in/christie-e-horsman" TargetMode="External"/><Relationship Id="rId1631" Type="http://schemas.openxmlformats.org/officeDocument/2006/relationships/hyperlink" Target="http://www.linkedin.com/in/brianebert38" TargetMode="External"/><Relationship Id="rId2198" Type="http://schemas.openxmlformats.org/officeDocument/2006/relationships/hyperlink" Target="http://www.linkedin.com/in/rodrigomendozaruiz" TargetMode="External"/><Relationship Id="rId3249" Type="http://schemas.openxmlformats.org/officeDocument/2006/relationships/hyperlink" Target="http://www.linkedin.com/in/richardotey" TargetMode="External"/><Relationship Id="rId377" Type="http://schemas.openxmlformats.org/officeDocument/2006/relationships/hyperlink" Target="https://www.linkedin.com/in/andres-fernandez-tames" TargetMode="External"/><Relationship Id="rId584" Type="http://schemas.openxmlformats.org/officeDocument/2006/relationships/hyperlink" Target="https://www.linkedin.com/in/bethpope" TargetMode="External"/><Relationship Id="rId2058" Type="http://schemas.openxmlformats.org/officeDocument/2006/relationships/hyperlink" Target="http://www.linkedin.com/in/bianca-w-269752142" TargetMode="External"/><Relationship Id="rId2265" Type="http://schemas.openxmlformats.org/officeDocument/2006/relationships/hyperlink" Target="http://www.linkedin.com/in/juan-alberto-leon-35aa76224" TargetMode="External"/><Relationship Id="rId3109" Type="http://schemas.openxmlformats.org/officeDocument/2006/relationships/hyperlink" Target="http://www.linkedin.com/in/edgarescartin" TargetMode="External"/><Relationship Id="rId237" Type="http://schemas.openxmlformats.org/officeDocument/2006/relationships/hyperlink" Target="http://cervezaminerva.mx/" TargetMode="External"/><Relationship Id="rId791" Type="http://schemas.openxmlformats.org/officeDocument/2006/relationships/hyperlink" Target="https://www.linkedin.com/in/ACwAAD5NNscByrNmatzOXtUxNxKHzfikGgzJy0E" TargetMode="External"/><Relationship Id="rId1074" Type="http://schemas.openxmlformats.org/officeDocument/2006/relationships/hyperlink" Target="http://odoo.com/" TargetMode="External"/><Relationship Id="rId2472" Type="http://schemas.openxmlformats.org/officeDocument/2006/relationships/hyperlink" Target="http://www.linkedin.com/in/axelsmarin" TargetMode="External"/><Relationship Id="rId444" Type="http://schemas.openxmlformats.org/officeDocument/2006/relationships/hyperlink" Target="https://www.linkedin.com/in/ACwAADbhlXYB5oGBQT1ESYa5rHhDrCfCC1goBHg" TargetMode="External"/><Relationship Id="rId651" Type="http://schemas.openxmlformats.org/officeDocument/2006/relationships/hyperlink" Target="https://www.linkedin.com/in/bemssonguerrero" TargetMode="External"/><Relationship Id="rId1281" Type="http://schemas.openxmlformats.org/officeDocument/2006/relationships/hyperlink" Target="https://www.linkedin.com/in/marla-noriega-358a3183" TargetMode="External"/><Relationship Id="rId2125" Type="http://schemas.openxmlformats.org/officeDocument/2006/relationships/hyperlink" Target="http://www.linkedin.com/in/alan-rodrigo-callejas-guadarrama-423888a0" TargetMode="External"/><Relationship Id="rId2332" Type="http://schemas.openxmlformats.org/officeDocument/2006/relationships/hyperlink" Target="http://www.linkedin.com/in/reyna-michan-61bb0597" TargetMode="External"/><Relationship Id="rId304" Type="http://schemas.openxmlformats.org/officeDocument/2006/relationships/hyperlink" Target="http://costco.com.mx/" TargetMode="External"/><Relationship Id="rId511" Type="http://schemas.openxmlformats.org/officeDocument/2006/relationships/hyperlink" Target="http://farmapiel.com/" TargetMode="External"/><Relationship Id="rId1141" Type="http://schemas.openxmlformats.org/officeDocument/2006/relationships/hyperlink" Target="http://penetron.mx/" TargetMode="External"/><Relationship Id="rId1001" Type="http://schemas.openxmlformats.org/officeDocument/2006/relationships/hyperlink" Target="http://mrtofu.com.mx/" TargetMode="External"/><Relationship Id="rId1958" Type="http://schemas.openxmlformats.org/officeDocument/2006/relationships/hyperlink" Target="http://www.linkedin.com/in/christinepetretta" TargetMode="External"/><Relationship Id="rId3173" Type="http://schemas.openxmlformats.org/officeDocument/2006/relationships/hyperlink" Target="http://www.linkedin.com/in/marcela-amaya-7257a25a" TargetMode="External"/><Relationship Id="rId1818" Type="http://schemas.openxmlformats.org/officeDocument/2006/relationships/hyperlink" Target="http://www.linkedin.com/in/isabel-van-den-bergh-28734911" TargetMode="External"/><Relationship Id="rId3033" Type="http://schemas.openxmlformats.org/officeDocument/2006/relationships/hyperlink" Target="http://www.linkedin.com/in/reilly-lievers-72581190" TargetMode="External"/><Relationship Id="rId3240" Type="http://schemas.openxmlformats.org/officeDocument/2006/relationships/hyperlink" Target="http://www.linkedin.com/in/jesicaesquivel" TargetMode="External"/><Relationship Id="rId161" Type="http://schemas.openxmlformats.org/officeDocument/2006/relationships/hyperlink" Target="https://www.linkedin.com/in/santiago-calles-76300ab6" TargetMode="External"/><Relationship Id="rId2799" Type="http://schemas.openxmlformats.org/officeDocument/2006/relationships/hyperlink" Target="http://www.linkedin.com/in/selene-rodriguez-28b9bb127" TargetMode="External"/><Relationship Id="rId3100" Type="http://schemas.openxmlformats.org/officeDocument/2006/relationships/hyperlink" Target="http://www.linkedin.com/in/eric-puszczewicz-78793212" TargetMode="External"/><Relationship Id="rId978" Type="http://schemas.openxmlformats.org/officeDocument/2006/relationships/hyperlink" Target="https://www.linkedin.com/in/adrian-o-ruiz-garza-43a1061b" TargetMode="External"/><Relationship Id="rId2659" Type="http://schemas.openxmlformats.org/officeDocument/2006/relationships/hyperlink" Target="http://www.linkedin.com/in/maria-del-sol-acevedo-pons-61b849bb" TargetMode="External"/><Relationship Id="rId2866" Type="http://schemas.openxmlformats.org/officeDocument/2006/relationships/hyperlink" Target="http://velosport.mx/" TargetMode="External"/><Relationship Id="rId838" Type="http://schemas.openxmlformats.org/officeDocument/2006/relationships/hyperlink" Target="http://laeuropea.com.mx/" TargetMode="External"/><Relationship Id="rId1468" Type="http://schemas.openxmlformats.org/officeDocument/2006/relationships/hyperlink" Target="https://www.linkedin.com/in/ACwAABIc1R4BSujaWKbC1zcJBmUQR2wNcQqjbwk" TargetMode="External"/><Relationship Id="rId1675" Type="http://schemas.openxmlformats.org/officeDocument/2006/relationships/hyperlink" Target="http://www.linkedin.com/in/eugenia-mejia-marketing" TargetMode="External"/><Relationship Id="rId1882" Type="http://schemas.openxmlformats.org/officeDocument/2006/relationships/hyperlink" Target="http://www.linkedin.com/in/jessica-tapia-l-119628a7" TargetMode="External"/><Relationship Id="rId2519" Type="http://schemas.openxmlformats.org/officeDocument/2006/relationships/hyperlink" Target="http://www.linkedin.com/in/mario-gamaliel-manzano-balderrama-6498617a" TargetMode="External"/><Relationship Id="rId2726" Type="http://schemas.openxmlformats.org/officeDocument/2006/relationships/hyperlink" Target="http://www.linkedin.com/in/irsa-guerra-2257b0125" TargetMode="External"/><Relationship Id="rId1328" Type="http://schemas.openxmlformats.org/officeDocument/2006/relationships/hyperlink" Target="http://someonesomewhere.mx/" TargetMode="External"/><Relationship Id="rId1535" Type="http://schemas.openxmlformats.org/officeDocument/2006/relationships/hyperlink" Target="https://www.linkedin.com/in/ACwAAAadTFcBkEoPXti5HG0jfq4frCWh-1M32fY" TargetMode="External"/><Relationship Id="rId2933" Type="http://schemas.openxmlformats.org/officeDocument/2006/relationships/hyperlink" Target="http://www.linkedin.com/in/liza-novoselova" TargetMode="External"/><Relationship Id="rId905" Type="http://schemas.openxmlformats.org/officeDocument/2006/relationships/hyperlink" Target="https://www.linkedin.com/in/gabrielaperezv" TargetMode="External"/><Relationship Id="rId1742" Type="http://schemas.openxmlformats.org/officeDocument/2006/relationships/hyperlink" Target="http://www.linkedin.com/in/so-young-yi-16292b161" TargetMode="External"/><Relationship Id="rId34" Type="http://schemas.openxmlformats.org/officeDocument/2006/relationships/hyperlink" Target="http://amvo.org.mx/" TargetMode="External"/><Relationship Id="rId1602" Type="http://schemas.openxmlformats.org/officeDocument/2006/relationships/hyperlink" Target="http://zeb.mx/" TargetMode="External"/><Relationship Id="rId488" Type="http://schemas.openxmlformats.org/officeDocument/2006/relationships/hyperlink" Target="http://excited.com.mx/" TargetMode="External"/><Relationship Id="rId695" Type="http://schemas.openxmlformats.org/officeDocument/2006/relationships/hyperlink" Target="https://www.linkedin.com/in/lourdes-arias-b0543646/" TargetMode="External"/><Relationship Id="rId2169" Type="http://schemas.openxmlformats.org/officeDocument/2006/relationships/hyperlink" Target="http://www.linkedin.com/in/v%c3%adctorfuentes" TargetMode="External"/><Relationship Id="rId2376" Type="http://schemas.openxmlformats.org/officeDocument/2006/relationships/hyperlink" Target="http://www.linkedin.com/in/ivan-p-7a5a3a270" TargetMode="External"/><Relationship Id="rId2583" Type="http://schemas.openxmlformats.org/officeDocument/2006/relationships/hyperlink" Target="http://www.linkedin.com/in/isa%c3%ad-h-8bb15149" TargetMode="External"/><Relationship Id="rId2790" Type="http://schemas.openxmlformats.org/officeDocument/2006/relationships/hyperlink" Target="http://www.linkedin.com/in/juan-ignacio-guido-66860970" TargetMode="External"/><Relationship Id="rId348" Type="http://schemas.openxmlformats.org/officeDocument/2006/relationships/hyperlink" Target="https://www.linkedin.com/in/alejandro-cisneros" TargetMode="External"/><Relationship Id="rId555" Type="http://schemas.openxmlformats.org/officeDocument/2006/relationships/hyperlink" Target="https://www.linkedin.com/in/erickmontiel" TargetMode="External"/><Relationship Id="rId762" Type="http://schemas.openxmlformats.org/officeDocument/2006/relationships/hyperlink" Target="https://www.linkedin.com/in/anne-marie-blaney-309235112" TargetMode="External"/><Relationship Id="rId1185" Type="http://schemas.openxmlformats.org/officeDocument/2006/relationships/hyperlink" Target="https://www.linkedin.com/in/rodrigomartineztenorio" TargetMode="External"/><Relationship Id="rId1392" Type="http://schemas.openxmlformats.org/officeDocument/2006/relationships/hyperlink" Target="https://www.linkedin.com/in/pablobaldovinos" TargetMode="External"/><Relationship Id="rId2029" Type="http://schemas.openxmlformats.org/officeDocument/2006/relationships/hyperlink" Target="http://www.linkedin.com/in/noemi-gonzalez-gutierrez" TargetMode="External"/><Relationship Id="rId2236" Type="http://schemas.openxmlformats.org/officeDocument/2006/relationships/hyperlink" Target="http://www.linkedin.com/in/alicia-mayrani-cifuentes-pacheco-455b06129" TargetMode="External"/><Relationship Id="rId2443" Type="http://schemas.openxmlformats.org/officeDocument/2006/relationships/hyperlink" Target="http://www.linkedin.com/in/carlos-lopez-segarra" TargetMode="External"/><Relationship Id="rId2650" Type="http://schemas.openxmlformats.org/officeDocument/2006/relationships/hyperlink" Target="http://www.linkedin.com/in/micaela-mazzi-converso-b30733117" TargetMode="External"/><Relationship Id="rId208" Type="http://schemas.openxmlformats.org/officeDocument/2006/relationships/hyperlink" Target="http://casamaestri.com/" TargetMode="External"/><Relationship Id="rId415" Type="http://schemas.openxmlformats.org/officeDocument/2006/relationships/hyperlink" Target="https://www.linkedin.com/in/ACwAACjLKsAB_COAQ0IlcT0AOC7jrxzDblRKNVo" TargetMode="External"/><Relationship Id="rId622" Type="http://schemas.openxmlformats.org/officeDocument/2006/relationships/hyperlink" Target="http://grupoinfra.com/" TargetMode="External"/><Relationship Id="rId1045" Type="http://schemas.openxmlformats.org/officeDocument/2006/relationships/hyperlink" Target="https://www.linkedin.com/in/mariovillamarmktdigital" TargetMode="External"/><Relationship Id="rId1252" Type="http://schemas.openxmlformats.org/officeDocument/2006/relationships/hyperlink" Target="https://www.linkedin.com/in/julia-vasileva-23422868" TargetMode="External"/><Relationship Id="rId2303" Type="http://schemas.openxmlformats.org/officeDocument/2006/relationships/hyperlink" Target="http://www.linkedin.com/in/valeria-n%c3%ba%c3%b1ez-69a17825a" TargetMode="External"/><Relationship Id="rId2510" Type="http://schemas.openxmlformats.org/officeDocument/2006/relationships/hyperlink" Target="http://www.linkedin.com/in/paola-escoto-5a970762" TargetMode="External"/><Relationship Id="rId1112" Type="http://schemas.openxmlformats.org/officeDocument/2006/relationships/hyperlink" Target="https://www.linkedin.com/in/jillian-odom-36b28327a" TargetMode="External"/><Relationship Id="rId3077" Type="http://schemas.openxmlformats.org/officeDocument/2006/relationships/hyperlink" Target="http://www.linkedin.com/in/mehapowani" TargetMode="External"/><Relationship Id="rId1929" Type="http://schemas.openxmlformats.org/officeDocument/2006/relationships/hyperlink" Target="http://www.linkedin.com/in/meghan-baker-30080856" TargetMode="External"/><Relationship Id="rId2093" Type="http://schemas.openxmlformats.org/officeDocument/2006/relationships/hyperlink" Target="http://www.linkedin.com/in/juan-angel-gonzalez-ruiz-b88691104" TargetMode="External"/><Relationship Id="rId3144" Type="http://schemas.openxmlformats.org/officeDocument/2006/relationships/hyperlink" Target="http://www.linkedin.com/in/melissanicolwong" TargetMode="External"/><Relationship Id="rId272" Type="http://schemas.openxmlformats.org/officeDocument/2006/relationships/hyperlink" Target="http://collectivaconcepcion.com.mx/" TargetMode="External"/><Relationship Id="rId2160" Type="http://schemas.openxmlformats.org/officeDocument/2006/relationships/hyperlink" Target="http://www.linkedin.com/in/katie-berry-49358b38" TargetMode="External"/><Relationship Id="rId3004" Type="http://schemas.openxmlformats.org/officeDocument/2006/relationships/hyperlink" Target="http://www.linkedin.com/in/mariana-chavez-87bb4113" TargetMode="External"/><Relationship Id="rId3211" Type="http://schemas.openxmlformats.org/officeDocument/2006/relationships/hyperlink" Target="http://www.linkedin.com/in/kseniya-pinkova-a53291114" TargetMode="External"/><Relationship Id="rId132" Type="http://schemas.openxmlformats.org/officeDocument/2006/relationships/hyperlink" Target="https://www.linkedin.com/in/covadonga-gordon-llavona" TargetMode="External"/><Relationship Id="rId2020" Type="http://schemas.openxmlformats.org/officeDocument/2006/relationships/hyperlink" Target="http://www.linkedin.com/in/jillianwilbur" TargetMode="External"/><Relationship Id="rId1579" Type="http://schemas.openxmlformats.org/officeDocument/2006/relationships/hyperlink" Target="http://worqout.mx/" TargetMode="External"/><Relationship Id="rId2977" Type="http://schemas.openxmlformats.org/officeDocument/2006/relationships/hyperlink" Target="http://www.linkedin.com/in/dayra-martinez-mu%c3%b1oz-83920327a" TargetMode="External"/><Relationship Id="rId949" Type="http://schemas.openxmlformats.org/officeDocument/2006/relationships/hyperlink" Target="http://mikels.com.mx/" TargetMode="External"/><Relationship Id="rId1786" Type="http://schemas.openxmlformats.org/officeDocument/2006/relationships/hyperlink" Target="http://www.linkedin.com/in/alexandra-anderson-6a10bb65" TargetMode="External"/><Relationship Id="rId1993" Type="http://schemas.openxmlformats.org/officeDocument/2006/relationships/hyperlink" Target="http://www.linkedin.com/in/alejandro-salcedo-3a6752203" TargetMode="External"/><Relationship Id="rId2837" Type="http://schemas.openxmlformats.org/officeDocument/2006/relationships/hyperlink" Target="http://www.linkedin.com/in/nancy-sauceda-65581b183" TargetMode="External"/><Relationship Id="rId78" Type="http://schemas.openxmlformats.org/officeDocument/2006/relationships/hyperlink" Target="http://ascm.org/" TargetMode="External"/><Relationship Id="rId809" Type="http://schemas.openxmlformats.org/officeDocument/2006/relationships/hyperlink" Target="http://kitchenaid.com/" TargetMode="External"/><Relationship Id="rId1439" Type="http://schemas.openxmlformats.org/officeDocument/2006/relationships/hyperlink" Target="https://www.linkedin.com/in/ACwAADvIZqMBvPO9NxncqM6ksl9qRKXIFa93VxU" TargetMode="External"/><Relationship Id="rId1646" Type="http://schemas.openxmlformats.org/officeDocument/2006/relationships/hyperlink" Target="http://www.linkedin.com/in/viola-chen-7a699839" TargetMode="External"/><Relationship Id="rId1853" Type="http://schemas.openxmlformats.org/officeDocument/2006/relationships/hyperlink" Target="http://www.linkedin.com/in/xiaolu-li-0a186a23" TargetMode="External"/><Relationship Id="rId2904" Type="http://schemas.openxmlformats.org/officeDocument/2006/relationships/hyperlink" Target="http://www.linkedin.com/in/anastacio-escandon-a75b4b37" TargetMode="External"/><Relationship Id="rId1506" Type="http://schemas.openxmlformats.org/officeDocument/2006/relationships/hyperlink" Target="http://up.edu.mx/" TargetMode="External"/><Relationship Id="rId1713" Type="http://schemas.openxmlformats.org/officeDocument/2006/relationships/hyperlink" Target="http://www.linkedin.com/in/yannth" TargetMode="External"/><Relationship Id="rId1920" Type="http://schemas.openxmlformats.org/officeDocument/2006/relationships/hyperlink" Target="http://www.linkedin.com/in/karla-robles-villafuerte-a3658817a" TargetMode="External"/><Relationship Id="rId599" Type="http://schemas.openxmlformats.org/officeDocument/2006/relationships/hyperlink" Target="https://www.linkedin.com/in/ACwAAEFhShYBLfz0CxoAxW9qRazNUT0SVpJbcsQ" TargetMode="External"/><Relationship Id="rId2487" Type="http://schemas.openxmlformats.org/officeDocument/2006/relationships/hyperlink" Target="http://www.linkedin.com/in/jorge-%c3%a1lvarez-v%c3%a9lez-95b61729" TargetMode="External"/><Relationship Id="rId2694" Type="http://schemas.openxmlformats.org/officeDocument/2006/relationships/hyperlink" Target="http://www.linkedin.com/in/oziel-de-luna-6786b2150" TargetMode="External"/><Relationship Id="rId459" Type="http://schemas.openxmlformats.org/officeDocument/2006/relationships/hyperlink" Target="http://elektra.com.mx/" TargetMode="External"/><Relationship Id="rId666" Type="http://schemas.openxmlformats.org/officeDocument/2006/relationships/hyperlink" Target="http://hstcontrols.com/" TargetMode="External"/><Relationship Id="rId873" Type="http://schemas.openxmlformats.org/officeDocument/2006/relationships/hyperlink" Target="http://llanodelatorre.com.mx/" TargetMode="External"/><Relationship Id="rId1089" Type="http://schemas.openxmlformats.org/officeDocument/2006/relationships/hyperlink" Target="https://www.linkedin.com/in/ACwAAEMn26MBRSqUCALpGN_9-_wdgh-1gyJJ-Bw" TargetMode="External"/><Relationship Id="rId1296" Type="http://schemas.openxmlformats.org/officeDocument/2006/relationships/hyperlink" Target="http://shasa.com/" TargetMode="External"/><Relationship Id="rId2347" Type="http://schemas.openxmlformats.org/officeDocument/2006/relationships/hyperlink" Target="http://www.linkedin.com/in/junuel-filiberto-grimaldo-gonz%c3%a1lez-8b6388215" TargetMode="External"/><Relationship Id="rId2554" Type="http://schemas.openxmlformats.org/officeDocument/2006/relationships/hyperlink" Target="http://hacedores.com/" TargetMode="External"/><Relationship Id="rId319" Type="http://schemas.openxmlformats.org/officeDocument/2006/relationships/hyperlink" Target="https://www.linkedin.com/in/ACwAAA7cQLAB7L2gAYTvMkLrzB8mAliHwI2B_wE" TargetMode="External"/><Relationship Id="rId526" Type="http://schemas.openxmlformats.org/officeDocument/2006/relationships/hyperlink" Target="https://www.linkedin.com/in/thejorgerosas" TargetMode="External"/><Relationship Id="rId1156" Type="http://schemas.openxmlformats.org/officeDocument/2006/relationships/hyperlink" Target="https://www.linkedin.com/in/leidimary-sierra-403318217" TargetMode="External"/><Relationship Id="rId1363" Type="http://schemas.openxmlformats.org/officeDocument/2006/relationships/hyperlink" Target="https://www.linkedin.com/in/saha-glassmall-993a05241" TargetMode="External"/><Relationship Id="rId2207" Type="http://schemas.openxmlformats.org/officeDocument/2006/relationships/hyperlink" Target="http://www.linkedin.com/in/jos%c3%a9-escalante-98055729" TargetMode="External"/><Relationship Id="rId2761" Type="http://schemas.openxmlformats.org/officeDocument/2006/relationships/hyperlink" Target="http://www.linkedin.com/in/karina-elizabeth-navarro-tovar-952221212" TargetMode="External"/><Relationship Id="rId733" Type="http://schemas.openxmlformats.org/officeDocument/2006/relationships/hyperlink" Target="https://www.linkedin.com/in/felipesanchez130386" TargetMode="External"/><Relationship Id="rId940" Type="http://schemas.openxmlformats.org/officeDocument/2006/relationships/hyperlink" Target="https://www.linkedin.com/in/amanda-azocar-abascal" TargetMode="External"/><Relationship Id="rId1016" Type="http://schemas.openxmlformats.org/officeDocument/2006/relationships/hyperlink" Target="http://mundoele.com.mx/" TargetMode="External"/><Relationship Id="rId1570" Type="http://schemas.openxmlformats.org/officeDocument/2006/relationships/hyperlink" Target="https://www.linkedin.com/in/mirjam-raaf-853b02bb" TargetMode="External"/><Relationship Id="rId2414" Type="http://schemas.openxmlformats.org/officeDocument/2006/relationships/hyperlink" Target="http://www.linkedin.com/in/mariana-cruz-ruvalcaba-4a830696" TargetMode="External"/><Relationship Id="rId2621" Type="http://schemas.openxmlformats.org/officeDocument/2006/relationships/hyperlink" Target="http://www.linkedin.com/in/mauricioguzmansantiago" TargetMode="External"/><Relationship Id="rId800" Type="http://schemas.openxmlformats.org/officeDocument/2006/relationships/hyperlink" Target="https://www.linkedin.com/in/sebastian-escobar-95971a35" TargetMode="External"/><Relationship Id="rId1223" Type="http://schemas.openxmlformats.org/officeDocument/2006/relationships/hyperlink" Target="https://www.linkedin.com/in/laylafraser1" TargetMode="External"/><Relationship Id="rId1430" Type="http://schemas.openxmlformats.org/officeDocument/2006/relationships/hyperlink" Target="https://www.linkedin.com/in/ACwAAEgFplIBeZ7n3um1hAA8eoCkU3ne8b27FV4" TargetMode="External"/><Relationship Id="rId3188" Type="http://schemas.openxmlformats.org/officeDocument/2006/relationships/hyperlink" Target="http://www.linkedin.com/in/gerardogarciapiza" TargetMode="External"/><Relationship Id="rId3048" Type="http://schemas.openxmlformats.org/officeDocument/2006/relationships/hyperlink" Target="http://www.linkedin.com/in/angel-omar-canto-cural-363267153" TargetMode="External"/><Relationship Id="rId3255" Type="http://schemas.openxmlformats.org/officeDocument/2006/relationships/hyperlink" Target="http://www.linkedin.com/in/josymar-morales-torres-0019a216a" TargetMode="External"/><Relationship Id="rId176" Type="http://schemas.openxmlformats.org/officeDocument/2006/relationships/hyperlink" Target="http://brooksrunning.com/" TargetMode="External"/><Relationship Id="rId383" Type="http://schemas.openxmlformats.org/officeDocument/2006/relationships/hyperlink" Target="https://www.linkedin.com/in/eddie-ramos-174b09274" TargetMode="External"/><Relationship Id="rId590" Type="http://schemas.openxmlformats.org/officeDocument/2006/relationships/hyperlink" Target="https://www.linkedin.com/in/david-parra-valdez-0a3586139" TargetMode="External"/><Relationship Id="rId2064" Type="http://schemas.openxmlformats.org/officeDocument/2006/relationships/hyperlink" Target="http://www.linkedin.com/in/cinthia-paola-lara-645131192" TargetMode="External"/><Relationship Id="rId2271" Type="http://schemas.openxmlformats.org/officeDocument/2006/relationships/hyperlink" Target="http://www.linkedin.com/in/yasminabenzakour" TargetMode="External"/><Relationship Id="rId3115" Type="http://schemas.openxmlformats.org/officeDocument/2006/relationships/hyperlink" Target="http://www.linkedin.com/in/ana-luisa-vidal-campos-206b32187" TargetMode="External"/><Relationship Id="rId243" Type="http://schemas.openxmlformats.org/officeDocument/2006/relationships/hyperlink" Target="https://www.linkedin.com/in/alebautista" TargetMode="External"/><Relationship Id="rId450" Type="http://schemas.openxmlformats.org/officeDocument/2006/relationships/hyperlink" Target="https://www.linkedin.com/in/jesseness" TargetMode="External"/><Relationship Id="rId1080" Type="http://schemas.openxmlformats.org/officeDocument/2006/relationships/hyperlink" Target="http://odoo.com/" TargetMode="External"/><Relationship Id="rId2131" Type="http://schemas.openxmlformats.org/officeDocument/2006/relationships/hyperlink" Target="http://www.linkedin.com/in/crystal-chen-423ba2155" TargetMode="External"/><Relationship Id="rId103" Type="http://schemas.openxmlformats.org/officeDocument/2006/relationships/hyperlink" Target="https://www.linkedin.com/in/eddy-breach-9224922" TargetMode="External"/><Relationship Id="rId310" Type="http://schemas.openxmlformats.org/officeDocument/2006/relationships/hyperlink" Target="http://cristaljoyas.com/" TargetMode="External"/><Relationship Id="rId1897" Type="http://schemas.openxmlformats.org/officeDocument/2006/relationships/hyperlink" Target="http://www.linkedin.com/in/jesusgr0" TargetMode="External"/><Relationship Id="rId2948" Type="http://schemas.openxmlformats.org/officeDocument/2006/relationships/hyperlink" Target="http://www.linkedin.com/in/josealbertoapezteguia" TargetMode="External"/><Relationship Id="rId1757" Type="http://schemas.openxmlformats.org/officeDocument/2006/relationships/hyperlink" Target="http://www.linkedin.com/in/adriana-olivo-padilla-0449021b3" TargetMode="External"/><Relationship Id="rId1964" Type="http://schemas.openxmlformats.org/officeDocument/2006/relationships/hyperlink" Target="http://www.linkedin.com/in/ronnacabalar" TargetMode="External"/><Relationship Id="rId2808" Type="http://schemas.openxmlformats.org/officeDocument/2006/relationships/hyperlink" Target="http://www.linkedin.com/in/stephany-tolentino-4b4399bb" TargetMode="External"/><Relationship Id="rId49" Type="http://schemas.openxmlformats.org/officeDocument/2006/relationships/hyperlink" Target="https://www.linkedin.com/in/karla-nataly-chantal-v-39b3a2133" TargetMode="External"/><Relationship Id="rId1617" Type="http://schemas.openxmlformats.org/officeDocument/2006/relationships/hyperlink" Target="http://www.linkedin.com/in/analisa-stankus-b13559227" TargetMode="External"/><Relationship Id="rId1824" Type="http://schemas.openxmlformats.org/officeDocument/2006/relationships/hyperlink" Target="http://www.linkedin.com/in/julio-barajas-84a8a7213" TargetMode="External"/><Relationship Id="rId2598" Type="http://schemas.openxmlformats.org/officeDocument/2006/relationships/hyperlink" Target="http://www.linkedin.com/in/denis-serrano-a1753061" TargetMode="External"/><Relationship Id="rId777" Type="http://schemas.openxmlformats.org/officeDocument/2006/relationships/hyperlink" Target="https://www.linkedin.com/in/ACwAAArXH1AByc8mH2UIf56jXgXey9LvrAMD1wQ" TargetMode="External"/><Relationship Id="rId984" Type="http://schemas.openxmlformats.org/officeDocument/2006/relationships/hyperlink" Target="https://www.linkedin.com/in/ACwAACfE_P8BxJejoDTffg-mxnKiYuo2Ilcyk2E" TargetMode="External"/><Relationship Id="rId2458" Type="http://schemas.openxmlformats.org/officeDocument/2006/relationships/hyperlink" Target="http://www.linkedin.com/in/alexalvarezm" TargetMode="External"/><Relationship Id="rId2665" Type="http://schemas.openxmlformats.org/officeDocument/2006/relationships/hyperlink" Target="http://www.linkedin.com/in/irsa-guerra-2257b0125" TargetMode="External"/><Relationship Id="rId2872" Type="http://schemas.openxmlformats.org/officeDocument/2006/relationships/hyperlink" Target="http://www.linkedin.com/in/ana-luisa-vidal-campos-206b32187" TargetMode="External"/><Relationship Id="rId637" Type="http://schemas.openxmlformats.org/officeDocument/2006/relationships/hyperlink" Target="https://www.linkedin.com/in/gerardo-ayala-71bb6837" TargetMode="External"/><Relationship Id="rId844" Type="http://schemas.openxmlformats.org/officeDocument/2006/relationships/hyperlink" Target="http://laloma.com.mx/" TargetMode="External"/><Relationship Id="rId1267" Type="http://schemas.openxmlformats.org/officeDocument/2006/relationships/hyperlink" Target="https://www.linkedin.com/in/brooke-brooke-71348699" TargetMode="External"/><Relationship Id="rId1474" Type="http://schemas.openxmlformats.org/officeDocument/2006/relationships/hyperlink" Target="https://www.linkedin.com/in/gabriela-bustamante-54b995246" TargetMode="External"/><Relationship Id="rId1681" Type="http://schemas.openxmlformats.org/officeDocument/2006/relationships/hyperlink" Target="http://www.linkedin.com/in/eduardohamid" TargetMode="External"/><Relationship Id="rId2318" Type="http://schemas.openxmlformats.org/officeDocument/2006/relationships/hyperlink" Target="http://www.linkedin.com/in/candy-michel-zepeda-urz%c3%baa-4613b018b" TargetMode="External"/><Relationship Id="rId2525" Type="http://schemas.openxmlformats.org/officeDocument/2006/relationships/hyperlink" Target="http://www.linkedin.com/in/rebeca-gomez-6a2aa289" TargetMode="External"/><Relationship Id="rId2732" Type="http://schemas.openxmlformats.org/officeDocument/2006/relationships/hyperlink" Target="http://www.linkedin.com/in/zanavro" TargetMode="External"/><Relationship Id="rId704" Type="http://schemas.openxmlformats.org/officeDocument/2006/relationships/hyperlink" Target="http://humbrall.com/" TargetMode="External"/><Relationship Id="rId911" Type="http://schemas.openxmlformats.org/officeDocument/2006/relationships/hyperlink" Target="https://www.linkedin.com/in/ACwAAAo_QKgBkVBONUnzg87-9ediov5XiU0DnBo" TargetMode="External"/><Relationship Id="rId1127" Type="http://schemas.openxmlformats.org/officeDocument/2006/relationships/hyperlink" Target="http://paquetexpress.com.mx/" TargetMode="External"/><Relationship Id="rId1334" Type="http://schemas.openxmlformats.org/officeDocument/2006/relationships/hyperlink" Target="http://souriau.com/" TargetMode="External"/><Relationship Id="rId1541" Type="http://schemas.openxmlformats.org/officeDocument/2006/relationships/hyperlink" Target="https://www.linkedin.com/in/lorena-campos-6283141a4" TargetMode="External"/><Relationship Id="rId40" Type="http://schemas.openxmlformats.org/officeDocument/2006/relationships/hyperlink" Target="http://andishere.com/" TargetMode="External"/><Relationship Id="rId1401" Type="http://schemas.openxmlformats.org/officeDocument/2006/relationships/hyperlink" Target="http://tec.mx/" TargetMode="External"/><Relationship Id="rId3159" Type="http://schemas.openxmlformats.org/officeDocument/2006/relationships/hyperlink" Target="http://www.linkedin.com/in/karla-vanessa-guerra-rodriguez-7b853116a" TargetMode="External"/><Relationship Id="rId287" Type="http://schemas.openxmlformats.org/officeDocument/2006/relationships/hyperlink" Target="http://conekta.com/" TargetMode="External"/><Relationship Id="rId494" Type="http://schemas.openxmlformats.org/officeDocument/2006/relationships/hyperlink" Target="http://fanasa.com/" TargetMode="External"/><Relationship Id="rId2175" Type="http://schemas.openxmlformats.org/officeDocument/2006/relationships/hyperlink" Target="http://www.linkedin.com/in/ai-peters-21a56276" TargetMode="External"/><Relationship Id="rId2382" Type="http://schemas.openxmlformats.org/officeDocument/2006/relationships/hyperlink" Target="http://www.linkedin.com/sales/lead/ACwAADZ1S44BMc-pQf10taXhabLq_wivw-YVrX8,NAME_SEARCH,rgmN" TargetMode="External"/><Relationship Id="rId3019" Type="http://schemas.openxmlformats.org/officeDocument/2006/relationships/hyperlink" Target="http://www.linkedin.com/in/virginia-ochoa-l%c3%b3pez-b256a4a4" TargetMode="External"/><Relationship Id="rId3226" Type="http://schemas.openxmlformats.org/officeDocument/2006/relationships/hyperlink" Target="http://www.linkedin.com/in/enriquegiron" TargetMode="External"/><Relationship Id="rId147" Type="http://schemas.openxmlformats.org/officeDocument/2006/relationships/hyperlink" Target="https://www.linkedin.com/in/gonzalo-medina-g" TargetMode="External"/><Relationship Id="rId354" Type="http://schemas.openxmlformats.org/officeDocument/2006/relationships/hyperlink" Target="https://www.linkedin.com/in/ACwAACmVK10BKpayReohg4d9qMrjyjTNFP6EDsQ" TargetMode="External"/><Relationship Id="rId1191" Type="http://schemas.openxmlformats.org/officeDocument/2006/relationships/hyperlink" Target="http://prinsel.com.mx/" TargetMode="External"/><Relationship Id="rId2035" Type="http://schemas.openxmlformats.org/officeDocument/2006/relationships/hyperlink" Target="http://www.linkedin.com/in/marta-latorre" TargetMode="External"/><Relationship Id="rId561" Type="http://schemas.openxmlformats.org/officeDocument/2006/relationships/hyperlink" Target="https://www.linkedin.com/in/ACwAADd8XxYBSFawr2oKnW4cfMjQwLFWGZ-cqvM" TargetMode="External"/><Relationship Id="rId2242" Type="http://schemas.openxmlformats.org/officeDocument/2006/relationships/hyperlink" Target="http://www.linkedin.com/in/jhonatan-l%c3%b3pez-ovando-0608571aa" TargetMode="External"/><Relationship Id="rId214" Type="http://schemas.openxmlformats.org/officeDocument/2006/relationships/hyperlink" Target="http://castel.com.mx/" TargetMode="External"/><Relationship Id="rId421" Type="http://schemas.openxmlformats.org/officeDocument/2006/relationships/hyperlink" Target="http://docolorbrushes.com/" TargetMode="External"/><Relationship Id="rId1051" Type="http://schemas.openxmlformats.org/officeDocument/2006/relationships/hyperlink" Target="https://www.linkedin.com/in/ACwAAB9qmqYBi3zhbsLJ9s3Ij1EXWfMwHQu3g0s" TargetMode="External"/><Relationship Id="rId2102" Type="http://schemas.openxmlformats.org/officeDocument/2006/relationships/hyperlink" Target="http://www.linkedin.com/in/joelpuig" TargetMode="External"/><Relationship Id="rId1868" Type="http://schemas.openxmlformats.org/officeDocument/2006/relationships/hyperlink" Target="http://www.linkedin.com/in/jennifer-o-neill-b7603040" TargetMode="External"/><Relationship Id="rId2919" Type="http://schemas.openxmlformats.org/officeDocument/2006/relationships/hyperlink" Target="http://www.linkedin.com/in/marcela-amaya-7257a25a" TargetMode="External"/><Relationship Id="rId3083" Type="http://schemas.openxmlformats.org/officeDocument/2006/relationships/hyperlink" Target="http://www.linkedin.com/in/fernanda-aguilar-de-la-torre-219706231" TargetMode="External"/><Relationship Id="rId1728" Type="http://schemas.openxmlformats.org/officeDocument/2006/relationships/hyperlink" Target="http://www.linkedin.com/in/mike-chorba-3331bab0" TargetMode="External"/><Relationship Id="rId1935" Type="http://schemas.openxmlformats.org/officeDocument/2006/relationships/hyperlink" Target="http://www.linkedin.com/in/biancabareswill" TargetMode="External"/><Relationship Id="rId3150" Type="http://schemas.openxmlformats.org/officeDocument/2006/relationships/hyperlink" Target="http://www.linkedin.com/in/karla-maldonado-57784b216" TargetMode="External"/><Relationship Id="rId3010" Type="http://schemas.openxmlformats.org/officeDocument/2006/relationships/hyperlink" Target="http://www.linkedin.com/in/frank-s%c3%a1nchez-171153112" TargetMode="External"/><Relationship Id="rId4" Type="http://schemas.openxmlformats.org/officeDocument/2006/relationships/hyperlink" Target="http://1nprotelecom.com/" TargetMode="External"/><Relationship Id="rId888" Type="http://schemas.openxmlformats.org/officeDocument/2006/relationships/hyperlink" Target="https://www.linkedin.com/in/lisapistilli" TargetMode="External"/><Relationship Id="rId2569" Type="http://schemas.openxmlformats.org/officeDocument/2006/relationships/hyperlink" Target="http://www.linkedin.com/in/itzel-vargas-09741842" TargetMode="External"/><Relationship Id="rId2776" Type="http://schemas.openxmlformats.org/officeDocument/2006/relationships/hyperlink" Target="http://www.linkedin.com/in/karlareygo" TargetMode="External"/><Relationship Id="rId2983" Type="http://schemas.openxmlformats.org/officeDocument/2006/relationships/hyperlink" Target="http://www.linkedin.com/in/alondra-gastelum-860489218" TargetMode="External"/><Relationship Id="rId748" Type="http://schemas.openxmlformats.org/officeDocument/2006/relationships/hyperlink" Target="http://inova.com.mx/" TargetMode="External"/><Relationship Id="rId955" Type="http://schemas.openxmlformats.org/officeDocument/2006/relationships/hyperlink" Target="http://mindbodyonline.com/" TargetMode="External"/><Relationship Id="rId1378" Type="http://schemas.openxmlformats.org/officeDocument/2006/relationships/hyperlink" Target="http://surtidoradepartamental.com/" TargetMode="External"/><Relationship Id="rId1585" Type="http://schemas.openxmlformats.org/officeDocument/2006/relationships/hyperlink" Target="http://xid.com.mx/" TargetMode="External"/><Relationship Id="rId1792" Type="http://schemas.openxmlformats.org/officeDocument/2006/relationships/hyperlink" Target="http://www.linkedin.com/in/omar-palacios-segundo-00ba998a" TargetMode="External"/><Relationship Id="rId2429" Type="http://schemas.openxmlformats.org/officeDocument/2006/relationships/hyperlink" Target="http://www.linkedin.com/in/ideen-stores-094681207" TargetMode="External"/><Relationship Id="rId2636" Type="http://schemas.openxmlformats.org/officeDocument/2006/relationships/hyperlink" Target="http://www.linkedin.com/in/guillermo-hern%c3%a1ndez-melo-99889a61" TargetMode="External"/><Relationship Id="rId2843" Type="http://schemas.openxmlformats.org/officeDocument/2006/relationships/hyperlink" Target="http://www.linkedin.com/in/mario-guti%c3%a9rrez-42a708a3" TargetMode="External"/><Relationship Id="rId84" Type="http://schemas.openxmlformats.org/officeDocument/2006/relationships/hyperlink" Target="https://www.linkedin.com/in/karla-mancilla-165390a5" TargetMode="External"/><Relationship Id="rId608" Type="http://schemas.openxmlformats.org/officeDocument/2006/relationships/hyperlink" Target="http://grupoabsa.com/" TargetMode="External"/><Relationship Id="rId815" Type="http://schemas.openxmlformats.org/officeDocument/2006/relationships/hyperlink" Target="http://knova.com.mx/" TargetMode="External"/><Relationship Id="rId1238" Type="http://schemas.openxmlformats.org/officeDocument/2006/relationships/hyperlink" Target="https://www.linkedin.com/in/ACwAABMx_-YB3d2zlhjfjAKOcvRCJDeaKzxYz8w" TargetMode="External"/><Relationship Id="rId1445" Type="http://schemas.openxmlformats.org/officeDocument/2006/relationships/hyperlink" Target="http://tolucafc.com/" TargetMode="External"/><Relationship Id="rId1652" Type="http://schemas.openxmlformats.org/officeDocument/2006/relationships/hyperlink" Target="http://www.linkedin.com/in/fquiusky" TargetMode="External"/><Relationship Id="rId1305" Type="http://schemas.openxmlformats.org/officeDocument/2006/relationships/hyperlink" Target="https://www.linkedin.com/in/ACwAAATUCPABzWLm9Q5nX8d-NE9p6IaffPeTtZo" TargetMode="External"/><Relationship Id="rId2703" Type="http://schemas.openxmlformats.org/officeDocument/2006/relationships/hyperlink" Target="http://www.linkedin.com/in/mireya-pablo-rodr%c3%adguez-5b72146b" TargetMode="External"/><Relationship Id="rId2910" Type="http://schemas.openxmlformats.org/officeDocument/2006/relationships/hyperlink" Target="http://www.linkedin.com/in/kris-chichak-b6315798" TargetMode="External"/><Relationship Id="rId1512" Type="http://schemas.openxmlformats.org/officeDocument/2006/relationships/hyperlink" Target="http://utel.edu.mx/" TargetMode="External"/><Relationship Id="rId11" Type="http://schemas.openxmlformats.org/officeDocument/2006/relationships/hyperlink" Target="https://www.linkedin.com/in/miguel-palacio-robles-digitalecommerce" TargetMode="External"/><Relationship Id="rId398" Type="http://schemas.openxmlformats.org/officeDocument/2006/relationships/hyperlink" Target="http://dentalia.com/" TargetMode="External"/><Relationship Id="rId2079" Type="http://schemas.openxmlformats.org/officeDocument/2006/relationships/hyperlink" Target="http://www.linkedin.com/in/imanol-serrano-016aa6152" TargetMode="External"/><Relationship Id="rId2286" Type="http://schemas.openxmlformats.org/officeDocument/2006/relationships/hyperlink" Target="http://www.linkedin.com/in/carlos-alberto-ru%c3%adz-alonso-35031a100" TargetMode="External"/><Relationship Id="rId2493" Type="http://schemas.openxmlformats.org/officeDocument/2006/relationships/hyperlink" Target="http://www.linkedin.com/in/g%c3%a9nesis-jim%c3%a9nez-16956a149" TargetMode="External"/><Relationship Id="rId258" Type="http://schemas.openxmlformats.org/officeDocument/2006/relationships/hyperlink" Target="http://cimaco.com.mx/" TargetMode="External"/><Relationship Id="rId465" Type="http://schemas.openxmlformats.org/officeDocument/2006/relationships/hyperlink" Target="https://www.linkedin.com/in/ACwAAEI2kKcBMksQmsBv3oXeriDjMpk9RTaF8u4" TargetMode="External"/><Relationship Id="rId672" Type="http://schemas.openxmlformats.org/officeDocument/2006/relationships/hyperlink" Target="http://www.fahorro.com/" TargetMode="External"/><Relationship Id="rId1095" Type="http://schemas.openxmlformats.org/officeDocument/2006/relationships/hyperlink" Target="https://www.linkedin.com/in/ACwAAEPrCuYBJBxx3bIF-zOMm4j9KlngTXZkvk4" TargetMode="External"/><Relationship Id="rId2146" Type="http://schemas.openxmlformats.org/officeDocument/2006/relationships/hyperlink" Target="http://www.linkedin.com/in/claire-rowley-925617b0" TargetMode="External"/><Relationship Id="rId2353" Type="http://schemas.openxmlformats.org/officeDocument/2006/relationships/hyperlink" Target="http://www.linkedin.com/in/mariana-cabrera-4306a6159" TargetMode="External"/><Relationship Id="rId2560" Type="http://schemas.openxmlformats.org/officeDocument/2006/relationships/hyperlink" Target="http://www.linkedin.com/in/salomon-dabbah-95b147108" TargetMode="External"/><Relationship Id="rId118" Type="http://schemas.openxmlformats.org/officeDocument/2006/relationships/hyperlink" Target="http://balamdenim.com/" TargetMode="External"/><Relationship Id="rId325" Type="http://schemas.openxmlformats.org/officeDocument/2006/relationships/hyperlink" Target="http://cuidadoconelperro.com.mx/" TargetMode="External"/><Relationship Id="rId532" Type="http://schemas.openxmlformats.org/officeDocument/2006/relationships/hyperlink" Target="http://flexi.com.mx/" TargetMode="External"/><Relationship Id="rId1162" Type="http://schemas.openxmlformats.org/officeDocument/2006/relationships/hyperlink" Target="https://www.linkedin.com/in/rodrigo-marquez-a2a13b1b0" TargetMode="External"/><Relationship Id="rId2006" Type="http://schemas.openxmlformats.org/officeDocument/2006/relationships/hyperlink" Target="http://www.linkedin.com/in/r-carlos-sorem-4177a2142" TargetMode="External"/><Relationship Id="rId2213" Type="http://schemas.openxmlformats.org/officeDocument/2006/relationships/hyperlink" Target="http://www.linkedin.com/in/melissa-robles-zertuche-b9b8322b" TargetMode="External"/><Relationship Id="rId2420" Type="http://schemas.openxmlformats.org/officeDocument/2006/relationships/hyperlink" Target="http://www.linkedin.com/in/brendahdz" TargetMode="External"/><Relationship Id="rId1022" Type="http://schemas.openxmlformats.org/officeDocument/2006/relationships/hyperlink" Target="http://mvkoen.com/" TargetMode="External"/><Relationship Id="rId1979" Type="http://schemas.openxmlformats.org/officeDocument/2006/relationships/hyperlink" Target="http://www.linkedin.com/in/dwita-satyanti" TargetMode="External"/><Relationship Id="rId3194" Type="http://schemas.openxmlformats.org/officeDocument/2006/relationships/hyperlink" Target="http://www.linkedin.com/in/eder-aguilar" TargetMode="External"/><Relationship Id="rId1839" Type="http://schemas.openxmlformats.org/officeDocument/2006/relationships/hyperlink" Target="http://www.linkedin.com/in/edson-ruben-islas-perales-a666a3265" TargetMode="External"/><Relationship Id="rId3054" Type="http://schemas.openxmlformats.org/officeDocument/2006/relationships/hyperlink" Target="http://www.linkedin.com/in/paola-b%c3%a1rcena-857221252" TargetMode="External"/><Relationship Id="rId182" Type="http://schemas.openxmlformats.org/officeDocument/2006/relationships/hyperlink" Target="http://brooksrunning.com/" TargetMode="External"/><Relationship Id="rId1906" Type="http://schemas.openxmlformats.org/officeDocument/2006/relationships/hyperlink" Target="http://www.linkedin.com/in/nancy-yip-b413471a" TargetMode="External"/><Relationship Id="rId3261" Type="http://schemas.openxmlformats.org/officeDocument/2006/relationships/hyperlink" Target="http://www.linkedin.com/in/cecilia-hauad-3b84a36" TargetMode="External"/><Relationship Id="rId2070" Type="http://schemas.openxmlformats.org/officeDocument/2006/relationships/hyperlink" Target="http://www.linkedin.com/in/gauravjaincalance" TargetMode="External"/><Relationship Id="rId3121" Type="http://schemas.openxmlformats.org/officeDocument/2006/relationships/hyperlink" Target="http://www.linkedin.com/in/ivan-scally-778690147" TargetMode="External"/><Relationship Id="rId999" Type="http://schemas.openxmlformats.org/officeDocument/2006/relationships/hyperlink" Target="http://mosaic-media.com.mx/" TargetMode="External"/><Relationship Id="rId2887" Type="http://schemas.openxmlformats.org/officeDocument/2006/relationships/hyperlink" Target="http://www.linkedin.com/in/isis-hernandez-cacao" TargetMode="External"/><Relationship Id="rId859" Type="http://schemas.openxmlformats.org/officeDocument/2006/relationships/hyperlink" Target="http://lievant.com/" TargetMode="External"/><Relationship Id="rId1489" Type="http://schemas.openxmlformats.org/officeDocument/2006/relationships/hyperlink" Target="https://www.linkedin.com/in/ACwAAAT9Nw0BrD59wZ0RG-u2XJQgZIRWhJ2UbCg" TargetMode="External"/><Relationship Id="rId1696" Type="http://schemas.openxmlformats.org/officeDocument/2006/relationships/hyperlink" Target="http://www.linkedin.com/in/abi-laditan" TargetMode="External"/><Relationship Id="rId1349" Type="http://schemas.openxmlformats.org/officeDocument/2006/relationships/hyperlink" Target="https://www.linkedin.com/in/alamfarisa" TargetMode="External"/><Relationship Id="rId2747" Type="http://schemas.openxmlformats.org/officeDocument/2006/relationships/hyperlink" Target="http://www.linkedin.com/in/ciasacomercial-company" TargetMode="External"/><Relationship Id="rId2954" Type="http://schemas.openxmlformats.org/officeDocument/2006/relationships/hyperlink" Target="http://www.linkedin.com/in/paola-oviedo-maya-b05347151" TargetMode="External"/><Relationship Id="rId719" Type="http://schemas.openxmlformats.org/officeDocument/2006/relationships/hyperlink" Target="http://igsa.com.mx/" TargetMode="External"/><Relationship Id="rId926" Type="http://schemas.openxmlformats.org/officeDocument/2006/relationships/hyperlink" Target="https://www.linkedin.com/in/javiersalazar1" TargetMode="External"/><Relationship Id="rId1556" Type="http://schemas.openxmlformats.org/officeDocument/2006/relationships/hyperlink" Target="https://www.linkedin.com/in/ACwAADNLFD8B_DmiAu54zRSO6OXyA2gPoYrzYwc" TargetMode="External"/><Relationship Id="rId1763" Type="http://schemas.openxmlformats.org/officeDocument/2006/relationships/hyperlink" Target="http://www.linkedin.com/in/yesenia-rodr%c3%adguez-70704026" TargetMode="External"/><Relationship Id="rId1970" Type="http://schemas.openxmlformats.org/officeDocument/2006/relationships/hyperlink" Target="http://www.linkedin.com/in/jordan-birkhead-764603154" TargetMode="External"/><Relationship Id="rId2607" Type="http://schemas.openxmlformats.org/officeDocument/2006/relationships/hyperlink" Target="http://www.linkedin.com/in/adabella-gavia-ram%c3%adrez-6934055a" TargetMode="External"/><Relationship Id="rId2814" Type="http://schemas.openxmlformats.org/officeDocument/2006/relationships/hyperlink" Target="http://www.linkedin.com/in/ana-cristina-salcedo-gonzalez-b8990181" TargetMode="External"/><Relationship Id="rId55" Type="http://schemas.openxmlformats.org/officeDocument/2006/relationships/hyperlink" Target="https://www.linkedin.com/in/ACwAADhoovMBpNdv2MLjr6h9dSR2JVup7QaVirA" TargetMode="External"/><Relationship Id="rId1209" Type="http://schemas.openxmlformats.org/officeDocument/2006/relationships/hyperlink" Target="http://qian.mx/" TargetMode="External"/><Relationship Id="rId1416" Type="http://schemas.openxmlformats.org/officeDocument/2006/relationships/hyperlink" Target="http://tecnolite.mx/" TargetMode="External"/><Relationship Id="rId1623" Type="http://schemas.openxmlformats.org/officeDocument/2006/relationships/hyperlink" Target="http://www.linkedin.com/in/octavio-castillo-aa49a9180" TargetMode="External"/><Relationship Id="rId1830" Type="http://schemas.openxmlformats.org/officeDocument/2006/relationships/hyperlink" Target="http://www.linkedin.com/in/lorraine-herrou-5a508a95" TargetMode="External"/><Relationship Id="rId2397" Type="http://schemas.openxmlformats.org/officeDocument/2006/relationships/hyperlink" Target="http://www.linkedin.com/in/fidel-gonz%c3%a1lez-77b38528" TargetMode="External"/><Relationship Id="rId369" Type="http://schemas.openxmlformats.org/officeDocument/2006/relationships/hyperlink" Target="https://www.linkedin.com/in/karli-bruno" TargetMode="External"/><Relationship Id="rId576" Type="http://schemas.openxmlformats.org/officeDocument/2006/relationships/hyperlink" Target="https://www.linkedin.com/in/veronica-salas-3106527" TargetMode="External"/><Relationship Id="rId783" Type="http://schemas.openxmlformats.org/officeDocument/2006/relationships/hyperlink" Target="https://www.linkedin.com/in/ACwAABTueCsBWV68ecYVhQ4sRfK7iStuS34VcKo" TargetMode="External"/><Relationship Id="rId990" Type="http://schemas.openxmlformats.org/officeDocument/2006/relationships/hyperlink" Target="https://www.linkedin.com/in/camila-gonzalez-rubio-novoa" TargetMode="External"/><Relationship Id="rId2257" Type="http://schemas.openxmlformats.org/officeDocument/2006/relationships/hyperlink" Target="http://www.linkedin.com/in/korinna-ur%c3%adas" TargetMode="External"/><Relationship Id="rId2464" Type="http://schemas.openxmlformats.org/officeDocument/2006/relationships/hyperlink" Target="http://www.linkedin.com/in/lucasferh" TargetMode="External"/><Relationship Id="rId2671" Type="http://schemas.openxmlformats.org/officeDocument/2006/relationships/hyperlink" Target="http://www.linkedin.com/in/agostina-dottori-28979054" TargetMode="External"/><Relationship Id="rId229" Type="http://schemas.openxmlformats.org/officeDocument/2006/relationships/hyperlink" Target="http://centromedicoabc.com/" TargetMode="External"/><Relationship Id="rId436" Type="http://schemas.openxmlformats.org/officeDocument/2006/relationships/hyperlink" Target="http://duna.com.mx/" TargetMode="External"/><Relationship Id="rId643" Type="http://schemas.openxmlformats.org/officeDocument/2006/relationships/hyperlink" Target="http://heelys.com/" TargetMode="External"/><Relationship Id="rId1066" Type="http://schemas.openxmlformats.org/officeDocument/2006/relationships/hyperlink" Target="http://o-lab.mx/" TargetMode="External"/><Relationship Id="rId1273" Type="http://schemas.openxmlformats.org/officeDocument/2006/relationships/hyperlink" Target="https://www.linkedin.com/in/nicole-ferrara-mba-972a381a2" TargetMode="External"/><Relationship Id="rId1480" Type="http://schemas.openxmlformats.org/officeDocument/2006/relationships/hyperlink" Target="http://tupperware.com.mx/" TargetMode="External"/><Relationship Id="rId2117" Type="http://schemas.openxmlformats.org/officeDocument/2006/relationships/hyperlink" Target="http://www.linkedin.com/in/paulcristobal" TargetMode="External"/><Relationship Id="rId2324" Type="http://schemas.openxmlformats.org/officeDocument/2006/relationships/hyperlink" Target="http://www.linkedin.com/in/nicholas-meyer-151892b8" TargetMode="External"/><Relationship Id="rId850" Type="http://schemas.openxmlformats.org/officeDocument/2006/relationships/hyperlink" Target="http://latinweb.com.mx/" TargetMode="External"/><Relationship Id="rId1133" Type="http://schemas.openxmlformats.org/officeDocument/2006/relationships/hyperlink" Target="https://www.linkedin.com/in/fernanda-cabral-849001234" TargetMode="External"/><Relationship Id="rId2531" Type="http://schemas.openxmlformats.org/officeDocument/2006/relationships/hyperlink" Target="http://www.linkedin.com/in/satappa-gavade-64b5a826" TargetMode="External"/><Relationship Id="rId503" Type="http://schemas.openxmlformats.org/officeDocument/2006/relationships/hyperlink" Target="http://farmaciasanpablo.com.mx/" TargetMode="External"/><Relationship Id="rId710" Type="http://schemas.openxmlformats.org/officeDocument/2006/relationships/hyperlink" Target="https://www.linkedin.com/in/rafael-gonzalez-13774b124" TargetMode="External"/><Relationship Id="rId1340" Type="http://schemas.openxmlformats.org/officeDocument/2006/relationships/hyperlink" Target="http://sporelli.com.mx/" TargetMode="External"/><Relationship Id="rId3098" Type="http://schemas.openxmlformats.org/officeDocument/2006/relationships/hyperlink" Target="http://www.linkedin.com/in/marialuisacastillomalo" TargetMode="External"/><Relationship Id="rId1200" Type="http://schemas.openxmlformats.org/officeDocument/2006/relationships/hyperlink" Target="https://www.linkedin.com/in/matthewbreman" TargetMode="External"/><Relationship Id="rId3165" Type="http://schemas.openxmlformats.org/officeDocument/2006/relationships/hyperlink" Target="http://www.linkedin.com/in/denissepozas" TargetMode="External"/><Relationship Id="rId293" Type="http://schemas.openxmlformats.org/officeDocument/2006/relationships/hyperlink" Target="http://contemporani.com/" TargetMode="External"/><Relationship Id="rId2181" Type="http://schemas.openxmlformats.org/officeDocument/2006/relationships/hyperlink" Target="http://www.linkedin.com/in/georgina-montiel-ben%c3%adtez-97868837" TargetMode="External"/><Relationship Id="rId3025" Type="http://schemas.openxmlformats.org/officeDocument/2006/relationships/hyperlink" Target="http://www.linkedin.com/in/denis-serrano-a1753061" TargetMode="External"/><Relationship Id="rId3232" Type="http://schemas.openxmlformats.org/officeDocument/2006/relationships/hyperlink" Target="http://www.linkedin.com/in/raul-lozano-marketing" TargetMode="External"/><Relationship Id="rId153" Type="http://schemas.openxmlformats.org/officeDocument/2006/relationships/hyperlink" Target="https://www.linkedin.com/in/laura-mayorga" TargetMode="External"/><Relationship Id="rId360" Type="http://schemas.openxmlformats.org/officeDocument/2006/relationships/hyperlink" Target="http://danpex.com.mx/" TargetMode="External"/><Relationship Id="rId2041" Type="http://schemas.openxmlformats.org/officeDocument/2006/relationships/hyperlink" Target="http://www.linkedin.com/in/david-gormly-9374227" TargetMode="External"/><Relationship Id="rId220" Type="http://schemas.openxmlformats.org/officeDocument/2006/relationships/hyperlink" Target="http://celupal.com.mx/" TargetMode="External"/><Relationship Id="rId2998" Type="http://schemas.openxmlformats.org/officeDocument/2006/relationships/hyperlink" Target="http://www.linkedin.com/in/queren-lopez-4926941b8" TargetMode="External"/><Relationship Id="rId2858" Type="http://schemas.openxmlformats.org/officeDocument/2006/relationships/hyperlink" Target="http://www.linkedin.com/in/amairani-pitalua-229a19169" TargetMode="External"/><Relationship Id="rId99" Type="http://schemas.openxmlformats.org/officeDocument/2006/relationships/hyperlink" Target="https://www.linkedin.com/in/edwinonofre" TargetMode="External"/><Relationship Id="rId1667" Type="http://schemas.openxmlformats.org/officeDocument/2006/relationships/hyperlink" Target="http://www.linkedin.com/in/m%c3%b3nica-p%c3%a9rez-rivas-1376aa75" TargetMode="External"/><Relationship Id="rId1874" Type="http://schemas.openxmlformats.org/officeDocument/2006/relationships/hyperlink" Target="http://www.linkedin.com/in/oshkoshtvreviews" TargetMode="External"/><Relationship Id="rId2718" Type="http://schemas.openxmlformats.org/officeDocument/2006/relationships/hyperlink" Target="http://www.linkedin.com/in/pilardeleon" TargetMode="External"/><Relationship Id="rId2925" Type="http://schemas.openxmlformats.org/officeDocument/2006/relationships/hyperlink" Target="http://www.linkedin.com/in/nenoc" TargetMode="External"/><Relationship Id="rId1527" Type="http://schemas.openxmlformats.org/officeDocument/2006/relationships/hyperlink" Target="https://www.linkedin.com/in/fahimeh-rafiei" TargetMode="External"/><Relationship Id="rId1734" Type="http://schemas.openxmlformats.org/officeDocument/2006/relationships/hyperlink" Target="http://www.linkedin.com/in/bernardo-a-d-elia-bauder" TargetMode="External"/><Relationship Id="rId1941" Type="http://schemas.openxmlformats.org/officeDocument/2006/relationships/hyperlink" Target="http://www.linkedin.com/in/miriam-neumaier" TargetMode="External"/><Relationship Id="rId26" Type="http://schemas.openxmlformats.org/officeDocument/2006/relationships/hyperlink" Target="http://aldoconti.com/" TargetMode="External"/><Relationship Id="rId1801" Type="http://schemas.openxmlformats.org/officeDocument/2006/relationships/hyperlink" Target="http://www.linkedin.com/in/danielle-erasmus-599a17296" TargetMode="External"/><Relationship Id="rId687" Type="http://schemas.openxmlformats.org/officeDocument/2006/relationships/hyperlink" Target="https://cristaljoyas.com/" TargetMode="External"/><Relationship Id="rId2368" Type="http://schemas.openxmlformats.org/officeDocument/2006/relationships/hyperlink" Target="http://www.linkedin.com/in/fernandabatistella" TargetMode="External"/><Relationship Id="rId894" Type="http://schemas.openxmlformats.org/officeDocument/2006/relationships/hyperlink" Target="http://madisa.com/" TargetMode="External"/><Relationship Id="rId1177" Type="http://schemas.openxmlformats.org/officeDocument/2006/relationships/hyperlink" Target="https://www.linkedin.com/in/katherine-torresn" TargetMode="External"/><Relationship Id="rId2575" Type="http://schemas.openxmlformats.org/officeDocument/2006/relationships/hyperlink" Target="http://www.linkedin.com/in/josue-yanez" TargetMode="External"/><Relationship Id="rId2782" Type="http://schemas.openxmlformats.org/officeDocument/2006/relationships/hyperlink" Target="http://www.linkedin.com/in/tom%c3%a1s-e-quito-ramos-3a915880" TargetMode="External"/><Relationship Id="rId547" Type="http://schemas.openxmlformats.org/officeDocument/2006/relationships/hyperlink" Target="https://www.linkedin.com/in/ACwAAAy5IrMBswpXV3zZ9H0zBqQ3jmSa12fCadY" TargetMode="External"/><Relationship Id="rId754" Type="http://schemas.openxmlformats.org/officeDocument/2006/relationships/hyperlink" Target="http://instafit.com/" TargetMode="External"/><Relationship Id="rId961" Type="http://schemas.openxmlformats.org/officeDocument/2006/relationships/hyperlink" Target="http://mixup.com.mx/" TargetMode="External"/><Relationship Id="rId1384" Type="http://schemas.openxmlformats.org/officeDocument/2006/relationships/hyperlink" Target="http://syscomworld.com/" TargetMode="External"/><Relationship Id="rId1591" Type="http://schemas.openxmlformats.org/officeDocument/2006/relationships/hyperlink" Target="http://xnlp.com/" TargetMode="External"/><Relationship Id="rId2228" Type="http://schemas.openxmlformats.org/officeDocument/2006/relationships/hyperlink" Target="http://www.linkedin.com/in/hugolopezalvarez" TargetMode="External"/><Relationship Id="rId2435" Type="http://schemas.openxmlformats.org/officeDocument/2006/relationships/hyperlink" Target="http://www.linkedin.com/in/alejandro-aguilar-405822176" TargetMode="External"/><Relationship Id="rId2642" Type="http://schemas.openxmlformats.org/officeDocument/2006/relationships/hyperlink" Target="http://www.linkedin.com/in/ivan-scally-778690147" TargetMode="External"/><Relationship Id="rId90" Type="http://schemas.openxmlformats.org/officeDocument/2006/relationships/hyperlink" Target="http://atx.mx/" TargetMode="External"/><Relationship Id="rId407" Type="http://schemas.openxmlformats.org/officeDocument/2006/relationships/hyperlink" Target="http://dicipa.com.mx/" TargetMode="External"/><Relationship Id="rId614" Type="http://schemas.openxmlformats.org/officeDocument/2006/relationships/hyperlink" Target="https://www.linkedin.com/in/dr-carlos-castro-5aaa3086" TargetMode="External"/><Relationship Id="rId821" Type="http://schemas.openxmlformats.org/officeDocument/2006/relationships/hyperlink" Target="http://koblenz.com.mx/" TargetMode="External"/><Relationship Id="rId1037" Type="http://schemas.openxmlformats.org/officeDocument/2006/relationships/hyperlink" Target="https://www.linkedin.com/in/francislanglois1" TargetMode="External"/><Relationship Id="rId1244" Type="http://schemas.openxmlformats.org/officeDocument/2006/relationships/hyperlink" Target="https://www.linkedin.com/in/mariana-morales-parga-72447358" TargetMode="External"/><Relationship Id="rId1451" Type="http://schemas.openxmlformats.org/officeDocument/2006/relationships/hyperlink" Target="http://totto.com/" TargetMode="External"/><Relationship Id="rId2502" Type="http://schemas.openxmlformats.org/officeDocument/2006/relationships/hyperlink" Target="http://www.linkedin.com/in/nale-ru%c3%adz-salazar93" TargetMode="External"/><Relationship Id="rId1104" Type="http://schemas.openxmlformats.org/officeDocument/2006/relationships/hyperlink" Target="http://openpay.mx/" TargetMode="External"/><Relationship Id="rId1311" Type="http://schemas.openxmlformats.org/officeDocument/2006/relationships/hyperlink" Target="https://www.linkedin.com/in/darany-alejandre-cortez" TargetMode="External"/><Relationship Id="rId3069" Type="http://schemas.openxmlformats.org/officeDocument/2006/relationships/hyperlink" Target="http://www.linkedin.com/in/aurora-lynch-69465131" TargetMode="External"/><Relationship Id="rId3276" Type="http://schemas.openxmlformats.org/officeDocument/2006/relationships/hyperlink" Target="http://www.linkedin.com/in/looehr7" TargetMode="External"/><Relationship Id="rId197" Type="http://schemas.openxmlformats.org/officeDocument/2006/relationships/hyperlink" Target="https://www.linkedin.com/in/ACwAACdr4c8BVQ-OywfNLLQzex6k8tyttDfIwdI" TargetMode="External"/><Relationship Id="rId2085" Type="http://schemas.openxmlformats.org/officeDocument/2006/relationships/hyperlink" Target="http://www.linkedin.com/in/laacosta" TargetMode="External"/><Relationship Id="rId2292" Type="http://schemas.openxmlformats.org/officeDocument/2006/relationships/hyperlink" Target="http://www.linkedin.com/in/grecia-mar%c3%ada-baeza-garcidue%c3%b1as-65ba12267" TargetMode="External"/><Relationship Id="rId3136" Type="http://schemas.openxmlformats.org/officeDocument/2006/relationships/hyperlink" Target="http://www.linkedin.com/in/yina-grisales-motato-06ab12122" TargetMode="External"/><Relationship Id="rId264" Type="http://schemas.openxmlformats.org/officeDocument/2006/relationships/hyperlink" Target="http://cmegroup.com/" TargetMode="External"/><Relationship Id="rId471" Type="http://schemas.openxmlformats.org/officeDocument/2006/relationships/hyperlink" Target="http://emwa.com.mx/" TargetMode="External"/><Relationship Id="rId2152" Type="http://schemas.openxmlformats.org/officeDocument/2006/relationships/hyperlink" Target="http://www.linkedin.com/in/oscar-colin-3b498b1b5" TargetMode="External"/><Relationship Id="rId124" Type="http://schemas.openxmlformats.org/officeDocument/2006/relationships/hyperlink" Target="http://beautyart.com.mx/" TargetMode="External"/><Relationship Id="rId3203" Type="http://schemas.openxmlformats.org/officeDocument/2006/relationships/hyperlink" Target="http://www.linkedin.com/in/stephanie-jim%c3%a9nez-guti%c3%a9rrez-04b3465a" TargetMode="External"/><Relationship Id="rId331" Type="http://schemas.openxmlformats.org/officeDocument/2006/relationships/hyperlink" Target="http://curatif.com/" TargetMode="External"/><Relationship Id="rId2012" Type="http://schemas.openxmlformats.org/officeDocument/2006/relationships/hyperlink" Target="http://www.linkedin.com/in/micol-berti" TargetMode="External"/><Relationship Id="rId2969" Type="http://schemas.openxmlformats.org/officeDocument/2006/relationships/hyperlink" Target="http://www.linkedin.com/in/martha-lilia-herrera" TargetMode="External"/><Relationship Id="rId1778" Type="http://schemas.openxmlformats.org/officeDocument/2006/relationships/hyperlink" Target="http://www.linkedin.com/in/ernesto-robles-085987137" TargetMode="External"/><Relationship Id="rId1985" Type="http://schemas.openxmlformats.org/officeDocument/2006/relationships/hyperlink" Target="http://www.linkedin.com/in/emily-scheiner-1a73bb2b" TargetMode="External"/><Relationship Id="rId2829" Type="http://schemas.openxmlformats.org/officeDocument/2006/relationships/hyperlink" Target="http://www.linkedin.com/in/jesusbogado" TargetMode="External"/><Relationship Id="rId1638" Type="http://schemas.openxmlformats.org/officeDocument/2006/relationships/hyperlink" Target="http://www.linkedin.com/in/monserrat-s%c3%b6hle-elorza-5987961a6" TargetMode="External"/><Relationship Id="rId1845" Type="http://schemas.openxmlformats.org/officeDocument/2006/relationships/hyperlink" Target="http://www.linkedin.com/in/rachele-basil-048309192" TargetMode="External"/><Relationship Id="rId3060" Type="http://schemas.openxmlformats.org/officeDocument/2006/relationships/hyperlink" Target="http://www.linkedin.com/in/isis-hernandez-cacao" TargetMode="External"/><Relationship Id="rId1705" Type="http://schemas.openxmlformats.org/officeDocument/2006/relationships/hyperlink" Target="http://www.linkedin.com/in/ana-mar%c3%ada-alvarez-bujalil-00b21917" TargetMode="External"/><Relationship Id="rId1912" Type="http://schemas.openxmlformats.org/officeDocument/2006/relationships/hyperlink" Target="http://www.linkedin.com/in/robinlegat" TargetMode="External"/><Relationship Id="rId798" Type="http://schemas.openxmlformats.org/officeDocument/2006/relationships/hyperlink" Target="https://www.linkedin.com/in/nancy-macdougall-74b0506" TargetMode="External"/><Relationship Id="rId2479" Type="http://schemas.openxmlformats.org/officeDocument/2006/relationships/hyperlink" Target="http://www.linkedin.com/in/francesco-zanolla-84038953" TargetMode="External"/><Relationship Id="rId2686" Type="http://schemas.openxmlformats.org/officeDocument/2006/relationships/hyperlink" Target="http://www.linkedin.com/in/jonathan-ramirez-alvarez-626b03133" TargetMode="External"/><Relationship Id="rId2893" Type="http://schemas.openxmlformats.org/officeDocument/2006/relationships/hyperlink" Target="http://www.linkedin.com/in/agust%c3%adn-ruiz-lanuza-06ba60221" TargetMode="External"/><Relationship Id="rId658" Type="http://schemas.openxmlformats.org/officeDocument/2006/relationships/hyperlink" Target="http://homedepot.com.mx/" TargetMode="External"/><Relationship Id="rId865" Type="http://schemas.openxmlformats.org/officeDocument/2006/relationships/hyperlink" Target="http://liverpool.com.mx/" TargetMode="External"/><Relationship Id="rId1288" Type="http://schemas.openxmlformats.org/officeDocument/2006/relationships/hyperlink" Target="http://scottsbasslessons.com/" TargetMode="External"/><Relationship Id="rId1495" Type="http://schemas.openxmlformats.org/officeDocument/2006/relationships/hyperlink" Target="https://www.linkedin.com/in/juan-manuel-pita-garrido-9599355a" TargetMode="External"/><Relationship Id="rId2339" Type="http://schemas.openxmlformats.org/officeDocument/2006/relationships/hyperlink" Target="http://www.linkedin.com/in/brenda-jazm%c3%adn-l%c3%b3pez-m%c3%a9ndez-48799b168" TargetMode="External"/><Relationship Id="rId2546" Type="http://schemas.openxmlformats.org/officeDocument/2006/relationships/hyperlink" Target="http://www.linkedin.com/in/andrea-salazar-conde-09674617b" TargetMode="External"/><Relationship Id="rId2753" Type="http://schemas.openxmlformats.org/officeDocument/2006/relationships/hyperlink" Target="http://www.linkedin.com/in/melissanicolwong" TargetMode="External"/><Relationship Id="rId2960" Type="http://schemas.openxmlformats.org/officeDocument/2006/relationships/hyperlink" Target="http://www.linkedin.com/in/eriksalmong" TargetMode="External"/><Relationship Id="rId518" Type="http://schemas.openxmlformats.org/officeDocument/2006/relationships/hyperlink" Target="https://www.linkedin.com/in/felipe-andres-sterling-p-a54883178" TargetMode="External"/><Relationship Id="rId725" Type="http://schemas.openxmlformats.org/officeDocument/2006/relationships/hyperlink" Target="http://iho.com.mx/" TargetMode="External"/><Relationship Id="rId932" Type="http://schemas.openxmlformats.org/officeDocument/2006/relationships/hyperlink" Target="https://www.linkedin.com/in/ACwAADI0474Bl3JoaH6R10NNxBqaPj0gLmpv4Ng" TargetMode="External"/><Relationship Id="rId1148" Type="http://schemas.openxmlformats.org/officeDocument/2006/relationships/hyperlink" Target="https://www.linkedin.com/in/andrea-mendieta-59031627" TargetMode="External"/><Relationship Id="rId1355" Type="http://schemas.openxmlformats.org/officeDocument/2006/relationships/hyperlink" Target="http://subeagenciadigital.com/" TargetMode="External"/><Relationship Id="rId1562" Type="http://schemas.openxmlformats.org/officeDocument/2006/relationships/hyperlink" Target="https://www.linkedin.com/in/sonapetruzelova" TargetMode="External"/><Relationship Id="rId2406" Type="http://schemas.openxmlformats.org/officeDocument/2006/relationships/hyperlink" Target="http://www.linkedin.com/in/israel-sanchez-espejel" TargetMode="External"/><Relationship Id="rId2613" Type="http://schemas.openxmlformats.org/officeDocument/2006/relationships/hyperlink" Target="http://www.linkedin.com/in/v%c3%adctor-hugo-camacho-guti%c3%a9rrez-2b927b1b2" TargetMode="External"/><Relationship Id="rId1008" Type="http://schemas.openxmlformats.org/officeDocument/2006/relationships/hyperlink" Target="https://www.linkedin.com/in/ACwAADSgHkoBSR5uwXaEE4NgZn7l2f-qNNgOkUs" TargetMode="External"/><Relationship Id="rId1215" Type="http://schemas.openxmlformats.org/officeDocument/2006/relationships/hyperlink" Target="http://reginaromero.com/" TargetMode="External"/><Relationship Id="rId1422" Type="http://schemas.openxmlformats.org/officeDocument/2006/relationships/hyperlink" Target="https://www.linkedin.com/in/allierussell" TargetMode="External"/><Relationship Id="rId2820" Type="http://schemas.openxmlformats.org/officeDocument/2006/relationships/hyperlink" Target="http://www.linkedin.com/in/ninaskaaning" TargetMode="External"/><Relationship Id="rId61" Type="http://schemas.openxmlformats.org/officeDocument/2006/relationships/hyperlink" Target="https://www.linkedin.com/in/katia-gij-907752bb" TargetMode="External"/><Relationship Id="rId2196" Type="http://schemas.openxmlformats.org/officeDocument/2006/relationships/hyperlink" Target="http://www.linkedin.com/in/lola-portillo-42bb5761" TargetMode="External"/><Relationship Id="rId168" Type="http://schemas.openxmlformats.org/officeDocument/2006/relationships/hyperlink" Target="http://brantano.com.mx/" TargetMode="External"/><Relationship Id="rId3247" Type="http://schemas.openxmlformats.org/officeDocument/2006/relationships/hyperlink" Target="http://www.linkedin.com/in/berezhnaya-michelle-revilla-estrada-89606020b" TargetMode="External"/><Relationship Id="rId375" Type="http://schemas.openxmlformats.org/officeDocument/2006/relationships/hyperlink" Target="https://www.linkedin.com/in/petorres00" TargetMode="External"/><Relationship Id="rId582" Type="http://schemas.openxmlformats.org/officeDocument/2006/relationships/hyperlink" Target="https://www.linkedin.com/in/sarah-milbrath-70313a30" TargetMode="External"/><Relationship Id="rId2056" Type="http://schemas.openxmlformats.org/officeDocument/2006/relationships/hyperlink" Target="http://www.linkedin.com/in/angel-chang-90069b253" TargetMode="External"/><Relationship Id="rId2263" Type="http://schemas.openxmlformats.org/officeDocument/2006/relationships/hyperlink" Target="http://www.linkedin.com/in/tiar%c3%a9-coello-416514110" TargetMode="External"/><Relationship Id="rId2470" Type="http://schemas.openxmlformats.org/officeDocument/2006/relationships/hyperlink" Target="http://www.linkedin.com/in/paulo-lauria-22871285" TargetMode="External"/><Relationship Id="rId3107" Type="http://schemas.openxmlformats.org/officeDocument/2006/relationships/hyperlink" Target="http://www.linkedin.com/in/yul-byron-perez-martinez-11a839100" TargetMode="External"/><Relationship Id="rId235" Type="http://schemas.openxmlformats.org/officeDocument/2006/relationships/hyperlink" Target="http://cerveceriadecolima.com/" TargetMode="External"/><Relationship Id="rId442" Type="http://schemas.openxmlformats.org/officeDocument/2006/relationships/hyperlink" Target="https://www.linkedin.com/in/seher-k-979224276" TargetMode="External"/><Relationship Id="rId1072" Type="http://schemas.openxmlformats.org/officeDocument/2006/relationships/hyperlink" Target="http://odoo.com/" TargetMode="External"/><Relationship Id="rId2123" Type="http://schemas.openxmlformats.org/officeDocument/2006/relationships/hyperlink" Target="http://www.linkedin.com/in/miguel-angel-castrej%c3%b3n-8528239a" TargetMode="External"/><Relationship Id="rId2330" Type="http://schemas.openxmlformats.org/officeDocument/2006/relationships/hyperlink" Target="http://www.linkedin.com/in/adriana-g%c3%b3mez-valderrama-83357657" TargetMode="External"/><Relationship Id="rId302" Type="http://schemas.openxmlformats.org/officeDocument/2006/relationships/hyperlink" Target="http://cosmos.com.mx/" TargetMode="External"/><Relationship Id="rId1889" Type="http://schemas.openxmlformats.org/officeDocument/2006/relationships/hyperlink" Target="http://www.linkedin.com/in/mao-k-04312b165" TargetMode="External"/><Relationship Id="rId1749" Type="http://schemas.openxmlformats.org/officeDocument/2006/relationships/hyperlink" Target="http://www.linkedin.com/in/jakobwictoren" TargetMode="External"/><Relationship Id="rId1956" Type="http://schemas.openxmlformats.org/officeDocument/2006/relationships/hyperlink" Target="http://www.linkedin.com/in/viraj-somani-9240276" TargetMode="External"/><Relationship Id="rId3171" Type="http://schemas.openxmlformats.org/officeDocument/2006/relationships/hyperlink" Target="http://www.linkedin.com/in/matias-righi" TargetMode="External"/><Relationship Id="rId1609" Type="http://schemas.openxmlformats.org/officeDocument/2006/relationships/hyperlink" Target="http://zoewater.com.mx/" TargetMode="External"/><Relationship Id="rId1816" Type="http://schemas.openxmlformats.org/officeDocument/2006/relationships/hyperlink" Target="http://www.linkedin.com/in/pablo-rodsa" TargetMode="External"/><Relationship Id="rId3031" Type="http://schemas.openxmlformats.org/officeDocument/2006/relationships/hyperlink" Target="http://www.linkedin.com/in/caroline-ramsay" TargetMode="External"/><Relationship Id="rId2797" Type="http://schemas.openxmlformats.org/officeDocument/2006/relationships/hyperlink" Target="http://www.linkedin.com/in/mehapowani" TargetMode="External"/><Relationship Id="rId769" Type="http://schemas.openxmlformats.org/officeDocument/2006/relationships/hyperlink" Target="https://www.linkedin.com/in/ACwAAEMIW_MBsth6qJojS_CTQ82YF_Xll8Qcphk" TargetMode="External"/><Relationship Id="rId976" Type="http://schemas.openxmlformats.org/officeDocument/2006/relationships/hyperlink" Target="https://www.linkedin.com/in/sandoval-enrique" TargetMode="External"/><Relationship Id="rId1399" Type="http://schemas.openxmlformats.org/officeDocument/2006/relationships/hyperlink" Target="http://tec.mx/" TargetMode="External"/><Relationship Id="rId2657" Type="http://schemas.openxmlformats.org/officeDocument/2006/relationships/hyperlink" Target="http://www.linkedin.com/in/matias-righi" TargetMode="External"/><Relationship Id="rId629" Type="http://schemas.openxmlformats.org/officeDocument/2006/relationships/hyperlink" Target="https://www.linkedin.com/in/juan-ramos-ecommerce" TargetMode="External"/><Relationship Id="rId1259" Type="http://schemas.openxmlformats.org/officeDocument/2006/relationships/hyperlink" Target="http://salud-digna.org/" TargetMode="External"/><Relationship Id="rId1466" Type="http://schemas.openxmlformats.org/officeDocument/2006/relationships/hyperlink" Target="https://www.linkedin.com/in/esteban-delgado" TargetMode="External"/><Relationship Id="rId2864" Type="http://schemas.openxmlformats.org/officeDocument/2006/relationships/hyperlink" Target="http://www.linkedin.com/in/paola-b%c3%a1rcena-857221252" TargetMode="External"/><Relationship Id="rId836" Type="http://schemas.openxmlformats.org/officeDocument/2006/relationships/hyperlink" Target="http://lacetto.mx/" TargetMode="External"/><Relationship Id="rId1119" Type="http://schemas.openxmlformats.org/officeDocument/2006/relationships/hyperlink" Target="http://pacalli.com/" TargetMode="External"/><Relationship Id="rId1673" Type="http://schemas.openxmlformats.org/officeDocument/2006/relationships/hyperlink" Target="http://www.linkedin.com/in/scottleaw" TargetMode="External"/><Relationship Id="rId1880" Type="http://schemas.openxmlformats.org/officeDocument/2006/relationships/hyperlink" Target="http://www.linkedin.com/in/fabian-gonzalez-2b48a4161" TargetMode="External"/><Relationship Id="rId2517" Type="http://schemas.openxmlformats.org/officeDocument/2006/relationships/hyperlink" Target="http://www.linkedin.com/in/jorge-mario-tobon-rivera-58993433" TargetMode="External"/><Relationship Id="rId2724" Type="http://schemas.openxmlformats.org/officeDocument/2006/relationships/hyperlink" Target="http://www.linkedin.com/in/zohreh-toomari" TargetMode="External"/><Relationship Id="rId2931" Type="http://schemas.openxmlformats.org/officeDocument/2006/relationships/hyperlink" Target="http://www.linkedin.com/in/ayari-barr%c3%b3n-hern%c3%a1ndez-77454b184" TargetMode="External"/><Relationship Id="rId903" Type="http://schemas.openxmlformats.org/officeDocument/2006/relationships/hyperlink" Target="https://www.linkedin.com/in/juliana-patudo" TargetMode="External"/><Relationship Id="rId1326" Type="http://schemas.openxmlformats.org/officeDocument/2006/relationships/hyperlink" Target="http://someonesomewhere.mx/" TargetMode="External"/><Relationship Id="rId1533" Type="http://schemas.openxmlformats.org/officeDocument/2006/relationships/hyperlink" Target="https://www.linkedin.com/in/ACwAAB-EGDcBENY2-67ZNzw-eyvF4lrDdtBo6qs" TargetMode="External"/><Relationship Id="rId1740" Type="http://schemas.openxmlformats.org/officeDocument/2006/relationships/hyperlink" Target="http://www.linkedin.com/in/alicia-leblanc-833b58182" TargetMode="External"/><Relationship Id="rId32" Type="http://schemas.openxmlformats.org/officeDocument/2006/relationships/hyperlink" Target="https://www.linkedin.com/in/mehdi-errammani-5aab301bb" TargetMode="External"/><Relationship Id="rId1600" Type="http://schemas.openxmlformats.org/officeDocument/2006/relationships/hyperlink" Target="https://www.linkedin.com/in/ACwAAAQXJNwBvJeZo_tG9FGaqfz8gznkkwAnj04" TargetMode="External"/><Relationship Id="rId279" Type="http://schemas.openxmlformats.org/officeDocument/2006/relationships/hyperlink" Target="https://www.linkedin.com/in/betty-sun-4b84ab39" TargetMode="External"/><Relationship Id="rId486" Type="http://schemas.openxmlformats.org/officeDocument/2006/relationships/hyperlink" Target="http://evolue.com/" TargetMode="External"/><Relationship Id="rId693" Type="http://schemas.openxmlformats.org/officeDocument/2006/relationships/hyperlink" Target="https://www.linkedin.com/in/edgarperezjimenez/" TargetMode="External"/><Relationship Id="rId2167" Type="http://schemas.openxmlformats.org/officeDocument/2006/relationships/hyperlink" Target="http://www.linkedin.com/in/chantal-z-233536177" TargetMode="External"/><Relationship Id="rId2374" Type="http://schemas.openxmlformats.org/officeDocument/2006/relationships/hyperlink" Target="http://www.linkedin.com/in/eduardo-ramirez-romero" TargetMode="External"/><Relationship Id="rId2581" Type="http://schemas.openxmlformats.org/officeDocument/2006/relationships/hyperlink" Target="http://www.linkedin.com/in/ian-pablo-salazar-delgado-2a58241a7" TargetMode="External"/><Relationship Id="rId3218" Type="http://schemas.openxmlformats.org/officeDocument/2006/relationships/hyperlink" Target="http://www.linkedin.com/in/mahalimora" TargetMode="External"/><Relationship Id="rId139" Type="http://schemas.openxmlformats.org/officeDocument/2006/relationships/hyperlink" Target="http://berger.com.mx/" TargetMode="External"/><Relationship Id="rId346" Type="http://schemas.openxmlformats.org/officeDocument/2006/relationships/hyperlink" Target="https://www.linkedin.com/in/peter-bickel-b9372a21" TargetMode="External"/><Relationship Id="rId553" Type="http://schemas.openxmlformats.org/officeDocument/2006/relationships/hyperlink" Target="https://www.linkedin.com/in/ACwAABvFuTQB3j3_MNMuDBNKDQ47o4U7HF0iiXI" TargetMode="External"/><Relationship Id="rId760" Type="http://schemas.openxmlformats.org/officeDocument/2006/relationships/hyperlink" Target="https://www.linkedin.com/in/ACwAACGDg7EBzZ0FIOoSv7HZ3cFAyA8Bxu_KEtY" TargetMode="External"/><Relationship Id="rId1183" Type="http://schemas.openxmlformats.org/officeDocument/2006/relationships/hyperlink" Target="http://priceshoes.com/" TargetMode="External"/><Relationship Id="rId1390" Type="http://schemas.openxmlformats.org/officeDocument/2006/relationships/hyperlink" Target="http://tane.com/" TargetMode="External"/><Relationship Id="rId2027" Type="http://schemas.openxmlformats.org/officeDocument/2006/relationships/hyperlink" Target="http://www.linkedin.com/in/roy-glover-00243a214" TargetMode="External"/><Relationship Id="rId2234" Type="http://schemas.openxmlformats.org/officeDocument/2006/relationships/hyperlink" Target="http://www.linkedin.com/in/oswaldo-almanza-guti%c3%a9rrez-9b86467b" TargetMode="External"/><Relationship Id="rId2441" Type="http://schemas.openxmlformats.org/officeDocument/2006/relationships/hyperlink" Target="http://www.linkedin.com/in/luis-camarena-b92ba523" TargetMode="External"/><Relationship Id="rId206" Type="http://schemas.openxmlformats.org/officeDocument/2006/relationships/hyperlink" Target="http://carethy.net/" TargetMode="External"/><Relationship Id="rId413" Type="http://schemas.openxmlformats.org/officeDocument/2006/relationships/hyperlink" Target="http://distritomax.com/" TargetMode="External"/><Relationship Id="rId1043" Type="http://schemas.openxmlformats.org/officeDocument/2006/relationships/hyperlink" Target="https://www.linkedin.com/in/beckjoao" TargetMode="External"/><Relationship Id="rId620" Type="http://schemas.openxmlformats.org/officeDocument/2006/relationships/hyperlink" Target="http://grupoinfra.com/" TargetMode="External"/><Relationship Id="rId1250" Type="http://schemas.openxmlformats.org/officeDocument/2006/relationships/hyperlink" Target="http://salamanderpumps.co.uk/" TargetMode="External"/><Relationship Id="rId2301" Type="http://schemas.openxmlformats.org/officeDocument/2006/relationships/hyperlink" Target="http://www.linkedin.com/in/anabeld%c3%adaz-ecommerce" TargetMode="External"/><Relationship Id="rId1110" Type="http://schemas.openxmlformats.org/officeDocument/2006/relationships/hyperlink" Target="https://www.linkedin.com/in/ACwAAAszGZ4BZYQ71UjgbrGsIpgVPITuJi_mKLU" TargetMode="External"/><Relationship Id="rId1927" Type="http://schemas.openxmlformats.org/officeDocument/2006/relationships/hyperlink" Target="http://www.linkedin.com/in/lin-abner-2340a433" TargetMode="External"/><Relationship Id="rId3075" Type="http://schemas.openxmlformats.org/officeDocument/2006/relationships/hyperlink" Target="http://www.linkedin.com/in/valeria-gonzalez-aa628621" TargetMode="External"/><Relationship Id="rId3282" Type="http://schemas.openxmlformats.org/officeDocument/2006/relationships/hyperlink" Target="http://www.linkedin.com/in/liza-novoselova" TargetMode="External"/><Relationship Id="rId2091" Type="http://schemas.openxmlformats.org/officeDocument/2006/relationships/hyperlink" Target="http://www.linkedin.com/in/horn-chanveasna-074324174" TargetMode="External"/><Relationship Id="rId3142" Type="http://schemas.openxmlformats.org/officeDocument/2006/relationships/hyperlink" Target="http://www.linkedin.com/in/abel-t%c3%a9llez-aguilar-53675a214" TargetMode="External"/><Relationship Id="rId270" Type="http://schemas.openxmlformats.org/officeDocument/2006/relationships/hyperlink" Target="http://colgatepalmolive.com/" TargetMode="External"/><Relationship Id="rId3002" Type="http://schemas.openxmlformats.org/officeDocument/2006/relationships/hyperlink" Target="http://www.linkedin.com/in/daniela-pacheco-rueda-385b24ab" TargetMode="External"/><Relationship Id="rId130" Type="http://schemas.openxmlformats.org/officeDocument/2006/relationships/hyperlink" Target="http://bellisima.mx/" TargetMode="External"/><Relationship Id="rId2768" Type="http://schemas.openxmlformats.org/officeDocument/2006/relationships/hyperlink" Target="http://www.linkedin.com/in/andr%c3%a9s-l%c3%b3pez-guevara-2475a3b2" TargetMode="External"/><Relationship Id="rId2975" Type="http://schemas.openxmlformats.org/officeDocument/2006/relationships/hyperlink" Target="http://www.linkedin.com/in/cecilia-hauad-3b84a36" TargetMode="External"/><Relationship Id="rId947" Type="http://schemas.openxmlformats.org/officeDocument/2006/relationships/hyperlink" Target="http://mialegria.com.mx/" TargetMode="External"/><Relationship Id="rId1577" Type="http://schemas.openxmlformats.org/officeDocument/2006/relationships/hyperlink" Target="http://workshoemart.com/" TargetMode="External"/><Relationship Id="rId1784" Type="http://schemas.openxmlformats.org/officeDocument/2006/relationships/hyperlink" Target="http://www.linkedin.com/in/jaisangha" TargetMode="External"/><Relationship Id="rId1991" Type="http://schemas.openxmlformats.org/officeDocument/2006/relationships/hyperlink" Target="http://www.linkedin.com/in/carly-roth-lorberbaum-995b1738" TargetMode="External"/><Relationship Id="rId2628" Type="http://schemas.openxmlformats.org/officeDocument/2006/relationships/hyperlink" Target="http://www.linkedin.com/in/mario-valenzuela-566374149" TargetMode="External"/><Relationship Id="rId2835" Type="http://schemas.openxmlformats.org/officeDocument/2006/relationships/hyperlink" Target="http://www.linkedin.com/in/gonzalo-ruiz-19463615" TargetMode="External"/><Relationship Id="rId76" Type="http://schemas.openxmlformats.org/officeDocument/2006/relationships/hyperlink" Target="http://ascm.org/" TargetMode="External"/><Relationship Id="rId807" Type="http://schemas.openxmlformats.org/officeDocument/2006/relationships/hyperlink" Target="http://kitchenaid.com/" TargetMode="External"/><Relationship Id="rId1437" Type="http://schemas.openxmlformats.org/officeDocument/2006/relationships/hyperlink" Target="https://www.linkedin.com/in/aadickinson88" TargetMode="External"/><Relationship Id="rId1644" Type="http://schemas.openxmlformats.org/officeDocument/2006/relationships/hyperlink" Target="http://www.linkedin.com/in/jos%c3%a9-eduardo-rico-vega-19bb1a204" TargetMode="External"/><Relationship Id="rId1851" Type="http://schemas.openxmlformats.org/officeDocument/2006/relationships/hyperlink" Target="http://www.linkedin.com/in/mariana-obreg%c3%b3n-lucio-5755411b1" TargetMode="External"/><Relationship Id="rId2902" Type="http://schemas.openxmlformats.org/officeDocument/2006/relationships/hyperlink" Target="http://www.linkedin.com/in/allierussell" TargetMode="External"/><Relationship Id="rId1504" Type="http://schemas.openxmlformats.org/officeDocument/2006/relationships/hyperlink" Target="http://up.edu.mx/" TargetMode="External"/><Relationship Id="rId1711" Type="http://schemas.openxmlformats.org/officeDocument/2006/relationships/hyperlink" Target="http://www.linkedin.com/in/andrea-guilarte-6b767a2a" TargetMode="External"/><Relationship Id="rId597" Type="http://schemas.openxmlformats.org/officeDocument/2006/relationships/hyperlink" Target="http://grancan.mx/" TargetMode="External"/><Relationship Id="rId2278" Type="http://schemas.openxmlformats.org/officeDocument/2006/relationships/hyperlink" Target="http://www.linkedin.com/in/juan-israel-suarez-serrano-79a7aa45" TargetMode="External"/><Relationship Id="rId2485" Type="http://schemas.openxmlformats.org/officeDocument/2006/relationships/hyperlink" Target="http://www.linkedin.com/in/mireya-pablo-rodr%c3%adguez-5b72146b" TargetMode="External"/><Relationship Id="rId457" Type="http://schemas.openxmlformats.org/officeDocument/2006/relationships/hyperlink" Target="http://elektra.com.mx/" TargetMode="External"/><Relationship Id="rId1087" Type="http://schemas.openxmlformats.org/officeDocument/2006/relationships/hyperlink" Target="https://www.linkedin.com/in/marcopl4" TargetMode="External"/><Relationship Id="rId1294" Type="http://schemas.openxmlformats.org/officeDocument/2006/relationships/hyperlink" Target="http://shasa.com/" TargetMode="External"/><Relationship Id="rId2138" Type="http://schemas.openxmlformats.org/officeDocument/2006/relationships/hyperlink" Target="http://www.linkedin.com/in/pablo-rodsa" TargetMode="External"/><Relationship Id="rId2692" Type="http://schemas.openxmlformats.org/officeDocument/2006/relationships/hyperlink" Target="http://www.linkedin.com/in/valeria-ayvar-b01519124" TargetMode="External"/><Relationship Id="rId664" Type="http://schemas.openxmlformats.org/officeDocument/2006/relationships/hyperlink" Target="http://hotch.mx/" TargetMode="External"/><Relationship Id="rId871" Type="http://schemas.openxmlformats.org/officeDocument/2006/relationships/hyperlink" Target="http://liverpool.com.mx/" TargetMode="External"/><Relationship Id="rId2345" Type="http://schemas.openxmlformats.org/officeDocument/2006/relationships/hyperlink" Target="http://www.linkedin.com/in/alan-bejero-00243721a" TargetMode="External"/><Relationship Id="rId2552" Type="http://schemas.openxmlformats.org/officeDocument/2006/relationships/hyperlink" Target="http://www.linkedin.com/in/blanca-rosalia-mart%c3%adnez-campos-85b92577" TargetMode="External"/><Relationship Id="rId317" Type="http://schemas.openxmlformats.org/officeDocument/2006/relationships/hyperlink" Target="https://www.linkedin.com/in/ACwAADtULaAB6gsJo496ihFeRSzCdUf6jBPhmpI" TargetMode="External"/><Relationship Id="rId524" Type="http://schemas.openxmlformats.org/officeDocument/2006/relationships/hyperlink" Target="https://www.linkedin.com/in/ACwAAEJ7JR0BkQMKYHOQoYtsFDgZHqJskLCCkjk" TargetMode="External"/><Relationship Id="rId731" Type="http://schemas.openxmlformats.org/officeDocument/2006/relationships/hyperlink" Target="https://www.linkedin.com/in/ACwAADRowuYBD2OO6SzPm8ZqlugT78Sus323sGw" TargetMode="External"/><Relationship Id="rId1154" Type="http://schemas.openxmlformats.org/officeDocument/2006/relationships/hyperlink" Target="https://www.linkedin.com/in/phiten-mexico-9b1b25120" TargetMode="External"/><Relationship Id="rId1361" Type="http://schemas.openxmlformats.org/officeDocument/2006/relationships/hyperlink" Target="https://www.linkedin.com/in/mau-valdes" TargetMode="External"/><Relationship Id="rId2205" Type="http://schemas.openxmlformats.org/officeDocument/2006/relationships/hyperlink" Target="http://www.linkedin.com/in/franciscochavez" TargetMode="External"/><Relationship Id="rId2412" Type="http://schemas.openxmlformats.org/officeDocument/2006/relationships/hyperlink" Target="http://www.linkedin.com/in/maria-fernanda-vargas-358243190" TargetMode="External"/><Relationship Id="rId1014" Type="http://schemas.openxmlformats.org/officeDocument/2006/relationships/hyperlink" Target="https://www.linkedin.com/in/ACwAAC6F3roBa638wA3um7SZR3Bu4oXjIwrqLrI" TargetMode="External"/><Relationship Id="rId1221" Type="http://schemas.openxmlformats.org/officeDocument/2006/relationships/hyperlink" Target="http://renattacosmetics.com/" TargetMode="External"/><Relationship Id="rId3186" Type="http://schemas.openxmlformats.org/officeDocument/2006/relationships/hyperlink" Target="http://www.linkedin.com/in/sayuriramosvaldes24" TargetMode="External"/><Relationship Id="rId3046" Type="http://schemas.openxmlformats.org/officeDocument/2006/relationships/hyperlink" Target="http://www.linkedin.com/in/mario-olivares-97678276" TargetMode="External"/><Relationship Id="rId3253" Type="http://schemas.openxmlformats.org/officeDocument/2006/relationships/hyperlink" Target="http://www.linkedin.com/in/omar-rivera-a43a0573" TargetMode="External"/><Relationship Id="rId174" Type="http://schemas.openxmlformats.org/officeDocument/2006/relationships/hyperlink" Target="http://brooksrunning.com/" TargetMode="External"/><Relationship Id="rId381" Type="http://schemas.openxmlformats.org/officeDocument/2006/relationships/hyperlink" Target="https://www.linkedin.com/in/clemence-grillet" TargetMode="External"/><Relationship Id="rId2062" Type="http://schemas.openxmlformats.org/officeDocument/2006/relationships/hyperlink" Target="http://www.linkedin.com/in/luis-hector-95123a9" TargetMode="External"/><Relationship Id="rId3113" Type="http://schemas.openxmlformats.org/officeDocument/2006/relationships/hyperlink" Target="http://www.linkedin.com/in/sa%c3%bal-israel-olvera-guerrero-7b5876187" TargetMode="External"/><Relationship Id="rId241" Type="http://schemas.openxmlformats.org/officeDocument/2006/relationships/hyperlink" Target="http://chenson.com.mx/" TargetMode="External"/><Relationship Id="rId2879" Type="http://schemas.openxmlformats.org/officeDocument/2006/relationships/hyperlink" Target="http://www.linkedin.com/in/kseniya-pinkova-a53291114" TargetMode="External"/><Relationship Id="rId101" Type="http://schemas.openxmlformats.org/officeDocument/2006/relationships/hyperlink" Target="https://www.linkedin.com/in/ACwAABJHFq4BEbse1Ptcl66oFfvUANpJGWfg7U0" TargetMode="External"/><Relationship Id="rId1688" Type="http://schemas.openxmlformats.org/officeDocument/2006/relationships/hyperlink" Target="http://www.linkedin.com/in/alexgdelrio" TargetMode="External"/><Relationship Id="rId1895" Type="http://schemas.openxmlformats.org/officeDocument/2006/relationships/hyperlink" Target="http://www.linkedin.com/in/gabrielavillegassm" TargetMode="External"/><Relationship Id="rId2739" Type="http://schemas.openxmlformats.org/officeDocument/2006/relationships/hyperlink" Target="http://www.linkedin.com/in/javiermaldonadoarg%c3%bcello" TargetMode="External"/><Relationship Id="rId2946" Type="http://schemas.openxmlformats.org/officeDocument/2006/relationships/hyperlink" Target="http://www.linkedin.com/in/almendra-hdz-laveaga-6714a376" TargetMode="External"/><Relationship Id="rId918" Type="http://schemas.openxmlformats.org/officeDocument/2006/relationships/hyperlink" Target="https://www.linkedin.com/in/ambar-salazar-mktmanager" TargetMode="External"/><Relationship Id="rId1548" Type="http://schemas.openxmlformats.org/officeDocument/2006/relationships/hyperlink" Target="https://www.linkedin.com/in/ACwAAAkkzGEBp9DVUgSqtfZoyYuANSCt3OZ8eKk" TargetMode="External"/><Relationship Id="rId1755" Type="http://schemas.openxmlformats.org/officeDocument/2006/relationships/hyperlink" Target="http://www.linkedin.com/in/vera-schmitz-213a3b221" TargetMode="External"/><Relationship Id="rId1408" Type="http://schemas.openxmlformats.org/officeDocument/2006/relationships/hyperlink" Target="https://www.linkedin.com/in/ACwAAAGZF6MBpW-puCGzWa4JKTRKtRgS-9GqGbA" TargetMode="External"/><Relationship Id="rId1962" Type="http://schemas.openxmlformats.org/officeDocument/2006/relationships/hyperlink" Target="http://www.linkedin.com/in/marisamart%c3%adnez" TargetMode="External"/><Relationship Id="rId2806" Type="http://schemas.openxmlformats.org/officeDocument/2006/relationships/hyperlink" Target="http://www.linkedin.com/in/reilly-lievers-72581190" TargetMode="External"/><Relationship Id="rId47" Type="http://schemas.openxmlformats.org/officeDocument/2006/relationships/hyperlink" Target="https://www.linkedin.com/in/olga-s-8b9b2330" TargetMode="External"/><Relationship Id="rId1615" Type="http://schemas.openxmlformats.org/officeDocument/2006/relationships/hyperlink" Target="http://zumbapica.com/" TargetMode="External"/><Relationship Id="rId1822" Type="http://schemas.openxmlformats.org/officeDocument/2006/relationships/hyperlink" Target="http://www.linkedin.com/in/divyam-singh-30a1b344" TargetMode="External"/><Relationship Id="rId2389" Type="http://schemas.openxmlformats.org/officeDocument/2006/relationships/hyperlink" Target="http://www.linkedin.com/in/danielanoriega" TargetMode="External"/><Relationship Id="rId2596" Type="http://schemas.openxmlformats.org/officeDocument/2006/relationships/hyperlink" Target="http://www.linkedin.com/in/luis-antonio-patricio-garc%c3%ada-28952219a" TargetMode="External"/><Relationship Id="rId568" Type="http://schemas.openxmlformats.org/officeDocument/2006/relationships/hyperlink" Target="http://georgieboy.com.mx/" TargetMode="External"/><Relationship Id="rId775" Type="http://schemas.openxmlformats.org/officeDocument/2006/relationships/hyperlink" Target="https://www.linkedin.com/in/gregorio-barco-vega-2362649b" TargetMode="External"/><Relationship Id="rId982" Type="http://schemas.openxmlformats.org/officeDocument/2006/relationships/hyperlink" Target="https://www.linkedin.com/in/ACwAADhqJoABvkqiBt2UMah9ZHZ-eTMAYA3tMWA" TargetMode="External"/><Relationship Id="rId1198" Type="http://schemas.openxmlformats.org/officeDocument/2006/relationships/hyperlink" Target="https://www.linkedin.com/in/migueltapiaflores" TargetMode="External"/><Relationship Id="rId2249" Type="http://schemas.openxmlformats.org/officeDocument/2006/relationships/hyperlink" Target="http://www.linkedin.com/in/luis-camarena-b92ba523" TargetMode="External"/><Relationship Id="rId2456" Type="http://schemas.openxmlformats.org/officeDocument/2006/relationships/hyperlink" Target="http://www.linkedin.com/in/octavio-yamil-238569201" TargetMode="External"/><Relationship Id="rId2663" Type="http://schemas.openxmlformats.org/officeDocument/2006/relationships/hyperlink" Target="http://www.linkedin.com/in/omarguillenb" TargetMode="External"/><Relationship Id="rId2870" Type="http://schemas.openxmlformats.org/officeDocument/2006/relationships/hyperlink" Target="http://www.linkedin.com/in/abraham-mel%c3%a9ndez-per%c3%a9z-087470212" TargetMode="External"/><Relationship Id="rId428" Type="http://schemas.openxmlformats.org/officeDocument/2006/relationships/hyperlink" Target="https://www.linkedin.com/in/leon-leventhal-15114b27" TargetMode="External"/><Relationship Id="rId635" Type="http://schemas.openxmlformats.org/officeDocument/2006/relationships/hyperlink" Target="https://www.linkedin.com/in/ACwAAAI44JcBpntpT48erxPgAeWgVXf2vAkpPtw" TargetMode="External"/><Relationship Id="rId842" Type="http://schemas.openxmlformats.org/officeDocument/2006/relationships/hyperlink" Target="http://laloma.com.mx/" TargetMode="External"/><Relationship Id="rId1058" Type="http://schemas.openxmlformats.org/officeDocument/2006/relationships/hyperlink" Target="http://novartis.com.mx/" TargetMode="External"/><Relationship Id="rId1265" Type="http://schemas.openxmlformats.org/officeDocument/2006/relationships/hyperlink" Target="https://www.linkedin.com/in/brenda-gilbert-56724513b" TargetMode="External"/><Relationship Id="rId1472" Type="http://schemas.openxmlformats.org/officeDocument/2006/relationships/hyperlink" Target="https://www.linkedin.com/in/ana-olhovich-15a667121" TargetMode="External"/><Relationship Id="rId2109" Type="http://schemas.openxmlformats.org/officeDocument/2006/relationships/hyperlink" Target="http://www.linkedin.com/in/paotrevino" TargetMode="External"/><Relationship Id="rId2316" Type="http://schemas.openxmlformats.org/officeDocument/2006/relationships/hyperlink" Target="http://www.linkedin.com/in/ang%c3%a9lica-amaya-650977163" TargetMode="External"/><Relationship Id="rId2523" Type="http://schemas.openxmlformats.org/officeDocument/2006/relationships/hyperlink" Target="http://www.linkedin.com/in/gabriela-contreras-51845417b" TargetMode="External"/><Relationship Id="rId2730" Type="http://schemas.openxmlformats.org/officeDocument/2006/relationships/hyperlink" Target="http://www.linkedin.com/in/mar%c3%ada-luisa-benitez-554714234" TargetMode="External"/><Relationship Id="rId702" Type="http://schemas.openxmlformats.org/officeDocument/2006/relationships/hyperlink" Target="http://humanquality.com.mx/" TargetMode="External"/><Relationship Id="rId1125" Type="http://schemas.openxmlformats.org/officeDocument/2006/relationships/hyperlink" Target="http://paquetexpress.com.mx/" TargetMode="External"/><Relationship Id="rId1332" Type="http://schemas.openxmlformats.org/officeDocument/2006/relationships/hyperlink" Target="http://souriau.com/" TargetMode="External"/><Relationship Id="rId3157" Type="http://schemas.openxmlformats.org/officeDocument/2006/relationships/hyperlink" Target="http://www.linkedin.com/in/zacnit%c3%a9-a-a748a519" TargetMode="External"/><Relationship Id="rId285" Type="http://schemas.openxmlformats.org/officeDocument/2006/relationships/hyperlink" Target="http://comex.com.mx/" TargetMode="External"/><Relationship Id="rId492" Type="http://schemas.openxmlformats.org/officeDocument/2006/relationships/hyperlink" Target="http://famsa.com/" TargetMode="External"/><Relationship Id="rId2173" Type="http://schemas.openxmlformats.org/officeDocument/2006/relationships/hyperlink" Target="http://www.linkedin.com/in/anais-qin-0105787" TargetMode="External"/><Relationship Id="rId2380" Type="http://schemas.openxmlformats.org/officeDocument/2006/relationships/hyperlink" Target="http://www.linkedin.com/in/tamar-guiragossian-cuca-93964a29" TargetMode="External"/><Relationship Id="rId3017" Type="http://schemas.openxmlformats.org/officeDocument/2006/relationships/hyperlink" Target="http://www.linkedin.com/in/fabiola-mor%c3%a1n-ba076b155" TargetMode="External"/><Relationship Id="rId3224" Type="http://schemas.openxmlformats.org/officeDocument/2006/relationships/hyperlink" Target="http://www.linkedin.com/in/vanessa-garc%c3%ada-vel%c3%a1zquez-03a039208" TargetMode="External"/><Relationship Id="rId145" Type="http://schemas.openxmlformats.org/officeDocument/2006/relationships/hyperlink" Target="https://www.linkedin.com/in/milly-hutchcraft" TargetMode="External"/><Relationship Id="rId352" Type="http://schemas.openxmlformats.org/officeDocument/2006/relationships/hyperlink" Target="https://www.linkedin.com/in/michellegeorgecorrea" TargetMode="External"/><Relationship Id="rId2033" Type="http://schemas.openxmlformats.org/officeDocument/2006/relationships/hyperlink" Target="http://www.linkedin.com/in/roc%c3%ado-ch%c3%a1vez-gonz%c3%a1lez-593072246" TargetMode="External"/><Relationship Id="rId2240" Type="http://schemas.openxmlformats.org/officeDocument/2006/relationships/hyperlink" Target="http://www.linkedin.com/in/kikeaguirre" TargetMode="External"/><Relationship Id="rId212" Type="http://schemas.openxmlformats.org/officeDocument/2006/relationships/hyperlink" Target="http://cassavaroots.com/" TargetMode="External"/><Relationship Id="rId1799" Type="http://schemas.openxmlformats.org/officeDocument/2006/relationships/hyperlink" Target="http://www.linkedin.com/in/fernandazuccolotto" TargetMode="External"/><Relationship Id="rId2100" Type="http://schemas.openxmlformats.org/officeDocument/2006/relationships/hyperlink" Target="http://www.linkedin.com/in/danielleayres" TargetMode="External"/><Relationship Id="rId1659" Type="http://schemas.openxmlformats.org/officeDocument/2006/relationships/hyperlink" Target="http://www.linkedin.com/in/oscar-linares-hern%c3%a1ndez-778b81165" TargetMode="External"/><Relationship Id="rId1866" Type="http://schemas.openxmlformats.org/officeDocument/2006/relationships/hyperlink" Target="http://www.linkedin.com/in/kevin-luo-826510277" TargetMode="External"/><Relationship Id="rId2917" Type="http://schemas.openxmlformats.org/officeDocument/2006/relationships/hyperlink" Target="http://www.linkedin.com/in/matias-righi" TargetMode="External"/><Relationship Id="rId3081" Type="http://schemas.openxmlformats.org/officeDocument/2006/relationships/hyperlink" Target="http://www.linkedin.com/in/alicia-rodriguez-ayala-827763189" TargetMode="External"/><Relationship Id="rId1519" Type="http://schemas.openxmlformats.org/officeDocument/2006/relationships/hyperlink" Target="https://www.linkedin.com/in/ACwAADZWtwoBHjXbF8W6pT09zWFOYavXJmtIN8M" TargetMode="External"/><Relationship Id="rId1726" Type="http://schemas.openxmlformats.org/officeDocument/2006/relationships/hyperlink" Target="http://www.linkedin.com/in/oscar-palomares-jasso-9b9a81116" TargetMode="External"/><Relationship Id="rId1933" Type="http://schemas.openxmlformats.org/officeDocument/2006/relationships/hyperlink" Target="http://www.linkedin.com/in/samantha-pearce-22b04a5a" TargetMode="External"/><Relationship Id="rId18" Type="http://schemas.openxmlformats.org/officeDocument/2006/relationships/hyperlink" Target="https://www.linkedin.com/in/ACwAAAdKEf4B2Lw9wZYiNegpBWfgY07SE9bzj_8" TargetMode="External"/><Relationship Id="rId679" Type="http://schemas.openxmlformats.org/officeDocument/2006/relationships/hyperlink" Target="https://www.linkedin.com/in/anakarendlgza/" TargetMode="External"/><Relationship Id="rId886" Type="http://schemas.openxmlformats.org/officeDocument/2006/relationships/hyperlink" Target="https://www.linkedin.com/in/denisebared" TargetMode="External"/><Relationship Id="rId2567" Type="http://schemas.openxmlformats.org/officeDocument/2006/relationships/hyperlink" Target="http://www.linkedin.com/in/aide-zulem-diaz-ferrera-a391aa172" TargetMode="External"/><Relationship Id="rId2774" Type="http://schemas.openxmlformats.org/officeDocument/2006/relationships/hyperlink" Target="http://www.linkedin.com/in/montserratcarmona" TargetMode="External"/><Relationship Id="rId2" Type="http://schemas.openxmlformats.org/officeDocument/2006/relationships/hyperlink" Target="http://16lots.com/" TargetMode="External"/><Relationship Id="rId539" Type="http://schemas.openxmlformats.org/officeDocument/2006/relationships/hyperlink" Target="https://www.linkedin.com/in/lorenaduenasg" TargetMode="External"/><Relationship Id="rId746" Type="http://schemas.openxmlformats.org/officeDocument/2006/relationships/hyperlink" Target="http://innata.mx/" TargetMode="External"/><Relationship Id="rId1169" Type="http://schemas.openxmlformats.org/officeDocument/2006/relationships/hyperlink" Target="https://www.linkedin.com/in/roberto-amieva-kobeh-95244750" TargetMode="External"/><Relationship Id="rId1376" Type="http://schemas.openxmlformats.org/officeDocument/2006/relationships/hyperlink" Target="http://surtidoradepartamental.com/" TargetMode="External"/><Relationship Id="rId1583" Type="http://schemas.openxmlformats.org/officeDocument/2006/relationships/hyperlink" Target="http://wortev.com/" TargetMode="External"/><Relationship Id="rId2427" Type="http://schemas.openxmlformats.org/officeDocument/2006/relationships/hyperlink" Target="http://www.linkedin.com/in/dante-chavoya-bravo-08638047" TargetMode="External"/><Relationship Id="rId2981" Type="http://schemas.openxmlformats.org/officeDocument/2006/relationships/hyperlink" Target="http://www.linkedin.com/in/vanessa-garc%c3%ada-vel%c3%a1zquez-03a039208" TargetMode="External"/><Relationship Id="rId953" Type="http://schemas.openxmlformats.org/officeDocument/2006/relationships/hyperlink" Target="http://millora.com.mx/" TargetMode="External"/><Relationship Id="rId1029" Type="http://schemas.openxmlformats.org/officeDocument/2006/relationships/hyperlink" Target="http://nap-baby.com/" TargetMode="External"/><Relationship Id="rId1236" Type="http://schemas.openxmlformats.org/officeDocument/2006/relationships/hyperlink" Target="https://www.linkedin.com/in/ACwAADRA69YB5QmBZ5slQA8ZbQoaYKcIY6tzpjE" TargetMode="External"/><Relationship Id="rId1790" Type="http://schemas.openxmlformats.org/officeDocument/2006/relationships/hyperlink" Target="http://www.linkedin.com/in/andr%c3%a9s-ib%c3%a1%c3%b1ez-riol-200a7b136" TargetMode="External"/><Relationship Id="rId2634" Type="http://schemas.openxmlformats.org/officeDocument/2006/relationships/hyperlink" Target="http://www.linkedin.com/in/rosie-villa-2b240b38" TargetMode="External"/><Relationship Id="rId2841" Type="http://schemas.openxmlformats.org/officeDocument/2006/relationships/hyperlink" Target="http://www.linkedin.com/in/mireya-pablo-rodr%c3%adguez-5b72146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L2699"/>
  <sheetViews>
    <sheetView tabSelected="1" workbookViewId="0"/>
  </sheetViews>
  <sheetFormatPr baseColWidth="10" defaultColWidth="12.6640625" defaultRowHeight="15" customHeight="1"/>
  <cols>
    <col min="1" max="1" width="23.5" customWidth="1"/>
    <col min="2" max="2" width="34.83203125" customWidth="1"/>
    <col min="3" max="3" width="24.1640625" customWidth="1"/>
    <col min="4" max="4" width="19" customWidth="1"/>
    <col min="5" max="5" width="22.6640625" customWidth="1"/>
    <col min="6" max="6" width="18.1640625" customWidth="1"/>
    <col min="7" max="7" width="14.5" customWidth="1"/>
    <col min="8" max="8" width="29.6640625" customWidth="1"/>
  </cols>
  <sheetData>
    <row r="1" spans="1:12" ht="15.75" customHeight="1">
      <c r="A1" s="1"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12" ht="15.75" customHeight="1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5" t="s">
        <v>12</v>
      </c>
      <c r="G2" s="6"/>
      <c r="H2" s="4" t="s">
        <v>13</v>
      </c>
    </row>
    <row r="3" spans="1:12" ht="15.75" customHeight="1">
      <c r="A3" s="3" t="s">
        <v>14</v>
      </c>
      <c r="B3" s="3" t="s">
        <v>15</v>
      </c>
      <c r="C3" s="3" t="s">
        <v>16</v>
      </c>
      <c r="D3" s="4" t="s">
        <v>17</v>
      </c>
      <c r="E3" s="6"/>
      <c r="F3" s="6"/>
      <c r="G3" s="6"/>
      <c r="H3" s="4" t="s">
        <v>18</v>
      </c>
    </row>
    <row r="4" spans="1:12" ht="15.75" customHeight="1">
      <c r="A4" s="3" t="s">
        <v>19</v>
      </c>
      <c r="B4" s="3" t="s">
        <v>20</v>
      </c>
      <c r="C4" s="3" t="s">
        <v>21</v>
      </c>
      <c r="D4" s="4" t="s">
        <v>22</v>
      </c>
      <c r="E4" s="3" t="s">
        <v>23</v>
      </c>
      <c r="F4" s="6"/>
      <c r="G4" s="6"/>
      <c r="H4" s="4" t="s">
        <v>24</v>
      </c>
    </row>
    <row r="5" spans="1:12" ht="15.75" customHeight="1">
      <c r="A5" s="3" t="s">
        <v>25</v>
      </c>
      <c r="B5" s="3" t="s">
        <v>26</v>
      </c>
      <c r="C5" s="3" t="s">
        <v>27</v>
      </c>
      <c r="D5" s="4" t="s">
        <v>28</v>
      </c>
      <c r="E5" s="5" t="s">
        <v>29</v>
      </c>
      <c r="F5" s="5" t="s">
        <v>30</v>
      </c>
      <c r="G5" s="5" t="s">
        <v>31</v>
      </c>
      <c r="H5" s="4" t="s">
        <v>32</v>
      </c>
    </row>
    <row r="6" spans="1:12" ht="15.75" customHeight="1">
      <c r="A6" s="3" t="s">
        <v>33</v>
      </c>
      <c r="B6" s="3" t="s">
        <v>34</v>
      </c>
      <c r="C6" s="3" t="s">
        <v>35</v>
      </c>
      <c r="D6" s="4" t="s">
        <v>36</v>
      </c>
      <c r="E6" s="5" t="s">
        <v>37</v>
      </c>
      <c r="F6" s="6"/>
      <c r="G6" s="6"/>
      <c r="H6" s="4" t="s">
        <v>38</v>
      </c>
    </row>
    <row r="7" spans="1:12" ht="15.75" customHeight="1">
      <c r="A7" s="3" t="s">
        <v>39</v>
      </c>
      <c r="B7" s="3" t="s">
        <v>40</v>
      </c>
      <c r="C7" s="3" t="s">
        <v>41</v>
      </c>
      <c r="D7" s="4" t="s">
        <v>42</v>
      </c>
      <c r="E7" s="6"/>
      <c r="F7" s="5" t="s">
        <v>43</v>
      </c>
      <c r="G7" s="6"/>
      <c r="H7" s="4" t="s">
        <v>38</v>
      </c>
    </row>
    <row r="8" spans="1:12" ht="15.75" customHeight="1">
      <c r="A8" s="3" t="s">
        <v>44</v>
      </c>
      <c r="B8" s="3" t="s">
        <v>45</v>
      </c>
      <c r="C8" s="3" t="s">
        <v>46</v>
      </c>
      <c r="D8" s="3" t="s">
        <v>47</v>
      </c>
      <c r="E8" s="6"/>
      <c r="F8" s="5" t="s">
        <v>43</v>
      </c>
      <c r="G8" s="6"/>
      <c r="H8" s="4" t="s">
        <v>38</v>
      </c>
      <c r="L8" s="7"/>
    </row>
    <row r="9" spans="1:12" ht="15.75" customHeight="1">
      <c r="A9" s="3" t="s">
        <v>48</v>
      </c>
      <c r="B9" s="3" t="s">
        <v>49</v>
      </c>
      <c r="C9" s="3" t="s">
        <v>50</v>
      </c>
      <c r="D9" s="4" t="s">
        <v>51</v>
      </c>
      <c r="E9" s="6"/>
      <c r="F9" s="5" t="s">
        <v>52</v>
      </c>
      <c r="G9" s="6"/>
      <c r="H9" s="4" t="s">
        <v>53</v>
      </c>
    </row>
    <row r="10" spans="1:12" ht="15.75" customHeight="1">
      <c r="A10" s="3" t="s">
        <v>54</v>
      </c>
      <c r="B10" s="3" t="s">
        <v>55</v>
      </c>
      <c r="C10" s="3" t="s">
        <v>56</v>
      </c>
      <c r="D10" s="4" t="s">
        <v>57</v>
      </c>
      <c r="E10" s="6"/>
      <c r="F10" s="5" t="s">
        <v>52</v>
      </c>
      <c r="G10" s="6"/>
      <c r="H10" s="4" t="s">
        <v>53</v>
      </c>
    </row>
    <row r="11" spans="1:12" ht="15.75" customHeight="1">
      <c r="A11" s="3" t="s">
        <v>58</v>
      </c>
      <c r="B11" s="3" t="s">
        <v>59</v>
      </c>
      <c r="C11" s="3" t="s">
        <v>60</v>
      </c>
      <c r="D11" s="4" t="s">
        <v>61</v>
      </c>
      <c r="E11" s="6"/>
      <c r="F11" s="5" t="s">
        <v>52</v>
      </c>
      <c r="G11" s="8">
        <f>525533324440</f>
        <v>525533324440</v>
      </c>
      <c r="H11" s="4" t="s">
        <v>53</v>
      </c>
    </row>
    <row r="12" spans="1:12" ht="15.75" customHeight="1">
      <c r="A12" s="3" t="s">
        <v>62</v>
      </c>
      <c r="B12" s="3" t="s">
        <v>63</v>
      </c>
      <c r="C12" s="3" t="s">
        <v>64</v>
      </c>
      <c r="D12" s="3" t="s">
        <v>65</v>
      </c>
      <c r="E12" s="5" t="s">
        <v>66</v>
      </c>
      <c r="F12" s="9" t="s">
        <v>67</v>
      </c>
      <c r="G12" s="6"/>
      <c r="H12" s="4" t="s">
        <v>68</v>
      </c>
    </row>
    <row r="13" spans="1:12" ht="15.75" customHeight="1">
      <c r="A13" s="3" t="s">
        <v>69</v>
      </c>
      <c r="B13" s="3" t="s">
        <v>70</v>
      </c>
      <c r="C13" s="3" t="s">
        <v>71</v>
      </c>
      <c r="D13" s="4" t="s">
        <v>72</v>
      </c>
      <c r="E13" s="6"/>
      <c r="F13" s="9" t="s">
        <v>73</v>
      </c>
      <c r="G13" s="6"/>
      <c r="H13" s="4" t="s">
        <v>74</v>
      </c>
    </row>
    <row r="14" spans="1:12" ht="15.75" customHeight="1">
      <c r="A14" s="3" t="s">
        <v>75</v>
      </c>
      <c r="B14" s="3" t="s">
        <v>76</v>
      </c>
      <c r="C14" s="3" t="s">
        <v>77</v>
      </c>
      <c r="D14" s="4" t="s">
        <v>78</v>
      </c>
      <c r="E14" s="9" t="s">
        <v>79</v>
      </c>
      <c r="F14" s="9" t="s">
        <v>80</v>
      </c>
      <c r="G14" s="9" t="s">
        <v>81</v>
      </c>
      <c r="H14" s="4" t="s">
        <v>82</v>
      </c>
    </row>
    <row r="15" spans="1:12" ht="15.75" customHeight="1">
      <c r="A15" s="3" t="s">
        <v>83</v>
      </c>
      <c r="B15" s="3" t="s">
        <v>84</v>
      </c>
      <c r="C15" s="3" t="s">
        <v>85</v>
      </c>
      <c r="D15" s="4" t="s">
        <v>86</v>
      </c>
      <c r="E15" s="5" t="s">
        <v>87</v>
      </c>
      <c r="F15" s="9" t="s">
        <v>80</v>
      </c>
      <c r="G15" s="9" t="s">
        <v>88</v>
      </c>
      <c r="H15" s="4" t="s">
        <v>82</v>
      </c>
    </row>
    <row r="16" spans="1:12" ht="15.75" customHeight="1">
      <c r="A16" s="3" t="s">
        <v>89</v>
      </c>
      <c r="B16" s="3" t="s">
        <v>90</v>
      </c>
      <c r="C16" s="3" t="s">
        <v>91</v>
      </c>
      <c r="D16" s="6"/>
      <c r="E16" s="5" t="s">
        <v>92</v>
      </c>
      <c r="F16" s="6"/>
      <c r="G16" s="6"/>
      <c r="H16" s="4" t="s">
        <v>93</v>
      </c>
    </row>
    <row r="17" spans="1:8" ht="15.75" customHeight="1">
      <c r="A17" s="3" t="s">
        <v>94</v>
      </c>
      <c r="B17" s="3" t="s">
        <v>95</v>
      </c>
      <c r="C17" s="3" t="s">
        <v>96</v>
      </c>
      <c r="D17" s="4" t="s">
        <v>97</v>
      </c>
      <c r="E17" s="5" t="s">
        <v>98</v>
      </c>
      <c r="F17" s="8">
        <f>52.5541709072</f>
        <v>52.554170907200003</v>
      </c>
      <c r="G17" s="6"/>
      <c r="H17" s="4" t="s">
        <v>99</v>
      </c>
    </row>
    <row r="18" spans="1:8" ht="15.75" customHeight="1">
      <c r="A18" s="3" t="s">
        <v>100</v>
      </c>
      <c r="B18" s="3" t="s">
        <v>101</v>
      </c>
      <c r="C18" s="3" t="s">
        <v>102</v>
      </c>
      <c r="D18" s="4" t="s">
        <v>103</v>
      </c>
      <c r="E18" s="5" t="s">
        <v>104</v>
      </c>
      <c r="F18" s="5" t="s">
        <v>105</v>
      </c>
      <c r="G18" s="6"/>
      <c r="H18" s="4" t="s">
        <v>106</v>
      </c>
    </row>
    <row r="19" spans="1:8" ht="15.75" customHeight="1">
      <c r="A19" s="3" t="s">
        <v>107</v>
      </c>
      <c r="B19" s="3" t="s">
        <v>108</v>
      </c>
      <c r="C19" s="3" t="s">
        <v>109</v>
      </c>
      <c r="D19" s="4" t="s">
        <v>110</v>
      </c>
      <c r="E19" s="3" t="s">
        <v>111</v>
      </c>
      <c r="F19" s="5" t="s">
        <v>112</v>
      </c>
      <c r="G19" s="5" t="s">
        <v>113</v>
      </c>
      <c r="H19" s="4" t="s">
        <v>114</v>
      </c>
    </row>
    <row r="20" spans="1:8" ht="15.75" customHeight="1">
      <c r="A20" s="3" t="s">
        <v>115</v>
      </c>
      <c r="B20" s="3" t="s">
        <v>116</v>
      </c>
      <c r="C20" s="3" t="s">
        <v>109</v>
      </c>
      <c r="D20" s="3" t="s">
        <v>117</v>
      </c>
      <c r="E20" s="5" t="s">
        <v>118</v>
      </c>
      <c r="F20" s="5" t="s">
        <v>119</v>
      </c>
      <c r="G20" s="6"/>
      <c r="H20" s="4" t="s">
        <v>120</v>
      </c>
    </row>
    <row r="21" spans="1:8" ht="15.75" customHeight="1">
      <c r="A21" s="3" t="s">
        <v>121</v>
      </c>
      <c r="B21" s="3" t="s">
        <v>122</v>
      </c>
      <c r="C21" s="3" t="s">
        <v>123</v>
      </c>
      <c r="D21" s="4" t="s">
        <v>124</v>
      </c>
      <c r="E21" s="6"/>
      <c r="F21" s="5" t="s">
        <v>125</v>
      </c>
      <c r="G21" s="6"/>
      <c r="H21" s="4" t="s">
        <v>126</v>
      </c>
    </row>
    <row r="22" spans="1:8" ht="15.75" customHeight="1">
      <c r="A22" s="3" t="s">
        <v>127</v>
      </c>
      <c r="B22" s="3" t="s">
        <v>128</v>
      </c>
      <c r="C22" s="3" t="s">
        <v>129</v>
      </c>
      <c r="D22" s="4" t="s">
        <v>130</v>
      </c>
      <c r="E22" s="5" t="s">
        <v>131</v>
      </c>
      <c r="F22" s="5" t="s">
        <v>125</v>
      </c>
      <c r="G22" s="6"/>
      <c r="H22" s="4" t="s">
        <v>126</v>
      </c>
    </row>
    <row r="23" spans="1:8" ht="15.75" customHeight="1">
      <c r="A23" s="3" t="s">
        <v>132</v>
      </c>
      <c r="B23" s="3" t="s">
        <v>133</v>
      </c>
      <c r="C23" s="3" t="s">
        <v>134</v>
      </c>
      <c r="D23" s="4" t="s">
        <v>135</v>
      </c>
      <c r="E23" s="3" t="s">
        <v>136</v>
      </c>
      <c r="F23" s="5" t="s">
        <v>125</v>
      </c>
      <c r="G23" s="5" t="s">
        <v>137</v>
      </c>
      <c r="H23" s="4" t="s">
        <v>126</v>
      </c>
    </row>
    <row r="24" spans="1:8" ht="15.75" customHeight="1">
      <c r="A24" s="3" t="s">
        <v>138</v>
      </c>
      <c r="B24" s="3" t="s">
        <v>139</v>
      </c>
      <c r="C24" s="3" t="s">
        <v>140</v>
      </c>
      <c r="D24" s="4" t="s">
        <v>141</v>
      </c>
      <c r="E24" s="3" t="s">
        <v>142</v>
      </c>
      <c r="F24" s="5" t="s">
        <v>125</v>
      </c>
      <c r="G24" s="5" t="s">
        <v>137</v>
      </c>
      <c r="H24" s="4" t="s">
        <v>126</v>
      </c>
    </row>
    <row r="25" spans="1:8" ht="15.75" customHeight="1">
      <c r="A25" s="3" t="s">
        <v>138</v>
      </c>
      <c r="B25" s="3" t="s">
        <v>139</v>
      </c>
      <c r="C25" s="3" t="s">
        <v>140</v>
      </c>
      <c r="D25" s="4" t="s">
        <v>141</v>
      </c>
      <c r="E25" s="3" t="s">
        <v>142</v>
      </c>
      <c r="F25" s="5" t="s">
        <v>125</v>
      </c>
      <c r="G25" s="5" t="s">
        <v>137</v>
      </c>
      <c r="H25" s="4" t="s">
        <v>126</v>
      </c>
    </row>
    <row r="26" spans="1:8" ht="15.75" customHeight="1">
      <c r="A26" s="3" t="s">
        <v>143</v>
      </c>
      <c r="B26" s="3" t="s">
        <v>144</v>
      </c>
      <c r="C26" s="3" t="s">
        <v>145</v>
      </c>
      <c r="D26" s="4" t="s">
        <v>146</v>
      </c>
      <c r="E26" s="10" t="s">
        <v>147</v>
      </c>
      <c r="F26" s="10" t="s">
        <v>148</v>
      </c>
      <c r="G26" s="6"/>
      <c r="H26" s="4" t="s">
        <v>149</v>
      </c>
    </row>
    <row r="27" spans="1:8" ht="15.75" customHeight="1">
      <c r="A27" s="3" t="s">
        <v>150</v>
      </c>
      <c r="B27" s="3" t="s">
        <v>151</v>
      </c>
      <c r="C27" s="3" t="s">
        <v>152</v>
      </c>
      <c r="D27" s="4" t="s">
        <v>153</v>
      </c>
      <c r="E27" s="10" t="s">
        <v>154</v>
      </c>
      <c r="F27" s="10" t="s">
        <v>148</v>
      </c>
      <c r="G27" s="6"/>
      <c r="H27" s="4" t="s">
        <v>149</v>
      </c>
    </row>
    <row r="28" spans="1:8" ht="15.75" customHeight="1">
      <c r="A28" s="3" t="s">
        <v>155</v>
      </c>
      <c r="B28" s="3" t="s">
        <v>156</v>
      </c>
      <c r="C28" s="3" t="s">
        <v>157</v>
      </c>
      <c r="D28" s="4" t="s">
        <v>158</v>
      </c>
      <c r="E28" s="10" t="s">
        <v>159</v>
      </c>
      <c r="F28" s="10" t="s">
        <v>148</v>
      </c>
      <c r="G28" s="6"/>
      <c r="H28" s="4" t="s">
        <v>149</v>
      </c>
    </row>
    <row r="29" spans="1:8" ht="15.75" customHeight="1">
      <c r="A29" s="3" t="s">
        <v>160</v>
      </c>
      <c r="B29" s="3" t="s">
        <v>161</v>
      </c>
      <c r="C29" s="3" t="s">
        <v>162</v>
      </c>
      <c r="D29" s="4" t="s">
        <v>163</v>
      </c>
      <c r="E29" s="11" t="s">
        <v>164</v>
      </c>
      <c r="F29" s="11" t="s">
        <v>148</v>
      </c>
      <c r="G29" s="6"/>
      <c r="H29" s="4" t="s">
        <v>149</v>
      </c>
    </row>
    <row r="30" spans="1:8" ht="15.75" customHeight="1">
      <c r="A30" s="3" t="s">
        <v>165</v>
      </c>
      <c r="B30" s="3" t="s">
        <v>166</v>
      </c>
      <c r="C30" s="3" t="s">
        <v>167</v>
      </c>
      <c r="D30" s="4" t="s">
        <v>168</v>
      </c>
      <c r="E30" s="11" t="s">
        <v>169</v>
      </c>
      <c r="F30" s="11" t="s">
        <v>148</v>
      </c>
      <c r="G30" s="11" t="s">
        <v>170</v>
      </c>
      <c r="H30" s="4" t="s">
        <v>149</v>
      </c>
    </row>
    <row r="31" spans="1:8" ht="15.75" customHeight="1">
      <c r="A31" s="3" t="s">
        <v>171</v>
      </c>
      <c r="B31" s="3" t="s">
        <v>172</v>
      </c>
      <c r="C31" s="3" t="s">
        <v>46</v>
      </c>
      <c r="D31" s="4" t="s">
        <v>173</v>
      </c>
      <c r="E31" s="5" t="s">
        <v>174</v>
      </c>
      <c r="F31" s="6"/>
      <c r="G31" s="6"/>
      <c r="H31" s="4" t="s">
        <v>175</v>
      </c>
    </row>
    <row r="32" spans="1:8" ht="15.75" customHeight="1">
      <c r="A32" s="3" t="s">
        <v>176</v>
      </c>
      <c r="B32" s="3" t="s">
        <v>177</v>
      </c>
      <c r="C32" s="3" t="s">
        <v>178</v>
      </c>
      <c r="D32" s="4" t="s">
        <v>179</v>
      </c>
      <c r="E32" s="5" t="s">
        <v>180</v>
      </c>
      <c r="F32" s="5" t="s">
        <v>181</v>
      </c>
      <c r="G32" s="5" t="s">
        <v>182</v>
      </c>
      <c r="H32" s="4" t="s">
        <v>183</v>
      </c>
    </row>
    <row r="33" spans="1:8" ht="15.75" customHeight="1">
      <c r="A33" s="3" t="s">
        <v>184</v>
      </c>
      <c r="B33" s="3" t="s">
        <v>185</v>
      </c>
      <c r="C33" s="3" t="s">
        <v>186</v>
      </c>
      <c r="D33" s="4" t="s">
        <v>187</v>
      </c>
      <c r="E33" s="5" t="s">
        <v>188</v>
      </c>
      <c r="F33" s="9" t="s">
        <v>189</v>
      </c>
      <c r="G33" s="6"/>
      <c r="H33" s="4" t="s">
        <v>190</v>
      </c>
    </row>
    <row r="34" spans="1:8" ht="15.75" customHeight="1">
      <c r="A34" s="3" t="s">
        <v>191</v>
      </c>
      <c r="B34" s="3" t="s">
        <v>192</v>
      </c>
      <c r="C34" s="3" t="s">
        <v>193</v>
      </c>
      <c r="D34" s="4" t="s">
        <v>194</v>
      </c>
      <c r="E34" s="5" t="s">
        <v>195</v>
      </c>
      <c r="F34" s="5" t="s">
        <v>196</v>
      </c>
      <c r="G34" s="6"/>
      <c r="H34" s="4" t="s">
        <v>190</v>
      </c>
    </row>
    <row r="35" spans="1:8" ht="15.75" customHeight="1">
      <c r="A35" s="3" t="s">
        <v>197</v>
      </c>
      <c r="B35" s="3" t="s">
        <v>198</v>
      </c>
      <c r="C35" s="3" t="s">
        <v>199</v>
      </c>
      <c r="D35" s="4" t="s">
        <v>200</v>
      </c>
      <c r="E35" s="5" t="s">
        <v>201</v>
      </c>
      <c r="F35" s="6"/>
      <c r="G35" s="6"/>
      <c r="H35" s="4" t="s">
        <v>202</v>
      </c>
    </row>
    <row r="36" spans="1:8" ht="15.75" customHeight="1">
      <c r="A36" s="3" t="s">
        <v>203</v>
      </c>
      <c r="B36" s="3" t="s">
        <v>204</v>
      </c>
      <c r="C36" s="3" t="s">
        <v>178</v>
      </c>
      <c r="D36" s="4" t="s">
        <v>205</v>
      </c>
      <c r="E36" s="6"/>
      <c r="F36" s="5" t="s">
        <v>206</v>
      </c>
      <c r="G36" s="6"/>
      <c r="H36" s="4" t="s">
        <v>207</v>
      </c>
    </row>
    <row r="37" spans="1:8" ht="15.75" customHeight="1">
      <c r="A37" s="3" t="s">
        <v>208</v>
      </c>
      <c r="B37" s="3" t="s">
        <v>209</v>
      </c>
      <c r="C37" s="3" t="s">
        <v>210</v>
      </c>
      <c r="D37" s="4" t="s">
        <v>211</v>
      </c>
      <c r="E37" s="5" t="s">
        <v>212</v>
      </c>
      <c r="F37" s="5" t="s">
        <v>213</v>
      </c>
      <c r="G37" s="6"/>
      <c r="H37" s="4" t="s">
        <v>214</v>
      </c>
    </row>
    <row r="38" spans="1:8" ht="15.75" customHeight="1">
      <c r="A38" s="3" t="s">
        <v>215</v>
      </c>
      <c r="B38" s="3" t="s">
        <v>216</v>
      </c>
      <c r="C38" s="3" t="s">
        <v>217</v>
      </c>
      <c r="D38" s="4" t="s">
        <v>218</v>
      </c>
      <c r="E38" s="6"/>
      <c r="F38" s="6"/>
      <c r="G38" s="6"/>
      <c r="H38" s="4" t="s">
        <v>219</v>
      </c>
    </row>
    <row r="39" spans="1:8" ht="15.75" customHeight="1">
      <c r="A39" s="3" t="s">
        <v>220</v>
      </c>
      <c r="B39" s="3" t="s">
        <v>221</v>
      </c>
      <c r="C39" s="3" t="s">
        <v>222</v>
      </c>
      <c r="D39" s="4" t="s">
        <v>223</v>
      </c>
      <c r="E39" s="5" t="s">
        <v>224</v>
      </c>
      <c r="F39" s="5" t="s">
        <v>225</v>
      </c>
      <c r="G39" s="6"/>
      <c r="H39" s="4" t="s">
        <v>226</v>
      </c>
    </row>
    <row r="40" spans="1:8" ht="15.75" customHeight="1">
      <c r="A40" s="3" t="s">
        <v>227</v>
      </c>
      <c r="B40" s="3" t="s">
        <v>228</v>
      </c>
      <c r="C40" s="3" t="s">
        <v>229</v>
      </c>
      <c r="D40" s="4" t="s">
        <v>230</v>
      </c>
      <c r="E40" s="5" t="s">
        <v>231</v>
      </c>
      <c r="F40" s="5" t="s">
        <v>232</v>
      </c>
      <c r="G40" s="5" t="s">
        <v>233</v>
      </c>
      <c r="H40" s="4" t="s">
        <v>234</v>
      </c>
    </row>
    <row r="41" spans="1:8" ht="15.75" customHeight="1">
      <c r="A41" s="3" t="s">
        <v>235</v>
      </c>
      <c r="B41" s="3" t="s">
        <v>236</v>
      </c>
      <c r="C41" s="3" t="s">
        <v>237</v>
      </c>
      <c r="D41" s="4" t="s">
        <v>238</v>
      </c>
      <c r="E41" s="3" t="s">
        <v>239</v>
      </c>
      <c r="F41" s="6"/>
      <c r="G41" s="6"/>
      <c r="H41" s="4" t="s">
        <v>234</v>
      </c>
    </row>
    <row r="42" spans="1:8" ht="15.75" customHeight="1">
      <c r="A42" s="3" t="s">
        <v>240</v>
      </c>
      <c r="B42" s="3" t="s">
        <v>241</v>
      </c>
      <c r="C42" s="3" t="s">
        <v>242</v>
      </c>
      <c r="D42" s="4" t="s">
        <v>243</v>
      </c>
      <c r="E42" s="5" t="s">
        <v>244</v>
      </c>
      <c r="F42" s="5" t="s">
        <v>232</v>
      </c>
      <c r="G42" s="5" t="s">
        <v>245</v>
      </c>
      <c r="H42" s="4" t="s">
        <v>234</v>
      </c>
    </row>
    <row r="43" spans="1:8" ht="15.75" customHeight="1">
      <c r="A43" s="3" t="s">
        <v>246</v>
      </c>
      <c r="B43" s="3" t="s">
        <v>247</v>
      </c>
      <c r="C43" s="3" t="s">
        <v>248</v>
      </c>
      <c r="D43" s="4" t="s">
        <v>249</v>
      </c>
      <c r="E43" s="5" t="s">
        <v>250</v>
      </c>
      <c r="F43" s="5" t="s">
        <v>232</v>
      </c>
      <c r="G43" s="6"/>
      <c r="H43" s="4" t="s">
        <v>234</v>
      </c>
    </row>
    <row r="44" spans="1:8" ht="15.75" customHeight="1">
      <c r="A44" s="3" t="s">
        <v>251</v>
      </c>
      <c r="B44" s="3" t="s">
        <v>252</v>
      </c>
      <c r="C44" s="3" t="s">
        <v>253</v>
      </c>
      <c r="D44" s="4" t="s">
        <v>254</v>
      </c>
      <c r="E44" s="3" t="s">
        <v>255</v>
      </c>
      <c r="F44" s="5" t="s">
        <v>232</v>
      </c>
      <c r="G44" s="5" t="s">
        <v>256</v>
      </c>
      <c r="H44" s="4" t="s">
        <v>234</v>
      </c>
    </row>
    <row r="45" spans="1:8" ht="15.75" customHeight="1">
      <c r="A45" s="3" t="s">
        <v>14</v>
      </c>
      <c r="B45" s="3" t="s">
        <v>257</v>
      </c>
      <c r="C45" s="3" t="s">
        <v>258</v>
      </c>
      <c r="D45" s="4" t="s">
        <v>259</v>
      </c>
      <c r="E45" s="5" t="s">
        <v>260</v>
      </c>
      <c r="F45" s="5" t="s">
        <v>261</v>
      </c>
      <c r="G45" s="6"/>
      <c r="H45" s="3" t="s">
        <v>262</v>
      </c>
    </row>
    <row r="46" spans="1:8" ht="15.75" customHeight="1">
      <c r="A46" s="3" t="s">
        <v>263</v>
      </c>
      <c r="B46" s="3" t="s">
        <v>264</v>
      </c>
      <c r="C46" s="3" t="s">
        <v>265</v>
      </c>
      <c r="D46" s="3" t="s">
        <v>266</v>
      </c>
      <c r="E46" s="5" t="s">
        <v>267</v>
      </c>
      <c r="F46" s="5" t="s">
        <v>261</v>
      </c>
      <c r="G46" s="6"/>
      <c r="H46" s="3" t="s">
        <v>262</v>
      </c>
    </row>
    <row r="47" spans="1:8" ht="15.75" customHeight="1">
      <c r="A47" s="3" t="s">
        <v>155</v>
      </c>
      <c r="B47" s="3" t="s">
        <v>268</v>
      </c>
      <c r="C47" s="3" t="s">
        <v>229</v>
      </c>
      <c r="D47" s="4" t="s">
        <v>269</v>
      </c>
      <c r="E47" s="5" t="s">
        <v>270</v>
      </c>
      <c r="F47" s="5" t="s">
        <v>261</v>
      </c>
      <c r="G47" s="6"/>
      <c r="H47" s="3" t="s">
        <v>262</v>
      </c>
    </row>
    <row r="48" spans="1:8" ht="15.75" customHeight="1">
      <c r="A48" s="3" t="s">
        <v>271</v>
      </c>
      <c r="B48" s="3" t="s">
        <v>272</v>
      </c>
      <c r="C48" s="3" t="s">
        <v>46</v>
      </c>
      <c r="D48" s="4" t="s">
        <v>273</v>
      </c>
      <c r="E48" s="5" t="s">
        <v>274</v>
      </c>
      <c r="F48" s="6"/>
      <c r="G48" s="6"/>
      <c r="H48" s="4" t="s">
        <v>275</v>
      </c>
    </row>
    <row r="49" spans="1:8" ht="15.75" customHeight="1">
      <c r="A49" s="3" t="s">
        <v>276</v>
      </c>
      <c r="B49" s="3" t="s">
        <v>277</v>
      </c>
      <c r="C49" s="3" t="s">
        <v>278</v>
      </c>
      <c r="D49" s="4" t="s">
        <v>279</v>
      </c>
      <c r="E49" s="6"/>
      <c r="F49" s="6"/>
      <c r="G49" s="6"/>
      <c r="H49" s="4" t="s">
        <v>280</v>
      </c>
    </row>
    <row r="50" spans="1:8" ht="15.75" customHeight="1">
      <c r="A50" s="3" t="s">
        <v>281</v>
      </c>
      <c r="B50" s="3" t="s">
        <v>282</v>
      </c>
      <c r="C50" s="3" t="s">
        <v>283</v>
      </c>
      <c r="D50" s="4" t="s">
        <v>284</v>
      </c>
      <c r="E50" s="3" t="s">
        <v>285</v>
      </c>
      <c r="F50" s="9" t="s">
        <v>286</v>
      </c>
      <c r="G50" s="9" t="s">
        <v>287</v>
      </c>
      <c r="H50" s="4" t="s">
        <v>288</v>
      </c>
    </row>
    <row r="51" spans="1:8" ht="15.75" customHeight="1">
      <c r="A51" s="3" t="s">
        <v>289</v>
      </c>
      <c r="B51" s="3" t="s">
        <v>290</v>
      </c>
      <c r="C51" s="3" t="s">
        <v>291</v>
      </c>
      <c r="D51" s="4" t="s">
        <v>292</v>
      </c>
      <c r="E51" s="5" t="s">
        <v>293</v>
      </c>
      <c r="F51" s="9" t="s">
        <v>286</v>
      </c>
      <c r="G51" s="5" t="s">
        <v>294</v>
      </c>
      <c r="H51" s="4" t="s">
        <v>288</v>
      </c>
    </row>
    <row r="52" spans="1:8" ht="15.75" customHeight="1">
      <c r="A52" s="3" t="s">
        <v>295</v>
      </c>
      <c r="B52" s="3" t="s">
        <v>296</v>
      </c>
      <c r="C52" s="3" t="s">
        <v>229</v>
      </c>
      <c r="D52" s="4" t="s">
        <v>297</v>
      </c>
      <c r="E52" s="5" t="s">
        <v>298</v>
      </c>
      <c r="F52" s="5" t="s">
        <v>299</v>
      </c>
      <c r="G52" s="6"/>
      <c r="H52" s="4" t="s">
        <v>300</v>
      </c>
    </row>
    <row r="53" spans="1:8" ht="15.75" customHeight="1">
      <c r="A53" s="3" t="s">
        <v>301</v>
      </c>
      <c r="B53" s="3" t="s">
        <v>302</v>
      </c>
      <c r="C53" s="3" t="s">
        <v>303</v>
      </c>
      <c r="D53" s="4" t="s">
        <v>304</v>
      </c>
      <c r="E53" s="6"/>
      <c r="F53" s="9" t="s">
        <v>305</v>
      </c>
      <c r="G53" s="5" t="s">
        <v>306</v>
      </c>
      <c r="H53" s="4" t="s">
        <v>307</v>
      </c>
    </row>
    <row r="54" spans="1:8" ht="15.75" customHeight="1">
      <c r="A54" s="3" t="s">
        <v>308</v>
      </c>
      <c r="B54" s="3" t="s">
        <v>309</v>
      </c>
      <c r="C54" s="3" t="s">
        <v>310</v>
      </c>
      <c r="D54" s="4" t="s">
        <v>311</v>
      </c>
      <c r="E54" s="5" t="s">
        <v>312</v>
      </c>
      <c r="F54" s="6"/>
      <c r="G54" s="6"/>
      <c r="H54" s="4" t="s">
        <v>313</v>
      </c>
    </row>
    <row r="55" spans="1:8" ht="15.75" customHeight="1">
      <c r="A55" s="3" t="s">
        <v>314</v>
      </c>
      <c r="B55" s="3" t="s">
        <v>315</v>
      </c>
      <c r="C55" s="3" t="s">
        <v>316</v>
      </c>
      <c r="D55" s="4" t="s">
        <v>317</v>
      </c>
      <c r="E55" s="6"/>
      <c r="F55" s="6"/>
      <c r="G55" s="6"/>
      <c r="H55" s="4" t="s">
        <v>318</v>
      </c>
    </row>
    <row r="56" spans="1:8" ht="15.75" customHeight="1">
      <c r="A56" s="3" t="s">
        <v>240</v>
      </c>
      <c r="B56" s="3" t="s">
        <v>319</v>
      </c>
      <c r="C56" s="3" t="s">
        <v>178</v>
      </c>
      <c r="D56" s="4" t="s">
        <v>320</v>
      </c>
      <c r="E56" s="5" t="s">
        <v>321</v>
      </c>
      <c r="F56" s="5" t="s">
        <v>322</v>
      </c>
      <c r="G56" s="6"/>
      <c r="H56" s="4" t="s">
        <v>323</v>
      </c>
    </row>
    <row r="57" spans="1:8" ht="15.75" customHeight="1">
      <c r="A57" s="3" t="s">
        <v>324</v>
      </c>
      <c r="B57" s="3" t="s">
        <v>325</v>
      </c>
      <c r="C57" s="3" t="s">
        <v>326</v>
      </c>
      <c r="D57" s="4" t="s">
        <v>327</v>
      </c>
      <c r="E57" s="3" t="s">
        <v>328</v>
      </c>
      <c r="F57" s="9" t="s">
        <v>329</v>
      </c>
      <c r="G57" s="5" t="s">
        <v>330</v>
      </c>
      <c r="H57" s="4" t="s">
        <v>331</v>
      </c>
    </row>
    <row r="58" spans="1:8" ht="15.75" customHeight="1">
      <c r="A58" s="3" t="s">
        <v>332</v>
      </c>
      <c r="B58" s="3" t="s">
        <v>333</v>
      </c>
      <c r="C58" s="3" t="s">
        <v>334</v>
      </c>
      <c r="D58" s="4" t="s">
        <v>335</v>
      </c>
      <c r="E58" s="6"/>
      <c r="F58" s="9" t="s">
        <v>336</v>
      </c>
      <c r="G58" s="6"/>
      <c r="H58" s="4" t="s">
        <v>337</v>
      </c>
    </row>
    <row r="59" spans="1:8" ht="15.75" customHeight="1">
      <c r="A59" s="3" t="s">
        <v>338</v>
      </c>
      <c r="B59" s="3" t="s">
        <v>339</v>
      </c>
      <c r="C59" s="3" t="s">
        <v>340</v>
      </c>
      <c r="D59" s="4" t="s">
        <v>341</v>
      </c>
      <c r="E59" s="5" t="s">
        <v>342</v>
      </c>
      <c r="F59" s="6"/>
      <c r="G59" s="6"/>
      <c r="H59" s="4" t="s">
        <v>343</v>
      </c>
    </row>
    <row r="60" spans="1:8" ht="15.75" customHeight="1">
      <c r="A60" s="3" t="s">
        <v>344</v>
      </c>
      <c r="B60" s="3" t="s">
        <v>345</v>
      </c>
      <c r="C60" s="3" t="s">
        <v>46</v>
      </c>
      <c r="D60" s="4" t="s">
        <v>346</v>
      </c>
      <c r="E60" s="5" t="s">
        <v>347</v>
      </c>
      <c r="F60" s="9" t="s">
        <v>348</v>
      </c>
      <c r="G60" s="5" t="s">
        <v>349</v>
      </c>
      <c r="H60" s="4" t="s">
        <v>350</v>
      </c>
    </row>
    <row r="61" spans="1:8" ht="15.75" customHeight="1">
      <c r="A61" s="3" t="s">
        <v>351</v>
      </c>
      <c r="B61" s="3" t="s">
        <v>352</v>
      </c>
      <c r="C61" s="3" t="s">
        <v>222</v>
      </c>
      <c r="D61" s="4" t="s">
        <v>353</v>
      </c>
      <c r="E61" s="5" t="s">
        <v>354</v>
      </c>
      <c r="F61" s="9" t="s">
        <v>348</v>
      </c>
      <c r="G61" s="6"/>
      <c r="H61" s="4" t="s">
        <v>350</v>
      </c>
    </row>
    <row r="62" spans="1:8" ht="15.75" customHeight="1">
      <c r="A62" s="3" t="s">
        <v>355</v>
      </c>
      <c r="B62" s="3" t="s">
        <v>356</v>
      </c>
      <c r="C62" s="3" t="s">
        <v>109</v>
      </c>
      <c r="D62" s="4" t="s">
        <v>357</v>
      </c>
      <c r="E62" s="5" t="s">
        <v>358</v>
      </c>
      <c r="F62" s="9" t="s">
        <v>348</v>
      </c>
      <c r="G62" s="8">
        <f>529849800640</f>
        <v>529849800640</v>
      </c>
      <c r="H62" s="4" t="s">
        <v>350</v>
      </c>
    </row>
    <row r="63" spans="1:8" ht="15.75" customHeight="1">
      <c r="A63" s="3" t="s">
        <v>359</v>
      </c>
      <c r="B63" s="3" t="s">
        <v>360</v>
      </c>
      <c r="C63" s="3" t="s">
        <v>46</v>
      </c>
      <c r="D63" s="4" t="s">
        <v>361</v>
      </c>
      <c r="E63" s="5" t="s">
        <v>362</v>
      </c>
      <c r="F63" s="9" t="s">
        <v>348</v>
      </c>
      <c r="G63" s="6"/>
      <c r="H63" s="4" t="s">
        <v>350</v>
      </c>
    </row>
    <row r="64" spans="1:8" ht="15.75" customHeight="1">
      <c r="A64" s="3" t="s">
        <v>363</v>
      </c>
      <c r="B64" s="3" t="s">
        <v>364</v>
      </c>
      <c r="C64" s="3" t="s">
        <v>109</v>
      </c>
      <c r="D64" s="3" t="s">
        <v>365</v>
      </c>
      <c r="E64" s="6"/>
      <c r="F64" s="6"/>
      <c r="G64" s="6"/>
      <c r="H64" s="4" t="s">
        <v>366</v>
      </c>
    </row>
    <row r="65" spans="1:8" ht="15.75" customHeight="1">
      <c r="A65" s="3" t="s">
        <v>367</v>
      </c>
      <c r="B65" s="3" t="s">
        <v>368</v>
      </c>
      <c r="C65" s="3" t="s">
        <v>369</v>
      </c>
      <c r="D65" s="6"/>
      <c r="E65" s="6"/>
      <c r="F65" s="6"/>
      <c r="G65" s="6"/>
      <c r="H65" s="4" t="s">
        <v>370</v>
      </c>
    </row>
    <row r="66" spans="1:8" ht="15.75" customHeight="1">
      <c r="A66" s="3" t="s">
        <v>371</v>
      </c>
      <c r="B66" s="3" t="s">
        <v>372</v>
      </c>
      <c r="C66" s="3" t="s">
        <v>373</v>
      </c>
      <c r="D66" s="3" t="s">
        <v>374</v>
      </c>
      <c r="E66" s="6"/>
      <c r="F66" s="5" t="s">
        <v>375</v>
      </c>
      <c r="G66" s="9" t="s">
        <v>376</v>
      </c>
      <c r="H66" s="4" t="s">
        <v>377</v>
      </c>
    </row>
    <row r="67" spans="1:8" ht="15.75" customHeight="1">
      <c r="A67" s="3" t="s">
        <v>44</v>
      </c>
      <c r="B67" s="3" t="s">
        <v>378</v>
      </c>
      <c r="C67" s="3" t="s">
        <v>229</v>
      </c>
      <c r="D67" s="3" t="s">
        <v>379</v>
      </c>
      <c r="E67" s="6"/>
      <c r="F67" s="6"/>
      <c r="G67" s="6"/>
      <c r="H67" s="4" t="s">
        <v>380</v>
      </c>
    </row>
    <row r="68" spans="1:8" ht="15.75" customHeight="1">
      <c r="A68" s="3" t="s">
        <v>381</v>
      </c>
      <c r="B68" s="3" t="s">
        <v>198</v>
      </c>
      <c r="C68" s="3" t="s">
        <v>382</v>
      </c>
      <c r="D68" s="4" t="s">
        <v>383</v>
      </c>
      <c r="E68" s="6"/>
      <c r="F68" s="6"/>
      <c r="G68" s="6"/>
      <c r="H68" s="4" t="s">
        <v>380</v>
      </c>
    </row>
    <row r="69" spans="1:8" ht="15.75" customHeight="1">
      <c r="A69" s="3" t="s">
        <v>384</v>
      </c>
      <c r="B69" s="3" t="s">
        <v>385</v>
      </c>
      <c r="C69" s="3" t="s">
        <v>386</v>
      </c>
      <c r="D69" s="4" t="s">
        <v>387</v>
      </c>
      <c r="E69" s="6"/>
      <c r="F69" s="6"/>
      <c r="G69" s="6"/>
      <c r="H69" s="4" t="s">
        <v>380</v>
      </c>
    </row>
    <row r="70" spans="1:8" ht="15.75" customHeight="1">
      <c r="A70" s="3" t="s">
        <v>388</v>
      </c>
      <c r="B70" s="3" t="s">
        <v>389</v>
      </c>
      <c r="C70" s="3" t="s">
        <v>390</v>
      </c>
      <c r="D70" s="4" t="s">
        <v>391</v>
      </c>
      <c r="E70" s="6"/>
      <c r="F70" s="6"/>
      <c r="G70" s="5" t="s">
        <v>392</v>
      </c>
      <c r="H70" s="4" t="s">
        <v>393</v>
      </c>
    </row>
    <row r="71" spans="1:8" ht="15.75" customHeight="1">
      <c r="A71" s="3" t="s">
        <v>394</v>
      </c>
      <c r="B71" s="3" t="s">
        <v>395</v>
      </c>
      <c r="C71" s="3" t="s">
        <v>229</v>
      </c>
      <c r="D71" s="4" t="s">
        <v>396</v>
      </c>
      <c r="E71" s="6"/>
      <c r="F71" s="6"/>
      <c r="G71" s="9" t="s">
        <v>397</v>
      </c>
      <c r="H71" s="4" t="s">
        <v>393</v>
      </c>
    </row>
    <row r="72" spans="1:8" ht="15.75" customHeight="1">
      <c r="A72" s="3" t="s">
        <v>398</v>
      </c>
      <c r="B72" s="3" t="s">
        <v>399</v>
      </c>
      <c r="C72" s="3" t="s">
        <v>400</v>
      </c>
      <c r="D72" s="4" t="s">
        <v>401</v>
      </c>
      <c r="E72" s="3" t="s">
        <v>402</v>
      </c>
      <c r="F72" s="6"/>
      <c r="G72" s="6"/>
      <c r="H72" s="4" t="s">
        <v>393</v>
      </c>
    </row>
    <row r="73" spans="1:8" ht="15.75" customHeight="1">
      <c r="A73" s="3" t="s">
        <v>403</v>
      </c>
      <c r="B73" s="3" t="s">
        <v>404</v>
      </c>
      <c r="C73" s="3" t="s">
        <v>229</v>
      </c>
      <c r="D73" s="3" t="s">
        <v>405</v>
      </c>
      <c r="E73" s="5" t="s">
        <v>406</v>
      </c>
      <c r="F73" s="8">
        <f t="shared" ref="F73:F76" si="0">525512051050</f>
        <v>525512051050</v>
      </c>
      <c r="G73" s="6"/>
      <c r="H73" s="4" t="s">
        <v>407</v>
      </c>
    </row>
    <row r="74" spans="1:8" ht="15.75" customHeight="1">
      <c r="A74" s="3" t="s">
        <v>408</v>
      </c>
      <c r="B74" s="3" t="s">
        <v>409</v>
      </c>
      <c r="C74" s="3" t="s">
        <v>410</v>
      </c>
      <c r="D74" s="4" t="s">
        <v>411</v>
      </c>
      <c r="E74" s="5" t="s">
        <v>412</v>
      </c>
      <c r="F74" s="8">
        <f t="shared" si="0"/>
        <v>525512051050</v>
      </c>
      <c r="G74" s="6"/>
      <c r="H74" s="4" t="s">
        <v>407</v>
      </c>
    </row>
    <row r="75" spans="1:8" ht="15.75" customHeight="1">
      <c r="A75" s="3" t="s">
        <v>413</v>
      </c>
      <c r="B75" s="3" t="s">
        <v>414</v>
      </c>
      <c r="C75" s="3" t="s">
        <v>303</v>
      </c>
      <c r="D75" s="4" t="s">
        <v>415</v>
      </c>
      <c r="E75" s="5" t="s">
        <v>416</v>
      </c>
      <c r="F75" s="8">
        <f t="shared" si="0"/>
        <v>525512051050</v>
      </c>
      <c r="G75" s="8">
        <f>525554037045</f>
        <v>525554037045</v>
      </c>
      <c r="H75" s="4" t="s">
        <v>407</v>
      </c>
    </row>
    <row r="76" spans="1:8" ht="15.75" customHeight="1">
      <c r="A76" s="3" t="s">
        <v>417</v>
      </c>
      <c r="B76" s="3" t="s">
        <v>418</v>
      </c>
      <c r="C76" s="3" t="s">
        <v>229</v>
      </c>
      <c r="D76" s="4" t="s">
        <v>419</v>
      </c>
      <c r="E76" s="9" t="s">
        <v>420</v>
      </c>
      <c r="F76" s="8">
        <f t="shared" si="0"/>
        <v>525512051050</v>
      </c>
      <c r="G76" s="9" t="s">
        <v>421</v>
      </c>
      <c r="H76" s="4" t="s">
        <v>407</v>
      </c>
    </row>
    <row r="77" spans="1:8" ht="15.75" customHeight="1">
      <c r="A77" s="3" t="s">
        <v>422</v>
      </c>
      <c r="B77" s="3" t="s">
        <v>423</v>
      </c>
      <c r="C77" s="3" t="s">
        <v>91</v>
      </c>
      <c r="D77" s="4" t="s">
        <v>424</v>
      </c>
      <c r="E77" s="3" t="s">
        <v>425</v>
      </c>
      <c r="F77" s="5" t="s">
        <v>426</v>
      </c>
      <c r="G77" s="6"/>
      <c r="H77" s="4" t="s">
        <v>427</v>
      </c>
    </row>
    <row r="78" spans="1:8" ht="15.75" customHeight="1">
      <c r="A78" s="3" t="s">
        <v>428</v>
      </c>
      <c r="B78" s="3" t="s">
        <v>429</v>
      </c>
      <c r="C78" s="3" t="s">
        <v>430</v>
      </c>
      <c r="D78" s="3" t="s">
        <v>431</v>
      </c>
      <c r="E78" s="3" t="s">
        <v>432</v>
      </c>
      <c r="F78" s="6"/>
      <c r="G78" s="6"/>
      <c r="H78" s="4" t="s">
        <v>427</v>
      </c>
    </row>
    <row r="79" spans="1:8" ht="15.75" customHeight="1">
      <c r="A79" s="3" t="s">
        <v>433</v>
      </c>
      <c r="B79" s="3" t="s">
        <v>434</v>
      </c>
      <c r="C79" s="3" t="s">
        <v>435</v>
      </c>
      <c r="D79" s="3" t="s">
        <v>436</v>
      </c>
      <c r="E79" s="6"/>
      <c r="F79" s="5" t="s">
        <v>437</v>
      </c>
      <c r="G79" s="6"/>
      <c r="H79" s="4" t="s">
        <v>438</v>
      </c>
    </row>
    <row r="80" spans="1:8" ht="15.75" customHeight="1">
      <c r="A80" s="3" t="s">
        <v>439</v>
      </c>
      <c r="B80" s="3" t="s">
        <v>429</v>
      </c>
      <c r="C80" s="3" t="s">
        <v>46</v>
      </c>
      <c r="D80" s="3" t="s">
        <v>440</v>
      </c>
      <c r="E80" s="6"/>
      <c r="F80" s="5" t="s">
        <v>437</v>
      </c>
      <c r="G80" s="6"/>
      <c r="H80" s="4" t="s">
        <v>438</v>
      </c>
    </row>
    <row r="81" spans="1:8" ht="15.75" customHeight="1">
      <c r="A81" s="3" t="s">
        <v>441</v>
      </c>
      <c r="B81" s="3" t="s">
        <v>442</v>
      </c>
      <c r="C81" s="3" t="s">
        <v>443</v>
      </c>
      <c r="D81" s="4" t="s">
        <v>444</v>
      </c>
      <c r="E81" s="5" t="s">
        <v>445</v>
      </c>
      <c r="F81" s="6"/>
      <c r="G81" s="6"/>
      <c r="H81" s="4" t="s">
        <v>446</v>
      </c>
    </row>
    <row r="82" spans="1:8" ht="15.75" customHeight="1">
      <c r="A82" s="3" t="s">
        <v>447</v>
      </c>
      <c r="B82" s="3" t="s">
        <v>448</v>
      </c>
      <c r="C82" s="3" t="s">
        <v>449</v>
      </c>
      <c r="D82" s="4" t="s">
        <v>450</v>
      </c>
      <c r="E82" s="6"/>
      <c r="F82" s="6"/>
      <c r="G82" s="6"/>
      <c r="H82" s="4" t="s">
        <v>451</v>
      </c>
    </row>
    <row r="83" spans="1:8" ht="15.75" customHeight="1">
      <c r="A83" s="3" t="s">
        <v>359</v>
      </c>
      <c r="B83" s="3" t="s">
        <v>452</v>
      </c>
      <c r="C83" s="3" t="s">
        <v>453</v>
      </c>
      <c r="D83" s="4" t="s">
        <v>454</v>
      </c>
      <c r="E83" s="3" t="s">
        <v>455</v>
      </c>
      <c r="F83" s="5" t="s">
        <v>456</v>
      </c>
      <c r="G83" s="6"/>
      <c r="H83" s="4" t="s">
        <v>451</v>
      </c>
    </row>
    <row r="84" spans="1:8" ht="15.75" customHeight="1">
      <c r="A84" s="3" t="s">
        <v>457</v>
      </c>
      <c r="B84" s="3" t="s">
        <v>458</v>
      </c>
      <c r="C84" s="3" t="s">
        <v>459</v>
      </c>
      <c r="D84" s="4" t="s">
        <v>460</v>
      </c>
      <c r="E84" s="5" t="s">
        <v>461</v>
      </c>
      <c r="F84" s="5" t="s">
        <v>456</v>
      </c>
      <c r="G84" s="6"/>
      <c r="H84" s="4" t="s">
        <v>451</v>
      </c>
    </row>
    <row r="85" spans="1:8" ht="15.75" customHeight="1">
      <c r="A85" s="3" t="s">
        <v>462</v>
      </c>
      <c r="B85" s="3" t="s">
        <v>463</v>
      </c>
      <c r="C85" s="3" t="s">
        <v>464</v>
      </c>
      <c r="D85" s="4" t="s">
        <v>465</v>
      </c>
      <c r="E85" s="3" t="s">
        <v>466</v>
      </c>
      <c r="F85" s="8">
        <v>18004264264</v>
      </c>
      <c r="G85" s="6"/>
      <c r="H85" s="4" t="s">
        <v>467</v>
      </c>
    </row>
    <row r="86" spans="1:8" ht="15.75" customHeight="1">
      <c r="A86" s="3" t="s">
        <v>171</v>
      </c>
      <c r="B86" s="3" t="s">
        <v>468</v>
      </c>
      <c r="C86" s="3" t="s">
        <v>222</v>
      </c>
      <c r="D86" s="4" t="s">
        <v>469</v>
      </c>
      <c r="E86" s="3" t="s">
        <v>470</v>
      </c>
      <c r="F86" s="12">
        <v>528118772867</v>
      </c>
      <c r="G86" s="9" t="s">
        <v>471</v>
      </c>
      <c r="H86" s="4" t="s">
        <v>472</v>
      </c>
    </row>
    <row r="87" spans="1:8" ht="15.75" customHeight="1">
      <c r="A87" s="3" t="s">
        <v>473</v>
      </c>
      <c r="B87" s="3" t="s">
        <v>277</v>
      </c>
      <c r="C87" s="3" t="s">
        <v>229</v>
      </c>
      <c r="D87" s="4" t="s">
        <v>474</v>
      </c>
      <c r="E87" s="5" t="s">
        <v>475</v>
      </c>
      <c r="F87" s="5" t="s">
        <v>476</v>
      </c>
      <c r="G87" s="6"/>
      <c r="H87" s="4" t="s">
        <v>477</v>
      </c>
    </row>
    <row r="88" spans="1:8" ht="15.75" customHeight="1">
      <c r="A88" s="3" t="s">
        <v>478</v>
      </c>
      <c r="B88" s="3" t="s">
        <v>479</v>
      </c>
      <c r="C88" s="3" t="s">
        <v>480</v>
      </c>
      <c r="D88" s="4" t="s">
        <v>481</v>
      </c>
      <c r="E88" s="5" t="s">
        <v>482</v>
      </c>
      <c r="F88" s="6"/>
      <c r="G88" s="6"/>
      <c r="H88" s="4" t="s">
        <v>483</v>
      </c>
    </row>
    <row r="89" spans="1:8" ht="15.75" customHeight="1">
      <c r="A89" s="3" t="s">
        <v>484</v>
      </c>
      <c r="B89" s="3" t="s">
        <v>277</v>
      </c>
      <c r="C89" s="3" t="s">
        <v>485</v>
      </c>
      <c r="D89" s="4" t="s">
        <v>486</v>
      </c>
      <c r="E89" s="5" t="s">
        <v>487</v>
      </c>
      <c r="F89" s="9" t="s">
        <v>488</v>
      </c>
      <c r="G89" s="6"/>
      <c r="H89" s="4" t="s">
        <v>489</v>
      </c>
    </row>
    <row r="90" spans="1:8" ht="15.75" customHeight="1">
      <c r="A90" s="3" t="s">
        <v>490</v>
      </c>
      <c r="B90" s="3" t="s">
        <v>491</v>
      </c>
      <c r="C90" s="3" t="s">
        <v>492</v>
      </c>
      <c r="D90" s="4" t="s">
        <v>493</v>
      </c>
      <c r="E90" s="5" t="s">
        <v>494</v>
      </c>
      <c r="F90" s="9" t="s">
        <v>495</v>
      </c>
      <c r="G90" s="6"/>
      <c r="H90" s="4" t="s">
        <v>496</v>
      </c>
    </row>
    <row r="91" spans="1:8" ht="15.75" customHeight="1">
      <c r="A91" s="3" t="s">
        <v>14</v>
      </c>
      <c r="B91" s="3" t="s">
        <v>497</v>
      </c>
      <c r="C91" s="3" t="s">
        <v>498</v>
      </c>
      <c r="D91" s="3" t="s">
        <v>499</v>
      </c>
      <c r="E91" s="9" t="s">
        <v>500</v>
      </c>
      <c r="F91" s="9" t="s">
        <v>501</v>
      </c>
      <c r="G91" s="9" t="s">
        <v>502</v>
      </c>
      <c r="H91" s="4" t="s">
        <v>503</v>
      </c>
    </row>
    <row r="92" spans="1:8" ht="15.75" customHeight="1">
      <c r="A92" s="3" t="s">
        <v>504</v>
      </c>
      <c r="B92" s="3" t="s">
        <v>505</v>
      </c>
      <c r="C92" s="3" t="s">
        <v>506</v>
      </c>
      <c r="D92" s="3" t="s">
        <v>507</v>
      </c>
      <c r="E92" s="6"/>
      <c r="F92" s="5" t="s">
        <v>508</v>
      </c>
      <c r="G92" s="6"/>
      <c r="H92" s="4" t="s">
        <v>509</v>
      </c>
    </row>
    <row r="93" spans="1:8" ht="15.75" customHeight="1">
      <c r="A93" s="3" t="s">
        <v>510</v>
      </c>
      <c r="B93" s="3" t="s">
        <v>511</v>
      </c>
      <c r="C93" s="3" t="s">
        <v>229</v>
      </c>
      <c r="D93" s="4" t="s">
        <v>512</v>
      </c>
      <c r="E93" s="3" t="s">
        <v>513</v>
      </c>
      <c r="F93" s="9" t="s">
        <v>514</v>
      </c>
      <c r="G93" s="5" t="s">
        <v>515</v>
      </c>
      <c r="H93" s="4" t="s">
        <v>516</v>
      </c>
    </row>
    <row r="94" spans="1:8" ht="15.75" customHeight="1">
      <c r="A94" s="3" t="s">
        <v>517</v>
      </c>
      <c r="B94" s="3" t="s">
        <v>518</v>
      </c>
      <c r="C94" s="3" t="s">
        <v>519</v>
      </c>
      <c r="D94" s="4" t="s">
        <v>520</v>
      </c>
      <c r="E94" s="5" t="s">
        <v>521</v>
      </c>
      <c r="F94" s="9" t="s">
        <v>514</v>
      </c>
      <c r="G94" s="8">
        <f>44.8709901601</f>
        <v>44.8709901601</v>
      </c>
      <c r="H94" s="4" t="s">
        <v>516</v>
      </c>
    </row>
    <row r="95" spans="1:8" ht="15.75" customHeight="1">
      <c r="A95" s="3" t="s">
        <v>394</v>
      </c>
      <c r="B95" s="3" t="s">
        <v>522</v>
      </c>
      <c r="C95" s="3" t="s">
        <v>523</v>
      </c>
      <c r="D95" s="4" t="s">
        <v>524</v>
      </c>
      <c r="E95" s="3" t="s">
        <v>525</v>
      </c>
      <c r="F95" s="5" t="s">
        <v>526</v>
      </c>
      <c r="G95" s="6"/>
      <c r="H95" s="4" t="s">
        <v>527</v>
      </c>
    </row>
    <row r="96" spans="1:8" ht="15.75" customHeight="1">
      <c r="A96" s="3" t="s">
        <v>528</v>
      </c>
      <c r="B96" s="3" t="s">
        <v>529</v>
      </c>
      <c r="C96" s="3" t="s">
        <v>530</v>
      </c>
      <c r="D96" s="4" t="s">
        <v>531</v>
      </c>
      <c r="E96" s="3" t="s">
        <v>532</v>
      </c>
      <c r="F96" s="5" t="s">
        <v>533</v>
      </c>
      <c r="G96" s="5" t="s">
        <v>534</v>
      </c>
      <c r="H96" s="4" t="s">
        <v>535</v>
      </c>
    </row>
    <row r="97" spans="1:8" ht="15.75" customHeight="1">
      <c r="A97" s="3" t="s">
        <v>536</v>
      </c>
      <c r="B97" s="3" t="s">
        <v>537</v>
      </c>
      <c r="C97" s="3" t="s">
        <v>538</v>
      </c>
      <c r="D97" s="4" t="s">
        <v>539</v>
      </c>
      <c r="E97" s="5" t="s">
        <v>540</v>
      </c>
      <c r="F97" s="5" t="s">
        <v>533</v>
      </c>
      <c r="G97" s="5" t="s">
        <v>541</v>
      </c>
      <c r="H97" s="4" t="s">
        <v>535</v>
      </c>
    </row>
    <row r="98" spans="1:8" ht="15.75" customHeight="1">
      <c r="A98" s="3" t="s">
        <v>542</v>
      </c>
      <c r="B98" s="3" t="s">
        <v>543</v>
      </c>
      <c r="C98" s="3" t="s">
        <v>544</v>
      </c>
      <c r="D98" s="4" t="s">
        <v>545</v>
      </c>
      <c r="E98" s="5" t="s">
        <v>546</v>
      </c>
      <c r="F98" s="5" t="s">
        <v>533</v>
      </c>
      <c r="G98" s="6"/>
      <c r="H98" s="4" t="s">
        <v>535</v>
      </c>
    </row>
    <row r="99" spans="1:8" ht="15.75" customHeight="1">
      <c r="A99" s="3" t="s">
        <v>547</v>
      </c>
      <c r="B99" s="3" t="s">
        <v>548</v>
      </c>
      <c r="C99" s="3" t="s">
        <v>549</v>
      </c>
      <c r="D99" s="4" t="s">
        <v>550</v>
      </c>
      <c r="E99" s="5" t="s">
        <v>551</v>
      </c>
      <c r="F99" s="5" t="s">
        <v>533</v>
      </c>
      <c r="G99" s="5" t="s">
        <v>552</v>
      </c>
      <c r="H99" s="4" t="s">
        <v>535</v>
      </c>
    </row>
    <row r="100" spans="1:8" ht="15.75" customHeight="1">
      <c r="A100" s="3" t="s">
        <v>553</v>
      </c>
      <c r="B100" s="3" t="s">
        <v>554</v>
      </c>
      <c r="C100" s="3" t="s">
        <v>555</v>
      </c>
      <c r="D100" s="4" t="s">
        <v>556</v>
      </c>
      <c r="E100" s="5" t="s">
        <v>557</v>
      </c>
      <c r="F100" s="5" t="s">
        <v>533</v>
      </c>
      <c r="G100" s="6"/>
      <c r="H100" s="4" t="s">
        <v>535</v>
      </c>
    </row>
    <row r="101" spans="1:8" ht="15.75" customHeight="1">
      <c r="A101" s="3" t="s">
        <v>558</v>
      </c>
      <c r="B101" s="3" t="s">
        <v>559</v>
      </c>
      <c r="C101" s="3" t="s">
        <v>560</v>
      </c>
      <c r="D101" s="4" t="s">
        <v>561</v>
      </c>
      <c r="E101" s="5" t="s">
        <v>562</v>
      </c>
      <c r="F101" s="5" t="s">
        <v>533</v>
      </c>
      <c r="G101" s="6"/>
      <c r="H101" s="4" t="s">
        <v>535</v>
      </c>
    </row>
    <row r="102" spans="1:8" ht="15.75" customHeight="1">
      <c r="A102" s="3" t="s">
        <v>563</v>
      </c>
      <c r="B102" s="3" t="s">
        <v>564</v>
      </c>
      <c r="C102" s="3" t="s">
        <v>565</v>
      </c>
      <c r="D102" s="4" t="s">
        <v>566</v>
      </c>
      <c r="E102" s="6"/>
      <c r="F102" s="5" t="s">
        <v>567</v>
      </c>
      <c r="G102" s="6"/>
      <c r="H102" s="3" t="s">
        <v>568</v>
      </c>
    </row>
    <row r="103" spans="1:8" ht="15.75" customHeight="1">
      <c r="A103" s="3" t="s">
        <v>569</v>
      </c>
      <c r="B103" s="3" t="s">
        <v>352</v>
      </c>
      <c r="C103" s="3" t="s">
        <v>229</v>
      </c>
      <c r="D103" s="4" t="s">
        <v>570</v>
      </c>
      <c r="E103" s="5" t="s">
        <v>571</v>
      </c>
      <c r="F103" s="5" t="s">
        <v>567</v>
      </c>
      <c r="G103" s="6"/>
      <c r="H103" s="3" t="s">
        <v>568</v>
      </c>
    </row>
    <row r="104" spans="1:8" ht="15.75" customHeight="1">
      <c r="A104" s="3" t="s">
        <v>572</v>
      </c>
      <c r="B104" s="3" t="s">
        <v>573</v>
      </c>
      <c r="C104" s="3" t="s">
        <v>574</v>
      </c>
      <c r="D104" s="4" t="s">
        <v>575</v>
      </c>
      <c r="E104" s="5" t="s">
        <v>576</v>
      </c>
      <c r="F104" s="5" t="s">
        <v>567</v>
      </c>
      <c r="G104" s="6"/>
      <c r="H104" s="3" t="s">
        <v>568</v>
      </c>
    </row>
    <row r="105" spans="1:8" ht="15.75" customHeight="1">
      <c r="A105" s="3" t="s">
        <v>577</v>
      </c>
      <c r="B105" s="3" t="s">
        <v>151</v>
      </c>
      <c r="C105" s="3" t="s">
        <v>578</v>
      </c>
      <c r="D105" s="3" t="s">
        <v>579</v>
      </c>
      <c r="E105" s="5" t="s">
        <v>580</v>
      </c>
      <c r="F105" s="5" t="s">
        <v>567</v>
      </c>
      <c r="G105" s="6"/>
      <c r="H105" s="4" t="s">
        <v>581</v>
      </c>
    </row>
    <row r="106" spans="1:8" ht="15.75" customHeight="1">
      <c r="A106" s="3" t="s">
        <v>301</v>
      </c>
      <c r="B106" s="3" t="s">
        <v>582</v>
      </c>
      <c r="C106" s="3" t="s">
        <v>583</v>
      </c>
      <c r="D106" s="4" t="s">
        <v>584</v>
      </c>
      <c r="E106" s="5" t="s">
        <v>585</v>
      </c>
      <c r="F106" s="9" t="s">
        <v>586</v>
      </c>
      <c r="G106" s="6"/>
      <c r="H106" s="4" t="s">
        <v>587</v>
      </c>
    </row>
    <row r="107" spans="1:8" ht="15.75" customHeight="1">
      <c r="A107" s="3" t="s">
        <v>588</v>
      </c>
      <c r="B107" s="3" t="s">
        <v>589</v>
      </c>
      <c r="C107" s="3" t="s">
        <v>590</v>
      </c>
      <c r="D107" s="4" t="s">
        <v>591</v>
      </c>
      <c r="E107" s="6"/>
      <c r="F107" s="9" t="s">
        <v>586</v>
      </c>
      <c r="G107" s="6"/>
      <c r="H107" s="4" t="s">
        <v>587</v>
      </c>
    </row>
    <row r="108" spans="1:8" ht="15.75" customHeight="1">
      <c r="A108" s="3" t="s">
        <v>592</v>
      </c>
      <c r="B108" s="3" t="s">
        <v>593</v>
      </c>
      <c r="C108" s="3" t="s">
        <v>222</v>
      </c>
      <c r="D108" s="4" t="s">
        <v>594</v>
      </c>
      <c r="E108" s="6"/>
      <c r="F108" s="9" t="s">
        <v>586</v>
      </c>
      <c r="G108" s="6"/>
      <c r="H108" s="4" t="s">
        <v>587</v>
      </c>
    </row>
    <row r="109" spans="1:8" ht="15.75" customHeight="1">
      <c r="A109" s="3" t="s">
        <v>595</v>
      </c>
      <c r="B109" s="3" t="s">
        <v>596</v>
      </c>
      <c r="C109" s="3" t="s">
        <v>46</v>
      </c>
      <c r="D109" s="4" t="s">
        <v>597</v>
      </c>
      <c r="E109" s="5" t="s">
        <v>598</v>
      </c>
      <c r="F109" s="8">
        <f>525551486400</f>
        <v>525551486400</v>
      </c>
      <c r="G109" s="8">
        <v>52551486400</v>
      </c>
      <c r="H109" s="4" t="s">
        <v>599</v>
      </c>
    </row>
    <row r="110" spans="1:8" ht="15.75" customHeight="1">
      <c r="A110" s="3" t="s">
        <v>600</v>
      </c>
      <c r="B110" s="3" t="s">
        <v>601</v>
      </c>
      <c r="C110" s="3" t="s">
        <v>602</v>
      </c>
      <c r="D110" s="4" t="s">
        <v>603</v>
      </c>
      <c r="E110" s="5" t="s">
        <v>604</v>
      </c>
      <c r="F110" s="9" t="s">
        <v>605</v>
      </c>
      <c r="G110" s="6"/>
      <c r="H110" s="4" t="s">
        <v>606</v>
      </c>
    </row>
    <row r="111" spans="1:8" ht="15.75" customHeight="1">
      <c r="A111" s="3" t="s">
        <v>69</v>
      </c>
      <c r="B111" s="3" t="s">
        <v>607</v>
      </c>
      <c r="C111" s="3" t="s">
        <v>608</v>
      </c>
      <c r="D111" s="4" t="s">
        <v>609</v>
      </c>
      <c r="E111" s="5" t="s">
        <v>610</v>
      </c>
      <c r="F111" s="9" t="s">
        <v>611</v>
      </c>
      <c r="G111" s="9" t="s">
        <v>612</v>
      </c>
      <c r="H111" s="4" t="s">
        <v>613</v>
      </c>
    </row>
    <row r="112" spans="1:8" ht="15.75" customHeight="1">
      <c r="A112" s="3" t="s">
        <v>14</v>
      </c>
      <c r="B112" s="3" t="s">
        <v>614</v>
      </c>
      <c r="C112" s="3" t="s">
        <v>615</v>
      </c>
      <c r="D112" s="3" t="s">
        <v>616</v>
      </c>
      <c r="E112" s="6"/>
      <c r="F112" s="9" t="s">
        <v>617</v>
      </c>
      <c r="G112" s="6"/>
      <c r="H112" s="4" t="s">
        <v>618</v>
      </c>
    </row>
    <row r="113" spans="1:8" ht="15.75" customHeight="1">
      <c r="A113" s="3" t="s">
        <v>240</v>
      </c>
      <c r="B113" s="3" t="s">
        <v>166</v>
      </c>
      <c r="C113" s="3" t="s">
        <v>619</v>
      </c>
      <c r="D113" s="3" t="s">
        <v>620</v>
      </c>
      <c r="E113" s="5" t="s">
        <v>621</v>
      </c>
      <c r="F113" s="5" t="s">
        <v>622</v>
      </c>
      <c r="G113" s="6"/>
      <c r="H113" s="4" t="s">
        <v>623</v>
      </c>
    </row>
    <row r="114" spans="1:8" ht="15.75" customHeight="1">
      <c r="A114" s="3" t="s">
        <v>624</v>
      </c>
      <c r="B114" s="3" t="s">
        <v>593</v>
      </c>
      <c r="C114" s="3" t="s">
        <v>625</v>
      </c>
      <c r="D114" s="4" t="s">
        <v>626</v>
      </c>
      <c r="E114" s="5" t="s">
        <v>627</v>
      </c>
      <c r="F114" s="5" t="s">
        <v>622</v>
      </c>
      <c r="G114" s="6"/>
      <c r="H114" s="4" t="s">
        <v>623</v>
      </c>
    </row>
    <row r="115" spans="1:8" ht="15.75" customHeight="1">
      <c r="A115" s="3" t="s">
        <v>628</v>
      </c>
      <c r="B115" s="3" t="s">
        <v>629</v>
      </c>
      <c r="C115" s="3" t="s">
        <v>630</v>
      </c>
      <c r="D115" s="3" t="s">
        <v>631</v>
      </c>
      <c r="E115" s="5" t="s">
        <v>632</v>
      </c>
      <c r="F115" s="5" t="s">
        <v>633</v>
      </c>
      <c r="G115" s="9" t="s">
        <v>634</v>
      </c>
      <c r="H115" s="4" t="s">
        <v>635</v>
      </c>
    </row>
    <row r="116" spans="1:8" ht="15.75" customHeight="1">
      <c r="A116" s="3" t="s">
        <v>636</v>
      </c>
      <c r="B116" s="3" t="s">
        <v>637</v>
      </c>
      <c r="C116" s="3" t="s">
        <v>638</v>
      </c>
      <c r="D116" s="4" t="s">
        <v>639</v>
      </c>
      <c r="E116" s="3" t="s">
        <v>640</v>
      </c>
      <c r="F116" s="5" t="s">
        <v>641</v>
      </c>
      <c r="G116" s="8">
        <f>525519060802</f>
        <v>525519060802</v>
      </c>
      <c r="H116" s="3" t="s">
        <v>642</v>
      </c>
    </row>
    <row r="117" spans="1:8" ht="15.75" customHeight="1">
      <c r="A117" s="3" t="s">
        <v>643</v>
      </c>
      <c r="B117" s="3" t="s">
        <v>644</v>
      </c>
      <c r="C117" s="3" t="s">
        <v>645</v>
      </c>
      <c r="D117" s="4" t="s">
        <v>646</v>
      </c>
      <c r="E117" s="3" t="s">
        <v>647</v>
      </c>
      <c r="F117" s="9" t="s">
        <v>648</v>
      </c>
      <c r="G117" s="9" t="s">
        <v>649</v>
      </c>
      <c r="H117" s="4" t="s">
        <v>650</v>
      </c>
    </row>
    <row r="118" spans="1:8" ht="15.75" customHeight="1">
      <c r="A118" s="3" t="s">
        <v>651</v>
      </c>
      <c r="B118" s="3" t="s">
        <v>652</v>
      </c>
      <c r="C118" s="3" t="s">
        <v>653</v>
      </c>
      <c r="D118" s="6"/>
      <c r="E118" s="5" t="s">
        <v>654</v>
      </c>
      <c r="F118" s="6"/>
      <c r="G118" s="6"/>
      <c r="H118" s="4" t="s">
        <v>655</v>
      </c>
    </row>
    <row r="119" spans="1:8" ht="15.75" customHeight="1">
      <c r="A119" s="3" t="s">
        <v>656</v>
      </c>
      <c r="B119" s="3" t="s">
        <v>657</v>
      </c>
      <c r="C119" s="3" t="s">
        <v>658</v>
      </c>
      <c r="D119" s="6"/>
      <c r="E119" s="5" t="s">
        <v>659</v>
      </c>
      <c r="F119" s="6"/>
      <c r="G119" s="6"/>
      <c r="H119" s="4" t="s">
        <v>655</v>
      </c>
    </row>
    <row r="120" spans="1:8" ht="15.75" customHeight="1">
      <c r="A120" s="3" t="s">
        <v>660</v>
      </c>
      <c r="B120" s="3" t="s">
        <v>661</v>
      </c>
      <c r="C120" s="3" t="s">
        <v>662</v>
      </c>
      <c r="D120" s="4" t="s">
        <v>663</v>
      </c>
      <c r="E120" s="5" t="s">
        <v>664</v>
      </c>
      <c r="F120" s="9" t="s">
        <v>665</v>
      </c>
      <c r="G120" s="6"/>
      <c r="H120" s="4" t="s">
        <v>666</v>
      </c>
    </row>
    <row r="121" spans="1:8" ht="15.75" customHeight="1">
      <c r="A121" s="3" t="s">
        <v>667</v>
      </c>
      <c r="B121" s="3" t="s">
        <v>668</v>
      </c>
      <c r="C121" s="3" t="s">
        <v>46</v>
      </c>
      <c r="D121" s="4" t="s">
        <v>669</v>
      </c>
      <c r="E121" s="5" t="s">
        <v>670</v>
      </c>
      <c r="F121" s="9" t="s">
        <v>665</v>
      </c>
      <c r="G121" s="6"/>
      <c r="H121" s="4" t="s">
        <v>666</v>
      </c>
    </row>
    <row r="122" spans="1:8" ht="15.75" customHeight="1">
      <c r="A122" s="3" t="s">
        <v>671</v>
      </c>
      <c r="B122" s="3" t="s">
        <v>672</v>
      </c>
      <c r="C122" s="3" t="s">
        <v>27</v>
      </c>
      <c r="D122" s="4" t="s">
        <v>673</v>
      </c>
      <c r="E122" s="6"/>
      <c r="F122" s="8">
        <f>525524513500</f>
        <v>525524513500</v>
      </c>
      <c r="G122" s="6"/>
      <c r="H122" s="4" t="s">
        <v>674</v>
      </c>
    </row>
    <row r="123" spans="1:8" ht="15.75" customHeight="1">
      <c r="A123" s="3" t="s">
        <v>675</v>
      </c>
      <c r="B123" s="3" t="s">
        <v>236</v>
      </c>
      <c r="C123" s="3" t="s">
        <v>390</v>
      </c>
      <c r="D123" s="4" t="s">
        <v>676</v>
      </c>
      <c r="E123" s="6"/>
      <c r="F123" s="6"/>
      <c r="G123" s="6"/>
      <c r="H123" s="4" t="s">
        <v>677</v>
      </c>
    </row>
    <row r="124" spans="1:8" ht="15.75" customHeight="1">
      <c r="A124" s="3" t="s">
        <v>678</v>
      </c>
      <c r="B124" s="3" t="s">
        <v>679</v>
      </c>
      <c r="C124" s="3" t="s">
        <v>229</v>
      </c>
      <c r="D124" s="4" t="s">
        <v>680</v>
      </c>
      <c r="E124" s="3" t="s">
        <v>681</v>
      </c>
      <c r="F124" s="9" t="s">
        <v>682</v>
      </c>
      <c r="G124" s="5" t="s">
        <v>683</v>
      </c>
      <c r="H124" s="4" t="s">
        <v>684</v>
      </c>
    </row>
    <row r="125" spans="1:8" ht="15.75" customHeight="1">
      <c r="A125" s="3" t="s">
        <v>685</v>
      </c>
      <c r="B125" s="3" t="s">
        <v>686</v>
      </c>
      <c r="C125" s="3" t="s">
        <v>46</v>
      </c>
      <c r="D125" s="4" t="s">
        <v>687</v>
      </c>
      <c r="E125" s="6"/>
      <c r="F125" s="6"/>
      <c r="G125" s="6"/>
      <c r="H125" s="4" t="s">
        <v>688</v>
      </c>
    </row>
    <row r="126" spans="1:8" ht="15.75" customHeight="1">
      <c r="A126" s="3" t="s">
        <v>685</v>
      </c>
      <c r="B126" s="3" t="s">
        <v>686</v>
      </c>
      <c r="C126" s="3" t="s">
        <v>46</v>
      </c>
      <c r="D126" s="4" t="s">
        <v>689</v>
      </c>
      <c r="E126" s="6"/>
      <c r="F126" s="6"/>
      <c r="G126" s="6"/>
      <c r="H126" s="4" t="s">
        <v>688</v>
      </c>
    </row>
    <row r="127" spans="1:8" ht="15.75" customHeight="1">
      <c r="A127" s="3" t="s">
        <v>413</v>
      </c>
      <c r="B127" s="3" t="s">
        <v>690</v>
      </c>
      <c r="C127" s="3" t="s">
        <v>691</v>
      </c>
      <c r="D127" s="4" t="s">
        <v>692</v>
      </c>
      <c r="E127" s="5" t="s">
        <v>693</v>
      </c>
      <c r="F127" s="8">
        <v>18008383000</v>
      </c>
      <c r="G127" s="6"/>
      <c r="H127" s="4" t="s">
        <v>694</v>
      </c>
    </row>
    <row r="128" spans="1:8" ht="15.75" customHeight="1">
      <c r="A128" s="3" t="s">
        <v>39</v>
      </c>
      <c r="B128" s="3" t="s">
        <v>695</v>
      </c>
      <c r="C128" s="3" t="s">
        <v>696</v>
      </c>
      <c r="D128" s="4" t="s">
        <v>697</v>
      </c>
      <c r="E128" s="3" t="s">
        <v>698</v>
      </c>
      <c r="F128" s="9" t="s">
        <v>699</v>
      </c>
      <c r="G128" s="8">
        <v>50241291740</v>
      </c>
      <c r="H128" s="4" t="s">
        <v>694</v>
      </c>
    </row>
    <row r="129" spans="1:8" ht="15.75" customHeight="1">
      <c r="A129" s="3" t="s">
        <v>301</v>
      </c>
      <c r="B129" s="3" t="s">
        <v>700</v>
      </c>
      <c r="C129" s="3" t="s">
        <v>701</v>
      </c>
      <c r="D129" s="3" t="s">
        <v>702</v>
      </c>
      <c r="E129" s="3" t="s">
        <v>703</v>
      </c>
      <c r="F129" s="8">
        <v>18008383000</v>
      </c>
      <c r="G129" s="8">
        <f>528008383000</f>
        <v>528008383000</v>
      </c>
      <c r="H129" s="4" t="s">
        <v>694</v>
      </c>
    </row>
    <row r="130" spans="1:8" ht="15.75" customHeight="1">
      <c r="A130" s="3" t="s">
        <v>704</v>
      </c>
      <c r="B130" s="3" t="s">
        <v>705</v>
      </c>
      <c r="C130" s="3" t="s">
        <v>706</v>
      </c>
      <c r="D130" s="4" t="s">
        <v>707</v>
      </c>
      <c r="E130" s="5" t="s">
        <v>708</v>
      </c>
      <c r="F130" s="8">
        <v>525511031600</v>
      </c>
      <c r="G130" s="6"/>
      <c r="H130" s="4" t="s">
        <v>709</v>
      </c>
    </row>
    <row r="131" spans="1:8" ht="15.75" customHeight="1">
      <c r="A131" s="3" t="s">
        <v>710</v>
      </c>
      <c r="B131" s="3" t="s">
        <v>711</v>
      </c>
      <c r="C131" s="3" t="s">
        <v>712</v>
      </c>
      <c r="D131" s="4" t="s">
        <v>713</v>
      </c>
      <c r="E131" s="5" t="s">
        <v>714</v>
      </c>
      <c r="F131" s="5" t="s">
        <v>715</v>
      </c>
      <c r="G131" s="6"/>
      <c r="H131" s="4" t="s">
        <v>716</v>
      </c>
    </row>
    <row r="132" spans="1:8" ht="15.75" customHeight="1">
      <c r="A132" s="3" t="s">
        <v>717</v>
      </c>
      <c r="B132" s="3" t="s">
        <v>718</v>
      </c>
      <c r="C132" s="3" t="s">
        <v>583</v>
      </c>
      <c r="D132" s="4" t="s">
        <v>719</v>
      </c>
      <c r="E132" s="5" t="s">
        <v>720</v>
      </c>
      <c r="F132" s="5" t="s">
        <v>715</v>
      </c>
      <c r="G132" s="6"/>
      <c r="H132" s="4" t="s">
        <v>716</v>
      </c>
    </row>
    <row r="133" spans="1:8" ht="15.75" customHeight="1">
      <c r="A133" s="3" t="s">
        <v>721</v>
      </c>
      <c r="B133" s="3" t="s">
        <v>722</v>
      </c>
      <c r="C133" s="3" t="s">
        <v>602</v>
      </c>
      <c r="D133" s="4" t="s">
        <v>723</v>
      </c>
      <c r="E133" s="6"/>
      <c r="F133" s="6"/>
      <c r="G133" s="6"/>
      <c r="H133" s="4" t="s">
        <v>724</v>
      </c>
    </row>
    <row r="134" spans="1:8" ht="15.75" customHeight="1">
      <c r="A134" s="3" t="s">
        <v>725</v>
      </c>
      <c r="B134" s="3" t="s">
        <v>726</v>
      </c>
      <c r="C134" s="3" t="s">
        <v>229</v>
      </c>
      <c r="D134" s="4" t="s">
        <v>727</v>
      </c>
      <c r="E134" s="5" t="s">
        <v>728</v>
      </c>
      <c r="F134" s="9" t="s">
        <v>729</v>
      </c>
      <c r="G134" s="6"/>
      <c r="H134" s="4" t="s">
        <v>730</v>
      </c>
    </row>
    <row r="135" spans="1:8" ht="15.75" customHeight="1">
      <c r="A135" s="3" t="s">
        <v>731</v>
      </c>
      <c r="B135" s="3" t="s">
        <v>732</v>
      </c>
      <c r="C135" s="3" t="s">
        <v>733</v>
      </c>
      <c r="D135" s="4" t="s">
        <v>734</v>
      </c>
      <c r="E135" s="5" t="s">
        <v>735</v>
      </c>
      <c r="F135" s="5" t="s">
        <v>736</v>
      </c>
      <c r="G135" s="6"/>
      <c r="H135" s="4" t="s">
        <v>737</v>
      </c>
    </row>
    <row r="136" spans="1:8" ht="15.75" customHeight="1">
      <c r="A136" s="3" t="s">
        <v>184</v>
      </c>
      <c r="B136" s="3" t="s">
        <v>738</v>
      </c>
      <c r="C136" s="3" t="s">
        <v>739</v>
      </c>
      <c r="D136" s="4" t="s">
        <v>740</v>
      </c>
      <c r="E136" s="5" t="s">
        <v>741</v>
      </c>
      <c r="F136" s="5" t="s">
        <v>736</v>
      </c>
      <c r="G136" s="5" t="s">
        <v>742</v>
      </c>
      <c r="H136" s="4" t="s">
        <v>737</v>
      </c>
    </row>
    <row r="137" spans="1:8" ht="15.75" customHeight="1">
      <c r="A137" s="3" t="s">
        <v>160</v>
      </c>
      <c r="B137" s="3" t="s">
        <v>743</v>
      </c>
      <c r="C137" s="3" t="s">
        <v>744</v>
      </c>
      <c r="D137" s="3" t="s">
        <v>745</v>
      </c>
      <c r="E137" s="5" t="s">
        <v>746</v>
      </c>
      <c r="F137" s="5" t="s">
        <v>736</v>
      </c>
      <c r="G137" s="8">
        <v>523338375959</v>
      </c>
      <c r="H137" s="4" t="s">
        <v>737</v>
      </c>
    </row>
    <row r="138" spans="1:8" ht="15.75" customHeight="1">
      <c r="A138" s="3" t="s">
        <v>747</v>
      </c>
      <c r="B138" s="3" t="s">
        <v>748</v>
      </c>
      <c r="C138" s="3" t="s">
        <v>140</v>
      </c>
      <c r="D138" s="4" t="s">
        <v>749</v>
      </c>
      <c r="E138" s="5" t="s">
        <v>750</v>
      </c>
      <c r="F138" s="5" t="s">
        <v>736</v>
      </c>
      <c r="G138" s="9" t="s">
        <v>751</v>
      </c>
      <c r="H138" s="4" t="s">
        <v>737</v>
      </c>
    </row>
    <row r="139" spans="1:8" ht="15.75" customHeight="1">
      <c r="A139" s="3" t="s">
        <v>752</v>
      </c>
      <c r="B139" s="3" t="s">
        <v>753</v>
      </c>
      <c r="C139" s="3" t="s">
        <v>754</v>
      </c>
      <c r="D139" s="4" t="s">
        <v>755</v>
      </c>
      <c r="E139" s="5" t="s">
        <v>756</v>
      </c>
      <c r="F139" s="6"/>
      <c r="G139" s="6"/>
      <c r="H139" s="4" t="s">
        <v>757</v>
      </c>
    </row>
    <row r="140" spans="1:8" ht="15.75" customHeight="1">
      <c r="A140" s="3" t="s">
        <v>758</v>
      </c>
      <c r="B140" s="3" t="s">
        <v>759</v>
      </c>
      <c r="C140" s="3" t="s">
        <v>760</v>
      </c>
      <c r="D140" s="4" t="s">
        <v>761</v>
      </c>
      <c r="E140" s="6"/>
      <c r="F140" s="12">
        <v>525588816127</v>
      </c>
      <c r="G140" s="6"/>
      <c r="H140" s="4" t="s">
        <v>762</v>
      </c>
    </row>
    <row r="141" spans="1:8" ht="15.75" customHeight="1">
      <c r="A141" s="3" t="s">
        <v>763</v>
      </c>
      <c r="B141" s="3" t="s">
        <v>764</v>
      </c>
      <c r="C141" s="3" t="s">
        <v>765</v>
      </c>
      <c r="D141" s="4" t="s">
        <v>766</v>
      </c>
      <c r="E141" s="5" t="s">
        <v>767</v>
      </c>
      <c r="F141" s="9" t="s">
        <v>768</v>
      </c>
      <c r="G141" s="6"/>
      <c r="H141" s="4" t="s">
        <v>769</v>
      </c>
    </row>
    <row r="142" spans="1:8" ht="15.75" customHeight="1">
      <c r="A142" s="3" t="s">
        <v>770</v>
      </c>
      <c r="B142" s="3" t="s">
        <v>771</v>
      </c>
      <c r="C142" s="3" t="s">
        <v>772</v>
      </c>
      <c r="D142" s="3" t="s">
        <v>773</v>
      </c>
      <c r="E142" s="3" t="s">
        <v>774</v>
      </c>
      <c r="F142" s="5" t="s">
        <v>775</v>
      </c>
      <c r="G142" s="3" t="s">
        <v>776</v>
      </c>
      <c r="H142" s="4" t="s">
        <v>777</v>
      </c>
    </row>
    <row r="143" spans="1:8" ht="15.75" customHeight="1">
      <c r="A143" s="3" t="s">
        <v>439</v>
      </c>
      <c r="B143" s="3" t="s">
        <v>778</v>
      </c>
      <c r="C143" s="3" t="s">
        <v>779</v>
      </c>
      <c r="D143" s="3" t="s">
        <v>780</v>
      </c>
      <c r="E143" s="3" t="s">
        <v>781</v>
      </c>
      <c r="F143" s="5" t="s">
        <v>775</v>
      </c>
      <c r="G143" s="9" t="s">
        <v>782</v>
      </c>
      <c r="H143" s="4" t="s">
        <v>777</v>
      </c>
    </row>
    <row r="144" spans="1:8" ht="15.75" customHeight="1">
      <c r="A144" s="3" t="s">
        <v>783</v>
      </c>
      <c r="B144" s="3" t="s">
        <v>784</v>
      </c>
      <c r="C144" s="3" t="s">
        <v>785</v>
      </c>
      <c r="D144" s="4" t="s">
        <v>786</v>
      </c>
      <c r="E144" s="3" t="s">
        <v>787</v>
      </c>
      <c r="F144" s="5" t="s">
        <v>775</v>
      </c>
      <c r="G144" s="9" t="s">
        <v>788</v>
      </c>
      <c r="H144" s="4" t="s">
        <v>777</v>
      </c>
    </row>
    <row r="145" spans="1:8" ht="15.75" customHeight="1">
      <c r="A145" s="3" t="s">
        <v>789</v>
      </c>
      <c r="B145" s="3" t="s">
        <v>790</v>
      </c>
      <c r="C145" s="3" t="s">
        <v>791</v>
      </c>
      <c r="D145" s="4" t="s">
        <v>792</v>
      </c>
      <c r="E145" s="5" t="s">
        <v>793</v>
      </c>
      <c r="F145" s="9" t="s">
        <v>794</v>
      </c>
      <c r="G145" s="6"/>
      <c r="H145" s="4" t="s">
        <v>795</v>
      </c>
    </row>
    <row r="146" spans="1:8" ht="15.75" customHeight="1">
      <c r="A146" s="3" t="s">
        <v>789</v>
      </c>
      <c r="B146" s="3" t="s">
        <v>290</v>
      </c>
      <c r="C146" s="3" t="s">
        <v>796</v>
      </c>
      <c r="D146" s="4" t="s">
        <v>797</v>
      </c>
      <c r="E146" s="5" t="s">
        <v>798</v>
      </c>
      <c r="F146" s="9" t="s">
        <v>794</v>
      </c>
      <c r="G146" s="5" t="s">
        <v>799</v>
      </c>
      <c r="H146" s="4" t="s">
        <v>795</v>
      </c>
    </row>
    <row r="147" spans="1:8" ht="15.75" customHeight="1">
      <c r="A147" s="3" t="s">
        <v>800</v>
      </c>
      <c r="B147" s="3" t="s">
        <v>801</v>
      </c>
      <c r="C147" s="3" t="s">
        <v>162</v>
      </c>
      <c r="D147" s="4" t="s">
        <v>802</v>
      </c>
      <c r="E147" s="5" t="s">
        <v>803</v>
      </c>
      <c r="F147" s="8">
        <f>5218444116096</f>
        <v>5218444116096</v>
      </c>
      <c r="G147" s="6"/>
      <c r="H147" s="4" t="s">
        <v>804</v>
      </c>
    </row>
    <row r="148" spans="1:8" ht="15.75" customHeight="1">
      <c r="A148" s="3" t="s">
        <v>203</v>
      </c>
      <c r="B148" s="3" t="s">
        <v>805</v>
      </c>
      <c r="C148" s="3" t="s">
        <v>46</v>
      </c>
      <c r="D148" s="4" t="s">
        <v>806</v>
      </c>
      <c r="E148" s="3" t="s">
        <v>807</v>
      </c>
      <c r="F148" s="6"/>
      <c r="G148" s="6"/>
      <c r="H148" s="4" t="s">
        <v>808</v>
      </c>
    </row>
    <row r="149" spans="1:8" ht="15.75" customHeight="1">
      <c r="A149" s="3" t="s">
        <v>39</v>
      </c>
      <c r="B149" s="3" t="s">
        <v>378</v>
      </c>
      <c r="C149" s="3" t="s">
        <v>809</v>
      </c>
      <c r="D149" s="4" t="s">
        <v>810</v>
      </c>
      <c r="E149" s="6"/>
      <c r="F149" s="13">
        <f>525547393200</f>
        <v>525547393200</v>
      </c>
      <c r="G149" s="6"/>
      <c r="H149" s="4" t="s">
        <v>811</v>
      </c>
    </row>
    <row r="150" spans="1:8" ht="15.75" customHeight="1">
      <c r="A150" s="3" t="s">
        <v>812</v>
      </c>
      <c r="B150" s="3" t="s">
        <v>813</v>
      </c>
      <c r="C150" s="3" t="s">
        <v>814</v>
      </c>
      <c r="D150" s="4" t="s">
        <v>815</v>
      </c>
      <c r="E150" s="5" t="s">
        <v>816</v>
      </c>
      <c r="F150" s="6"/>
      <c r="G150" s="6"/>
      <c r="H150" s="4" t="s">
        <v>817</v>
      </c>
    </row>
    <row r="151" spans="1:8" ht="15.75" customHeight="1">
      <c r="A151" s="3" t="s">
        <v>818</v>
      </c>
      <c r="B151" s="3" t="s">
        <v>819</v>
      </c>
      <c r="C151" s="3" t="s">
        <v>820</v>
      </c>
      <c r="D151" s="4" t="s">
        <v>821</v>
      </c>
      <c r="E151" s="3" t="s">
        <v>822</v>
      </c>
      <c r="F151" s="5" t="s">
        <v>823</v>
      </c>
      <c r="G151" s="5" t="s">
        <v>824</v>
      </c>
      <c r="H151" s="4" t="s">
        <v>825</v>
      </c>
    </row>
    <row r="152" spans="1:8" ht="15.75" customHeight="1">
      <c r="A152" s="3" t="s">
        <v>826</v>
      </c>
      <c r="B152" s="3" t="s">
        <v>827</v>
      </c>
      <c r="C152" s="3" t="s">
        <v>828</v>
      </c>
      <c r="D152" s="4" t="s">
        <v>829</v>
      </c>
      <c r="E152" s="3" t="s">
        <v>830</v>
      </c>
      <c r="F152" s="5" t="s">
        <v>823</v>
      </c>
      <c r="G152" s="5" t="s">
        <v>831</v>
      </c>
      <c r="H152" s="4" t="s">
        <v>825</v>
      </c>
    </row>
    <row r="153" spans="1:8" ht="15.75" customHeight="1">
      <c r="A153" s="3" t="s">
        <v>832</v>
      </c>
      <c r="B153" s="3" t="s">
        <v>309</v>
      </c>
      <c r="C153" s="3" t="s">
        <v>833</v>
      </c>
      <c r="D153" s="4" t="s">
        <v>834</v>
      </c>
      <c r="E153" s="6"/>
      <c r="F153" s="6"/>
      <c r="G153" s="6"/>
      <c r="H153" s="4" t="s">
        <v>835</v>
      </c>
    </row>
    <row r="154" spans="1:8" ht="15.75" customHeight="1">
      <c r="A154" s="3" t="s">
        <v>836</v>
      </c>
      <c r="B154" s="3" t="s">
        <v>837</v>
      </c>
      <c r="C154" s="3" t="s">
        <v>838</v>
      </c>
      <c r="D154" s="4" t="s">
        <v>839</v>
      </c>
      <c r="E154" s="6"/>
      <c r="F154" s="5" t="s">
        <v>840</v>
      </c>
      <c r="G154" s="6"/>
      <c r="H154" s="4" t="s">
        <v>841</v>
      </c>
    </row>
    <row r="155" spans="1:8" ht="15.75" customHeight="1">
      <c r="A155" s="3" t="s">
        <v>842</v>
      </c>
      <c r="B155" s="3" t="s">
        <v>843</v>
      </c>
      <c r="C155" s="3" t="s">
        <v>844</v>
      </c>
      <c r="D155" s="4" t="s">
        <v>845</v>
      </c>
      <c r="E155" s="5" t="s">
        <v>846</v>
      </c>
      <c r="F155" s="5" t="s">
        <v>840</v>
      </c>
      <c r="G155" s="5" t="s">
        <v>847</v>
      </c>
      <c r="H155" s="4" t="s">
        <v>841</v>
      </c>
    </row>
    <row r="156" spans="1:8" ht="15.75" customHeight="1">
      <c r="A156" s="3" t="s">
        <v>848</v>
      </c>
      <c r="B156" s="3" t="s">
        <v>849</v>
      </c>
      <c r="C156" s="3" t="s">
        <v>850</v>
      </c>
      <c r="D156" s="4" t="s">
        <v>851</v>
      </c>
      <c r="E156" s="3" t="s">
        <v>852</v>
      </c>
      <c r="F156" s="9" t="s">
        <v>853</v>
      </c>
      <c r="G156" s="8">
        <f>529611088895</f>
        <v>529611088895</v>
      </c>
      <c r="H156" s="4" t="s">
        <v>854</v>
      </c>
    </row>
    <row r="157" spans="1:8" ht="15.75" customHeight="1">
      <c r="A157" s="3" t="s">
        <v>855</v>
      </c>
      <c r="B157" s="3" t="s">
        <v>856</v>
      </c>
      <c r="C157" s="3" t="s">
        <v>91</v>
      </c>
      <c r="D157" s="4" t="s">
        <v>857</v>
      </c>
      <c r="E157" s="11" t="s">
        <v>858</v>
      </c>
      <c r="F157" s="11" t="s">
        <v>859</v>
      </c>
      <c r="G157" s="6"/>
      <c r="H157" s="4" t="s">
        <v>860</v>
      </c>
    </row>
    <row r="158" spans="1:8" ht="15.75" customHeight="1">
      <c r="A158" s="3" t="s">
        <v>363</v>
      </c>
      <c r="B158" s="3" t="s">
        <v>861</v>
      </c>
      <c r="C158" s="3" t="s">
        <v>862</v>
      </c>
      <c r="D158" s="4" t="s">
        <v>863</v>
      </c>
      <c r="E158" s="11" t="s">
        <v>864</v>
      </c>
      <c r="F158" s="11" t="s">
        <v>859</v>
      </c>
      <c r="G158" s="6"/>
      <c r="H158" s="4" t="s">
        <v>860</v>
      </c>
    </row>
    <row r="159" spans="1:8" ht="15.75" customHeight="1">
      <c r="A159" s="3" t="s">
        <v>865</v>
      </c>
      <c r="B159" s="3" t="s">
        <v>414</v>
      </c>
      <c r="C159" s="3" t="s">
        <v>866</v>
      </c>
      <c r="D159" s="3" t="s">
        <v>867</v>
      </c>
      <c r="E159" s="9" t="s">
        <v>868</v>
      </c>
      <c r="F159" s="9" t="s">
        <v>859</v>
      </c>
      <c r="G159" s="6"/>
      <c r="H159" s="4" t="s">
        <v>860</v>
      </c>
    </row>
    <row r="160" spans="1:8" ht="15.75" customHeight="1">
      <c r="A160" s="3" t="s">
        <v>490</v>
      </c>
      <c r="B160" s="3" t="s">
        <v>869</v>
      </c>
      <c r="C160" s="3" t="s">
        <v>870</v>
      </c>
      <c r="D160" s="4" t="s">
        <v>871</v>
      </c>
      <c r="E160" s="5" t="s">
        <v>872</v>
      </c>
      <c r="F160" s="9" t="s">
        <v>859</v>
      </c>
      <c r="G160" s="6"/>
      <c r="H160" s="4" t="s">
        <v>860</v>
      </c>
    </row>
    <row r="161" spans="1:8" ht="15.75" customHeight="1">
      <c r="A161" s="3" t="s">
        <v>873</v>
      </c>
      <c r="B161" s="3" t="s">
        <v>874</v>
      </c>
      <c r="C161" s="3" t="s">
        <v>152</v>
      </c>
      <c r="D161" s="4" t="s">
        <v>875</v>
      </c>
      <c r="E161" s="5" t="s">
        <v>876</v>
      </c>
      <c r="F161" s="8">
        <f t="shared" ref="F161:F163" si="1">525541613535</f>
        <v>525541613535</v>
      </c>
      <c r="G161" s="6"/>
      <c r="H161" s="4" t="s">
        <v>877</v>
      </c>
    </row>
    <row r="162" spans="1:8" ht="15.75" customHeight="1">
      <c r="A162" s="3" t="s">
        <v>878</v>
      </c>
      <c r="B162" s="3" t="s">
        <v>879</v>
      </c>
      <c r="C162" s="3" t="s">
        <v>222</v>
      </c>
      <c r="D162" s="4" t="s">
        <v>880</v>
      </c>
      <c r="E162" s="5" t="s">
        <v>881</v>
      </c>
      <c r="F162" s="8">
        <f t="shared" si="1"/>
        <v>525541613535</v>
      </c>
      <c r="G162" s="5" t="s">
        <v>882</v>
      </c>
      <c r="H162" s="4" t="s">
        <v>877</v>
      </c>
    </row>
    <row r="163" spans="1:8" ht="15.75" customHeight="1">
      <c r="A163" s="3" t="s">
        <v>155</v>
      </c>
      <c r="B163" s="3" t="s">
        <v>883</v>
      </c>
      <c r="C163" s="3" t="s">
        <v>152</v>
      </c>
      <c r="D163" s="4" t="s">
        <v>884</v>
      </c>
      <c r="E163" s="5" t="s">
        <v>885</v>
      </c>
      <c r="F163" s="8">
        <f t="shared" si="1"/>
        <v>525541613535</v>
      </c>
      <c r="G163" s="9" t="s">
        <v>886</v>
      </c>
      <c r="H163" s="4" t="s">
        <v>877</v>
      </c>
    </row>
    <row r="164" spans="1:8" ht="15.75" customHeight="1">
      <c r="A164" s="3" t="s">
        <v>887</v>
      </c>
      <c r="B164" s="3" t="s">
        <v>888</v>
      </c>
      <c r="C164" s="3" t="s">
        <v>889</v>
      </c>
      <c r="D164" s="4" t="s">
        <v>890</v>
      </c>
      <c r="E164" s="3" t="s">
        <v>891</v>
      </c>
      <c r="F164" s="9" t="s">
        <v>892</v>
      </c>
      <c r="G164" s="8">
        <v>528183355424</v>
      </c>
      <c r="H164" s="4" t="s">
        <v>893</v>
      </c>
    </row>
    <row r="165" spans="1:8" ht="15.75" customHeight="1">
      <c r="A165" s="3" t="s">
        <v>873</v>
      </c>
      <c r="B165" s="3" t="s">
        <v>894</v>
      </c>
      <c r="C165" s="3" t="s">
        <v>229</v>
      </c>
      <c r="D165" s="3" t="s">
        <v>895</v>
      </c>
      <c r="E165" s="6"/>
      <c r="F165" s="9" t="s">
        <v>896</v>
      </c>
      <c r="G165" s="6"/>
      <c r="H165" s="4" t="s">
        <v>897</v>
      </c>
    </row>
    <row r="166" spans="1:8" ht="15.75" customHeight="1">
      <c r="A166" s="3" t="s">
        <v>510</v>
      </c>
      <c r="B166" s="3" t="s">
        <v>511</v>
      </c>
      <c r="C166" s="3" t="s">
        <v>229</v>
      </c>
      <c r="D166" s="4" t="s">
        <v>512</v>
      </c>
      <c r="E166" s="3" t="s">
        <v>513</v>
      </c>
      <c r="F166" s="6"/>
      <c r="G166" s="6"/>
      <c r="H166" s="4" t="s">
        <v>898</v>
      </c>
    </row>
    <row r="167" spans="1:8" ht="15.75" customHeight="1">
      <c r="A167" s="3" t="s">
        <v>94</v>
      </c>
      <c r="B167" s="3" t="s">
        <v>899</v>
      </c>
      <c r="C167" s="3" t="s">
        <v>46</v>
      </c>
      <c r="D167" s="4" t="s">
        <v>900</v>
      </c>
      <c r="E167" s="6"/>
      <c r="F167" s="6"/>
      <c r="G167" s="6"/>
      <c r="H167" s="4" t="s">
        <v>898</v>
      </c>
    </row>
    <row r="168" spans="1:8" ht="15.75" customHeight="1">
      <c r="A168" s="3" t="s">
        <v>901</v>
      </c>
      <c r="B168" s="3" t="s">
        <v>902</v>
      </c>
      <c r="C168" s="3" t="s">
        <v>303</v>
      </c>
      <c r="D168" s="4" t="s">
        <v>903</v>
      </c>
      <c r="E168" s="3" t="s">
        <v>904</v>
      </c>
      <c r="F168" s="5" t="s">
        <v>905</v>
      </c>
      <c r="G168" s="8">
        <f>525521671084</f>
        <v>525521671084</v>
      </c>
      <c r="H168" s="4" t="s">
        <v>906</v>
      </c>
    </row>
    <row r="169" spans="1:8" ht="15.75" customHeight="1">
      <c r="A169" s="3" t="s">
        <v>907</v>
      </c>
      <c r="B169" s="3" t="s">
        <v>908</v>
      </c>
      <c r="C169" s="3" t="s">
        <v>909</v>
      </c>
      <c r="D169" s="4" t="s">
        <v>910</v>
      </c>
      <c r="E169" s="5" t="s">
        <v>911</v>
      </c>
      <c r="F169" s="8">
        <v>525556774868</v>
      </c>
      <c r="G169" s="6"/>
      <c r="H169" s="4" t="s">
        <v>912</v>
      </c>
    </row>
    <row r="170" spans="1:8" ht="15.75" customHeight="1">
      <c r="A170" s="3" t="s">
        <v>913</v>
      </c>
      <c r="B170" s="3" t="s">
        <v>914</v>
      </c>
      <c r="C170" s="3" t="s">
        <v>565</v>
      </c>
      <c r="D170" s="4" t="s">
        <v>915</v>
      </c>
      <c r="E170" s="3" t="s">
        <v>916</v>
      </c>
      <c r="F170" s="5" t="s">
        <v>917</v>
      </c>
      <c r="G170" s="6"/>
      <c r="H170" s="4" t="s">
        <v>918</v>
      </c>
    </row>
    <row r="171" spans="1:8" ht="15.75" customHeight="1">
      <c r="A171" s="3" t="s">
        <v>919</v>
      </c>
      <c r="B171" s="3" t="s">
        <v>920</v>
      </c>
      <c r="C171" s="3" t="s">
        <v>565</v>
      </c>
      <c r="D171" s="4" t="s">
        <v>921</v>
      </c>
      <c r="E171" s="3" t="s">
        <v>922</v>
      </c>
      <c r="F171" s="5" t="s">
        <v>917</v>
      </c>
      <c r="G171" s="6"/>
      <c r="H171" s="4" t="s">
        <v>918</v>
      </c>
    </row>
    <row r="172" spans="1:8" ht="15.75" customHeight="1">
      <c r="A172" s="3" t="s">
        <v>923</v>
      </c>
      <c r="B172" s="3" t="s">
        <v>924</v>
      </c>
      <c r="C172" s="3" t="s">
        <v>925</v>
      </c>
      <c r="D172" s="4" t="s">
        <v>926</v>
      </c>
      <c r="E172" s="5" t="s">
        <v>927</v>
      </c>
      <c r="F172" s="8">
        <f>85585835846</f>
        <v>85585835846</v>
      </c>
      <c r="G172" s="6"/>
      <c r="H172" s="4" t="s">
        <v>928</v>
      </c>
    </row>
    <row r="173" spans="1:8" ht="15.75" customHeight="1">
      <c r="A173" s="3" t="s">
        <v>929</v>
      </c>
      <c r="B173" s="3" t="s">
        <v>930</v>
      </c>
      <c r="C173" s="3" t="s">
        <v>46</v>
      </c>
      <c r="D173" s="4" t="s">
        <v>931</v>
      </c>
      <c r="E173" s="5" t="s">
        <v>932</v>
      </c>
      <c r="F173" s="6"/>
      <c r="G173" s="6"/>
      <c r="H173" s="4" t="s">
        <v>933</v>
      </c>
    </row>
    <row r="174" spans="1:8" ht="15.75" customHeight="1">
      <c r="A174" s="3" t="s">
        <v>934</v>
      </c>
      <c r="B174" s="3" t="s">
        <v>935</v>
      </c>
      <c r="C174" s="3" t="s">
        <v>229</v>
      </c>
      <c r="D174" s="4" t="s">
        <v>936</v>
      </c>
      <c r="E174" s="3" t="s">
        <v>937</v>
      </c>
      <c r="F174" s="9" t="s">
        <v>938</v>
      </c>
      <c r="G174" s="6"/>
      <c r="H174" s="4" t="s">
        <v>933</v>
      </c>
    </row>
    <row r="175" spans="1:8" ht="15.75" customHeight="1">
      <c r="A175" s="3" t="s">
        <v>939</v>
      </c>
      <c r="B175" s="3" t="s">
        <v>429</v>
      </c>
      <c r="C175" s="3" t="s">
        <v>229</v>
      </c>
      <c r="D175" s="4" t="s">
        <v>940</v>
      </c>
      <c r="E175" s="5" t="s">
        <v>941</v>
      </c>
      <c r="F175" s="6"/>
      <c r="G175" s="6"/>
      <c r="H175" s="4" t="s">
        <v>942</v>
      </c>
    </row>
    <row r="176" spans="1:8" ht="15.75" customHeight="1">
      <c r="A176" s="3" t="s">
        <v>14</v>
      </c>
      <c r="B176" s="3" t="s">
        <v>943</v>
      </c>
      <c r="C176" s="3" t="s">
        <v>944</v>
      </c>
      <c r="D176" s="4" t="s">
        <v>945</v>
      </c>
      <c r="E176" s="5" t="s">
        <v>946</v>
      </c>
      <c r="F176" s="6"/>
      <c r="G176" s="6"/>
      <c r="H176" s="4" t="s">
        <v>942</v>
      </c>
    </row>
    <row r="177" spans="1:8" ht="15.75" customHeight="1">
      <c r="A177" s="3" t="s">
        <v>947</v>
      </c>
      <c r="B177" s="3" t="s">
        <v>429</v>
      </c>
      <c r="C177" s="3" t="s">
        <v>948</v>
      </c>
      <c r="D177" s="4" t="s">
        <v>949</v>
      </c>
      <c r="E177" s="5" t="s">
        <v>950</v>
      </c>
      <c r="F177" s="6"/>
      <c r="G177" s="6"/>
      <c r="H177" s="4" t="s">
        <v>942</v>
      </c>
    </row>
    <row r="178" spans="1:8" ht="15.75" customHeight="1">
      <c r="A178" s="3" t="s">
        <v>951</v>
      </c>
      <c r="B178" s="3" t="s">
        <v>952</v>
      </c>
      <c r="C178" s="3" t="s">
        <v>229</v>
      </c>
      <c r="D178" s="4" t="s">
        <v>953</v>
      </c>
      <c r="E178" s="6"/>
      <c r="F178" s="6"/>
      <c r="G178" s="6"/>
      <c r="H178" s="4" t="s">
        <v>954</v>
      </c>
    </row>
    <row r="179" spans="1:8" ht="15.75" customHeight="1">
      <c r="A179" s="3" t="s">
        <v>955</v>
      </c>
      <c r="B179" s="3" t="s">
        <v>956</v>
      </c>
      <c r="C179" s="3" t="s">
        <v>957</v>
      </c>
      <c r="D179" s="4" t="s">
        <v>958</v>
      </c>
      <c r="E179" s="6"/>
      <c r="F179" s="9" t="s">
        <v>959</v>
      </c>
      <c r="G179" s="5" t="s">
        <v>960</v>
      </c>
      <c r="H179" s="4" t="s">
        <v>961</v>
      </c>
    </row>
    <row r="180" spans="1:8" ht="15.75" customHeight="1">
      <c r="A180" s="3" t="s">
        <v>962</v>
      </c>
      <c r="B180" s="3" t="s">
        <v>963</v>
      </c>
      <c r="C180" s="3" t="s">
        <v>498</v>
      </c>
      <c r="D180" s="4" t="s">
        <v>964</v>
      </c>
      <c r="E180" s="5" t="s">
        <v>965</v>
      </c>
      <c r="F180" s="9" t="s">
        <v>966</v>
      </c>
      <c r="G180" s="9" t="s">
        <v>967</v>
      </c>
      <c r="H180" s="4" t="s">
        <v>968</v>
      </c>
    </row>
    <row r="181" spans="1:8" ht="15.75" customHeight="1">
      <c r="A181" s="3" t="s">
        <v>969</v>
      </c>
      <c r="B181" s="3" t="s">
        <v>970</v>
      </c>
      <c r="C181" s="3" t="s">
        <v>162</v>
      </c>
      <c r="D181" s="3" t="s">
        <v>971</v>
      </c>
      <c r="E181" s="3" t="s">
        <v>972</v>
      </c>
      <c r="F181" s="9" t="s">
        <v>966</v>
      </c>
      <c r="G181" s="9" t="s">
        <v>967</v>
      </c>
      <c r="H181" s="4" t="s">
        <v>968</v>
      </c>
    </row>
    <row r="182" spans="1:8" ht="15.75" customHeight="1">
      <c r="A182" s="3" t="s">
        <v>973</v>
      </c>
      <c r="B182" s="3" t="s">
        <v>429</v>
      </c>
      <c r="C182" s="3" t="s">
        <v>974</v>
      </c>
      <c r="D182" s="4" t="s">
        <v>975</v>
      </c>
      <c r="E182" s="5" t="s">
        <v>976</v>
      </c>
      <c r="F182" s="9" t="s">
        <v>966</v>
      </c>
      <c r="G182" s="9" t="s">
        <v>967</v>
      </c>
      <c r="H182" s="4" t="s">
        <v>968</v>
      </c>
    </row>
    <row r="183" spans="1:8" ht="15.75" customHeight="1">
      <c r="A183" s="3" t="s">
        <v>977</v>
      </c>
      <c r="B183" s="3" t="s">
        <v>978</v>
      </c>
      <c r="C183" s="3" t="s">
        <v>602</v>
      </c>
      <c r="D183" s="4" t="s">
        <v>979</v>
      </c>
      <c r="E183" s="6"/>
      <c r="F183" s="6"/>
      <c r="G183" s="6"/>
      <c r="H183" s="4" t="s">
        <v>980</v>
      </c>
    </row>
    <row r="184" spans="1:8" ht="15.75" customHeight="1">
      <c r="A184" s="3" t="s">
        <v>981</v>
      </c>
      <c r="B184" s="3" t="s">
        <v>982</v>
      </c>
      <c r="C184" s="3" t="s">
        <v>229</v>
      </c>
      <c r="D184" s="6"/>
      <c r="E184" s="3" t="s">
        <v>983</v>
      </c>
      <c r="F184" s="8">
        <f>61478028580</f>
        <v>61478028580</v>
      </c>
      <c r="G184" s="6"/>
      <c r="H184" s="4" t="s">
        <v>984</v>
      </c>
    </row>
    <row r="185" spans="1:8" ht="15.75" customHeight="1">
      <c r="A185" s="3" t="s">
        <v>985</v>
      </c>
      <c r="B185" s="3" t="s">
        <v>986</v>
      </c>
      <c r="C185" s="3" t="s">
        <v>229</v>
      </c>
      <c r="D185" s="6"/>
      <c r="E185" s="5" t="s">
        <v>987</v>
      </c>
      <c r="F185" s="12">
        <v>610428221211</v>
      </c>
      <c r="G185" s="6"/>
      <c r="H185" s="4" t="s">
        <v>984</v>
      </c>
    </row>
    <row r="186" spans="1:8" ht="15.75" customHeight="1">
      <c r="A186" s="3" t="s">
        <v>44</v>
      </c>
      <c r="B186" s="3" t="s">
        <v>988</v>
      </c>
      <c r="C186" s="3" t="s">
        <v>91</v>
      </c>
      <c r="D186" s="4" t="s">
        <v>989</v>
      </c>
      <c r="E186" s="6"/>
      <c r="F186" s="5" t="s">
        <v>990</v>
      </c>
      <c r="G186" s="6"/>
      <c r="H186" s="4" t="s">
        <v>991</v>
      </c>
    </row>
    <row r="187" spans="1:8" ht="15.75" customHeight="1">
      <c r="A187" s="3" t="s">
        <v>992</v>
      </c>
      <c r="B187" s="3" t="s">
        <v>993</v>
      </c>
      <c r="C187" s="3" t="s">
        <v>994</v>
      </c>
      <c r="D187" s="4" t="s">
        <v>995</v>
      </c>
      <c r="E187" s="5" t="s">
        <v>996</v>
      </c>
      <c r="F187" s="5" t="s">
        <v>990</v>
      </c>
      <c r="G187" s="6"/>
      <c r="H187" s="4" t="s">
        <v>991</v>
      </c>
    </row>
    <row r="188" spans="1:8" ht="15.75" customHeight="1">
      <c r="A188" s="3" t="s">
        <v>997</v>
      </c>
      <c r="B188" s="3" t="s">
        <v>998</v>
      </c>
      <c r="C188" s="3" t="s">
        <v>999</v>
      </c>
      <c r="D188" s="4" t="s">
        <v>1000</v>
      </c>
      <c r="E188" s="5" t="s">
        <v>1001</v>
      </c>
      <c r="F188" s="5" t="s">
        <v>990</v>
      </c>
      <c r="G188" s="6"/>
      <c r="H188" s="4" t="s">
        <v>991</v>
      </c>
    </row>
    <row r="189" spans="1:8" ht="15.75" customHeight="1">
      <c r="A189" s="3" t="s">
        <v>433</v>
      </c>
      <c r="B189" s="3" t="s">
        <v>1002</v>
      </c>
      <c r="C189" s="3" t="s">
        <v>1003</v>
      </c>
      <c r="D189" s="4" t="s">
        <v>1004</v>
      </c>
      <c r="E189" s="3" t="s">
        <v>1005</v>
      </c>
      <c r="F189" s="5" t="s">
        <v>990</v>
      </c>
      <c r="G189" s="9" t="s">
        <v>1006</v>
      </c>
      <c r="H189" s="4" t="s">
        <v>991</v>
      </c>
    </row>
    <row r="190" spans="1:8" ht="15.75" customHeight="1">
      <c r="A190" s="3" t="s">
        <v>1007</v>
      </c>
      <c r="B190" s="3" t="s">
        <v>1008</v>
      </c>
      <c r="C190" s="3" t="s">
        <v>1009</v>
      </c>
      <c r="D190" s="4" t="s">
        <v>1010</v>
      </c>
      <c r="E190" s="5" t="s">
        <v>1011</v>
      </c>
      <c r="F190" s="9" t="s">
        <v>1012</v>
      </c>
      <c r="G190" s="6"/>
      <c r="H190" s="4" t="s">
        <v>1013</v>
      </c>
    </row>
    <row r="191" spans="1:8" ht="15.75" customHeight="1">
      <c r="A191" s="3" t="s">
        <v>1014</v>
      </c>
      <c r="B191" s="3" t="s">
        <v>589</v>
      </c>
      <c r="C191" s="3" t="s">
        <v>1015</v>
      </c>
      <c r="D191" s="4" t="s">
        <v>1016</v>
      </c>
      <c r="E191" s="5" t="s">
        <v>1017</v>
      </c>
      <c r="F191" s="9" t="s">
        <v>1012</v>
      </c>
      <c r="G191" s="9" t="s">
        <v>1018</v>
      </c>
      <c r="H191" s="4" t="s">
        <v>1013</v>
      </c>
    </row>
    <row r="192" spans="1:8" ht="15.75" customHeight="1">
      <c r="A192" s="3" t="s">
        <v>1019</v>
      </c>
      <c r="B192" s="3" t="s">
        <v>1020</v>
      </c>
      <c r="C192" s="3" t="s">
        <v>1021</v>
      </c>
      <c r="D192" s="4" t="s">
        <v>1022</v>
      </c>
      <c r="E192" s="5" t="s">
        <v>1023</v>
      </c>
      <c r="F192" s="9" t="s">
        <v>1012</v>
      </c>
      <c r="G192" s="8">
        <v>525551307290</v>
      </c>
      <c r="H192" s="4" t="s">
        <v>1013</v>
      </c>
    </row>
    <row r="193" spans="1:8" ht="15.75" customHeight="1">
      <c r="A193" s="3" t="s">
        <v>1024</v>
      </c>
      <c r="B193" s="3" t="s">
        <v>1025</v>
      </c>
      <c r="C193" s="3" t="s">
        <v>1026</v>
      </c>
      <c r="D193" s="4" t="s">
        <v>1027</v>
      </c>
      <c r="E193" s="5" t="s">
        <v>1028</v>
      </c>
      <c r="F193" s="6"/>
      <c r="G193" s="6"/>
      <c r="H193" s="4" t="s">
        <v>1029</v>
      </c>
    </row>
    <row r="194" spans="1:8" ht="15.75" customHeight="1">
      <c r="A194" s="3" t="s">
        <v>763</v>
      </c>
      <c r="B194" s="3" t="s">
        <v>1030</v>
      </c>
      <c r="C194" s="3" t="s">
        <v>1031</v>
      </c>
      <c r="D194" s="4" t="s">
        <v>1032</v>
      </c>
      <c r="E194" s="3" t="s">
        <v>1033</v>
      </c>
      <c r="F194" s="6"/>
      <c r="G194" s="6"/>
      <c r="H194" s="4" t="s">
        <v>1029</v>
      </c>
    </row>
    <row r="195" spans="1:8" ht="15.75" customHeight="1">
      <c r="A195" s="3" t="s">
        <v>1034</v>
      </c>
      <c r="B195" s="3" t="s">
        <v>1035</v>
      </c>
      <c r="C195" s="3" t="s">
        <v>229</v>
      </c>
      <c r="D195" s="4" t="s">
        <v>1036</v>
      </c>
      <c r="E195" s="5" t="s">
        <v>1037</v>
      </c>
      <c r="F195" s="12">
        <v>528125165712</v>
      </c>
      <c r="G195" s="6"/>
      <c r="H195" s="4" t="s">
        <v>1029</v>
      </c>
    </row>
    <row r="196" spans="1:8" ht="15.75" customHeight="1">
      <c r="A196" s="3" t="s">
        <v>973</v>
      </c>
      <c r="B196" s="3" t="s">
        <v>1038</v>
      </c>
      <c r="C196" s="3" t="s">
        <v>1039</v>
      </c>
      <c r="D196" s="4" t="s">
        <v>1040</v>
      </c>
      <c r="E196" s="3" t="s">
        <v>1041</v>
      </c>
      <c r="F196" s="9" t="s">
        <v>1042</v>
      </c>
      <c r="G196" s="6"/>
      <c r="H196" s="4" t="s">
        <v>1043</v>
      </c>
    </row>
    <row r="197" spans="1:8" ht="15.75" customHeight="1">
      <c r="A197" s="3" t="s">
        <v>1044</v>
      </c>
      <c r="B197" s="3" t="s">
        <v>1045</v>
      </c>
      <c r="C197" s="3" t="s">
        <v>1046</v>
      </c>
      <c r="D197" s="4" t="s">
        <v>1047</v>
      </c>
      <c r="E197" s="5" t="s">
        <v>1048</v>
      </c>
      <c r="F197" s="5" t="s">
        <v>1049</v>
      </c>
      <c r="G197" s="6"/>
      <c r="H197" s="4" t="s">
        <v>1050</v>
      </c>
    </row>
    <row r="198" spans="1:8" ht="15.75" customHeight="1">
      <c r="A198" s="3" t="s">
        <v>624</v>
      </c>
      <c r="B198" s="3" t="s">
        <v>1051</v>
      </c>
      <c r="C198" s="3" t="s">
        <v>229</v>
      </c>
      <c r="D198" s="4" t="s">
        <v>1052</v>
      </c>
      <c r="E198" s="6"/>
      <c r="F198" s="6"/>
      <c r="G198" s="6"/>
      <c r="H198" s="4" t="s">
        <v>1053</v>
      </c>
    </row>
    <row r="199" spans="1:8" ht="15.75" customHeight="1">
      <c r="A199" s="3" t="s">
        <v>1054</v>
      </c>
      <c r="B199" s="3" t="s">
        <v>1055</v>
      </c>
      <c r="C199" s="3" t="s">
        <v>1056</v>
      </c>
      <c r="D199" s="3" t="s">
        <v>1057</v>
      </c>
      <c r="E199" s="6"/>
      <c r="F199" s="6"/>
      <c r="G199" s="6"/>
      <c r="H199" s="4" t="s">
        <v>1053</v>
      </c>
    </row>
    <row r="200" spans="1:8" ht="15.75" customHeight="1">
      <c r="A200" s="3" t="s">
        <v>1058</v>
      </c>
      <c r="B200" s="3" t="s">
        <v>1059</v>
      </c>
      <c r="C200" s="3" t="s">
        <v>1060</v>
      </c>
      <c r="D200" s="4" t="s">
        <v>1061</v>
      </c>
      <c r="E200" s="5" t="s">
        <v>1062</v>
      </c>
      <c r="F200" s="9" t="s">
        <v>1063</v>
      </c>
      <c r="G200" s="6"/>
      <c r="H200" s="4" t="s">
        <v>1064</v>
      </c>
    </row>
    <row r="201" spans="1:8" ht="15.75" customHeight="1">
      <c r="A201" s="3" t="s">
        <v>1065</v>
      </c>
      <c r="B201" s="3" t="s">
        <v>629</v>
      </c>
      <c r="C201" s="3" t="s">
        <v>833</v>
      </c>
      <c r="D201" s="4" t="s">
        <v>1066</v>
      </c>
      <c r="E201" s="5" t="s">
        <v>1067</v>
      </c>
      <c r="F201" s="5" t="s">
        <v>1068</v>
      </c>
      <c r="G201" s="5" t="s">
        <v>1069</v>
      </c>
      <c r="H201" s="4" t="s">
        <v>1070</v>
      </c>
    </row>
    <row r="202" spans="1:8" ht="15.75" customHeight="1">
      <c r="A202" s="3" t="s">
        <v>1071</v>
      </c>
      <c r="B202" s="3" t="s">
        <v>1072</v>
      </c>
      <c r="C202" s="3" t="s">
        <v>91</v>
      </c>
      <c r="D202" s="4" t="s">
        <v>1073</v>
      </c>
      <c r="E202" s="5" t="s">
        <v>1074</v>
      </c>
      <c r="F202" s="5" t="s">
        <v>1075</v>
      </c>
      <c r="G202" s="6"/>
      <c r="H202" s="4" t="s">
        <v>1076</v>
      </c>
    </row>
    <row r="203" spans="1:8" ht="15.75" customHeight="1">
      <c r="A203" s="3" t="s">
        <v>1077</v>
      </c>
      <c r="B203" s="3" t="s">
        <v>1072</v>
      </c>
      <c r="C203" s="3" t="s">
        <v>1078</v>
      </c>
      <c r="D203" s="4" t="s">
        <v>1079</v>
      </c>
      <c r="E203" s="5" t="s">
        <v>1080</v>
      </c>
      <c r="F203" s="8">
        <v>2348057599215</v>
      </c>
      <c r="G203" s="6"/>
      <c r="H203" s="4" t="s">
        <v>1076</v>
      </c>
    </row>
    <row r="204" spans="1:8" ht="15.75" customHeight="1">
      <c r="A204" s="3" t="s">
        <v>1081</v>
      </c>
      <c r="B204" s="3" t="s">
        <v>1082</v>
      </c>
      <c r="C204" s="3" t="s">
        <v>140</v>
      </c>
      <c r="D204" s="4" t="s">
        <v>1083</v>
      </c>
      <c r="E204" s="5" t="s">
        <v>1084</v>
      </c>
      <c r="F204" s="6"/>
      <c r="G204" s="6"/>
      <c r="H204" s="4" t="s">
        <v>1085</v>
      </c>
    </row>
    <row r="205" spans="1:8" ht="15.75" customHeight="1">
      <c r="A205" s="3" t="s">
        <v>1086</v>
      </c>
      <c r="B205" s="3" t="s">
        <v>1087</v>
      </c>
      <c r="C205" s="3" t="s">
        <v>1088</v>
      </c>
      <c r="D205" s="4" t="s">
        <v>1089</v>
      </c>
      <c r="E205" s="3" t="s">
        <v>1090</v>
      </c>
      <c r="F205" s="5" t="s">
        <v>1091</v>
      </c>
      <c r="G205" s="5" t="s">
        <v>1092</v>
      </c>
      <c r="H205" s="4" t="s">
        <v>1093</v>
      </c>
    </row>
    <row r="206" spans="1:8" ht="15.75" customHeight="1">
      <c r="A206" s="3" t="s">
        <v>439</v>
      </c>
      <c r="B206" s="3" t="s">
        <v>1094</v>
      </c>
      <c r="C206" s="3" t="s">
        <v>1095</v>
      </c>
      <c r="D206" s="4" t="s">
        <v>1096</v>
      </c>
      <c r="E206" s="5" t="s">
        <v>1097</v>
      </c>
      <c r="F206" s="5" t="s">
        <v>1098</v>
      </c>
      <c r="G206" s="8">
        <f>528008315700</f>
        <v>528008315700</v>
      </c>
      <c r="H206" s="4" t="s">
        <v>1099</v>
      </c>
    </row>
    <row r="207" spans="1:8" ht="15.75" customHeight="1">
      <c r="A207" s="3" t="s">
        <v>1100</v>
      </c>
      <c r="B207" s="3" t="s">
        <v>1101</v>
      </c>
      <c r="C207" s="3" t="s">
        <v>1102</v>
      </c>
      <c r="D207" s="4" t="s">
        <v>1103</v>
      </c>
      <c r="E207" s="5" t="s">
        <v>1104</v>
      </c>
      <c r="F207" s="5" t="s">
        <v>1098</v>
      </c>
      <c r="G207" s="6"/>
      <c r="H207" s="4" t="s">
        <v>1099</v>
      </c>
    </row>
    <row r="208" spans="1:8" ht="15.75" customHeight="1">
      <c r="A208" s="3" t="s">
        <v>1105</v>
      </c>
      <c r="B208" s="3" t="s">
        <v>1106</v>
      </c>
      <c r="C208" s="3" t="s">
        <v>1107</v>
      </c>
      <c r="D208" s="4" t="s">
        <v>1108</v>
      </c>
      <c r="E208" s="5" t="s">
        <v>1109</v>
      </c>
      <c r="F208" s="5" t="s">
        <v>1098</v>
      </c>
      <c r="G208" s="6"/>
      <c r="H208" s="4" t="s">
        <v>1099</v>
      </c>
    </row>
    <row r="209" spans="1:8" ht="15.75" customHeight="1">
      <c r="A209" s="3" t="s">
        <v>962</v>
      </c>
      <c r="B209" s="3" t="s">
        <v>963</v>
      </c>
      <c r="C209" s="3" t="s">
        <v>1110</v>
      </c>
      <c r="D209" s="4" t="s">
        <v>964</v>
      </c>
      <c r="E209" s="6"/>
      <c r="F209" s="5" t="s">
        <v>1111</v>
      </c>
      <c r="G209" s="6"/>
      <c r="H209" s="4" t="s">
        <v>1112</v>
      </c>
    </row>
    <row r="210" spans="1:8" ht="15.75" customHeight="1">
      <c r="A210" s="3" t="s">
        <v>1113</v>
      </c>
      <c r="B210" s="3" t="s">
        <v>1114</v>
      </c>
      <c r="C210" s="3" t="s">
        <v>1115</v>
      </c>
      <c r="D210" s="4" t="s">
        <v>1116</v>
      </c>
      <c r="E210" s="3" t="s">
        <v>1117</v>
      </c>
      <c r="F210" s="5" t="s">
        <v>1111</v>
      </c>
      <c r="G210" s="8">
        <f>525527993644</f>
        <v>525527993644</v>
      </c>
      <c r="H210" s="4" t="s">
        <v>1112</v>
      </c>
    </row>
    <row r="211" spans="1:8" ht="15.75" customHeight="1">
      <c r="A211" s="3" t="s">
        <v>1118</v>
      </c>
      <c r="B211" s="3" t="s">
        <v>1119</v>
      </c>
      <c r="C211" s="3" t="s">
        <v>1120</v>
      </c>
      <c r="D211" s="4" t="s">
        <v>1121</v>
      </c>
      <c r="E211" s="6"/>
      <c r="F211" s="5" t="s">
        <v>1111</v>
      </c>
      <c r="G211" s="6"/>
      <c r="H211" s="4" t="s">
        <v>1112</v>
      </c>
    </row>
    <row r="212" spans="1:8" ht="15.75" customHeight="1">
      <c r="A212" s="3" t="s">
        <v>1122</v>
      </c>
      <c r="B212" s="3" t="s">
        <v>1123</v>
      </c>
      <c r="C212" s="3" t="s">
        <v>1124</v>
      </c>
      <c r="D212" s="4" t="s">
        <v>1125</v>
      </c>
      <c r="E212" s="5" t="s">
        <v>1126</v>
      </c>
      <c r="F212" s="5" t="s">
        <v>1127</v>
      </c>
      <c r="G212" s="6"/>
      <c r="H212" s="4" t="s">
        <v>1128</v>
      </c>
    </row>
    <row r="213" spans="1:8" ht="15.75" customHeight="1">
      <c r="A213" s="3" t="s">
        <v>155</v>
      </c>
      <c r="B213" s="3" t="s">
        <v>1129</v>
      </c>
      <c r="C213" s="3" t="s">
        <v>1130</v>
      </c>
      <c r="D213" s="4" t="s">
        <v>1131</v>
      </c>
      <c r="E213" s="5" t="s">
        <v>1132</v>
      </c>
      <c r="F213" s="5" t="s">
        <v>1127</v>
      </c>
      <c r="G213" s="5" t="s">
        <v>1133</v>
      </c>
      <c r="H213" s="4" t="s">
        <v>1128</v>
      </c>
    </row>
    <row r="214" spans="1:8" ht="15.75" customHeight="1">
      <c r="A214" s="3" t="s">
        <v>1134</v>
      </c>
      <c r="B214" s="3" t="s">
        <v>1135</v>
      </c>
      <c r="C214" s="3" t="s">
        <v>109</v>
      </c>
      <c r="D214" s="4" t="s">
        <v>1136</v>
      </c>
      <c r="E214" s="5" t="s">
        <v>1137</v>
      </c>
      <c r="F214" s="5" t="s">
        <v>1133</v>
      </c>
      <c r="G214" s="6"/>
      <c r="H214" s="4" t="s">
        <v>1128</v>
      </c>
    </row>
    <row r="215" spans="1:8" ht="15.75" customHeight="1">
      <c r="A215" s="3" t="s">
        <v>1138</v>
      </c>
      <c r="B215" s="3" t="s">
        <v>1030</v>
      </c>
      <c r="C215" s="3" t="s">
        <v>229</v>
      </c>
      <c r="D215" s="4" t="s">
        <v>1139</v>
      </c>
      <c r="E215" s="5" t="s">
        <v>1140</v>
      </c>
      <c r="F215" s="6"/>
      <c r="G215" s="6"/>
      <c r="H215" s="4" t="s">
        <v>1141</v>
      </c>
    </row>
    <row r="216" spans="1:8" ht="15.75" customHeight="1">
      <c r="A216" s="3" t="s">
        <v>1142</v>
      </c>
      <c r="B216" s="3" t="s">
        <v>988</v>
      </c>
      <c r="C216" s="3" t="s">
        <v>1143</v>
      </c>
      <c r="D216" s="4" t="s">
        <v>1144</v>
      </c>
      <c r="E216" s="3" t="s">
        <v>1145</v>
      </c>
      <c r="F216" s="8">
        <f t="shared" ref="F216:F219" si="2">528000033682</f>
        <v>528000033682</v>
      </c>
      <c r="G216" s="5" t="s">
        <v>1146</v>
      </c>
      <c r="H216" s="4" t="s">
        <v>1147</v>
      </c>
    </row>
    <row r="217" spans="1:8" ht="15.75" customHeight="1">
      <c r="A217" s="3" t="s">
        <v>1148</v>
      </c>
      <c r="B217" s="3" t="s">
        <v>1149</v>
      </c>
      <c r="C217" s="3" t="s">
        <v>229</v>
      </c>
      <c r="D217" s="4" t="s">
        <v>1150</v>
      </c>
      <c r="E217" s="5" t="s">
        <v>1151</v>
      </c>
      <c r="F217" s="8">
        <f t="shared" si="2"/>
        <v>528000033682</v>
      </c>
      <c r="G217" s="9" t="s">
        <v>1152</v>
      </c>
      <c r="H217" s="4" t="s">
        <v>1147</v>
      </c>
    </row>
    <row r="218" spans="1:8" ht="15.75" customHeight="1">
      <c r="A218" s="3" t="s">
        <v>1153</v>
      </c>
      <c r="B218" s="3" t="s">
        <v>1154</v>
      </c>
      <c r="C218" s="3" t="s">
        <v>1155</v>
      </c>
      <c r="D218" s="4" t="s">
        <v>1156</v>
      </c>
      <c r="E218" s="6"/>
      <c r="F218" s="8">
        <f t="shared" si="2"/>
        <v>528000033682</v>
      </c>
      <c r="G218" s="6"/>
      <c r="H218" s="4" t="s">
        <v>1147</v>
      </c>
    </row>
    <row r="219" spans="1:8" ht="15.75" customHeight="1">
      <c r="A219" s="3" t="s">
        <v>1157</v>
      </c>
      <c r="B219" s="3" t="s">
        <v>1158</v>
      </c>
      <c r="C219" s="3" t="s">
        <v>222</v>
      </c>
      <c r="D219" s="4" t="s">
        <v>1159</v>
      </c>
      <c r="E219" s="3" t="s">
        <v>1160</v>
      </c>
      <c r="F219" s="8">
        <f t="shared" si="2"/>
        <v>528000033682</v>
      </c>
      <c r="G219" s="9" t="s">
        <v>1152</v>
      </c>
      <c r="H219" s="4" t="s">
        <v>1147</v>
      </c>
    </row>
    <row r="220" spans="1:8" ht="15.75" customHeight="1">
      <c r="A220" s="3" t="s">
        <v>1161</v>
      </c>
      <c r="B220" s="3" t="s">
        <v>1162</v>
      </c>
      <c r="C220" s="3" t="s">
        <v>1163</v>
      </c>
      <c r="D220" s="4" t="s">
        <v>1164</v>
      </c>
      <c r="E220" s="5" t="s">
        <v>1165</v>
      </c>
      <c r="F220" s="9" t="s">
        <v>1166</v>
      </c>
      <c r="G220" s="6"/>
      <c r="H220" s="4" t="s">
        <v>1167</v>
      </c>
    </row>
    <row r="221" spans="1:8" ht="15.75" customHeight="1">
      <c r="A221" s="3" t="s">
        <v>624</v>
      </c>
      <c r="B221" s="3" t="s">
        <v>1168</v>
      </c>
      <c r="C221" s="3" t="s">
        <v>1169</v>
      </c>
      <c r="D221" s="3" t="s">
        <v>1170</v>
      </c>
      <c r="E221" s="5" t="s">
        <v>1171</v>
      </c>
      <c r="F221" s="9" t="s">
        <v>1166</v>
      </c>
      <c r="G221" s="6"/>
      <c r="H221" s="4" t="s">
        <v>1167</v>
      </c>
    </row>
    <row r="222" spans="1:8" ht="15.75" customHeight="1">
      <c r="A222" s="3" t="s">
        <v>985</v>
      </c>
      <c r="B222" s="3" t="s">
        <v>1172</v>
      </c>
      <c r="C222" s="3" t="s">
        <v>229</v>
      </c>
      <c r="D222" s="3" t="s">
        <v>1173</v>
      </c>
      <c r="E222" s="5" t="s">
        <v>1174</v>
      </c>
      <c r="F222" s="9" t="s">
        <v>1166</v>
      </c>
      <c r="G222" s="6"/>
      <c r="H222" s="4" t="s">
        <v>1167</v>
      </c>
    </row>
    <row r="223" spans="1:8" ht="15.75" customHeight="1">
      <c r="A223" s="3" t="s">
        <v>1175</v>
      </c>
      <c r="B223" s="3" t="s">
        <v>1176</v>
      </c>
      <c r="C223" s="3" t="s">
        <v>1177</v>
      </c>
      <c r="D223" s="4" t="s">
        <v>1178</v>
      </c>
      <c r="E223" s="5" t="s">
        <v>1179</v>
      </c>
      <c r="F223" s="9" t="s">
        <v>1166</v>
      </c>
      <c r="G223" s="6"/>
      <c r="H223" s="4" t="s">
        <v>1167</v>
      </c>
    </row>
    <row r="224" spans="1:8" ht="15.75" customHeight="1">
      <c r="A224" s="3" t="s">
        <v>1180</v>
      </c>
      <c r="B224" s="3" t="s">
        <v>1181</v>
      </c>
      <c r="C224" s="3" t="s">
        <v>1182</v>
      </c>
      <c r="D224" s="4" t="s">
        <v>1183</v>
      </c>
      <c r="E224" s="3" t="s">
        <v>1184</v>
      </c>
      <c r="F224" s="5" t="s">
        <v>1185</v>
      </c>
      <c r="G224" s="6"/>
      <c r="H224" s="3" t="s">
        <v>1186</v>
      </c>
    </row>
    <row r="225" spans="1:8" ht="15.75" customHeight="1">
      <c r="A225" s="3" t="s">
        <v>1187</v>
      </c>
      <c r="B225" s="3" t="s">
        <v>1188</v>
      </c>
      <c r="C225" s="3" t="s">
        <v>229</v>
      </c>
      <c r="D225" s="6"/>
      <c r="E225" s="5" t="s">
        <v>1189</v>
      </c>
      <c r="F225" s="5" t="s">
        <v>1190</v>
      </c>
      <c r="G225" s="6"/>
      <c r="H225" s="4" t="s">
        <v>1191</v>
      </c>
    </row>
    <row r="226" spans="1:8" ht="15.75" customHeight="1">
      <c r="A226" s="3" t="s">
        <v>1192</v>
      </c>
      <c r="B226" s="3" t="s">
        <v>1193</v>
      </c>
      <c r="C226" s="3" t="s">
        <v>46</v>
      </c>
      <c r="D226" s="6"/>
      <c r="E226" s="5" t="s">
        <v>1194</v>
      </c>
      <c r="F226" s="5" t="s">
        <v>1190</v>
      </c>
      <c r="G226" s="5" t="s">
        <v>1195</v>
      </c>
      <c r="H226" s="4" t="s">
        <v>1191</v>
      </c>
    </row>
    <row r="227" spans="1:8" ht="15.75" customHeight="1">
      <c r="A227" s="3" t="s">
        <v>1014</v>
      </c>
      <c r="B227" s="3" t="s">
        <v>49</v>
      </c>
      <c r="C227" s="3" t="s">
        <v>1196</v>
      </c>
      <c r="D227" s="4" t="s">
        <v>1197</v>
      </c>
      <c r="E227" s="5" t="s">
        <v>1198</v>
      </c>
      <c r="F227" s="5" t="s">
        <v>1199</v>
      </c>
      <c r="G227" s="6"/>
      <c r="H227" s="4" t="s">
        <v>1200</v>
      </c>
    </row>
    <row r="228" spans="1:8" ht="15.75" customHeight="1">
      <c r="A228" s="3" t="s">
        <v>1201</v>
      </c>
      <c r="B228" s="3" t="s">
        <v>1202</v>
      </c>
      <c r="C228" s="3" t="s">
        <v>229</v>
      </c>
      <c r="D228" s="4" t="s">
        <v>1203</v>
      </c>
      <c r="E228" s="5" t="s">
        <v>1204</v>
      </c>
      <c r="F228" s="6"/>
      <c r="G228" s="6"/>
      <c r="H228" s="4" t="s">
        <v>1205</v>
      </c>
    </row>
    <row r="229" spans="1:8" ht="15.75" customHeight="1">
      <c r="A229" s="3" t="s">
        <v>1206</v>
      </c>
      <c r="B229" s="3" t="s">
        <v>414</v>
      </c>
      <c r="C229" s="3" t="s">
        <v>109</v>
      </c>
      <c r="D229" s="4" t="s">
        <v>1207</v>
      </c>
      <c r="E229" s="6"/>
      <c r="F229" s="6"/>
      <c r="G229" s="6"/>
      <c r="H229" s="4" t="s">
        <v>1208</v>
      </c>
    </row>
    <row r="230" spans="1:8" ht="15.75" customHeight="1">
      <c r="A230" s="3" t="s">
        <v>1209</v>
      </c>
      <c r="B230" s="3" t="s">
        <v>144</v>
      </c>
      <c r="C230" s="3" t="s">
        <v>1210</v>
      </c>
      <c r="D230" s="3" t="s">
        <v>1211</v>
      </c>
      <c r="E230" s="6"/>
      <c r="F230" s="5" t="s">
        <v>1212</v>
      </c>
      <c r="G230" s="6"/>
      <c r="H230" s="4" t="s">
        <v>1213</v>
      </c>
    </row>
    <row r="231" spans="1:8" ht="15.75" customHeight="1">
      <c r="A231" s="3" t="s">
        <v>1214</v>
      </c>
      <c r="B231" s="3" t="s">
        <v>1215</v>
      </c>
      <c r="C231" s="3" t="s">
        <v>162</v>
      </c>
      <c r="D231" s="4" t="s">
        <v>1216</v>
      </c>
      <c r="E231" s="6"/>
      <c r="F231" s="5" t="s">
        <v>1212</v>
      </c>
      <c r="G231" s="6"/>
      <c r="H231" s="4" t="s">
        <v>1213</v>
      </c>
    </row>
    <row r="232" spans="1:8" ht="15.75" customHeight="1">
      <c r="A232" s="3" t="s">
        <v>1217</v>
      </c>
      <c r="B232" s="3" t="s">
        <v>1218</v>
      </c>
      <c r="C232" s="3" t="s">
        <v>91</v>
      </c>
      <c r="D232" s="3" t="s">
        <v>1219</v>
      </c>
      <c r="E232" s="6"/>
      <c r="F232" s="5" t="s">
        <v>1212</v>
      </c>
      <c r="G232" s="6"/>
      <c r="H232" s="4" t="s">
        <v>1213</v>
      </c>
    </row>
    <row r="233" spans="1:8" ht="15.75" customHeight="1">
      <c r="A233" s="3" t="s">
        <v>1220</v>
      </c>
      <c r="B233" s="3" t="s">
        <v>185</v>
      </c>
      <c r="C233" s="3" t="s">
        <v>140</v>
      </c>
      <c r="D233" s="4" t="s">
        <v>1221</v>
      </c>
      <c r="E233" s="6"/>
      <c r="F233" s="5" t="s">
        <v>1212</v>
      </c>
      <c r="G233" s="6"/>
      <c r="H233" s="4" t="s">
        <v>1213</v>
      </c>
    </row>
    <row r="234" spans="1:8" ht="15.75" customHeight="1">
      <c r="A234" s="3" t="s">
        <v>1222</v>
      </c>
      <c r="B234" s="3" t="s">
        <v>1223</v>
      </c>
      <c r="C234" s="3" t="s">
        <v>91</v>
      </c>
      <c r="D234" s="4" t="s">
        <v>1224</v>
      </c>
      <c r="E234" s="5" t="s">
        <v>1225</v>
      </c>
      <c r="F234" s="5" t="s">
        <v>1226</v>
      </c>
      <c r="G234" s="6"/>
      <c r="H234" s="4" t="s">
        <v>1227</v>
      </c>
    </row>
    <row r="235" spans="1:8" ht="15.75" customHeight="1">
      <c r="A235" s="3" t="s">
        <v>1228</v>
      </c>
      <c r="B235" s="3" t="s">
        <v>1229</v>
      </c>
      <c r="C235" s="3" t="s">
        <v>46</v>
      </c>
      <c r="D235" s="4" t="s">
        <v>1230</v>
      </c>
      <c r="E235" s="5" t="s">
        <v>1231</v>
      </c>
      <c r="F235" s="6"/>
      <c r="G235" s="6"/>
      <c r="H235" s="4" t="s">
        <v>1232</v>
      </c>
    </row>
    <row r="236" spans="1:8" ht="15.75" customHeight="1">
      <c r="A236" s="3" t="s">
        <v>1233</v>
      </c>
      <c r="B236" s="3" t="s">
        <v>1234</v>
      </c>
      <c r="C236" s="3" t="s">
        <v>1235</v>
      </c>
      <c r="D236" s="4" t="s">
        <v>1236</v>
      </c>
      <c r="E236" s="5" t="s">
        <v>1237</v>
      </c>
      <c r="F236" s="9" t="s">
        <v>1238</v>
      </c>
      <c r="G236" s="9" t="s">
        <v>1239</v>
      </c>
      <c r="H236" s="4" t="s">
        <v>1240</v>
      </c>
    </row>
    <row r="237" spans="1:8" ht="15.75" customHeight="1">
      <c r="A237" s="3" t="s">
        <v>1241</v>
      </c>
      <c r="B237" s="3" t="s">
        <v>1242</v>
      </c>
      <c r="C237" s="3" t="s">
        <v>1243</v>
      </c>
      <c r="D237" s="4" t="s">
        <v>1244</v>
      </c>
      <c r="E237" s="3" t="s">
        <v>1245</v>
      </c>
      <c r="F237" s="5" t="s">
        <v>1246</v>
      </c>
      <c r="G237" s="5" t="s">
        <v>1247</v>
      </c>
      <c r="H237" s="4" t="s">
        <v>1248</v>
      </c>
    </row>
    <row r="238" spans="1:8" ht="15.75" customHeight="1">
      <c r="A238" s="3" t="s">
        <v>1249</v>
      </c>
      <c r="B238" s="3" t="s">
        <v>1250</v>
      </c>
      <c r="C238" s="3" t="s">
        <v>1251</v>
      </c>
      <c r="D238" s="4" t="s">
        <v>1252</v>
      </c>
      <c r="E238" s="3" t="s">
        <v>1253</v>
      </c>
      <c r="F238" s="5" t="s">
        <v>1246</v>
      </c>
      <c r="G238" s="8">
        <v>525541611714</v>
      </c>
      <c r="H238" s="4" t="s">
        <v>1248</v>
      </c>
    </row>
    <row r="239" spans="1:8" ht="15.75" customHeight="1">
      <c r="A239" s="3" t="s">
        <v>1254</v>
      </c>
      <c r="B239" s="3" t="s">
        <v>1255</v>
      </c>
      <c r="C239" s="3" t="s">
        <v>1256</v>
      </c>
      <c r="D239" s="3" t="s">
        <v>1257</v>
      </c>
      <c r="E239" s="5" t="s">
        <v>1258</v>
      </c>
      <c r="F239" s="6"/>
      <c r="G239" s="6"/>
      <c r="H239" s="4" t="s">
        <v>1259</v>
      </c>
    </row>
    <row r="240" spans="1:8" ht="15.75" customHeight="1">
      <c r="A240" s="3" t="s">
        <v>1260</v>
      </c>
      <c r="B240" s="3" t="s">
        <v>1261</v>
      </c>
      <c r="C240" s="3" t="s">
        <v>1262</v>
      </c>
      <c r="D240" s="4" t="s">
        <v>1263</v>
      </c>
      <c r="E240" s="5" t="s">
        <v>1264</v>
      </c>
      <c r="F240" s="6"/>
      <c r="G240" s="6"/>
      <c r="H240" s="4" t="s">
        <v>1259</v>
      </c>
    </row>
    <row r="241" spans="1:8" ht="15.75" customHeight="1">
      <c r="A241" s="3" t="s">
        <v>907</v>
      </c>
      <c r="B241" s="3" t="s">
        <v>1265</v>
      </c>
      <c r="C241" s="3" t="s">
        <v>1266</v>
      </c>
      <c r="D241" s="4" t="s">
        <v>1267</v>
      </c>
      <c r="E241" s="3" t="s">
        <v>1268</v>
      </c>
      <c r="F241" s="5" t="s">
        <v>1269</v>
      </c>
      <c r="G241" s="5" t="s">
        <v>1270</v>
      </c>
      <c r="H241" s="4" t="s">
        <v>1271</v>
      </c>
    </row>
    <row r="242" spans="1:8" ht="15.75" customHeight="1">
      <c r="A242" s="3" t="s">
        <v>203</v>
      </c>
      <c r="B242" s="3" t="s">
        <v>764</v>
      </c>
      <c r="C242" s="3" t="s">
        <v>1272</v>
      </c>
      <c r="D242" s="4" t="s">
        <v>1273</v>
      </c>
      <c r="E242" s="6"/>
      <c r="F242" s="5" t="s">
        <v>1274</v>
      </c>
      <c r="G242" s="6"/>
      <c r="H242" s="4" t="s">
        <v>1275</v>
      </c>
    </row>
    <row r="243" spans="1:8" ht="15.75" customHeight="1">
      <c r="A243" s="3" t="s">
        <v>1276</v>
      </c>
      <c r="B243" s="3" t="s">
        <v>1277</v>
      </c>
      <c r="C243" s="3" t="s">
        <v>1278</v>
      </c>
      <c r="D243" s="4" t="s">
        <v>1279</v>
      </c>
      <c r="E243" s="6"/>
      <c r="F243" s="8">
        <v>525552038855</v>
      </c>
      <c r="G243" s="6"/>
      <c r="H243" s="4" t="s">
        <v>1280</v>
      </c>
    </row>
    <row r="244" spans="1:8" ht="15.75" customHeight="1">
      <c r="A244" s="3" t="s">
        <v>1281</v>
      </c>
      <c r="B244" s="3" t="s">
        <v>1282</v>
      </c>
      <c r="C244" s="3" t="s">
        <v>1283</v>
      </c>
      <c r="D244" s="3" t="s">
        <v>1284</v>
      </c>
      <c r="E244" s="6"/>
      <c r="F244" s="9" t="s">
        <v>1285</v>
      </c>
      <c r="G244" s="6"/>
      <c r="H244" s="4" t="s">
        <v>1280</v>
      </c>
    </row>
    <row r="245" spans="1:8" ht="15.75" customHeight="1">
      <c r="A245" s="3" t="s">
        <v>1286</v>
      </c>
      <c r="B245" s="3" t="s">
        <v>1287</v>
      </c>
      <c r="C245" s="3" t="s">
        <v>583</v>
      </c>
      <c r="D245" s="4" t="s">
        <v>1288</v>
      </c>
      <c r="E245" s="5" t="s">
        <v>1289</v>
      </c>
      <c r="F245" s="5" t="s">
        <v>1290</v>
      </c>
      <c r="G245" s="6"/>
      <c r="H245" s="4" t="s">
        <v>1291</v>
      </c>
    </row>
    <row r="246" spans="1:8" ht="15.75" customHeight="1">
      <c r="A246" s="3" t="s">
        <v>1292</v>
      </c>
      <c r="B246" s="3" t="s">
        <v>1293</v>
      </c>
      <c r="C246" s="3" t="s">
        <v>109</v>
      </c>
      <c r="D246" s="4" t="s">
        <v>1294</v>
      </c>
      <c r="E246" s="5" t="s">
        <v>1295</v>
      </c>
      <c r="F246" s="6"/>
      <c r="G246" s="6"/>
      <c r="H246" s="4" t="s">
        <v>1296</v>
      </c>
    </row>
    <row r="247" spans="1:8" ht="15.75" customHeight="1">
      <c r="A247" s="3" t="s">
        <v>1297</v>
      </c>
      <c r="B247" s="3" t="s">
        <v>1298</v>
      </c>
      <c r="C247" s="3" t="s">
        <v>1299</v>
      </c>
      <c r="D247" s="4" t="s">
        <v>1300</v>
      </c>
      <c r="E247" s="5" t="s">
        <v>1301</v>
      </c>
      <c r="F247" s="5" t="s">
        <v>1302</v>
      </c>
      <c r="G247" s="6"/>
      <c r="H247" s="4" t="s">
        <v>1296</v>
      </c>
    </row>
    <row r="248" spans="1:8" ht="15.75" customHeight="1">
      <c r="A248" s="3" t="s">
        <v>1303</v>
      </c>
      <c r="B248" s="3" t="s">
        <v>1304</v>
      </c>
      <c r="C248" s="3" t="s">
        <v>210</v>
      </c>
      <c r="D248" s="4" t="s">
        <v>1305</v>
      </c>
      <c r="E248" s="5" t="s">
        <v>1306</v>
      </c>
      <c r="F248" s="5" t="s">
        <v>1302</v>
      </c>
      <c r="G248" s="6"/>
      <c r="H248" s="4" t="s">
        <v>1296</v>
      </c>
    </row>
    <row r="249" spans="1:8" ht="15.75" customHeight="1">
      <c r="A249" s="3" t="s">
        <v>1307</v>
      </c>
      <c r="B249" s="3" t="s">
        <v>1308</v>
      </c>
      <c r="C249" s="3" t="s">
        <v>229</v>
      </c>
      <c r="D249" s="4" t="s">
        <v>1309</v>
      </c>
      <c r="E249" s="5" t="s">
        <v>1310</v>
      </c>
      <c r="F249" s="5" t="s">
        <v>1302</v>
      </c>
      <c r="G249" s="5" t="s">
        <v>1311</v>
      </c>
      <c r="H249" s="4" t="s">
        <v>1296</v>
      </c>
    </row>
    <row r="250" spans="1:8" ht="15.75" customHeight="1">
      <c r="A250" s="3" t="s">
        <v>1312</v>
      </c>
      <c r="B250" s="3" t="s">
        <v>1313</v>
      </c>
      <c r="C250" s="3" t="s">
        <v>1314</v>
      </c>
      <c r="D250" s="4" t="s">
        <v>1315</v>
      </c>
      <c r="E250" s="3" t="s">
        <v>1316</v>
      </c>
      <c r="F250" s="5" t="s">
        <v>1302</v>
      </c>
      <c r="G250" s="5" t="s">
        <v>1317</v>
      </c>
      <c r="H250" s="4" t="s">
        <v>1296</v>
      </c>
    </row>
    <row r="251" spans="1:8" ht="15.75" customHeight="1">
      <c r="A251" s="3" t="s">
        <v>1318</v>
      </c>
      <c r="B251" s="3" t="s">
        <v>1319</v>
      </c>
      <c r="C251" s="3" t="s">
        <v>109</v>
      </c>
      <c r="D251" s="4" t="s">
        <v>1320</v>
      </c>
      <c r="E251" s="5" t="s">
        <v>1321</v>
      </c>
      <c r="F251" s="6"/>
      <c r="G251" s="6"/>
      <c r="H251" s="4" t="s">
        <v>1322</v>
      </c>
    </row>
    <row r="252" spans="1:8" ht="15.75" customHeight="1">
      <c r="A252" s="9" t="s">
        <v>1323</v>
      </c>
      <c r="B252" s="14" t="s">
        <v>1324</v>
      </c>
      <c r="C252" s="5" t="s">
        <v>1325</v>
      </c>
      <c r="D252" s="4" t="s">
        <v>1326</v>
      </c>
      <c r="E252" s="5" t="s">
        <v>1327</v>
      </c>
      <c r="F252" s="8">
        <v>525517209167</v>
      </c>
      <c r="G252" s="12">
        <v>528005101111</v>
      </c>
      <c r="H252" s="15" t="s">
        <v>1328</v>
      </c>
    </row>
    <row r="253" spans="1:8" ht="15.75" customHeight="1">
      <c r="A253" s="3" t="s">
        <v>710</v>
      </c>
      <c r="B253" s="3" t="s">
        <v>1329</v>
      </c>
      <c r="C253" s="3" t="s">
        <v>1330</v>
      </c>
      <c r="D253" s="4" t="s">
        <v>1331</v>
      </c>
      <c r="E253" s="3" t="s">
        <v>1332</v>
      </c>
      <c r="F253" s="8">
        <v>525517209167</v>
      </c>
      <c r="G253" s="5" t="s">
        <v>1333</v>
      </c>
      <c r="H253" s="4" t="s">
        <v>1328</v>
      </c>
    </row>
    <row r="254" spans="1:8" ht="15.75" customHeight="1">
      <c r="A254" s="3" t="s">
        <v>1334</v>
      </c>
      <c r="B254" s="3" t="s">
        <v>943</v>
      </c>
      <c r="C254" s="3" t="s">
        <v>46</v>
      </c>
      <c r="D254" s="4" t="s">
        <v>1335</v>
      </c>
      <c r="E254" s="5" t="s">
        <v>1336</v>
      </c>
      <c r="F254" s="8">
        <v>525517209167</v>
      </c>
      <c r="G254" s="9" t="s">
        <v>1337</v>
      </c>
      <c r="H254" s="4" t="s">
        <v>1328</v>
      </c>
    </row>
    <row r="255" spans="1:8" ht="15.75" customHeight="1">
      <c r="A255" s="3" t="s">
        <v>1338</v>
      </c>
      <c r="B255" s="3" t="s">
        <v>1339</v>
      </c>
      <c r="C255" s="3" t="s">
        <v>1340</v>
      </c>
      <c r="D255" s="3" t="s">
        <v>1341</v>
      </c>
      <c r="E255" s="3" t="s">
        <v>1342</v>
      </c>
      <c r="F255" s="8">
        <v>525517209167</v>
      </c>
      <c r="G255" s="9" t="s">
        <v>1343</v>
      </c>
      <c r="H255" s="4" t="s">
        <v>1328</v>
      </c>
    </row>
    <row r="256" spans="1:8" ht="15.75" customHeight="1">
      <c r="A256" s="3" t="s">
        <v>433</v>
      </c>
      <c r="B256" s="3" t="s">
        <v>1344</v>
      </c>
      <c r="C256" s="3" t="s">
        <v>1345</v>
      </c>
      <c r="D256" s="4" t="s">
        <v>1346</v>
      </c>
      <c r="E256" s="5" t="s">
        <v>1347</v>
      </c>
      <c r="F256" s="8">
        <v>525517209167</v>
      </c>
      <c r="G256" s="9" t="s">
        <v>1337</v>
      </c>
      <c r="H256" s="4" t="s">
        <v>1328</v>
      </c>
    </row>
    <row r="257" spans="1:8" ht="15.75" customHeight="1">
      <c r="A257" s="3" t="s">
        <v>1348</v>
      </c>
      <c r="B257" s="3" t="s">
        <v>874</v>
      </c>
      <c r="C257" s="3" t="s">
        <v>35</v>
      </c>
      <c r="D257" s="4" t="s">
        <v>1349</v>
      </c>
      <c r="E257" s="3" t="s">
        <v>1350</v>
      </c>
      <c r="F257" s="8">
        <v>525517209167</v>
      </c>
      <c r="G257" s="5" t="s">
        <v>1351</v>
      </c>
      <c r="H257" s="4" t="s">
        <v>1328</v>
      </c>
    </row>
    <row r="258" spans="1:8" ht="15.75" customHeight="1">
      <c r="A258" s="3" t="s">
        <v>1352</v>
      </c>
      <c r="B258" s="3" t="s">
        <v>1353</v>
      </c>
      <c r="C258" s="3" t="s">
        <v>109</v>
      </c>
      <c r="D258" s="4" t="s">
        <v>1354</v>
      </c>
      <c r="E258" s="5" t="s">
        <v>1355</v>
      </c>
      <c r="F258" s="8">
        <v>525517209167</v>
      </c>
      <c r="G258" s="6"/>
      <c r="H258" s="4" t="s">
        <v>1328</v>
      </c>
    </row>
    <row r="259" spans="1:8" ht="15.75" customHeight="1">
      <c r="A259" s="3" t="s">
        <v>332</v>
      </c>
      <c r="B259" s="3" t="s">
        <v>732</v>
      </c>
      <c r="C259" s="3" t="s">
        <v>1356</v>
      </c>
      <c r="D259" s="4" t="s">
        <v>1357</v>
      </c>
      <c r="E259" s="6"/>
      <c r="F259" s="9" t="s">
        <v>1358</v>
      </c>
      <c r="G259" s="6"/>
      <c r="H259" s="4" t="s">
        <v>1359</v>
      </c>
    </row>
    <row r="260" spans="1:8" ht="15.75" customHeight="1">
      <c r="A260" s="3" t="s">
        <v>1360</v>
      </c>
      <c r="B260" s="3" t="s">
        <v>1361</v>
      </c>
      <c r="C260" s="3" t="s">
        <v>27</v>
      </c>
      <c r="D260" s="4" t="s">
        <v>1362</v>
      </c>
      <c r="E260" s="6"/>
      <c r="F260" s="5" t="s">
        <v>1363</v>
      </c>
      <c r="G260" s="6"/>
      <c r="H260" s="4" t="s">
        <v>1364</v>
      </c>
    </row>
    <row r="261" spans="1:8" ht="15.75" customHeight="1">
      <c r="A261" s="3" t="s">
        <v>1365</v>
      </c>
      <c r="B261" s="3" t="s">
        <v>1366</v>
      </c>
      <c r="C261" s="3" t="s">
        <v>994</v>
      </c>
      <c r="D261" s="3" t="s">
        <v>1367</v>
      </c>
      <c r="E261" s="6"/>
      <c r="F261" s="8">
        <v>528183350177</v>
      </c>
      <c r="G261" s="6"/>
      <c r="H261" s="4" t="s">
        <v>1368</v>
      </c>
    </row>
    <row r="262" spans="1:8" ht="15.75" customHeight="1">
      <c r="A262" s="3" t="s">
        <v>1369</v>
      </c>
      <c r="B262" s="3" t="s">
        <v>414</v>
      </c>
      <c r="C262" s="3" t="s">
        <v>109</v>
      </c>
      <c r="D262" s="4" t="s">
        <v>1370</v>
      </c>
      <c r="E262" s="6"/>
      <c r="F262" s="8">
        <v>528183350177</v>
      </c>
      <c r="G262" s="6"/>
      <c r="H262" s="4" t="s">
        <v>1368</v>
      </c>
    </row>
    <row r="263" spans="1:8" ht="15.75" customHeight="1">
      <c r="A263" s="3" t="s">
        <v>1371</v>
      </c>
      <c r="B263" s="3" t="s">
        <v>1372</v>
      </c>
      <c r="C263" s="3" t="s">
        <v>222</v>
      </c>
      <c r="D263" s="3" t="s">
        <v>1373</v>
      </c>
      <c r="E263" s="6"/>
      <c r="F263" s="5" t="s">
        <v>1374</v>
      </c>
      <c r="G263" s="6"/>
      <c r="H263" s="4" t="s">
        <v>1375</v>
      </c>
    </row>
    <row r="264" spans="1:8" ht="15.75" customHeight="1">
      <c r="A264" s="3" t="s">
        <v>1376</v>
      </c>
      <c r="B264" s="3" t="s">
        <v>652</v>
      </c>
      <c r="C264" s="3" t="s">
        <v>229</v>
      </c>
      <c r="D264" s="4" t="s">
        <v>1377</v>
      </c>
      <c r="E264" s="3" t="s">
        <v>1378</v>
      </c>
      <c r="F264" s="5" t="s">
        <v>1379</v>
      </c>
      <c r="G264" s="6"/>
      <c r="H264" s="4" t="s">
        <v>1380</v>
      </c>
    </row>
    <row r="265" spans="1:8" ht="15.75" customHeight="1">
      <c r="A265" s="3" t="s">
        <v>203</v>
      </c>
      <c r="B265" s="3" t="s">
        <v>1381</v>
      </c>
      <c r="C265" s="3" t="s">
        <v>1382</v>
      </c>
      <c r="D265" s="4" t="s">
        <v>1383</v>
      </c>
      <c r="E265" s="6"/>
      <c r="F265" s="9" t="s">
        <v>1384</v>
      </c>
      <c r="G265" s="6"/>
      <c r="H265" s="4" t="s">
        <v>1385</v>
      </c>
    </row>
    <row r="266" spans="1:8" ht="15.75" customHeight="1">
      <c r="A266" s="3" t="s">
        <v>1386</v>
      </c>
      <c r="B266" s="3" t="s">
        <v>1387</v>
      </c>
      <c r="C266" s="3" t="s">
        <v>229</v>
      </c>
      <c r="D266" s="4" t="s">
        <v>1388</v>
      </c>
      <c r="E266" s="5" t="s">
        <v>1389</v>
      </c>
      <c r="F266" s="8">
        <f>5214499933293</f>
        <v>5214499933293</v>
      </c>
      <c r="G266" s="6"/>
      <c r="H266" s="4" t="s">
        <v>1390</v>
      </c>
    </row>
    <row r="267" spans="1:8" ht="15.75" customHeight="1">
      <c r="A267" s="3" t="s">
        <v>721</v>
      </c>
      <c r="B267" s="3" t="s">
        <v>1391</v>
      </c>
      <c r="C267" s="3" t="s">
        <v>303</v>
      </c>
      <c r="D267" s="4" t="s">
        <v>1392</v>
      </c>
      <c r="E267" s="5" t="s">
        <v>1393</v>
      </c>
      <c r="F267" s="5" t="s">
        <v>1394</v>
      </c>
      <c r="G267" s="9" t="s">
        <v>1395</v>
      </c>
      <c r="H267" s="4" t="s">
        <v>1396</v>
      </c>
    </row>
    <row r="268" spans="1:8" ht="15.75" customHeight="1">
      <c r="A268" s="3" t="s">
        <v>1397</v>
      </c>
      <c r="B268" s="3" t="s">
        <v>385</v>
      </c>
      <c r="C268" s="3" t="s">
        <v>1398</v>
      </c>
      <c r="D268" s="4" t="s">
        <v>1399</v>
      </c>
      <c r="E268" s="6"/>
      <c r="F268" s="9" t="s">
        <v>1400</v>
      </c>
      <c r="G268" s="6"/>
      <c r="H268" s="4" t="s">
        <v>1401</v>
      </c>
    </row>
    <row r="269" spans="1:8" ht="15.75" customHeight="1">
      <c r="A269" s="3" t="s">
        <v>1402</v>
      </c>
      <c r="B269" s="3" t="s">
        <v>1403</v>
      </c>
      <c r="C269" s="3" t="s">
        <v>27</v>
      </c>
      <c r="D269" s="4" t="s">
        <v>1404</v>
      </c>
      <c r="E269" s="5" t="s">
        <v>1405</v>
      </c>
      <c r="F269" s="5" t="s">
        <v>1406</v>
      </c>
      <c r="G269" s="6"/>
      <c r="H269" s="4" t="s">
        <v>1407</v>
      </c>
    </row>
    <row r="270" spans="1:8" ht="15.75" customHeight="1">
      <c r="A270" s="3" t="s">
        <v>955</v>
      </c>
      <c r="B270" s="3" t="s">
        <v>1408</v>
      </c>
      <c r="C270" s="3" t="s">
        <v>1409</v>
      </c>
      <c r="D270" s="4" t="s">
        <v>1410</v>
      </c>
      <c r="E270" s="5" t="s">
        <v>1411</v>
      </c>
      <c r="F270" s="9" t="s">
        <v>1412</v>
      </c>
      <c r="G270" s="6"/>
      <c r="H270" s="4" t="s">
        <v>1413</v>
      </c>
    </row>
    <row r="271" spans="1:8" ht="15.75" customHeight="1">
      <c r="A271" s="3" t="s">
        <v>1414</v>
      </c>
      <c r="B271" s="3" t="s">
        <v>1415</v>
      </c>
      <c r="C271" s="3" t="s">
        <v>1416</v>
      </c>
      <c r="D271" s="4" t="s">
        <v>1417</v>
      </c>
      <c r="E271" s="6"/>
      <c r="F271" s="6"/>
      <c r="G271" s="6"/>
      <c r="H271" s="4" t="s">
        <v>1418</v>
      </c>
    </row>
    <row r="272" spans="1:8" ht="15.75" customHeight="1">
      <c r="A272" s="3" t="s">
        <v>1419</v>
      </c>
      <c r="B272" s="3" t="s">
        <v>1420</v>
      </c>
      <c r="C272" s="3" t="s">
        <v>109</v>
      </c>
      <c r="D272" s="4" t="s">
        <v>1421</v>
      </c>
      <c r="E272" s="3" t="s">
        <v>1422</v>
      </c>
      <c r="F272" s="9" t="s">
        <v>1423</v>
      </c>
      <c r="G272" s="5" t="s">
        <v>1424</v>
      </c>
      <c r="H272" s="4" t="s">
        <v>1425</v>
      </c>
    </row>
    <row r="273" spans="1:8" ht="15.75" customHeight="1">
      <c r="A273" s="3" t="s">
        <v>417</v>
      </c>
      <c r="B273" s="3" t="s">
        <v>290</v>
      </c>
      <c r="C273" s="3" t="s">
        <v>46</v>
      </c>
      <c r="D273" s="4" t="s">
        <v>1426</v>
      </c>
      <c r="E273" s="6"/>
      <c r="F273" s="6"/>
      <c r="G273" s="6"/>
      <c r="H273" s="4" t="s">
        <v>1427</v>
      </c>
    </row>
    <row r="274" spans="1:8" ht="15.75" customHeight="1">
      <c r="A274" s="3" t="s">
        <v>770</v>
      </c>
      <c r="B274" s="3" t="s">
        <v>1428</v>
      </c>
      <c r="C274" s="3" t="s">
        <v>1429</v>
      </c>
      <c r="D274" s="4" t="s">
        <v>1430</v>
      </c>
      <c r="E274" s="6"/>
      <c r="F274" s="6"/>
      <c r="G274" s="6"/>
      <c r="H274" s="4" t="s">
        <v>1427</v>
      </c>
    </row>
    <row r="275" spans="1:8" ht="15.75" customHeight="1">
      <c r="A275" s="3" t="s">
        <v>624</v>
      </c>
      <c r="B275" s="3" t="s">
        <v>1431</v>
      </c>
      <c r="C275" s="3" t="s">
        <v>229</v>
      </c>
      <c r="D275" s="3" t="s">
        <v>1432</v>
      </c>
      <c r="E275" s="6"/>
      <c r="F275" s="6"/>
      <c r="G275" s="6"/>
      <c r="H275" s="4" t="s">
        <v>1427</v>
      </c>
    </row>
    <row r="276" spans="1:8" ht="15.75" customHeight="1">
      <c r="A276" s="3" t="s">
        <v>1433</v>
      </c>
      <c r="B276" s="3" t="s">
        <v>458</v>
      </c>
      <c r="C276" s="3" t="s">
        <v>109</v>
      </c>
      <c r="D276" s="4" t="s">
        <v>1434</v>
      </c>
      <c r="E276" s="6"/>
      <c r="F276" s="6"/>
      <c r="G276" s="6"/>
      <c r="H276" s="4" t="s">
        <v>1427</v>
      </c>
    </row>
    <row r="277" spans="1:8" ht="15.75" customHeight="1">
      <c r="A277" s="3" t="s">
        <v>577</v>
      </c>
      <c r="B277" s="3" t="s">
        <v>1435</v>
      </c>
      <c r="C277" s="3" t="s">
        <v>994</v>
      </c>
      <c r="D277" s="4" t="s">
        <v>1436</v>
      </c>
      <c r="E277" s="3" t="s">
        <v>1437</v>
      </c>
      <c r="F277" s="8">
        <f>52.5553549</f>
        <v>52.555354899999998</v>
      </c>
      <c r="G277" s="6"/>
      <c r="H277" s="4" t="s">
        <v>1438</v>
      </c>
    </row>
    <row r="278" spans="1:8" ht="15.75" customHeight="1">
      <c r="A278" s="3" t="s">
        <v>1439</v>
      </c>
      <c r="B278" s="3" t="s">
        <v>1440</v>
      </c>
      <c r="C278" s="16" t="s">
        <v>1441</v>
      </c>
      <c r="D278" s="4" t="s">
        <v>1442</v>
      </c>
      <c r="E278" s="3" t="s">
        <v>1443</v>
      </c>
      <c r="F278" s="9" t="s">
        <v>1444</v>
      </c>
      <c r="G278" s="6"/>
      <c r="H278" s="4" t="s">
        <v>1438</v>
      </c>
    </row>
    <row r="279" spans="1:8" ht="15.75" customHeight="1">
      <c r="A279" s="3" t="s">
        <v>1445</v>
      </c>
      <c r="B279" s="3" t="s">
        <v>1446</v>
      </c>
      <c r="C279" s="3" t="s">
        <v>1447</v>
      </c>
      <c r="D279" s="4" t="s">
        <v>1448</v>
      </c>
      <c r="E279" s="3" t="s">
        <v>1449</v>
      </c>
      <c r="F279" s="8">
        <f>52.5553549</f>
        <v>52.555354899999998</v>
      </c>
      <c r="G279" s="8">
        <f>525513470488</f>
        <v>525513470488</v>
      </c>
      <c r="H279" s="4" t="s">
        <v>1438</v>
      </c>
    </row>
    <row r="280" spans="1:8" ht="15.75" customHeight="1">
      <c r="A280" s="3" t="s">
        <v>417</v>
      </c>
      <c r="B280" s="3" t="s">
        <v>290</v>
      </c>
      <c r="C280" s="3" t="s">
        <v>46</v>
      </c>
      <c r="D280" s="4" t="s">
        <v>1426</v>
      </c>
      <c r="E280" s="6"/>
      <c r="F280" s="9" t="s">
        <v>1450</v>
      </c>
      <c r="G280" s="6"/>
      <c r="H280" s="4" t="s">
        <v>1451</v>
      </c>
    </row>
    <row r="281" spans="1:8" ht="15.75" customHeight="1">
      <c r="A281" s="3" t="s">
        <v>155</v>
      </c>
      <c r="B281" s="3" t="s">
        <v>629</v>
      </c>
      <c r="C281" s="3" t="s">
        <v>1452</v>
      </c>
      <c r="D281" s="4" t="s">
        <v>1453</v>
      </c>
      <c r="E281" s="5" t="s">
        <v>1454</v>
      </c>
      <c r="F281" s="5" t="s">
        <v>1455</v>
      </c>
      <c r="G281" s="6"/>
      <c r="H281" s="4" t="s">
        <v>1456</v>
      </c>
    </row>
    <row r="282" spans="1:8" ht="15.75" customHeight="1">
      <c r="A282" s="3" t="s">
        <v>1457</v>
      </c>
      <c r="B282" s="3" t="s">
        <v>156</v>
      </c>
      <c r="C282" s="3" t="s">
        <v>109</v>
      </c>
      <c r="D282" s="4" t="s">
        <v>1458</v>
      </c>
      <c r="E282" s="6"/>
      <c r="F282" s="5" t="s">
        <v>1459</v>
      </c>
      <c r="G282" s="6"/>
      <c r="H282" s="4" t="s">
        <v>1460</v>
      </c>
    </row>
    <row r="283" spans="1:8" ht="15.75" customHeight="1">
      <c r="A283" s="3" t="s">
        <v>1192</v>
      </c>
      <c r="B283" s="3" t="s">
        <v>1461</v>
      </c>
      <c r="C283" s="3" t="s">
        <v>229</v>
      </c>
      <c r="D283" s="4" t="s">
        <v>1462</v>
      </c>
      <c r="E283" s="5" t="s">
        <v>1463</v>
      </c>
      <c r="F283" s="5" t="s">
        <v>1459</v>
      </c>
      <c r="G283" s="9" t="s">
        <v>1464</v>
      </c>
      <c r="H283" s="4" t="s">
        <v>1460</v>
      </c>
    </row>
    <row r="284" spans="1:8" ht="15.75" customHeight="1">
      <c r="A284" s="3" t="s">
        <v>1465</v>
      </c>
      <c r="B284" s="3" t="s">
        <v>1466</v>
      </c>
      <c r="C284" s="3" t="s">
        <v>1467</v>
      </c>
      <c r="D284" s="4" t="s">
        <v>1468</v>
      </c>
      <c r="E284" s="6"/>
      <c r="F284" s="6"/>
      <c r="G284" s="6"/>
      <c r="H284" s="4" t="s">
        <v>1469</v>
      </c>
    </row>
    <row r="285" spans="1:8" ht="15.75" customHeight="1">
      <c r="A285" s="3" t="s">
        <v>14</v>
      </c>
      <c r="B285" s="3" t="s">
        <v>1470</v>
      </c>
      <c r="C285" s="3" t="s">
        <v>1471</v>
      </c>
      <c r="D285" s="4" t="s">
        <v>1472</v>
      </c>
      <c r="E285" s="6"/>
      <c r="F285" s="9" t="s">
        <v>1473</v>
      </c>
      <c r="G285" s="6"/>
      <c r="H285" s="4" t="s">
        <v>1474</v>
      </c>
    </row>
    <row r="286" spans="1:8" ht="15.75" customHeight="1">
      <c r="A286" s="3" t="s">
        <v>1475</v>
      </c>
      <c r="B286" s="3" t="s">
        <v>395</v>
      </c>
      <c r="C286" s="3" t="s">
        <v>1476</v>
      </c>
      <c r="D286" s="4" t="s">
        <v>1477</v>
      </c>
      <c r="E286" s="6"/>
      <c r="F286" s="6"/>
      <c r="G286" s="6"/>
      <c r="H286" s="4" t="s">
        <v>1478</v>
      </c>
    </row>
    <row r="287" spans="1:8" ht="15.75" customHeight="1">
      <c r="A287" s="3" t="s">
        <v>1318</v>
      </c>
      <c r="B287" s="3" t="s">
        <v>1479</v>
      </c>
      <c r="C287" s="3" t="s">
        <v>1480</v>
      </c>
      <c r="D287" s="4" t="s">
        <v>1481</v>
      </c>
      <c r="E287" s="6"/>
      <c r="F287" s="6"/>
      <c r="G287" s="6"/>
      <c r="H287" s="4" t="s">
        <v>1478</v>
      </c>
    </row>
    <row r="288" spans="1:8" ht="15.75" customHeight="1">
      <c r="A288" s="3" t="s">
        <v>1482</v>
      </c>
      <c r="B288" s="3" t="s">
        <v>1483</v>
      </c>
      <c r="C288" s="3" t="s">
        <v>1484</v>
      </c>
      <c r="D288" s="4" t="s">
        <v>1485</v>
      </c>
      <c r="E288" s="6"/>
      <c r="F288" s="6"/>
      <c r="G288" s="6"/>
      <c r="H288" s="4" t="s">
        <v>1478</v>
      </c>
    </row>
    <row r="289" spans="1:8" ht="15.75" customHeight="1">
      <c r="A289" s="3" t="s">
        <v>1486</v>
      </c>
      <c r="B289" s="3" t="s">
        <v>1487</v>
      </c>
      <c r="C289" s="3" t="s">
        <v>27</v>
      </c>
      <c r="D289" s="4" t="s">
        <v>1488</v>
      </c>
      <c r="E289" s="5" t="s">
        <v>1489</v>
      </c>
      <c r="F289" s="6"/>
      <c r="G289" s="6"/>
      <c r="H289" s="4" t="s">
        <v>1490</v>
      </c>
    </row>
    <row r="290" spans="1:8" ht="15.75" customHeight="1">
      <c r="A290" s="17" t="s">
        <v>413</v>
      </c>
      <c r="B290" s="17" t="s">
        <v>1491</v>
      </c>
      <c r="C290" s="17" t="s">
        <v>1492</v>
      </c>
      <c r="D290" s="18" t="s">
        <v>1493</v>
      </c>
      <c r="E290" s="17" t="s">
        <v>1494</v>
      </c>
      <c r="F290" s="19">
        <v>524777102500</v>
      </c>
      <c r="G290" s="20" t="s">
        <v>1495</v>
      </c>
      <c r="H290" s="18" t="s">
        <v>1496</v>
      </c>
    </row>
    <row r="291" spans="1:8" ht="15.75" customHeight="1">
      <c r="A291" s="17" t="s">
        <v>301</v>
      </c>
      <c r="B291" s="17" t="s">
        <v>1497</v>
      </c>
      <c r="C291" s="17" t="s">
        <v>1498</v>
      </c>
      <c r="D291" s="18" t="s">
        <v>1499</v>
      </c>
      <c r="E291" s="21"/>
      <c r="F291" s="19">
        <v>524777102500</v>
      </c>
      <c r="G291" s="22" t="s">
        <v>1500</v>
      </c>
      <c r="H291" s="18" t="s">
        <v>1496</v>
      </c>
    </row>
    <row r="292" spans="1:8" ht="15.75" customHeight="1">
      <c r="A292" s="17" t="s">
        <v>1501</v>
      </c>
      <c r="B292" s="17" t="s">
        <v>1502</v>
      </c>
      <c r="C292" s="17" t="s">
        <v>1503</v>
      </c>
      <c r="D292" s="17" t="s">
        <v>1504</v>
      </c>
      <c r="E292" s="21"/>
      <c r="F292" s="19">
        <v>524777102500</v>
      </c>
      <c r="G292" s="21"/>
      <c r="H292" s="18" t="s">
        <v>1496</v>
      </c>
    </row>
    <row r="293" spans="1:8" ht="15.75" customHeight="1">
      <c r="A293" s="17" t="s">
        <v>1505</v>
      </c>
      <c r="B293" s="17" t="s">
        <v>883</v>
      </c>
      <c r="C293" s="17" t="s">
        <v>35</v>
      </c>
      <c r="D293" s="18" t="s">
        <v>1506</v>
      </c>
      <c r="E293" s="21"/>
      <c r="F293" s="19">
        <v>524777102500</v>
      </c>
      <c r="G293" s="22" t="s">
        <v>1507</v>
      </c>
      <c r="H293" s="18" t="s">
        <v>1496</v>
      </c>
    </row>
    <row r="294" spans="1:8" ht="15.75" customHeight="1">
      <c r="A294" s="3" t="s">
        <v>165</v>
      </c>
      <c r="B294" s="3" t="s">
        <v>1508</v>
      </c>
      <c r="C294" s="3" t="s">
        <v>229</v>
      </c>
      <c r="D294" s="4" t="s">
        <v>1509</v>
      </c>
      <c r="E294" s="5" t="s">
        <v>1510</v>
      </c>
      <c r="F294" s="5" t="s">
        <v>1511</v>
      </c>
      <c r="G294" s="6"/>
      <c r="H294" s="4" t="s">
        <v>1512</v>
      </c>
    </row>
    <row r="295" spans="1:8" ht="15.75" customHeight="1">
      <c r="A295" s="3" t="s">
        <v>1157</v>
      </c>
      <c r="B295" s="3" t="s">
        <v>1513</v>
      </c>
      <c r="C295" s="3" t="s">
        <v>1514</v>
      </c>
      <c r="D295" s="3" t="s">
        <v>1515</v>
      </c>
      <c r="E295" s="5" t="s">
        <v>1516</v>
      </c>
      <c r="F295" s="5" t="s">
        <v>1511</v>
      </c>
      <c r="G295" s="6"/>
      <c r="H295" s="4" t="s">
        <v>1512</v>
      </c>
    </row>
    <row r="296" spans="1:8" ht="15.75" customHeight="1">
      <c r="A296" s="3" t="s">
        <v>1517</v>
      </c>
      <c r="B296" s="3" t="s">
        <v>1518</v>
      </c>
      <c r="C296" s="3" t="s">
        <v>229</v>
      </c>
      <c r="D296" s="4" t="s">
        <v>1519</v>
      </c>
      <c r="E296" s="5" t="s">
        <v>1520</v>
      </c>
      <c r="F296" s="5" t="s">
        <v>1521</v>
      </c>
      <c r="G296" s="6"/>
      <c r="H296" s="4" t="s">
        <v>1522</v>
      </c>
    </row>
    <row r="297" spans="1:8" ht="15.75" customHeight="1">
      <c r="A297" s="3" t="s">
        <v>1523</v>
      </c>
      <c r="B297" s="14" t="s">
        <v>1524</v>
      </c>
      <c r="C297" s="5" t="s">
        <v>1525</v>
      </c>
      <c r="D297" s="3" t="s">
        <v>1526</v>
      </c>
      <c r="E297" s="6"/>
      <c r="F297" s="5" t="s">
        <v>1527</v>
      </c>
      <c r="G297" s="9" t="s">
        <v>1528</v>
      </c>
      <c r="H297" s="15" t="s">
        <v>1529</v>
      </c>
    </row>
    <row r="298" spans="1:8" ht="15.75" customHeight="1">
      <c r="A298" s="3" t="s">
        <v>1530</v>
      </c>
      <c r="B298" s="3" t="s">
        <v>247</v>
      </c>
      <c r="C298" s="3" t="s">
        <v>1531</v>
      </c>
      <c r="D298" s="4" t="s">
        <v>1532</v>
      </c>
      <c r="E298" s="6"/>
      <c r="F298" s="9" t="s">
        <v>1528</v>
      </c>
      <c r="G298" s="6"/>
      <c r="H298" s="4" t="s">
        <v>1529</v>
      </c>
    </row>
    <row r="299" spans="1:8" ht="15.75" customHeight="1">
      <c r="A299" s="3" t="s">
        <v>1533</v>
      </c>
      <c r="B299" s="3" t="s">
        <v>1534</v>
      </c>
      <c r="C299" s="3" t="s">
        <v>140</v>
      </c>
      <c r="D299" s="4" t="s">
        <v>1535</v>
      </c>
      <c r="E299" s="5" t="s">
        <v>1536</v>
      </c>
      <c r="F299" s="6"/>
      <c r="G299" s="6"/>
      <c r="H299" s="4" t="s">
        <v>1537</v>
      </c>
    </row>
    <row r="300" spans="1:8" ht="15.75" customHeight="1">
      <c r="A300" s="3" t="s">
        <v>352</v>
      </c>
      <c r="B300" s="3" t="s">
        <v>8</v>
      </c>
      <c r="C300" s="3" t="s">
        <v>303</v>
      </c>
      <c r="D300" s="4" t="s">
        <v>1538</v>
      </c>
      <c r="E300" s="5" t="s">
        <v>1539</v>
      </c>
      <c r="F300" s="6"/>
      <c r="G300" s="6"/>
      <c r="H300" s="4" t="s">
        <v>1540</v>
      </c>
    </row>
    <row r="301" spans="1:8" ht="15.75" customHeight="1">
      <c r="A301" s="3" t="s">
        <v>1541</v>
      </c>
      <c r="B301" s="3" t="s">
        <v>1542</v>
      </c>
      <c r="C301" s="3" t="s">
        <v>1543</v>
      </c>
      <c r="D301" s="4" t="s">
        <v>1544</v>
      </c>
      <c r="E301" s="5" t="s">
        <v>1545</v>
      </c>
      <c r="F301" s="9" t="s">
        <v>1546</v>
      </c>
      <c r="G301" s="5" t="s">
        <v>1547</v>
      </c>
      <c r="H301" s="4" t="s">
        <v>1548</v>
      </c>
    </row>
    <row r="302" spans="1:8" ht="15.75" customHeight="1">
      <c r="A302" s="3" t="s">
        <v>1549</v>
      </c>
      <c r="B302" s="3" t="s">
        <v>1550</v>
      </c>
      <c r="C302" s="3" t="s">
        <v>1551</v>
      </c>
      <c r="D302" s="4" t="s">
        <v>1552</v>
      </c>
      <c r="E302" s="6"/>
      <c r="F302" s="9" t="s">
        <v>1546</v>
      </c>
      <c r="G302" s="9" t="s">
        <v>1553</v>
      </c>
      <c r="H302" s="4" t="s">
        <v>1548</v>
      </c>
    </row>
    <row r="303" spans="1:8" ht="15.75" customHeight="1">
      <c r="A303" s="3" t="s">
        <v>1554</v>
      </c>
      <c r="B303" s="3" t="s">
        <v>395</v>
      </c>
      <c r="C303" s="3" t="s">
        <v>1555</v>
      </c>
      <c r="D303" s="4" t="s">
        <v>1556</v>
      </c>
      <c r="E303" s="6"/>
      <c r="F303" s="9" t="s">
        <v>1546</v>
      </c>
      <c r="G303" s="6"/>
      <c r="H303" s="4" t="s">
        <v>1548</v>
      </c>
    </row>
    <row r="304" spans="1:8" ht="15.75" customHeight="1">
      <c r="A304" s="3" t="s">
        <v>1557</v>
      </c>
      <c r="B304" s="3" t="s">
        <v>1558</v>
      </c>
      <c r="C304" s="3" t="s">
        <v>1559</v>
      </c>
      <c r="D304" s="4" t="s">
        <v>1560</v>
      </c>
      <c r="E304" s="3" t="s">
        <v>1561</v>
      </c>
      <c r="F304" s="9" t="s">
        <v>1562</v>
      </c>
      <c r="G304" s="9" t="s">
        <v>1563</v>
      </c>
      <c r="H304" s="4" t="s">
        <v>1564</v>
      </c>
    </row>
    <row r="305" spans="1:8" ht="15.75" customHeight="1">
      <c r="A305" s="3" t="s">
        <v>1360</v>
      </c>
      <c r="B305" s="3" t="s">
        <v>1565</v>
      </c>
      <c r="C305" s="3" t="s">
        <v>1566</v>
      </c>
      <c r="D305" s="4" t="s">
        <v>1567</v>
      </c>
      <c r="E305" s="6"/>
      <c r="F305" s="6"/>
      <c r="G305" s="6"/>
      <c r="H305" s="4" t="s">
        <v>1568</v>
      </c>
    </row>
    <row r="306" spans="1:8" ht="15.75" customHeight="1">
      <c r="A306" s="3" t="s">
        <v>770</v>
      </c>
      <c r="B306" s="3" t="s">
        <v>1569</v>
      </c>
      <c r="C306" s="3" t="s">
        <v>1570</v>
      </c>
      <c r="D306" s="4" t="s">
        <v>1571</v>
      </c>
      <c r="E306" s="5" t="s">
        <v>1572</v>
      </c>
      <c r="F306" s="6"/>
      <c r="G306" s="6"/>
      <c r="H306" s="4" t="s">
        <v>1568</v>
      </c>
    </row>
    <row r="307" spans="1:8" ht="15.75" customHeight="1">
      <c r="A307" s="3" t="s">
        <v>1573</v>
      </c>
      <c r="B307" s="3" t="s">
        <v>1574</v>
      </c>
      <c r="C307" s="3" t="s">
        <v>1416</v>
      </c>
      <c r="D307" s="4" t="s">
        <v>1575</v>
      </c>
      <c r="E307" s="6"/>
      <c r="F307" s="5" t="s">
        <v>1576</v>
      </c>
      <c r="G307" s="5" t="s">
        <v>1577</v>
      </c>
      <c r="H307" s="4" t="s">
        <v>1578</v>
      </c>
    </row>
    <row r="308" spans="1:8" ht="15.75" customHeight="1">
      <c r="A308" s="3" t="s">
        <v>1579</v>
      </c>
      <c r="B308" s="3" t="s">
        <v>1431</v>
      </c>
      <c r="C308" s="3" t="s">
        <v>1580</v>
      </c>
      <c r="D308" s="4" t="s">
        <v>1581</v>
      </c>
      <c r="E308" s="5" t="s">
        <v>1582</v>
      </c>
      <c r="F308" s="5" t="s">
        <v>1583</v>
      </c>
      <c r="G308" s="6"/>
      <c r="H308" s="4" t="s">
        <v>1584</v>
      </c>
    </row>
    <row r="309" spans="1:8" ht="15.75" customHeight="1">
      <c r="A309" s="3" t="s">
        <v>1585</v>
      </c>
      <c r="B309" s="3" t="s">
        <v>290</v>
      </c>
      <c r="C309" s="3" t="s">
        <v>1586</v>
      </c>
      <c r="D309" s="4" t="s">
        <v>1587</v>
      </c>
      <c r="E309" s="6"/>
      <c r="F309" s="9" t="s">
        <v>1588</v>
      </c>
      <c r="G309" s="6"/>
      <c r="H309" s="4" t="s">
        <v>1589</v>
      </c>
    </row>
    <row r="310" spans="1:8" ht="15.75" customHeight="1">
      <c r="A310" s="3" t="s">
        <v>1590</v>
      </c>
      <c r="B310" s="3" t="s">
        <v>1277</v>
      </c>
      <c r="C310" s="3" t="s">
        <v>1591</v>
      </c>
      <c r="D310" s="4" t="s">
        <v>1592</v>
      </c>
      <c r="E310" s="6"/>
      <c r="F310" s="9" t="s">
        <v>1588</v>
      </c>
      <c r="G310" s="6"/>
      <c r="H310" s="4" t="s">
        <v>1589</v>
      </c>
    </row>
    <row r="311" spans="1:8" ht="15.75" customHeight="1">
      <c r="A311" s="3" t="s">
        <v>1593</v>
      </c>
      <c r="B311" s="3" t="s">
        <v>1594</v>
      </c>
      <c r="C311" s="3" t="s">
        <v>1595</v>
      </c>
      <c r="D311" s="4" t="s">
        <v>1596</v>
      </c>
      <c r="E311" s="6"/>
      <c r="F311" s="9" t="s">
        <v>1588</v>
      </c>
      <c r="G311" s="6"/>
      <c r="H311" s="4" t="s">
        <v>1589</v>
      </c>
    </row>
    <row r="312" spans="1:8" ht="15.75" customHeight="1">
      <c r="A312" s="3" t="s">
        <v>1597</v>
      </c>
      <c r="B312" s="3" t="s">
        <v>1598</v>
      </c>
      <c r="C312" s="3" t="s">
        <v>1591</v>
      </c>
      <c r="D312" s="4" t="s">
        <v>1599</v>
      </c>
      <c r="E312" s="6"/>
      <c r="F312" s="9" t="s">
        <v>1588</v>
      </c>
      <c r="G312" s="6"/>
      <c r="H312" s="4" t="s">
        <v>1589</v>
      </c>
    </row>
    <row r="313" spans="1:8" ht="15.75" customHeight="1">
      <c r="A313" s="3" t="s">
        <v>1600</v>
      </c>
      <c r="B313" s="3" t="s">
        <v>1601</v>
      </c>
      <c r="C313" s="3" t="s">
        <v>229</v>
      </c>
      <c r="D313" s="4" t="s">
        <v>1602</v>
      </c>
      <c r="E313" s="6"/>
      <c r="F313" s="6"/>
      <c r="G313" s="6"/>
      <c r="H313" s="4" t="s">
        <v>1603</v>
      </c>
    </row>
    <row r="314" spans="1:8" ht="15.75" customHeight="1">
      <c r="A314" s="3" t="s">
        <v>422</v>
      </c>
      <c r="B314" s="3" t="s">
        <v>1604</v>
      </c>
      <c r="C314" s="3" t="s">
        <v>443</v>
      </c>
      <c r="D314" s="4" t="s">
        <v>1605</v>
      </c>
      <c r="E314" s="5" t="s">
        <v>1606</v>
      </c>
      <c r="F314" s="8">
        <v>52.555023030000001</v>
      </c>
      <c r="G314" s="6"/>
      <c r="H314" s="4" t="s">
        <v>1607</v>
      </c>
    </row>
    <row r="315" spans="1:8" ht="15.75" customHeight="1">
      <c r="A315" s="3" t="s">
        <v>865</v>
      </c>
      <c r="B315" s="3" t="s">
        <v>1608</v>
      </c>
      <c r="C315" s="3" t="s">
        <v>1330</v>
      </c>
      <c r="D315" s="4" t="s">
        <v>1609</v>
      </c>
      <c r="E315" s="5" t="s">
        <v>1610</v>
      </c>
      <c r="F315" s="8">
        <v>52.555023030000001</v>
      </c>
      <c r="G315" s="6"/>
      <c r="H315" s="4" t="s">
        <v>1607</v>
      </c>
    </row>
    <row r="316" spans="1:8" ht="15.75" customHeight="1">
      <c r="A316" s="3" t="s">
        <v>439</v>
      </c>
      <c r="B316" s="3" t="s">
        <v>1611</v>
      </c>
      <c r="C316" s="3" t="s">
        <v>91</v>
      </c>
      <c r="D316" s="3" t="s">
        <v>1612</v>
      </c>
      <c r="E316" s="6"/>
      <c r="F316" s="9" t="s">
        <v>1613</v>
      </c>
      <c r="G316" s="23"/>
      <c r="H316" s="4" t="s">
        <v>1614</v>
      </c>
    </row>
    <row r="317" spans="1:8" ht="15.75" customHeight="1">
      <c r="A317" s="3" t="s">
        <v>1615</v>
      </c>
      <c r="B317" s="3" t="s">
        <v>1616</v>
      </c>
      <c r="C317" s="3" t="s">
        <v>1617</v>
      </c>
      <c r="D317" s="4" t="s">
        <v>1618</v>
      </c>
      <c r="E317" s="3" t="s">
        <v>1619</v>
      </c>
      <c r="F317" s="9" t="s">
        <v>1613</v>
      </c>
      <c r="G317" s="12">
        <v>528131454000</v>
      </c>
      <c r="H317" s="4" t="s">
        <v>1614</v>
      </c>
    </row>
    <row r="318" spans="1:8" ht="15.75" customHeight="1">
      <c r="A318" s="3" t="s">
        <v>628</v>
      </c>
      <c r="B318" s="3" t="s">
        <v>1491</v>
      </c>
      <c r="C318" s="3" t="s">
        <v>602</v>
      </c>
      <c r="D318" s="4" t="s">
        <v>1620</v>
      </c>
      <c r="E318" s="3" t="s">
        <v>1621</v>
      </c>
      <c r="F318" s="9" t="s">
        <v>1613</v>
      </c>
      <c r="G318" s="8">
        <v>55540938767</v>
      </c>
      <c r="H318" s="4" t="s">
        <v>1614</v>
      </c>
    </row>
    <row r="319" spans="1:8" ht="15.75" customHeight="1">
      <c r="A319" s="3" t="s">
        <v>969</v>
      </c>
      <c r="B319" s="3" t="s">
        <v>1594</v>
      </c>
      <c r="C319" s="3" t="s">
        <v>1622</v>
      </c>
      <c r="D319" s="4" t="s">
        <v>1623</v>
      </c>
      <c r="E319" s="5" t="s">
        <v>1624</v>
      </c>
      <c r="F319" s="9" t="s">
        <v>1625</v>
      </c>
      <c r="G319" s="5" t="s">
        <v>1626</v>
      </c>
      <c r="H319" s="4" t="s">
        <v>1627</v>
      </c>
    </row>
    <row r="320" spans="1:8" ht="15.75" customHeight="1">
      <c r="A320" s="3" t="s">
        <v>1044</v>
      </c>
      <c r="B320" s="3" t="s">
        <v>1628</v>
      </c>
      <c r="C320" s="3" t="s">
        <v>134</v>
      </c>
      <c r="D320" s="4" t="s">
        <v>1629</v>
      </c>
      <c r="E320" s="3" t="s">
        <v>1630</v>
      </c>
      <c r="F320" s="5" t="s">
        <v>1631</v>
      </c>
      <c r="G320" s="5" t="s">
        <v>1632</v>
      </c>
      <c r="H320" s="4" t="s">
        <v>1633</v>
      </c>
    </row>
    <row r="321" spans="1:8" ht="15.75" customHeight="1">
      <c r="A321" s="3" t="s">
        <v>1634</v>
      </c>
      <c r="B321" s="3" t="s">
        <v>1635</v>
      </c>
      <c r="C321" s="3" t="s">
        <v>1636</v>
      </c>
      <c r="D321" s="4" t="s">
        <v>1637</v>
      </c>
      <c r="E321" s="5" t="s">
        <v>1638</v>
      </c>
      <c r="F321" s="5" t="s">
        <v>1631</v>
      </c>
      <c r="G321" s="5" t="s">
        <v>1639</v>
      </c>
      <c r="H321" s="4" t="s">
        <v>1633</v>
      </c>
    </row>
    <row r="322" spans="1:8" ht="15.75" customHeight="1">
      <c r="A322" s="3" t="s">
        <v>1640</v>
      </c>
      <c r="B322" s="3" t="s">
        <v>1101</v>
      </c>
      <c r="C322" s="3" t="s">
        <v>1641</v>
      </c>
      <c r="D322" s="4" t="s">
        <v>1642</v>
      </c>
      <c r="E322" s="5" t="s">
        <v>1643</v>
      </c>
      <c r="F322" s="5" t="s">
        <v>1631</v>
      </c>
      <c r="G322" s="5" t="s">
        <v>1644</v>
      </c>
      <c r="H322" s="4" t="s">
        <v>1633</v>
      </c>
    </row>
    <row r="323" spans="1:8" ht="15.75" customHeight="1">
      <c r="A323" s="3" t="s">
        <v>1645</v>
      </c>
      <c r="B323" s="3" t="s">
        <v>1646</v>
      </c>
      <c r="C323" s="3" t="s">
        <v>1647</v>
      </c>
      <c r="D323" s="4" t="s">
        <v>1648</v>
      </c>
      <c r="E323" s="9" t="s">
        <v>1649</v>
      </c>
      <c r="F323" s="9" t="s">
        <v>1631</v>
      </c>
      <c r="G323" s="9" t="s">
        <v>1650</v>
      </c>
      <c r="H323" s="4" t="s">
        <v>1633</v>
      </c>
    </row>
    <row r="324" spans="1:8" ht="15.75" customHeight="1">
      <c r="A324" s="3" t="s">
        <v>184</v>
      </c>
      <c r="B324" s="3" t="s">
        <v>1651</v>
      </c>
      <c r="C324" s="3" t="s">
        <v>1652</v>
      </c>
      <c r="D324" s="4" t="s">
        <v>1653</v>
      </c>
      <c r="E324" s="5" t="s">
        <v>1654</v>
      </c>
      <c r="F324" s="6"/>
      <c r="G324" s="6"/>
      <c r="H324" s="4" t="s">
        <v>1655</v>
      </c>
    </row>
    <row r="325" spans="1:8" ht="15.75" customHeight="1">
      <c r="A325" s="3" t="s">
        <v>1656</v>
      </c>
      <c r="B325" s="3" t="s">
        <v>1657</v>
      </c>
      <c r="C325" s="3" t="s">
        <v>140</v>
      </c>
      <c r="D325" s="4" t="s">
        <v>1658</v>
      </c>
      <c r="E325" s="3" t="s">
        <v>1659</v>
      </c>
      <c r="F325" s="5" t="s">
        <v>1660</v>
      </c>
      <c r="G325" s="5" t="s">
        <v>1661</v>
      </c>
      <c r="H325" s="3" t="s">
        <v>1662</v>
      </c>
    </row>
    <row r="326" spans="1:8" ht="15.75" customHeight="1">
      <c r="A326" s="3" t="s">
        <v>1663</v>
      </c>
      <c r="B326" s="3" t="s">
        <v>1664</v>
      </c>
      <c r="C326" s="3" t="s">
        <v>1665</v>
      </c>
      <c r="D326" s="4" t="s">
        <v>1666</v>
      </c>
      <c r="E326" s="23"/>
      <c r="F326" s="9" t="s">
        <v>1667</v>
      </c>
      <c r="G326" s="6"/>
      <c r="H326" s="3" t="s">
        <v>1668</v>
      </c>
    </row>
    <row r="327" spans="1:8" ht="15.75" customHeight="1">
      <c r="A327" s="3" t="s">
        <v>1669</v>
      </c>
      <c r="B327" s="3" t="s">
        <v>1670</v>
      </c>
      <c r="C327" s="3" t="s">
        <v>1671</v>
      </c>
      <c r="D327" s="4" t="s">
        <v>1672</v>
      </c>
      <c r="E327" s="5" t="s">
        <v>1673</v>
      </c>
      <c r="F327" s="9" t="s">
        <v>1674</v>
      </c>
      <c r="G327" s="6"/>
      <c r="H327" s="4" t="s">
        <v>1675</v>
      </c>
    </row>
    <row r="328" spans="1:8" ht="15.75" customHeight="1">
      <c r="A328" s="3" t="s">
        <v>1676</v>
      </c>
      <c r="B328" s="3" t="s">
        <v>1611</v>
      </c>
      <c r="C328" s="3" t="s">
        <v>229</v>
      </c>
      <c r="D328" s="4" t="s">
        <v>1677</v>
      </c>
      <c r="E328" s="6"/>
      <c r="F328" s="9" t="s">
        <v>1678</v>
      </c>
      <c r="G328" s="6"/>
      <c r="H328" s="4" t="s">
        <v>1679</v>
      </c>
    </row>
    <row r="329" spans="1:8" ht="15.75" customHeight="1">
      <c r="A329" s="3" t="s">
        <v>1680</v>
      </c>
      <c r="B329" s="3" t="s">
        <v>1681</v>
      </c>
      <c r="C329" s="3" t="s">
        <v>46</v>
      </c>
      <c r="D329" s="3" t="s">
        <v>1682</v>
      </c>
      <c r="E329" s="6"/>
      <c r="F329" s="6"/>
      <c r="G329" s="6"/>
      <c r="H329" s="4" t="s">
        <v>1683</v>
      </c>
    </row>
    <row r="330" spans="1:8" ht="15.75" customHeight="1">
      <c r="A330" s="3" t="s">
        <v>1684</v>
      </c>
      <c r="B330" s="3" t="s">
        <v>1685</v>
      </c>
      <c r="C330" s="3" t="s">
        <v>46</v>
      </c>
      <c r="D330" s="4" t="s">
        <v>1686</v>
      </c>
      <c r="E330" s="6"/>
      <c r="F330" s="9" t="s">
        <v>1687</v>
      </c>
      <c r="G330" s="6"/>
      <c r="H330" s="4" t="s">
        <v>1688</v>
      </c>
    </row>
    <row r="331" spans="1:8" ht="15.75" customHeight="1">
      <c r="A331" s="3" t="s">
        <v>1689</v>
      </c>
      <c r="B331" s="3" t="s">
        <v>1690</v>
      </c>
      <c r="C331" s="3" t="s">
        <v>222</v>
      </c>
      <c r="D331" s="4" t="s">
        <v>1691</v>
      </c>
      <c r="E331" s="5" t="s">
        <v>1692</v>
      </c>
      <c r="F331" s="6"/>
      <c r="G331" s="6"/>
      <c r="H331" s="4" t="s">
        <v>1693</v>
      </c>
    </row>
    <row r="332" spans="1:8" ht="15.75" customHeight="1">
      <c r="A332" s="3" t="s">
        <v>69</v>
      </c>
      <c r="B332" s="3" t="s">
        <v>657</v>
      </c>
      <c r="C332" s="3" t="s">
        <v>1694</v>
      </c>
      <c r="D332" s="4" t="s">
        <v>1695</v>
      </c>
      <c r="E332" s="6"/>
      <c r="F332" s="8">
        <f>525529947707</f>
        <v>525529947707</v>
      </c>
      <c r="G332" s="6"/>
      <c r="H332" s="4" t="s">
        <v>1696</v>
      </c>
    </row>
    <row r="333" spans="1:8" ht="15.75" customHeight="1">
      <c r="A333" s="3" t="s">
        <v>1697</v>
      </c>
      <c r="B333" s="3" t="s">
        <v>1698</v>
      </c>
      <c r="C333" s="3" t="s">
        <v>1699</v>
      </c>
      <c r="D333" s="4" t="s">
        <v>1700</v>
      </c>
      <c r="E333" s="5" t="s">
        <v>1701</v>
      </c>
      <c r="F333" s="8">
        <v>525535476107</v>
      </c>
      <c r="G333" s="6"/>
      <c r="H333" s="4" t="s">
        <v>1702</v>
      </c>
    </row>
    <row r="334" spans="1:8" ht="15.75" customHeight="1">
      <c r="A334" s="3" t="s">
        <v>1703</v>
      </c>
      <c r="B334" s="3" t="s">
        <v>1704</v>
      </c>
      <c r="C334" s="3" t="s">
        <v>1705</v>
      </c>
      <c r="D334" s="4" t="s">
        <v>1706</v>
      </c>
      <c r="E334" s="5" t="s">
        <v>1707</v>
      </c>
      <c r="F334" s="5" t="s">
        <v>1708</v>
      </c>
      <c r="G334" s="6"/>
      <c r="H334" s="4" t="s">
        <v>1709</v>
      </c>
    </row>
    <row r="335" spans="1:8" ht="15.75" customHeight="1">
      <c r="A335" s="3" t="s">
        <v>1710</v>
      </c>
      <c r="B335" s="3" t="s">
        <v>1711</v>
      </c>
      <c r="C335" s="3" t="s">
        <v>1712</v>
      </c>
      <c r="D335" s="4" t="s">
        <v>1713</v>
      </c>
      <c r="E335" s="3" t="s">
        <v>1714</v>
      </c>
      <c r="F335" s="6"/>
      <c r="G335" s="6"/>
      <c r="H335" s="4" t="s">
        <v>1715</v>
      </c>
    </row>
    <row r="336" spans="1:8" ht="15.75" customHeight="1">
      <c r="A336" s="3" t="s">
        <v>371</v>
      </c>
      <c r="B336" s="3" t="s">
        <v>1716</v>
      </c>
      <c r="C336" s="3" t="s">
        <v>162</v>
      </c>
      <c r="D336" s="4" t="s">
        <v>1717</v>
      </c>
      <c r="E336" s="6"/>
      <c r="F336" s="9" t="s">
        <v>1718</v>
      </c>
      <c r="G336" s="6"/>
      <c r="H336" s="4" t="s">
        <v>1719</v>
      </c>
    </row>
    <row r="337" spans="1:8" ht="15.75" customHeight="1">
      <c r="A337" s="3" t="s">
        <v>1286</v>
      </c>
      <c r="B337" s="3" t="s">
        <v>1720</v>
      </c>
      <c r="C337" s="3" t="s">
        <v>1721</v>
      </c>
      <c r="D337" s="3" t="s">
        <v>1722</v>
      </c>
      <c r="E337" s="6"/>
      <c r="F337" s="9" t="s">
        <v>1718</v>
      </c>
      <c r="G337" s="6"/>
      <c r="H337" s="4" t="s">
        <v>1719</v>
      </c>
    </row>
    <row r="338" spans="1:8" ht="15.75" customHeight="1">
      <c r="A338" s="3" t="s">
        <v>69</v>
      </c>
      <c r="B338" s="3" t="s">
        <v>20</v>
      </c>
      <c r="C338" s="3" t="s">
        <v>46</v>
      </c>
      <c r="D338" s="4" t="s">
        <v>1723</v>
      </c>
      <c r="E338" s="5" t="s">
        <v>1724</v>
      </c>
      <c r="F338" s="9" t="s">
        <v>1718</v>
      </c>
      <c r="G338" s="5" t="s">
        <v>1725</v>
      </c>
      <c r="H338" s="4" t="s">
        <v>1719</v>
      </c>
    </row>
    <row r="339" spans="1:8" ht="15.75" customHeight="1">
      <c r="A339" s="3" t="s">
        <v>721</v>
      </c>
      <c r="B339" s="3" t="s">
        <v>1229</v>
      </c>
      <c r="C339" s="3" t="s">
        <v>222</v>
      </c>
      <c r="D339" s="3" t="s">
        <v>1726</v>
      </c>
      <c r="E339" s="6"/>
      <c r="F339" s="9" t="s">
        <v>1727</v>
      </c>
      <c r="G339" s="6"/>
      <c r="H339" s="4" t="s">
        <v>1728</v>
      </c>
    </row>
    <row r="340" spans="1:8" ht="15.75" customHeight="1">
      <c r="A340" s="3" t="s">
        <v>1729</v>
      </c>
      <c r="B340" s="3" t="s">
        <v>1730</v>
      </c>
      <c r="C340" s="3" t="s">
        <v>1731</v>
      </c>
      <c r="D340" s="3" t="s">
        <v>1732</v>
      </c>
      <c r="E340" s="6"/>
      <c r="F340" s="9" t="s">
        <v>1727</v>
      </c>
      <c r="G340" s="6"/>
      <c r="H340" s="4" t="s">
        <v>1728</v>
      </c>
    </row>
    <row r="341" spans="1:8" ht="15.75" customHeight="1">
      <c r="A341" s="3" t="s">
        <v>1733</v>
      </c>
      <c r="B341" s="3" t="s">
        <v>1734</v>
      </c>
      <c r="C341" s="3" t="s">
        <v>1735</v>
      </c>
      <c r="D341" s="3" t="s">
        <v>1736</v>
      </c>
      <c r="E341" s="5" t="s">
        <v>1737</v>
      </c>
      <c r="F341" s="9" t="s">
        <v>1727</v>
      </c>
      <c r="G341" s="6"/>
      <c r="H341" s="4" t="s">
        <v>1728</v>
      </c>
    </row>
    <row r="342" spans="1:8" ht="15.75" customHeight="1">
      <c r="A342" s="3" t="s">
        <v>1669</v>
      </c>
      <c r="B342" s="3" t="s">
        <v>1738</v>
      </c>
      <c r="C342" s="3" t="s">
        <v>229</v>
      </c>
      <c r="D342" s="4" t="s">
        <v>1739</v>
      </c>
      <c r="E342" s="9" t="s">
        <v>1740</v>
      </c>
      <c r="F342" s="6"/>
      <c r="G342" s="6"/>
      <c r="H342" s="4" t="s">
        <v>1741</v>
      </c>
    </row>
    <row r="343" spans="1:8" ht="15.75" customHeight="1">
      <c r="A343" s="3" t="s">
        <v>1187</v>
      </c>
      <c r="B343" s="3" t="s">
        <v>1742</v>
      </c>
      <c r="C343" s="3" t="s">
        <v>1743</v>
      </c>
      <c r="D343" s="4" t="s">
        <v>1744</v>
      </c>
      <c r="E343" s="3" t="s">
        <v>1745</v>
      </c>
      <c r="F343" s="6"/>
      <c r="G343" s="6"/>
      <c r="H343" s="4" t="s">
        <v>1741</v>
      </c>
    </row>
    <row r="344" spans="1:8" ht="15.75" customHeight="1">
      <c r="A344" s="3" t="s">
        <v>1746</v>
      </c>
      <c r="B344" s="3" t="s">
        <v>1730</v>
      </c>
      <c r="C344" s="3" t="s">
        <v>1747</v>
      </c>
      <c r="D344" s="4" t="s">
        <v>1748</v>
      </c>
      <c r="E344" s="9" t="s">
        <v>1749</v>
      </c>
      <c r="F344" s="6"/>
      <c r="G344" s="6"/>
      <c r="H344" s="4" t="s">
        <v>1741</v>
      </c>
    </row>
    <row r="345" spans="1:8" ht="15.75" customHeight="1">
      <c r="A345" s="3" t="s">
        <v>1161</v>
      </c>
      <c r="B345" s="3" t="s">
        <v>1750</v>
      </c>
      <c r="C345" s="3" t="s">
        <v>994</v>
      </c>
      <c r="D345" s="4" t="s">
        <v>1751</v>
      </c>
      <c r="E345" s="6"/>
      <c r="F345" s="6"/>
      <c r="G345" s="6"/>
      <c r="H345" s="4" t="s">
        <v>1752</v>
      </c>
    </row>
    <row r="346" spans="1:8" ht="15.75" customHeight="1">
      <c r="A346" s="3" t="s">
        <v>1065</v>
      </c>
      <c r="B346" s="3" t="s">
        <v>1753</v>
      </c>
      <c r="C346" s="3" t="s">
        <v>1754</v>
      </c>
      <c r="D346" s="4" t="s">
        <v>1755</v>
      </c>
      <c r="E346" s="5" t="s">
        <v>1756</v>
      </c>
      <c r="F346" s="6"/>
      <c r="G346" s="6"/>
      <c r="H346" s="4" t="s">
        <v>1757</v>
      </c>
    </row>
    <row r="347" spans="1:8" ht="15.75" customHeight="1">
      <c r="A347" s="3" t="s">
        <v>301</v>
      </c>
      <c r="B347" s="3" t="s">
        <v>1123</v>
      </c>
      <c r="C347" s="3" t="s">
        <v>1758</v>
      </c>
      <c r="D347" s="4" t="s">
        <v>1759</v>
      </c>
      <c r="E347" s="5" t="s">
        <v>1760</v>
      </c>
      <c r="F347" s="5" t="s">
        <v>1761</v>
      </c>
      <c r="G347" s="6"/>
      <c r="H347" s="3" t="s">
        <v>1762</v>
      </c>
    </row>
    <row r="348" spans="1:8" ht="15.75" customHeight="1">
      <c r="A348" s="3" t="s">
        <v>1763</v>
      </c>
      <c r="B348" s="3" t="s">
        <v>801</v>
      </c>
      <c r="C348" s="3" t="s">
        <v>1764</v>
      </c>
      <c r="D348" s="4" t="s">
        <v>1765</v>
      </c>
      <c r="E348" s="6"/>
      <c r="F348" s="5" t="s">
        <v>1766</v>
      </c>
      <c r="G348" s="6"/>
      <c r="H348" s="4" t="s">
        <v>1767</v>
      </c>
    </row>
    <row r="349" spans="1:8" ht="15.75" customHeight="1">
      <c r="A349" s="3" t="s">
        <v>1768</v>
      </c>
      <c r="B349" s="3" t="s">
        <v>1611</v>
      </c>
      <c r="C349" s="3" t="s">
        <v>1769</v>
      </c>
      <c r="D349" s="4" t="s">
        <v>1770</v>
      </c>
      <c r="E349" s="5" t="s">
        <v>1771</v>
      </c>
      <c r="F349" s="6"/>
      <c r="G349" s="6"/>
      <c r="H349" s="4" t="s">
        <v>1772</v>
      </c>
    </row>
    <row r="350" spans="1:8" ht="15.75" customHeight="1">
      <c r="A350" s="3" t="s">
        <v>717</v>
      </c>
      <c r="B350" s="3" t="s">
        <v>1773</v>
      </c>
      <c r="C350" s="3" t="s">
        <v>1774</v>
      </c>
      <c r="D350" s="3" t="s">
        <v>1775</v>
      </c>
      <c r="E350" s="5" t="s">
        <v>1776</v>
      </c>
      <c r="F350" s="6"/>
      <c r="G350" s="6"/>
      <c r="H350" s="4" t="s">
        <v>1777</v>
      </c>
    </row>
    <row r="351" spans="1:8" ht="15.75" customHeight="1">
      <c r="A351" s="3" t="s">
        <v>171</v>
      </c>
      <c r="B351" s="3" t="s">
        <v>1778</v>
      </c>
      <c r="C351" s="3" t="s">
        <v>229</v>
      </c>
      <c r="D351" s="4" t="s">
        <v>1779</v>
      </c>
      <c r="E351" s="6"/>
      <c r="F351" s="9" t="s">
        <v>1780</v>
      </c>
      <c r="G351" s="6"/>
      <c r="H351" s="4" t="s">
        <v>1781</v>
      </c>
    </row>
    <row r="352" spans="1:8" ht="15.75" customHeight="1">
      <c r="A352" s="3" t="s">
        <v>433</v>
      </c>
      <c r="B352" s="3" t="s">
        <v>1782</v>
      </c>
      <c r="C352" s="3" t="s">
        <v>1783</v>
      </c>
      <c r="D352" s="4" t="s">
        <v>1784</v>
      </c>
      <c r="E352" s="3" t="s">
        <v>1785</v>
      </c>
      <c r="F352" s="5" t="s">
        <v>1786</v>
      </c>
      <c r="G352" s="9" t="s">
        <v>1787</v>
      </c>
      <c r="H352" s="4" t="s">
        <v>1788</v>
      </c>
    </row>
    <row r="353" spans="1:8" ht="15.75" customHeight="1">
      <c r="A353" s="3" t="s">
        <v>1241</v>
      </c>
      <c r="B353" s="3" t="s">
        <v>1789</v>
      </c>
      <c r="C353" s="3" t="s">
        <v>1790</v>
      </c>
      <c r="D353" s="4" t="s">
        <v>1791</v>
      </c>
      <c r="E353" s="5" t="s">
        <v>1792</v>
      </c>
      <c r="F353" s="5" t="s">
        <v>1786</v>
      </c>
      <c r="G353" s="5" t="s">
        <v>1793</v>
      </c>
      <c r="H353" s="4" t="s">
        <v>1788</v>
      </c>
    </row>
    <row r="354" spans="1:8" ht="15.75" customHeight="1">
      <c r="A354" s="3" t="s">
        <v>314</v>
      </c>
      <c r="B354" s="3" t="s">
        <v>1794</v>
      </c>
      <c r="C354" s="3" t="s">
        <v>1795</v>
      </c>
      <c r="D354" s="4" t="s">
        <v>1796</v>
      </c>
      <c r="E354" s="5" t="s">
        <v>1797</v>
      </c>
      <c r="F354" s="5" t="s">
        <v>1786</v>
      </c>
      <c r="G354" s="9" t="s">
        <v>1798</v>
      </c>
      <c r="H354" s="4" t="s">
        <v>1788</v>
      </c>
    </row>
    <row r="355" spans="1:8" ht="15.75" customHeight="1">
      <c r="A355" s="3" t="s">
        <v>1799</v>
      </c>
      <c r="B355" s="3" t="s">
        <v>1800</v>
      </c>
      <c r="C355" s="3" t="s">
        <v>1801</v>
      </c>
      <c r="D355" s="3" t="s">
        <v>1802</v>
      </c>
      <c r="E355" s="6"/>
      <c r="F355" s="5" t="s">
        <v>1803</v>
      </c>
      <c r="G355" s="6"/>
      <c r="H355" s="4" t="s">
        <v>1804</v>
      </c>
    </row>
    <row r="356" spans="1:8" ht="15.75" customHeight="1">
      <c r="A356" s="3" t="s">
        <v>969</v>
      </c>
      <c r="B356" s="3" t="s">
        <v>1805</v>
      </c>
      <c r="C356" s="3" t="s">
        <v>1806</v>
      </c>
      <c r="D356" s="4" t="s">
        <v>1807</v>
      </c>
      <c r="E356" s="5" t="s">
        <v>1808</v>
      </c>
      <c r="F356" s="5" t="s">
        <v>1809</v>
      </c>
      <c r="G356" s="6"/>
      <c r="H356" s="4" t="s">
        <v>1810</v>
      </c>
    </row>
    <row r="357" spans="1:8" ht="15.75" customHeight="1">
      <c r="A357" s="3" t="s">
        <v>332</v>
      </c>
      <c r="B357" s="3" t="s">
        <v>1811</v>
      </c>
      <c r="C357" s="3" t="s">
        <v>140</v>
      </c>
      <c r="D357" s="4" t="s">
        <v>1812</v>
      </c>
      <c r="E357" s="5" t="s">
        <v>1813</v>
      </c>
      <c r="F357" s="5" t="s">
        <v>1809</v>
      </c>
      <c r="G357" s="5" t="s">
        <v>1814</v>
      </c>
      <c r="H357" s="4" t="s">
        <v>1810</v>
      </c>
    </row>
    <row r="358" spans="1:8" ht="15.75" customHeight="1">
      <c r="A358" s="3" t="s">
        <v>1815</v>
      </c>
      <c r="B358" s="3" t="s">
        <v>1372</v>
      </c>
      <c r="C358" s="3" t="s">
        <v>443</v>
      </c>
      <c r="D358" s="4" t="s">
        <v>1816</v>
      </c>
      <c r="E358" s="3" t="s">
        <v>1817</v>
      </c>
      <c r="F358" s="5" t="s">
        <v>1809</v>
      </c>
      <c r="G358" s="9" t="s">
        <v>1818</v>
      </c>
      <c r="H358" s="4" t="s">
        <v>1810</v>
      </c>
    </row>
    <row r="359" spans="1:8" ht="15.75" customHeight="1">
      <c r="A359" s="3" t="s">
        <v>1819</v>
      </c>
      <c r="B359" s="3" t="s">
        <v>732</v>
      </c>
      <c r="C359" s="3" t="s">
        <v>1107</v>
      </c>
      <c r="D359" s="3" t="s">
        <v>1820</v>
      </c>
      <c r="E359" s="5" t="s">
        <v>1821</v>
      </c>
      <c r="F359" s="6"/>
      <c r="G359" s="6"/>
      <c r="H359" s="4" t="s">
        <v>1822</v>
      </c>
    </row>
    <row r="360" spans="1:8" ht="15.75" customHeight="1">
      <c r="A360" s="3" t="s">
        <v>1823</v>
      </c>
      <c r="B360" s="3" t="s">
        <v>144</v>
      </c>
      <c r="C360" s="3" t="s">
        <v>1824</v>
      </c>
      <c r="D360" s="4" t="s">
        <v>1825</v>
      </c>
      <c r="E360" s="5" t="s">
        <v>1826</v>
      </c>
      <c r="F360" s="6"/>
      <c r="G360" s="6"/>
      <c r="H360" s="4" t="s">
        <v>1827</v>
      </c>
    </row>
    <row r="361" spans="1:8" ht="15.75" customHeight="1">
      <c r="A361" s="3" t="s">
        <v>1828</v>
      </c>
      <c r="B361" s="3" t="s">
        <v>1829</v>
      </c>
      <c r="C361" s="3" t="s">
        <v>1830</v>
      </c>
      <c r="D361" s="4" t="s">
        <v>1831</v>
      </c>
      <c r="E361" s="3" t="s">
        <v>1832</v>
      </c>
      <c r="F361" s="8">
        <v>528112230200</v>
      </c>
      <c r="G361" s="9" t="s">
        <v>1833</v>
      </c>
      <c r="H361" s="4" t="s">
        <v>1834</v>
      </c>
    </row>
    <row r="362" spans="1:8" ht="15.75" customHeight="1">
      <c r="A362" s="3" t="s">
        <v>203</v>
      </c>
      <c r="B362" s="3" t="s">
        <v>1835</v>
      </c>
      <c r="C362" s="3" t="s">
        <v>1836</v>
      </c>
      <c r="D362" s="4" t="s">
        <v>1837</v>
      </c>
      <c r="E362" s="6"/>
      <c r="F362" s="8">
        <v>528112230200</v>
      </c>
      <c r="G362" s="5" t="s">
        <v>1838</v>
      </c>
      <c r="H362" s="4" t="s">
        <v>1834</v>
      </c>
    </row>
    <row r="363" spans="1:8" ht="15.75" customHeight="1">
      <c r="A363" s="3" t="s">
        <v>422</v>
      </c>
      <c r="B363" s="3" t="s">
        <v>452</v>
      </c>
      <c r="C363" s="3" t="s">
        <v>1839</v>
      </c>
      <c r="D363" s="4" t="s">
        <v>1840</v>
      </c>
      <c r="E363" s="6"/>
      <c r="F363" s="8">
        <v>528112230200</v>
      </c>
      <c r="G363" s="6"/>
      <c r="H363" s="4" t="s">
        <v>1834</v>
      </c>
    </row>
    <row r="364" spans="1:8" ht="15.75" customHeight="1">
      <c r="A364" s="3" t="s">
        <v>1841</v>
      </c>
      <c r="B364" s="3" t="s">
        <v>1842</v>
      </c>
      <c r="C364" s="3" t="s">
        <v>1843</v>
      </c>
      <c r="D364" s="4" t="s">
        <v>1844</v>
      </c>
      <c r="E364" s="3" t="s">
        <v>1845</v>
      </c>
      <c r="F364" s="9" t="s">
        <v>1846</v>
      </c>
      <c r="G364" s="5" t="s">
        <v>1838</v>
      </c>
      <c r="H364" s="4" t="s">
        <v>1834</v>
      </c>
    </row>
    <row r="365" spans="1:8" ht="15.75" customHeight="1">
      <c r="A365" s="3" t="s">
        <v>1847</v>
      </c>
      <c r="B365" s="3" t="s">
        <v>1848</v>
      </c>
      <c r="C365" s="3" t="s">
        <v>1849</v>
      </c>
      <c r="D365" s="4" t="s">
        <v>1850</v>
      </c>
      <c r="E365" s="3" t="s">
        <v>1851</v>
      </c>
      <c r="F365" s="8">
        <v>528112230200</v>
      </c>
      <c r="G365" s="6"/>
      <c r="H365" s="4" t="s">
        <v>1834</v>
      </c>
    </row>
    <row r="366" spans="1:8" ht="15.75" customHeight="1">
      <c r="A366" s="3" t="s">
        <v>1852</v>
      </c>
      <c r="B366" s="3" t="s">
        <v>1853</v>
      </c>
      <c r="C366" s="3" t="s">
        <v>1854</v>
      </c>
      <c r="D366" s="4" t="s">
        <v>1855</v>
      </c>
      <c r="E366" s="6"/>
      <c r="F366" s="6"/>
      <c r="G366" s="6"/>
      <c r="H366" s="4" t="s">
        <v>1856</v>
      </c>
    </row>
    <row r="367" spans="1:8" ht="15.75" customHeight="1">
      <c r="A367" s="3" t="s">
        <v>1175</v>
      </c>
      <c r="B367" s="3" t="s">
        <v>1857</v>
      </c>
      <c r="C367" s="3" t="s">
        <v>1858</v>
      </c>
      <c r="D367" s="4" t="s">
        <v>1859</v>
      </c>
      <c r="E367" s="6"/>
      <c r="F367" s="6"/>
      <c r="G367" s="6"/>
      <c r="H367" s="4" t="s">
        <v>1860</v>
      </c>
    </row>
    <row r="368" spans="1:8" ht="15.75" hidden="1" customHeight="1">
      <c r="A368" s="3" t="s">
        <v>1861</v>
      </c>
      <c r="B368" s="3" t="s">
        <v>1862</v>
      </c>
      <c r="C368" s="3" t="s">
        <v>1863</v>
      </c>
      <c r="D368" s="4" t="s">
        <v>1864</v>
      </c>
      <c r="E368" s="3" t="s">
        <v>1865</v>
      </c>
      <c r="F368" s="3" t="s">
        <v>1866</v>
      </c>
      <c r="G368" s="6"/>
      <c r="H368" s="4" t="s">
        <v>1867</v>
      </c>
    </row>
    <row r="369" spans="1:8" ht="15.75" customHeight="1">
      <c r="A369" s="3" t="s">
        <v>1868</v>
      </c>
      <c r="B369" s="3" t="s">
        <v>1869</v>
      </c>
      <c r="C369" s="3" t="s">
        <v>602</v>
      </c>
      <c r="D369" s="4" t="s">
        <v>1870</v>
      </c>
      <c r="E369" s="3" t="s">
        <v>1871</v>
      </c>
      <c r="F369" s="3">
        <v>8128619113</v>
      </c>
      <c r="G369" s="6"/>
      <c r="H369" s="4" t="s">
        <v>1872</v>
      </c>
    </row>
    <row r="370" spans="1:8" ht="15.75" customHeight="1">
      <c r="A370" s="3" t="s">
        <v>1873</v>
      </c>
      <c r="B370" s="3" t="s">
        <v>1874</v>
      </c>
      <c r="C370" s="3" t="s">
        <v>1875</v>
      </c>
      <c r="D370" s="4" t="s">
        <v>1876</v>
      </c>
      <c r="E370" s="3" t="s">
        <v>1877</v>
      </c>
      <c r="F370" s="3">
        <v>8128619113</v>
      </c>
      <c r="G370" s="6"/>
      <c r="H370" s="4" t="s">
        <v>1872</v>
      </c>
    </row>
    <row r="371" spans="1:8" ht="15.75" customHeight="1">
      <c r="A371" s="3" t="s">
        <v>1878</v>
      </c>
      <c r="B371" s="3" t="s">
        <v>1862</v>
      </c>
      <c r="C371" s="24" t="s">
        <v>1879</v>
      </c>
      <c r="D371" s="4" t="s">
        <v>1880</v>
      </c>
      <c r="E371" s="3" t="s">
        <v>1881</v>
      </c>
      <c r="F371" s="3" t="s">
        <v>1882</v>
      </c>
      <c r="G371" s="6"/>
      <c r="H371" s="4" t="s">
        <v>1883</v>
      </c>
    </row>
    <row r="372" spans="1:8" ht="15.75" customHeight="1">
      <c r="A372" s="3" t="s">
        <v>1884</v>
      </c>
      <c r="B372" s="3" t="s">
        <v>45</v>
      </c>
      <c r="C372" s="25" t="s">
        <v>1885</v>
      </c>
      <c r="D372" s="4" t="s">
        <v>1886</v>
      </c>
      <c r="E372" s="3" t="s">
        <v>1887</v>
      </c>
      <c r="F372" s="3" t="s">
        <v>1888</v>
      </c>
      <c r="G372" s="6"/>
      <c r="H372" s="4" t="s">
        <v>1883</v>
      </c>
    </row>
    <row r="373" spans="1:8" ht="15.75" customHeight="1">
      <c r="A373" s="3" t="s">
        <v>1889</v>
      </c>
      <c r="B373" s="3" t="s">
        <v>1829</v>
      </c>
      <c r="C373" s="16" t="s">
        <v>1830</v>
      </c>
      <c r="D373" s="4" t="s">
        <v>1890</v>
      </c>
      <c r="E373" s="3" t="s">
        <v>1891</v>
      </c>
      <c r="F373" s="3" t="s">
        <v>1892</v>
      </c>
      <c r="G373" s="6"/>
      <c r="H373" s="4" t="s">
        <v>1883</v>
      </c>
    </row>
    <row r="374" spans="1:8" ht="15.75" customHeight="1">
      <c r="A374" s="3" t="s">
        <v>1893</v>
      </c>
      <c r="B374" s="3" t="s">
        <v>1894</v>
      </c>
      <c r="C374" s="16" t="s">
        <v>1895</v>
      </c>
      <c r="D374" s="4" t="s">
        <v>1896</v>
      </c>
      <c r="E374" s="3" t="s">
        <v>1897</v>
      </c>
      <c r="F374" s="3" t="s">
        <v>1898</v>
      </c>
      <c r="G374" s="6"/>
      <c r="H374" s="4" t="s">
        <v>1883</v>
      </c>
    </row>
    <row r="375" spans="1:8" ht="15.75" customHeight="1">
      <c r="A375" s="3" t="s">
        <v>1899</v>
      </c>
      <c r="B375" s="3" t="s">
        <v>1900</v>
      </c>
      <c r="C375" s="3" t="s">
        <v>1901</v>
      </c>
      <c r="D375" s="4" t="s">
        <v>1902</v>
      </c>
      <c r="E375" s="3" t="s">
        <v>1903</v>
      </c>
      <c r="F375" s="3" t="s">
        <v>1904</v>
      </c>
      <c r="G375" s="6"/>
      <c r="H375" s="4" t="s">
        <v>1905</v>
      </c>
    </row>
    <row r="376" spans="1:8" ht="15.75" customHeight="1">
      <c r="A376" s="3" t="s">
        <v>1906</v>
      </c>
      <c r="B376" s="3" t="s">
        <v>333</v>
      </c>
      <c r="C376" s="3" t="s">
        <v>1907</v>
      </c>
      <c r="D376" s="4" t="s">
        <v>1908</v>
      </c>
      <c r="E376" s="3" t="s">
        <v>1909</v>
      </c>
      <c r="F376" s="3" t="s">
        <v>1910</v>
      </c>
      <c r="G376" s="6"/>
      <c r="H376" s="4" t="s">
        <v>1905</v>
      </c>
    </row>
    <row r="377" spans="1:8" ht="15.75" customHeight="1">
      <c r="A377" s="3" t="s">
        <v>1911</v>
      </c>
      <c r="B377" s="3" t="s">
        <v>1874</v>
      </c>
      <c r="C377" s="3" t="s">
        <v>229</v>
      </c>
      <c r="D377" s="4" t="s">
        <v>1912</v>
      </c>
      <c r="E377" s="3" t="s">
        <v>1913</v>
      </c>
      <c r="F377" s="3" t="s">
        <v>1914</v>
      </c>
      <c r="G377" s="6"/>
      <c r="H377" s="4" t="s">
        <v>1905</v>
      </c>
    </row>
    <row r="378" spans="1:8" ht="15.75" customHeight="1">
      <c r="A378" s="3" t="s">
        <v>1915</v>
      </c>
      <c r="B378" s="3" t="s">
        <v>1916</v>
      </c>
      <c r="C378" s="3" t="s">
        <v>229</v>
      </c>
      <c r="D378" s="26" t="s">
        <v>1917</v>
      </c>
      <c r="E378" s="3" t="s">
        <v>1918</v>
      </c>
      <c r="F378" s="3">
        <f>529988923542</f>
        <v>529988923542</v>
      </c>
      <c r="G378" s="6"/>
      <c r="H378" s="27" t="s">
        <v>1919</v>
      </c>
    </row>
    <row r="379" spans="1:8" ht="15.75" customHeight="1">
      <c r="A379" s="3" t="s">
        <v>1920</v>
      </c>
      <c r="B379" s="3" t="s">
        <v>1921</v>
      </c>
      <c r="C379" s="3" t="s">
        <v>1922</v>
      </c>
      <c r="D379" s="26" t="s">
        <v>1917</v>
      </c>
      <c r="E379" s="3" t="s">
        <v>1923</v>
      </c>
      <c r="F379" s="3" t="s">
        <v>1924</v>
      </c>
      <c r="G379" s="6"/>
      <c r="H379" s="4" t="s">
        <v>1925</v>
      </c>
    </row>
    <row r="380" spans="1:8" ht="15.75" customHeight="1">
      <c r="A380" s="3" t="s">
        <v>1926</v>
      </c>
      <c r="B380" s="3" t="s">
        <v>1927</v>
      </c>
      <c r="C380" s="3" t="s">
        <v>109</v>
      </c>
      <c r="D380" s="4" t="s">
        <v>1928</v>
      </c>
      <c r="E380" s="3" t="s">
        <v>1929</v>
      </c>
      <c r="F380" s="3">
        <f>529988923542</f>
        <v>529988923542</v>
      </c>
      <c r="G380" s="6"/>
      <c r="H380" s="27" t="s">
        <v>1930</v>
      </c>
    </row>
    <row r="381" spans="1:8" ht="15.75" customHeight="1">
      <c r="A381" s="3" t="s">
        <v>1931</v>
      </c>
      <c r="B381" s="3" t="s">
        <v>1932</v>
      </c>
      <c r="C381" s="3" t="s">
        <v>109</v>
      </c>
      <c r="D381" s="4" t="s">
        <v>1933</v>
      </c>
      <c r="E381" s="3" t="s">
        <v>1934</v>
      </c>
      <c r="F381" s="28" t="s">
        <v>1935</v>
      </c>
      <c r="G381" s="6"/>
      <c r="H381" s="4" t="s">
        <v>1936</v>
      </c>
    </row>
    <row r="382" spans="1:8" ht="15.75" customHeight="1">
      <c r="A382" s="3" t="s">
        <v>1937</v>
      </c>
      <c r="B382" s="3" t="s">
        <v>1938</v>
      </c>
      <c r="C382" s="3" t="s">
        <v>1939</v>
      </c>
      <c r="D382" s="4" t="s">
        <v>1940</v>
      </c>
      <c r="E382" s="3" t="s">
        <v>1941</v>
      </c>
      <c r="F382" s="3">
        <v>5552008214</v>
      </c>
      <c r="G382" s="29">
        <v>5552465593</v>
      </c>
      <c r="H382" s="4" t="s">
        <v>1942</v>
      </c>
    </row>
    <row r="383" spans="1:8" ht="15.75" customHeight="1">
      <c r="A383" s="3" t="s">
        <v>1943</v>
      </c>
      <c r="B383" s="3" t="s">
        <v>1944</v>
      </c>
      <c r="C383" s="3" t="s">
        <v>1945</v>
      </c>
      <c r="D383" s="4" t="s">
        <v>1946</v>
      </c>
      <c r="E383" s="3" t="s">
        <v>1947</v>
      </c>
      <c r="F383" s="3">
        <v>5552008214</v>
      </c>
      <c r="G383" s="29">
        <v>5552465594</v>
      </c>
      <c r="H383" s="4" t="s">
        <v>1942</v>
      </c>
    </row>
    <row r="384" spans="1:8" ht="15.75" customHeight="1">
      <c r="A384" s="3" t="s">
        <v>1948</v>
      </c>
      <c r="B384" s="3" t="s">
        <v>1949</v>
      </c>
      <c r="C384" s="3" t="s">
        <v>1950</v>
      </c>
      <c r="D384" s="4" t="s">
        <v>1951</v>
      </c>
      <c r="E384" s="3" t="s">
        <v>1952</v>
      </c>
      <c r="F384" s="3">
        <v>5552008214</v>
      </c>
      <c r="G384" s="6"/>
      <c r="H384" s="4" t="s">
        <v>1942</v>
      </c>
    </row>
    <row r="385" spans="1:8" ht="15.75" customHeight="1">
      <c r="A385" s="3" t="s">
        <v>1953</v>
      </c>
      <c r="B385" s="3" t="s">
        <v>1954</v>
      </c>
      <c r="C385" s="3" t="s">
        <v>229</v>
      </c>
      <c r="D385" s="4" t="s">
        <v>1955</v>
      </c>
      <c r="E385" s="5" t="s">
        <v>1956</v>
      </c>
      <c r="F385" s="9" t="s">
        <v>1957</v>
      </c>
      <c r="G385" s="6"/>
      <c r="H385" s="4" t="s">
        <v>1958</v>
      </c>
    </row>
    <row r="386" spans="1:8" ht="15.75" customHeight="1">
      <c r="A386" s="3" t="s">
        <v>624</v>
      </c>
      <c r="B386" s="3" t="s">
        <v>1959</v>
      </c>
      <c r="C386" s="3" t="s">
        <v>1960</v>
      </c>
      <c r="D386" s="4" t="s">
        <v>1961</v>
      </c>
      <c r="E386" s="3" t="s">
        <v>1962</v>
      </c>
      <c r="F386" s="8">
        <f>528181220000</f>
        <v>528181220000</v>
      </c>
      <c r="G386" s="6"/>
      <c r="H386" s="4" t="s">
        <v>1963</v>
      </c>
    </row>
    <row r="387" spans="1:8" ht="15.75" customHeight="1">
      <c r="A387" s="3" t="s">
        <v>1964</v>
      </c>
      <c r="B387" s="3" t="s">
        <v>1965</v>
      </c>
      <c r="C387" s="3" t="s">
        <v>1966</v>
      </c>
      <c r="D387" s="4" t="s">
        <v>1967</v>
      </c>
      <c r="E387" s="5" t="s">
        <v>1968</v>
      </c>
      <c r="F387" s="9" t="s">
        <v>1969</v>
      </c>
      <c r="G387" s="6"/>
      <c r="H387" s="4" t="s">
        <v>1970</v>
      </c>
    </row>
    <row r="388" spans="1:8" ht="15.75" customHeight="1">
      <c r="A388" s="3" t="s">
        <v>1971</v>
      </c>
      <c r="B388" s="3" t="s">
        <v>1972</v>
      </c>
      <c r="C388" s="3" t="s">
        <v>1973</v>
      </c>
      <c r="D388" s="4" t="s">
        <v>1974</v>
      </c>
      <c r="E388" s="5" t="s">
        <v>1975</v>
      </c>
      <c r="F388" s="5" t="s">
        <v>1976</v>
      </c>
      <c r="G388" s="6"/>
      <c r="H388" s="3" t="s">
        <v>1977</v>
      </c>
    </row>
    <row r="389" spans="1:8" ht="15.75" customHeight="1">
      <c r="A389" s="3" t="s">
        <v>789</v>
      </c>
      <c r="B389" s="3" t="s">
        <v>1978</v>
      </c>
      <c r="C389" s="3" t="s">
        <v>222</v>
      </c>
      <c r="D389" s="4" t="s">
        <v>1979</v>
      </c>
      <c r="E389" s="6"/>
      <c r="F389" s="6"/>
      <c r="G389" s="6"/>
      <c r="H389" s="4" t="s">
        <v>1980</v>
      </c>
    </row>
    <row r="390" spans="1:8" ht="15.75" customHeight="1">
      <c r="A390" s="3" t="s">
        <v>1981</v>
      </c>
      <c r="B390" s="3" t="s">
        <v>1982</v>
      </c>
      <c r="C390" s="3" t="s">
        <v>765</v>
      </c>
      <c r="D390" s="4" t="s">
        <v>1983</v>
      </c>
      <c r="E390" s="5" t="s">
        <v>1984</v>
      </c>
      <c r="F390" s="5" t="s">
        <v>1985</v>
      </c>
      <c r="G390" s="9" t="s">
        <v>1986</v>
      </c>
      <c r="H390" s="4" t="s">
        <v>1987</v>
      </c>
    </row>
    <row r="391" spans="1:8" ht="15.75" customHeight="1">
      <c r="A391" s="3" t="s">
        <v>1988</v>
      </c>
      <c r="B391" s="3" t="s">
        <v>221</v>
      </c>
      <c r="C391" s="3" t="s">
        <v>222</v>
      </c>
      <c r="D391" s="4" t="s">
        <v>1989</v>
      </c>
      <c r="E391" s="5" t="s">
        <v>1990</v>
      </c>
      <c r="F391" s="5" t="s">
        <v>1985</v>
      </c>
      <c r="G391" s="6"/>
      <c r="H391" s="4" t="s">
        <v>1987</v>
      </c>
    </row>
    <row r="392" spans="1:8" ht="15.75" customHeight="1">
      <c r="A392" s="3" t="s">
        <v>433</v>
      </c>
      <c r="B392" s="3" t="s">
        <v>1811</v>
      </c>
      <c r="C392" s="3" t="s">
        <v>91</v>
      </c>
      <c r="D392" s="4" t="s">
        <v>1991</v>
      </c>
      <c r="E392" s="3" t="s">
        <v>1992</v>
      </c>
      <c r="F392" s="5" t="s">
        <v>1985</v>
      </c>
      <c r="G392" s="6"/>
      <c r="H392" s="4" t="s">
        <v>1987</v>
      </c>
    </row>
    <row r="393" spans="1:8" ht="15.75" customHeight="1">
      <c r="A393" s="3" t="s">
        <v>848</v>
      </c>
      <c r="B393" s="3" t="s">
        <v>1993</v>
      </c>
      <c r="C393" s="3" t="s">
        <v>1994</v>
      </c>
      <c r="D393" s="4" t="s">
        <v>1995</v>
      </c>
      <c r="E393" s="5" t="s">
        <v>1996</v>
      </c>
      <c r="F393" s="9" t="s">
        <v>1997</v>
      </c>
      <c r="G393" s="8">
        <v>55111928100</v>
      </c>
      <c r="H393" s="4" t="s">
        <v>1998</v>
      </c>
    </row>
    <row r="394" spans="1:8" ht="15.75" customHeight="1">
      <c r="A394" s="3" t="s">
        <v>1999</v>
      </c>
      <c r="B394" s="3" t="s">
        <v>2000</v>
      </c>
      <c r="C394" s="3" t="s">
        <v>2001</v>
      </c>
      <c r="D394" s="4" t="s">
        <v>2002</v>
      </c>
      <c r="E394" s="5" t="s">
        <v>2003</v>
      </c>
      <c r="F394" s="9" t="s">
        <v>2004</v>
      </c>
      <c r="G394" s="6"/>
      <c r="H394" s="4" t="s">
        <v>2005</v>
      </c>
    </row>
    <row r="395" spans="1:8" ht="15.75" customHeight="1">
      <c r="A395" s="3" t="s">
        <v>1105</v>
      </c>
      <c r="B395" s="3" t="s">
        <v>2006</v>
      </c>
      <c r="C395" s="3" t="s">
        <v>2007</v>
      </c>
      <c r="D395" s="4" t="s">
        <v>2008</v>
      </c>
      <c r="E395" s="6"/>
      <c r="F395" s="9" t="s">
        <v>2009</v>
      </c>
      <c r="G395" s="6"/>
      <c r="H395" s="4" t="s">
        <v>2010</v>
      </c>
    </row>
    <row r="396" spans="1:8" ht="15.75" customHeight="1">
      <c r="A396" s="3" t="s">
        <v>2011</v>
      </c>
      <c r="B396" s="3" t="s">
        <v>2012</v>
      </c>
      <c r="C396" s="3" t="s">
        <v>229</v>
      </c>
      <c r="D396" s="4" t="s">
        <v>2013</v>
      </c>
      <c r="E396" s="3" t="s">
        <v>2014</v>
      </c>
      <c r="F396" s="9" t="s">
        <v>2015</v>
      </c>
      <c r="G396" s="9" t="s">
        <v>2016</v>
      </c>
      <c r="H396" s="4" t="s">
        <v>2017</v>
      </c>
    </row>
    <row r="397" spans="1:8" ht="15.75" customHeight="1">
      <c r="A397" s="3" t="s">
        <v>439</v>
      </c>
      <c r="B397" s="3" t="s">
        <v>2018</v>
      </c>
      <c r="C397" s="3" t="s">
        <v>2019</v>
      </c>
      <c r="D397" s="4" t="s">
        <v>2020</v>
      </c>
      <c r="E397" s="5" t="s">
        <v>2021</v>
      </c>
      <c r="F397" s="12">
        <v>525552807025</v>
      </c>
      <c r="G397" s="6"/>
      <c r="H397" s="4" t="s">
        <v>2022</v>
      </c>
    </row>
    <row r="398" spans="1:8" ht="15.75" customHeight="1">
      <c r="A398" s="3" t="s">
        <v>75</v>
      </c>
      <c r="B398" s="3" t="s">
        <v>2023</v>
      </c>
      <c r="C398" s="3" t="s">
        <v>109</v>
      </c>
      <c r="D398" s="4" t="s">
        <v>2024</v>
      </c>
      <c r="E398" s="5" t="s">
        <v>2025</v>
      </c>
      <c r="F398" s="12">
        <v>525552807025</v>
      </c>
      <c r="G398" s="9" t="s">
        <v>2026</v>
      </c>
      <c r="H398" s="4" t="s">
        <v>2022</v>
      </c>
    </row>
    <row r="399" spans="1:8" ht="15.75" customHeight="1">
      <c r="A399" s="3" t="s">
        <v>2027</v>
      </c>
      <c r="B399" s="3" t="s">
        <v>1209</v>
      </c>
      <c r="C399" s="3" t="s">
        <v>46</v>
      </c>
      <c r="D399" s="4" t="s">
        <v>2028</v>
      </c>
      <c r="E399" s="3" t="s">
        <v>2029</v>
      </c>
      <c r="F399" s="5" t="s">
        <v>2030</v>
      </c>
      <c r="G399" s="5" t="s">
        <v>2031</v>
      </c>
      <c r="H399" s="4" t="s">
        <v>2032</v>
      </c>
    </row>
    <row r="400" spans="1:8" ht="15.75" customHeight="1">
      <c r="A400" s="3" t="s">
        <v>439</v>
      </c>
      <c r="B400" s="3" t="s">
        <v>2033</v>
      </c>
      <c r="C400" s="3" t="s">
        <v>602</v>
      </c>
      <c r="D400" s="3" t="s">
        <v>2034</v>
      </c>
      <c r="E400" s="6"/>
      <c r="F400" s="6"/>
      <c r="G400" s="6"/>
      <c r="H400" s="4" t="s">
        <v>2035</v>
      </c>
    </row>
    <row r="401" spans="1:8" ht="15.75" customHeight="1">
      <c r="A401" s="3" t="s">
        <v>417</v>
      </c>
      <c r="B401" s="3" t="s">
        <v>2036</v>
      </c>
      <c r="C401" s="3" t="s">
        <v>2037</v>
      </c>
      <c r="D401" s="4" t="s">
        <v>2038</v>
      </c>
      <c r="E401" s="6"/>
      <c r="F401" s="9" t="s">
        <v>2039</v>
      </c>
      <c r="G401" s="6"/>
      <c r="H401" s="4" t="s">
        <v>2040</v>
      </c>
    </row>
    <row r="402" spans="1:8" ht="15.75" customHeight="1">
      <c r="A402" s="3" t="s">
        <v>2041</v>
      </c>
      <c r="B402" s="3" t="s">
        <v>2042</v>
      </c>
      <c r="C402" s="3" t="s">
        <v>2043</v>
      </c>
      <c r="D402" s="4" t="s">
        <v>2044</v>
      </c>
      <c r="E402" s="6"/>
      <c r="F402" s="9" t="s">
        <v>2039</v>
      </c>
      <c r="G402" s="6"/>
      <c r="H402" s="4" t="s">
        <v>2040</v>
      </c>
    </row>
    <row r="403" spans="1:8" ht="15.75" customHeight="1">
      <c r="A403" s="3" t="s">
        <v>1475</v>
      </c>
      <c r="B403" s="3" t="s">
        <v>45</v>
      </c>
      <c r="C403" s="3" t="s">
        <v>625</v>
      </c>
      <c r="D403" s="4" t="s">
        <v>2045</v>
      </c>
      <c r="E403" s="6"/>
      <c r="F403" s="9" t="s">
        <v>2039</v>
      </c>
      <c r="G403" s="6"/>
      <c r="H403" s="4" t="s">
        <v>2040</v>
      </c>
    </row>
    <row r="404" spans="1:8" ht="15.75" customHeight="1">
      <c r="A404" s="3" t="s">
        <v>94</v>
      </c>
      <c r="B404" s="3" t="s">
        <v>2046</v>
      </c>
      <c r="C404" s="3" t="s">
        <v>2047</v>
      </c>
      <c r="D404" s="4" t="s">
        <v>2048</v>
      </c>
      <c r="E404" s="6"/>
      <c r="F404" s="9" t="s">
        <v>2049</v>
      </c>
      <c r="G404" s="6"/>
      <c r="H404" s="4" t="s">
        <v>2050</v>
      </c>
    </row>
    <row r="405" spans="1:8" ht="15.75" customHeight="1">
      <c r="A405" s="3" t="s">
        <v>2051</v>
      </c>
      <c r="B405" s="3" t="s">
        <v>2052</v>
      </c>
      <c r="C405" s="3" t="s">
        <v>46</v>
      </c>
      <c r="D405" s="4" t="s">
        <v>2053</v>
      </c>
      <c r="E405" s="5" t="s">
        <v>2054</v>
      </c>
      <c r="F405" s="6"/>
      <c r="G405" s="6"/>
      <c r="H405" s="4" t="s">
        <v>2055</v>
      </c>
    </row>
    <row r="406" spans="1:8" ht="15.75" customHeight="1">
      <c r="A406" s="3" t="s">
        <v>721</v>
      </c>
      <c r="B406" s="3" t="s">
        <v>277</v>
      </c>
      <c r="C406" s="3" t="s">
        <v>46</v>
      </c>
      <c r="D406" s="4" t="s">
        <v>2056</v>
      </c>
      <c r="E406" s="5" t="s">
        <v>2057</v>
      </c>
      <c r="F406" s="6"/>
      <c r="G406" s="6"/>
      <c r="H406" s="4" t="s">
        <v>2058</v>
      </c>
    </row>
    <row r="407" spans="1:8" ht="15.75" customHeight="1">
      <c r="A407" s="3" t="s">
        <v>1338</v>
      </c>
      <c r="B407" s="3" t="s">
        <v>1055</v>
      </c>
      <c r="C407" s="3" t="s">
        <v>2059</v>
      </c>
      <c r="D407" s="4" t="s">
        <v>2060</v>
      </c>
      <c r="E407" s="5" t="s">
        <v>2061</v>
      </c>
      <c r="F407" s="9" t="s">
        <v>2062</v>
      </c>
      <c r="G407" s="6"/>
      <c r="H407" s="4" t="s">
        <v>2063</v>
      </c>
    </row>
    <row r="408" spans="1:8" ht="15.75" customHeight="1">
      <c r="A408" s="3" t="s">
        <v>69</v>
      </c>
      <c r="B408" s="3" t="s">
        <v>2064</v>
      </c>
      <c r="C408" s="3" t="s">
        <v>2065</v>
      </c>
      <c r="D408" s="4" t="s">
        <v>2066</v>
      </c>
      <c r="E408" s="3" t="s">
        <v>2067</v>
      </c>
      <c r="F408" s="9" t="s">
        <v>2062</v>
      </c>
      <c r="G408" s="9" t="s">
        <v>2068</v>
      </c>
      <c r="H408" s="4" t="s">
        <v>2063</v>
      </c>
    </row>
    <row r="409" spans="1:8" ht="15.75" customHeight="1">
      <c r="A409" s="3" t="s">
        <v>394</v>
      </c>
      <c r="B409" s="3" t="s">
        <v>2069</v>
      </c>
      <c r="C409" s="3" t="s">
        <v>222</v>
      </c>
      <c r="D409" s="4" t="s">
        <v>2070</v>
      </c>
      <c r="E409" s="6"/>
      <c r="F409" s="9" t="s">
        <v>2071</v>
      </c>
      <c r="G409" s="6"/>
      <c r="H409" s="4" t="s">
        <v>2072</v>
      </c>
    </row>
    <row r="410" spans="1:8" ht="15.75" customHeight="1">
      <c r="A410" s="3" t="s">
        <v>2073</v>
      </c>
      <c r="B410" s="3" t="s">
        <v>2074</v>
      </c>
      <c r="C410" s="3" t="s">
        <v>2075</v>
      </c>
      <c r="D410" s="4" t="s">
        <v>2076</v>
      </c>
      <c r="E410" s="6"/>
      <c r="F410" s="6"/>
      <c r="G410" s="6"/>
      <c r="H410" s="4" t="s">
        <v>2077</v>
      </c>
    </row>
    <row r="411" spans="1:8" ht="15.75" customHeight="1">
      <c r="A411" s="3" t="s">
        <v>2078</v>
      </c>
      <c r="B411" s="3" t="s">
        <v>2079</v>
      </c>
      <c r="C411" s="3" t="s">
        <v>2080</v>
      </c>
      <c r="D411" s="4" t="s">
        <v>2081</v>
      </c>
      <c r="E411" s="5" t="s">
        <v>2082</v>
      </c>
      <c r="F411" s="5">
        <v>525543393043</v>
      </c>
      <c r="G411" s="6"/>
      <c r="H411" s="4" t="s">
        <v>2077</v>
      </c>
    </row>
    <row r="412" spans="1:8" ht="15.75" customHeight="1">
      <c r="A412" s="3" t="s">
        <v>2083</v>
      </c>
      <c r="B412" s="3" t="s">
        <v>2084</v>
      </c>
      <c r="C412" s="3" t="s">
        <v>2085</v>
      </c>
      <c r="D412" s="4" t="s">
        <v>2086</v>
      </c>
      <c r="E412" s="3" t="s">
        <v>2087</v>
      </c>
      <c r="F412" s="9">
        <v>52.555148699999997</v>
      </c>
      <c r="G412" s="6"/>
      <c r="H412" s="4" t="s">
        <v>2077</v>
      </c>
    </row>
    <row r="413" spans="1:8" ht="15.75" customHeight="1">
      <c r="A413" s="3" t="s">
        <v>171</v>
      </c>
      <c r="B413" s="3" t="s">
        <v>2088</v>
      </c>
      <c r="C413" s="3" t="s">
        <v>2089</v>
      </c>
      <c r="D413" s="4" t="s">
        <v>2090</v>
      </c>
      <c r="E413" s="5" t="s">
        <v>2091</v>
      </c>
      <c r="F413" s="9" t="s">
        <v>2092</v>
      </c>
      <c r="G413" s="6"/>
      <c r="H413" s="4" t="s">
        <v>2093</v>
      </c>
    </row>
    <row r="414" spans="1:8" ht="15.75" customHeight="1">
      <c r="A414" s="3" t="s">
        <v>2094</v>
      </c>
      <c r="B414" s="3" t="s">
        <v>2095</v>
      </c>
      <c r="C414" s="3" t="s">
        <v>2096</v>
      </c>
      <c r="D414" s="6"/>
      <c r="E414" s="5" t="s">
        <v>2097</v>
      </c>
      <c r="F414" s="5" t="s">
        <v>2098</v>
      </c>
      <c r="G414" s="5" t="s">
        <v>2099</v>
      </c>
      <c r="H414" s="4" t="s">
        <v>2100</v>
      </c>
    </row>
    <row r="415" spans="1:8" ht="15.75" customHeight="1">
      <c r="A415" s="3" t="s">
        <v>2101</v>
      </c>
      <c r="B415" s="3" t="s">
        <v>2102</v>
      </c>
      <c r="C415" s="3" t="s">
        <v>2103</v>
      </c>
      <c r="D415" s="4" t="s">
        <v>2104</v>
      </c>
      <c r="E415" s="3" t="s">
        <v>2105</v>
      </c>
      <c r="F415" s="5" t="s">
        <v>2106</v>
      </c>
      <c r="G415" s="6"/>
      <c r="H415" s="4" t="s">
        <v>2107</v>
      </c>
    </row>
    <row r="416" spans="1:8" ht="15.75" customHeight="1">
      <c r="A416" s="3" t="s">
        <v>2108</v>
      </c>
      <c r="B416" s="3" t="s">
        <v>2109</v>
      </c>
      <c r="C416" s="3" t="s">
        <v>229</v>
      </c>
      <c r="D416" s="4" t="s">
        <v>2110</v>
      </c>
      <c r="E416" s="6"/>
      <c r="F416" s="9" t="s">
        <v>2111</v>
      </c>
      <c r="G416" s="6"/>
      <c r="H416" s="4" t="s">
        <v>2112</v>
      </c>
    </row>
    <row r="417" spans="1:8" ht="15.75" customHeight="1">
      <c r="A417" s="3" t="s">
        <v>1729</v>
      </c>
      <c r="B417" s="3" t="s">
        <v>2113</v>
      </c>
      <c r="C417" s="3" t="s">
        <v>229</v>
      </c>
      <c r="D417" s="4" t="s">
        <v>2114</v>
      </c>
      <c r="E417" s="5" t="s">
        <v>2115</v>
      </c>
      <c r="F417" s="6"/>
      <c r="G417" s="6"/>
      <c r="H417" s="4" t="s">
        <v>2116</v>
      </c>
    </row>
    <row r="418" spans="1:8" ht="15.75" customHeight="1">
      <c r="A418" s="3" t="s">
        <v>2117</v>
      </c>
      <c r="B418" s="3" t="s">
        <v>2118</v>
      </c>
      <c r="C418" s="3" t="s">
        <v>27</v>
      </c>
      <c r="D418" s="4" t="s">
        <v>2119</v>
      </c>
      <c r="E418" s="5" t="s">
        <v>2120</v>
      </c>
      <c r="F418" s="5" t="s">
        <v>2121</v>
      </c>
      <c r="G418" s="6"/>
      <c r="H418" s="4" t="s">
        <v>2122</v>
      </c>
    </row>
    <row r="419" spans="1:8" ht="15.75" customHeight="1">
      <c r="A419" s="3" t="s">
        <v>2123</v>
      </c>
      <c r="B419" s="3" t="s">
        <v>2124</v>
      </c>
      <c r="C419" s="3" t="s">
        <v>229</v>
      </c>
      <c r="D419" s="3" t="s">
        <v>2125</v>
      </c>
      <c r="E419" s="5" t="s">
        <v>2126</v>
      </c>
      <c r="F419" s="6"/>
      <c r="G419" s="6"/>
      <c r="H419" s="4" t="s">
        <v>2127</v>
      </c>
    </row>
    <row r="420" spans="1:8" ht="15.75" customHeight="1">
      <c r="A420" s="3" t="s">
        <v>1058</v>
      </c>
      <c r="B420" s="3" t="s">
        <v>2128</v>
      </c>
      <c r="C420" s="3" t="s">
        <v>2129</v>
      </c>
      <c r="D420" s="4" t="s">
        <v>2130</v>
      </c>
      <c r="E420" s="5" t="s">
        <v>2131</v>
      </c>
      <c r="F420" s="6"/>
      <c r="G420" s="6"/>
      <c r="H420" s="4" t="s">
        <v>2127</v>
      </c>
    </row>
    <row r="421" spans="1:8" ht="15.75" customHeight="1">
      <c r="A421" s="3" t="s">
        <v>2132</v>
      </c>
      <c r="B421" s="3" t="s">
        <v>2133</v>
      </c>
      <c r="C421" s="3" t="s">
        <v>2134</v>
      </c>
      <c r="D421" s="4" t="s">
        <v>2135</v>
      </c>
      <c r="E421" s="5" t="s">
        <v>2136</v>
      </c>
      <c r="F421" s="6"/>
      <c r="G421" s="6"/>
      <c r="H421" s="4" t="s">
        <v>2127</v>
      </c>
    </row>
    <row r="422" spans="1:8" ht="15.75" customHeight="1">
      <c r="A422" s="3" t="s">
        <v>1175</v>
      </c>
      <c r="B422" s="3" t="s">
        <v>801</v>
      </c>
      <c r="C422" s="3" t="s">
        <v>765</v>
      </c>
      <c r="D422" s="4" t="s">
        <v>2137</v>
      </c>
      <c r="E422" s="5" t="s">
        <v>2138</v>
      </c>
      <c r="F422" s="9" t="s">
        <v>2139</v>
      </c>
      <c r="G422" s="6"/>
      <c r="H422" s="4" t="s">
        <v>2140</v>
      </c>
    </row>
    <row r="423" spans="1:8" ht="15.75" customHeight="1">
      <c r="A423" s="3" t="s">
        <v>359</v>
      </c>
      <c r="B423" s="3" t="s">
        <v>2141</v>
      </c>
      <c r="C423" s="3" t="s">
        <v>222</v>
      </c>
      <c r="D423" s="4" t="s">
        <v>2142</v>
      </c>
      <c r="E423" s="5" t="s">
        <v>2143</v>
      </c>
      <c r="F423" s="9" t="s">
        <v>2139</v>
      </c>
      <c r="G423" s="6"/>
      <c r="H423" s="4" t="s">
        <v>2140</v>
      </c>
    </row>
    <row r="424" spans="1:8" ht="15.75" customHeight="1">
      <c r="A424" s="3" t="s">
        <v>1157</v>
      </c>
      <c r="B424" s="3" t="s">
        <v>2144</v>
      </c>
      <c r="C424" s="3" t="s">
        <v>2145</v>
      </c>
      <c r="D424" s="4" t="s">
        <v>2146</v>
      </c>
      <c r="E424" s="5" t="s">
        <v>2147</v>
      </c>
      <c r="F424" s="9" t="s">
        <v>2139</v>
      </c>
      <c r="G424" s="9" t="s">
        <v>2148</v>
      </c>
      <c r="H424" s="4" t="s">
        <v>2140</v>
      </c>
    </row>
    <row r="425" spans="1:8" ht="15.75" customHeight="1">
      <c r="A425" s="3" t="s">
        <v>2149</v>
      </c>
      <c r="B425" s="3" t="s">
        <v>2150</v>
      </c>
      <c r="C425" s="3" t="s">
        <v>2151</v>
      </c>
      <c r="D425" s="4" t="s">
        <v>2152</v>
      </c>
      <c r="E425" s="6"/>
      <c r="F425" s="8">
        <f>52.5556284</f>
        <v>52.555628400000003</v>
      </c>
      <c r="G425" s="6"/>
      <c r="H425" s="4" t="s">
        <v>2153</v>
      </c>
    </row>
    <row r="426" spans="1:8" ht="15.75" customHeight="1">
      <c r="A426" s="3" t="s">
        <v>901</v>
      </c>
      <c r="B426" s="3" t="s">
        <v>395</v>
      </c>
      <c r="C426" s="3" t="s">
        <v>1467</v>
      </c>
      <c r="D426" s="4" t="s">
        <v>2154</v>
      </c>
      <c r="E426" s="5" t="s">
        <v>2155</v>
      </c>
      <c r="F426" s="8">
        <f>523336693434</f>
        <v>523336693434</v>
      </c>
      <c r="G426" s="6"/>
      <c r="H426" s="4" t="s">
        <v>2156</v>
      </c>
    </row>
    <row r="427" spans="1:8" ht="15.75" customHeight="1">
      <c r="A427" s="3" t="s">
        <v>2157</v>
      </c>
      <c r="B427" s="3" t="s">
        <v>2158</v>
      </c>
      <c r="C427" s="3" t="s">
        <v>91</v>
      </c>
      <c r="D427" s="4" t="s">
        <v>2159</v>
      </c>
      <c r="E427" s="6"/>
      <c r="F427" s="5" t="s">
        <v>2160</v>
      </c>
      <c r="G427" s="6"/>
      <c r="H427" s="4" t="s">
        <v>2161</v>
      </c>
    </row>
    <row r="428" spans="1:8" ht="15.75" customHeight="1">
      <c r="A428" s="3" t="s">
        <v>2162</v>
      </c>
      <c r="B428" s="3" t="s">
        <v>1149</v>
      </c>
      <c r="C428" s="3" t="s">
        <v>2163</v>
      </c>
      <c r="D428" s="4" t="s">
        <v>2164</v>
      </c>
      <c r="E428" s="3" t="s">
        <v>2165</v>
      </c>
      <c r="F428" s="9" t="s">
        <v>2166</v>
      </c>
      <c r="G428" s="6"/>
      <c r="H428" s="4" t="s">
        <v>2167</v>
      </c>
    </row>
    <row r="429" spans="1:8" ht="15.75" customHeight="1">
      <c r="A429" s="3" t="s">
        <v>1348</v>
      </c>
      <c r="B429" s="3" t="s">
        <v>1415</v>
      </c>
      <c r="C429" s="3" t="s">
        <v>944</v>
      </c>
      <c r="D429" s="4" t="s">
        <v>2168</v>
      </c>
      <c r="E429" s="5" t="s">
        <v>2169</v>
      </c>
      <c r="F429" s="8">
        <f>525553862152</f>
        <v>525553862152</v>
      </c>
      <c r="G429" s="6"/>
      <c r="H429" s="4" t="s">
        <v>2170</v>
      </c>
    </row>
    <row r="430" spans="1:8" ht="15.75" customHeight="1">
      <c r="A430" s="3" t="s">
        <v>2171</v>
      </c>
      <c r="B430" s="3" t="s">
        <v>1101</v>
      </c>
      <c r="C430" s="3" t="s">
        <v>140</v>
      </c>
      <c r="D430" s="3" t="s">
        <v>2172</v>
      </c>
      <c r="E430" s="5" t="s">
        <v>2173</v>
      </c>
      <c r="F430" s="9" t="s">
        <v>2174</v>
      </c>
      <c r="G430" s="6"/>
      <c r="H430" s="4" t="s">
        <v>2175</v>
      </c>
    </row>
    <row r="431" spans="1:8" ht="15.75" customHeight="1">
      <c r="A431" s="3" t="s">
        <v>2176</v>
      </c>
      <c r="B431" s="3" t="s">
        <v>2177</v>
      </c>
      <c r="C431" s="3" t="s">
        <v>91</v>
      </c>
      <c r="D431" s="4" t="s">
        <v>2178</v>
      </c>
      <c r="E431" s="5" t="s">
        <v>2179</v>
      </c>
      <c r="F431" s="5" t="s">
        <v>2180</v>
      </c>
      <c r="G431" s="6"/>
      <c r="H431" s="4" t="s">
        <v>2181</v>
      </c>
    </row>
    <row r="432" spans="1:8" ht="15.75" customHeight="1">
      <c r="A432" s="3" t="s">
        <v>2182</v>
      </c>
      <c r="B432" s="3" t="s">
        <v>2183</v>
      </c>
      <c r="C432" s="3" t="s">
        <v>2184</v>
      </c>
      <c r="D432" s="3" t="s">
        <v>2185</v>
      </c>
      <c r="E432" s="6"/>
      <c r="F432" s="9" t="s">
        <v>2186</v>
      </c>
      <c r="G432" s="5" t="s">
        <v>2187</v>
      </c>
      <c r="H432" s="4" t="s">
        <v>2188</v>
      </c>
    </row>
    <row r="433" spans="1:8" ht="15.75" customHeight="1">
      <c r="A433" s="3" t="s">
        <v>1768</v>
      </c>
      <c r="B433" s="3" t="s">
        <v>395</v>
      </c>
      <c r="C433" s="3" t="s">
        <v>2189</v>
      </c>
      <c r="D433" s="4" t="s">
        <v>2190</v>
      </c>
      <c r="E433" s="6"/>
      <c r="F433" s="9" t="s">
        <v>2186</v>
      </c>
      <c r="G433" s="6"/>
      <c r="H433" s="4" t="s">
        <v>2188</v>
      </c>
    </row>
    <row r="434" spans="1:8" ht="15.75" customHeight="1">
      <c r="A434" s="3" t="s">
        <v>2191</v>
      </c>
      <c r="B434" s="3" t="s">
        <v>2192</v>
      </c>
      <c r="C434" s="3" t="s">
        <v>109</v>
      </c>
      <c r="D434" s="4" t="s">
        <v>2193</v>
      </c>
      <c r="E434" s="6"/>
      <c r="F434" s="9" t="s">
        <v>2186</v>
      </c>
      <c r="G434" s="6"/>
      <c r="H434" s="4" t="s">
        <v>2188</v>
      </c>
    </row>
    <row r="435" spans="1:8" ht="15.75" customHeight="1">
      <c r="A435" s="3" t="s">
        <v>624</v>
      </c>
      <c r="B435" s="3" t="s">
        <v>2194</v>
      </c>
      <c r="C435" s="3" t="s">
        <v>994</v>
      </c>
      <c r="D435" s="4" t="s">
        <v>2195</v>
      </c>
      <c r="E435" s="6"/>
      <c r="F435" s="9" t="s">
        <v>2186</v>
      </c>
      <c r="G435" s="6"/>
      <c r="H435" s="4" t="s">
        <v>2188</v>
      </c>
    </row>
    <row r="436" spans="1:8" ht="15.75" customHeight="1">
      <c r="A436" s="3" t="s">
        <v>2196</v>
      </c>
      <c r="B436" s="3" t="s">
        <v>2197</v>
      </c>
      <c r="C436" s="3" t="s">
        <v>2198</v>
      </c>
      <c r="D436" s="6"/>
      <c r="E436" s="6"/>
      <c r="F436" s="9" t="s">
        <v>2199</v>
      </c>
      <c r="G436" s="5" t="s">
        <v>2200</v>
      </c>
      <c r="H436" s="4" t="s">
        <v>2201</v>
      </c>
    </row>
    <row r="437" spans="1:8" ht="15.75" customHeight="1">
      <c r="A437" s="3" t="s">
        <v>939</v>
      </c>
      <c r="B437" s="3" t="s">
        <v>2202</v>
      </c>
      <c r="C437" s="3" t="s">
        <v>229</v>
      </c>
      <c r="D437" s="4" t="s">
        <v>2203</v>
      </c>
      <c r="E437" s="5" t="s">
        <v>2204</v>
      </c>
      <c r="F437" s="9" t="s">
        <v>2199</v>
      </c>
      <c r="G437" s="9" t="s">
        <v>2205</v>
      </c>
      <c r="H437" s="4" t="s">
        <v>2201</v>
      </c>
    </row>
    <row r="438" spans="1:8" ht="15.75" customHeight="1">
      <c r="A438" s="3" t="s">
        <v>227</v>
      </c>
      <c r="B438" s="3" t="s">
        <v>2206</v>
      </c>
      <c r="C438" s="3" t="s">
        <v>390</v>
      </c>
      <c r="D438" s="4" t="s">
        <v>2207</v>
      </c>
      <c r="E438" s="3" t="s">
        <v>2208</v>
      </c>
      <c r="F438" s="5" t="s">
        <v>2209</v>
      </c>
      <c r="G438" s="5" t="s">
        <v>2210</v>
      </c>
      <c r="H438" s="4" t="s">
        <v>2211</v>
      </c>
    </row>
    <row r="439" spans="1:8" ht="15.75" customHeight="1">
      <c r="A439" s="3" t="s">
        <v>2212</v>
      </c>
      <c r="B439" s="3" t="s">
        <v>2213</v>
      </c>
      <c r="C439" s="3" t="s">
        <v>2214</v>
      </c>
      <c r="D439" s="4" t="s">
        <v>2215</v>
      </c>
      <c r="E439" s="6"/>
      <c r="F439" s="5" t="s">
        <v>2216</v>
      </c>
      <c r="G439" s="6"/>
      <c r="H439" s="4" t="s">
        <v>2217</v>
      </c>
    </row>
    <row r="440" spans="1:8" ht="15.75" customHeight="1">
      <c r="A440" s="3" t="s">
        <v>2218</v>
      </c>
      <c r="B440" s="3" t="s">
        <v>2219</v>
      </c>
      <c r="C440" s="3" t="s">
        <v>2220</v>
      </c>
      <c r="D440" s="4" t="s">
        <v>2221</v>
      </c>
      <c r="E440" s="6"/>
      <c r="F440" s="5" t="s">
        <v>2216</v>
      </c>
      <c r="G440" s="6"/>
      <c r="H440" s="4" t="s">
        <v>2217</v>
      </c>
    </row>
    <row r="441" spans="1:8" ht="15.75" customHeight="1">
      <c r="A441" s="3" t="s">
        <v>58</v>
      </c>
      <c r="B441" s="3" t="s">
        <v>1168</v>
      </c>
      <c r="C441" s="3" t="s">
        <v>2222</v>
      </c>
      <c r="D441" s="4" t="s">
        <v>2223</v>
      </c>
      <c r="E441" s="6"/>
      <c r="F441" s="5" t="s">
        <v>2216</v>
      </c>
      <c r="G441" s="6"/>
      <c r="H441" s="4" t="s">
        <v>2217</v>
      </c>
    </row>
    <row r="442" spans="1:8" ht="15.75" customHeight="1">
      <c r="A442" s="3" t="s">
        <v>675</v>
      </c>
      <c r="B442" s="3" t="s">
        <v>2224</v>
      </c>
      <c r="C442" s="3" t="s">
        <v>2225</v>
      </c>
      <c r="D442" s="4" t="s">
        <v>2226</v>
      </c>
      <c r="E442" s="5" t="s">
        <v>2227</v>
      </c>
      <c r="F442" s="5" t="s">
        <v>2228</v>
      </c>
      <c r="G442" s="5" t="s">
        <v>2229</v>
      </c>
      <c r="H442" s="4" t="s">
        <v>2230</v>
      </c>
    </row>
    <row r="443" spans="1:8" ht="15.75" customHeight="1">
      <c r="A443" s="3" t="s">
        <v>2231</v>
      </c>
      <c r="B443" s="3" t="s">
        <v>2232</v>
      </c>
      <c r="C443" s="3" t="s">
        <v>2233</v>
      </c>
      <c r="D443" s="4" t="s">
        <v>2234</v>
      </c>
      <c r="E443" s="5" t="s">
        <v>2235</v>
      </c>
      <c r="F443" s="5" t="s">
        <v>2228</v>
      </c>
      <c r="G443" s="6"/>
      <c r="H443" s="4" t="s">
        <v>2230</v>
      </c>
    </row>
    <row r="444" spans="1:8" ht="15.75" customHeight="1">
      <c r="A444" s="3" t="s">
        <v>2236</v>
      </c>
      <c r="B444" s="3" t="s">
        <v>2237</v>
      </c>
      <c r="C444" s="3" t="s">
        <v>1210</v>
      </c>
      <c r="D444" s="4" t="s">
        <v>2238</v>
      </c>
      <c r="E444" s="5" t="s">
        <v>2239</v>
      </c>
      <c r="F444" s="5" t="s">
        <v>2228</v>
      </c>
      <c r="G444" s="5" t="s">
        <v>2240</v>
      </c>
      <c r="H444" s="4" t="s">
        <v>2230</v>
      </c>
    </row>
    <row r="445" spans="1:8" ht="15.75" customHeight="1">
      <c r="A445" s="3" t="s">
        <v>1517</v>
      </c>
      <c r="B445" s="3" t="s">
        <v>290</v>
      </c>
      <c r="C445" s="3" t="s">
        <v>229</v>
      </c>
      <c r="D445" s="4" t="s">
        <v>2241</v>
      </c>
      <c r="E445" s="5" t="s">
        <v>2242</v>
      </c>
      <c r="F445" s="6"/>
      <c r="G445" s="6"/>
      <c r="H445" s="4" t="s">
        <v>2243</v>
      </c>
    </row>
    <row r="446" spans="1:8" ht="15.75" customHeight="1">
      <c r="A446" s="3" t="s">
        <v>2244</v>
      </c>
      <c r="B446" s="3" t="s">
        <v>2245</v>
      </c>
      <c r="C446" s="3" t="s">
        <v>2246</v>
      </c>
      <c r="D446" s="4" t="s">
        <v>2247</v>
      </c>
      <c r="E446" s="5" t="s">
        <v>2248</v>
      </c>
      <c r="F446" s="9" t="s">
        <v>2249</v>
      </c>
      <c r="G446" s="6"/>
      <c r="H446" s="4" t="s">
        <v>2250</v>
      </c>
    </row>
    <row r="447" spans="1:8" ht="15.75" customHeight="1">
      <c r="A447" s="3" t="s">
        <v>2251</v>
      </c>
      <c r="B447" s="3" t="s">
        <v>2252</v>
      </c>
      <c r="C447" s="3" t="s">
        <v>91</v>
      </c>
      <c r="D447" s="4" t="s">
        <v>2253</v>
      </c>
      <c r="E447" s="6"/>
      <c r="F447" s="9" t="s">
        <v>2254</v>
      </c>
      <c r="G447" s="8">
        <f>528008494711</f>
        <v>528008494711</v>
      </c>
      <c r="H447" s="4" t="s">
        <v>2255</v>
      </c>
    </row>
    <row r="448" spans="1:8" ht="15.75" customHeight="1">
      <c r="A448" s="3" t="s">
        <v>717</v>
      </c>
      <c r="B448" s="3" t="s">
        <v>59</v>
      </c>
      <c r="C448" s="3" t="s">
        <v>625</v>
      </c>
      <c r="D448" s="4" t="s">
        <v>2256</v>
      </c>
      <c r="E448" s="6"/>
      <c r="F448" s="9" t="s">
        <v>2254</v>
      </c>
      <c r="G448" s="6"/>
      <c r="H448" s="4" t="s">
        <v>2255</v>
      </c>
    </row>
    <row r="449" spans="1:8" ht="15.75" customHeight="1">
      <c r="A449" s="3" t="s">
        <v>2257</v>
      </c>
      <c r="B449" s="3" t="s">
        <v>2258</v>
      </c>
      <c r="C449" s="3" t="s">
        <v>2259</v>
      </c>
      <c r="D449" s="4" t="s">
        <v>2260</v>
      </c>
      <c r="E449" s="5" t="s">
        <v>2261</v>
      </c>
      <c r="F449" s="9" t="s">
        <v>2254</v>
      </c>
      <c r="G449" s="5" t="s">
        <v>2262</v>
      </c>
      <c r="H449" s="4" t="s">
        <v>2255</v>
      </c>
    </row>
    <row r="450" spans="1:8" ht="15.75" customHeight="1">
      <c r="A450" s="3" t="s">
        <v>2263</v>
      </c>
      <c r="B450" s="3" t="s">
        <v>2264</v>
      </c>
      <c r="C450" s="3" t="s">
        <v>91</v>
      </c>
      <c r="D450" s="4" t="s">
        <v>2265</v>
      </c>
      <c r="E450" s="5" t="s">
        <v>2266</v>
      </c>
      <c r="F450" s="23"/>
      <c r="G450" s="6"/>
      <c r="H450" s="4" t="s">
        <v>2267</v>
      </c>
    </row>
    <row r="451" spans="1:8" ht="15.75" customHeight="1">
      <c r="A451" s="3" t="s">
        <v>2051</v>
      </c>
      <c r="B451" s="3" t="s">
        <v>970</v>
      </c>
      <c r="C451" s="3" t="s">
        <v>1586</v>
      </c>
      <c r="D451" s="4" t="s">
        <v>2268</v>
      </c>
      <c r="E451" s="6"/>
      <c r="F451" s="5" t="s">
        <v>2269</v>
      </c>
      <c r="G451" s="6"/>
      <c r="H451" s="4" t="s">
        <v>2270</v>
      </c>
    </row>
    <row r="452" spans="1:8" ht="15.75" customHeight="1">
      <c r="A452" s="3" t="s">
        <v>39</v>
      </c>
      <c r="B452" s="3" t="s">
        <v>2271</v>
      </c>
      <c r="C452" s="3" t="s">
        <v>222</v>
      </c>
      <c r="D452" s="4" t="s">
        <v>2272</v>
      </c>
      <c r="E452" s="5" t="s">
        <v>2273</v>
      </c>
      <c r="F452" s="6"/>
      <c r="G452" s="6"/>
      <c r="H452" s="4" t="s">
        <v>2274</v>
      </c>
    </row>
    <row r="453" spans="1:8" ht="15.75" customHeight="1">
      <c r="A453" s="3" t="s">
        <v>2275</v>
      </c>
      <c r="B453" s="3" t="s">
        <v>2276</v>
      </c>
      <c r="C453" s="3" t="s">
        <v>140</v>
      </c>
      <c r="D453" s="4" t="s">
        <v>2277</v>
      </c>
      <c r="E453" s="6"/>
      <c r="F453" s="6"/>
      <c r="G453" s="6"/>
      <c r="H453" s="4" t="s">
        <v>2278</v>
      </c>
    </row>
    <row r="454" spans="1:8" ht="15.75" customHeight="1">
      <c r="A454" s="3" t="s">
        <v>1530</v>
      </c>
      <c r="B454" s="3" t="s">
        <v>1249</v>
      </c>
      <c r="C454" s="3" t="s">
        <v>109</v>
      </c>
      <c r="D454" s="4" t="s">
        <v>2279</v>
      </c>
      <c r="E454" s="5" t="s">
        <v>2280</v>
      </c>
      <c r="F454" s="23"/>
      <c r="G454" s="9" t="s">
        <v>2281</v>
      </c>
      <c r="H454" s="4" t="s">
        <v>2278</v>
      </c>
    </row>
    <row r="455" spans="1:8" ht="15.75" customHeight="1">
      <c r="A455" s="3" t="s">
        <v>160</v>
      </c>
      <c r="B455" s="3" t="s">
        <v>1055</v>
      </c>
      <c r="C455" s="3" t="s">
        <v>229</v>
      </c>
      <c r="D455" s="3" t="s">
        <v>2282</v>
      </c>
      <c r="E455" s="6"/>
      <c r="F455" s="6"/>
      <c r="G455" s="6"/>
      <c r="H455" s="4" t="s">
        <v>2283</v>
      </c>
    </row>
    <row r="456" spans="1:8" ht="15.75" customHeight="1">
      <c r="A456" s="3" t="s">
        <v>2284</v>
      </c>
      <c r="B456" s="3" t="s">
        <v>1684</v>
      </c>
      <c r="C456" s="3" t="s">
        <v>46</v>
      </c>
      <c r="D456" s="4" t="s">
        <v>2285</v>
      </c>
      <c r="E456" s="6"/>
      <c r="F456" s="9" t="s">
        <v>2286</v>
      </c>
      <c r="G456" s="6"/>
      <c r="H456" s="4" t="s">
        <v>2287</v>
      </c>
    </row>
    <row r="457" spans="1:8" ht="15.75" customHeight="1">
      <c r="A457" s="3" t="s">
        <v>2288</v>
      </c>
      <c r="B457" s="3" t="s">
        <v>2289</v>
      </c>
      <c r="C457" s="3" t="s">
        <v>809</v>
      </c>
      <c r="D457" s="4" t="s">
        <v>2290</v>
      </c>
      <c r="E457" s="6"/>
      <c r="F457" s="6"/>
      <c r="G457" s="6"/>
      <c r="H457" s="4" t="s">
        <v>2291</v>
      </c>
    </row>
    <row r="458" spans="1:8" ht="15.75" customHeight="1">
      <c r="A458" s="3" t="s">
        <v>2292</v>
      </c>
      <c r="B458" s="3" t="s">
        <v>2293</v>
      </c>
      <c r="C458" s="3" t="s">
        <v>2294</v>
      </c>
      <c r="D458" s="4" t="s">
        <v>2295</v>
      </c>
      <c r="E458" s="3" t="s">
        <v>2296</v>
      </c>
      <c r="F458" s="9" t="s">
        <v>2297</v>
      </c>
      <c r="G458" s="9" t="s">
        <v>2298</v>
      </c>
      <c r="H458" s="4" t="s">
        <v>2299</v>
      </c>
    </row>
    <row r="459" spans="1:8" ht="15.75" customHeight="1">
      <c r="A459" s="3" t="s">
        <v>2300</v>
      </c>
      <c r="B459" s="3" t="s">
        <v>2301</v>
      </c>
      <c r="C459" s="3" t="s">
        <v>91</v>
      </c>
      <c r="D459" s="4" t="s">
        <v>2302</v>
      </c>
      <c r="E459" s="5" t="s">
        <v>2303</v>
      </c>
      <c r="F459" s="9" t="s">
        <v>2304</v>
      </c>
      <c r="G459" s="5" t="s">
        <v>2305</v>
      </c>
      <c r="H459" s="4" t="s">
        <v>2306</v>
      </c>
    </row>
    <row r="460" spans="1:8" ht="15.75" customHeight="1">
      <c r="A460" s="3" t="s">
        <v>2307</v>
      </c>
      <c r="B460" s="3" t="s">
        <v>801</v>
      </c>
      <c r="C460" s="3" t="s">
        <v>2308</v>
      </c>
      <c r="D460" s="4" t="s">
        <v>2309</v>
      </c>
      <c r="E460" s="5" t="s">
        <v>2310</v>
      </c>
      <c r="F460" s="9" t="s">
        <v>2311</v>
      </c>
      <c r="G460" s="6"/>
      <c r="H460" s="4" t="s">
        <v>2312</v>
      </c>
    </row>
    <row r="461" spans="1:8" ht="15.75" customHeight="1">
      <c r="A461" s="3" t="s">
        <v>2313</v>
      </c>
      <c r="B461" s="3" t="s">
        <v>2245</v>
      </c>
      <c r="C461" s="3" t="s">
        <v>2314</v>
      </c>
      <c r="D461" s="4" t="s">
        <v>2315</v>
      </c>
      <c r="E461" s="5" t="s">
        <v>2316</v>
      </c>
      <c r="F461" s="9" t="s">
        <v>2311</v>
      </c>
      <c r="G461" s="5" t="s">
        <v>2317</v>
      </c>
      <c r="H461" s="4" t="s">
        <v>2312</v>
      </c>
    </row>
    <row r="462" spans="1:8" ht="15.75" customHeight="1">
      <c r="A462" s="3" t="s">
        <v>2318</v>
      </c>
      <c r="B462" s="3" t="s">
        <v>2319</v>
      </c>
      <c r="C462" s="3" t="s">
        <v>2320</v>
      </c>
      <c r="D462" s="4" t="s">
        <v>2321</v>
      </c>
      <c r="E462" s="3" t="s">
        <v>2322</v>
      </c>
      <c r="F462" s="9" t="s">
        <v>2323</v>
      </c>
      <c r="G462" s="9" t="s">
        <v>2324</v>
      </c>
      <c r="H462" s="4" t="s">
        <v>2325</v>
      </c>
    </row>
    <row r="463" spans="1:8" ht="15.75" customHeight="1">
      <c r="A463" s="3" t="s">
        <v>656</v>
      </c>
      <c r="B463" s="3" t="s">
        <v>2326</v>
      </c>
      <c r="C463" s="3" t="s">
        <v>2327</v>
      </c>
      <c r="D463" s="4" t="s">
        <v>2328</v>
      </c>
      <c r="E463" s="6"/>
      <c r="F463" s="5" t="s">
        <v>2329</v>
      </c>
      <c r="G463" s="6"/>
      <c r="H463" s="4" t="s">
        <v>2330</v>
      </c>
    </row>
    <row r="464" spans="1:8" ht="15.75" customHeight="1">
      <c r="A464" s="3" t="s">
        <v>359</v>
      </c>
      <c r="B464" s="3" t="s">
        <v>2331</v>
      </c>
      <c r="C464" s="3" t="s">
        <v>2332</v>
      </c>
      <c r="D464" s="4" t="s">
        <v>2333</v>
      </c>
      <c r="E464" s="5" t="s">
        <v>2334</v>
      </c>
      <c r="F464" s="9" t="s">
        <v>2335</v>
      </c>
      <c r="G464" s="9" t="s">
        <v>2336</v>
      </c>
      <c r="H464" s="4" t="s">
        <v>2337</v>
      </c>
    </row>
    <row r="465" spans="1:8" ht="15.75" customHeight="1">
      <c r="A465" s="3" t="s">
        <v>2338</v>
      </c>
      <c r="B465" s="3" t="s">
        <v>2339</v>
      </c>
      <c r="C465" s="3" t="s">
        <v>210</v>
      </c>
      <c r="D465" s="4" t="s">
        <v>2340</v>
      </c>
      <c r="E465" s="6"/>
      <c r="F465" s="6"/>
      <c r="G465" s="6"/>
      <c r="H465" s="4" t="s">
        <v>2341</v>
      </c>
    </row>
    <row r="466" spans="1:8" ht="15.75" customHeight="1">
      <c r="A466" s="3" t="s">
        <v>2342</v>
      </c>
      <c r="B466" s="3" t="s">
        <v>2343</v>
      </c>
      <c r="C466" s="3" t="s">
        <v>229</v>
      </c>
      <c r="D466" s="4" t="s">
        <v>2344</v>
      </c>
      <c r="E466" s="3" t="s">
        <v>2345</v>
      </c>
      <c r="F466" s="6"/>
      <c r="G466" s="6"/>
      <c r="H466" s="4" t="s">
        <v>2346</v>
      </c>
    </row>
    <row r="467" spans="1:8" ht="15.75" customHeight="1">
      <c r="A467" s="3" t="s">
        <v>763</v>
      </c>
      <c r="B467" s="3" t="s">
        <v>2347</v>
      </c>
      <c r="C467" s="3" t="s">
        <v>2348</v>
      </c>
      <c r="D467" s="4" t="s">
        <v>2349</v>
      </c>
      <c r="E467" s="3" t="s">
        <v>2350</v>
      </c>
      <c r="F467" s="6"/>
      <c r="G467" s="6"/>
      <c r="H467" s="4" t="s">
        <v>2346</v>
      </c>
    </row>
    <row r="468" spans="1:8" ht="15.75" customHeight="1">
      <c r="A468" s="3" t="s">
        <v>789</v>
      </c>
      <c r="B468" s="3" t="s">
        <v>2351</v>
      </c>
      <c r="C468" s="3" t="s">
        <v>2352</v>
      </c>
      <c r="D468" s="4" t="s">
        <v>2353</v>
      </c>
      <c r="E468" s="5" t="s">
        <v>2354</v>
      </c>
      <c r="F468" s="9" t="s">
        <v>2355</v>
      </c>
      <c r="G468" s="6"/>
      <c r="H468" s="4" t="s">
        <v>2356</v>
      </c>
    </row>
    <row r="469" spans="1:8" ht="15.75" customHeight="1">
      <c r="A469" s="3" t="s">
        <v>2357</v>
      </c>
      <c r="B469" s="3" t="s">
        <v>1502</v>
      </c>
      <c r="C469" s="3" t="s">
        <v>2358</v>
      </c>
      <c r="D469" s="3" t="s">
        <v>2359</v>
      </c>
      <c r="E469" s="5" t="s">
        <v>2360</v>
      </c>
      <c r="F469" s="9" t="s">
        <v>2355</v>
      </c>
      <c r="G469" s="6"/>
      <c r="H469" s="4" t="s">
        <v>2356</v>
      </c>
    </row>
    <row r="470" spans="1:8" ht="15.75" customHeight="1">
      <c r="A470" s="3" t="s">
        <v>1175</v>
      </c>
      <c r="B470" s="3" t="s">
        <v>2361</v>
      </c>
      <c r="C470" s="3" t="s">
        <v>2362</v>
      </c>
      <c r="D470" s="4" t="s">
        <v>2363</v>
      </c>
      <c r="E470" s="5" t="s">
        <v>2364</v>
      </c>
      <c r="F470" s="9" t="s">
        <v>2355</v>
      </c>
      <c r="G470" s="5" t="s">
        <v>2365</v>
      </c>
      <c r="H470" s="4" t="s">
        <v>2356</v>
      </c>
    </row>
    <row r="471" spans="1:8" ht="15.75" customHeight="1">
      <c r="A471" s="3" t="s">
        <v>710</v>
      </c>
      <c r="B471" s="3" t="s">
        <v>2366</v>
      </c>
      <c r="C471" s="3" t="s">
        <v>35</v>
      </c>
      <c r="D471" s="4" t="s">
        <v>2367</v>
      </c>
      <c r="E471" s="3" t="s">
        <v>2368</v>
      </c>
      <c r="F471" s="9" t="s">
        <v>2369</v>
      </c>
      <c r="G471" s="23"/>
      <c r="H471" s="27" t="s">
        <v>2370</v>
      </c>
    </row>
    <row r="472" spans="1:8" ht="15.75" customHeight="1">
      <c r="A472" s="3" t="s">
        <v>2157</v>
      </c>
      <c r="B472" s="3" t="s">
        <v>2371</v>
      </c>
      <c r="C472" s="3" t="s">
        <v>229</v>
      </c>
      <c r="D472" s="4" t="s">
        <v>2372</v>
      </c>
      <c r="E472" s="3" t="s">
        <v>2373</v>
      </c>
      <c r="F472" s="9" t="s">
        <v>2369</v>
      </c>
      <c r="G472" s="9">
        <v>525552038855</v>
      </c>
      <c r="H472" s="27" t="s">
        <v>2370</v>
      </c>
    </row>
    <row r="473" spans="1:8" ht="15.75" customHeight="1">
      <c r="A473" s="3" t="s">
        <v>1228</v>
      </c>
      <c r="B473" s="3" t="s">
        <v>2374</v>
      </c>
      <c r="C473" s="3" t="s">
        <v>2375</v>
      </c>
      <c r="D473" s="4" t="s">
        <v>2376</v>
      </c>
      <c r="E473" s="3" t="s">
        <v>2377</v>
      </c>
      <c r="F473" s="9" t="s">
        <v>2369</v>
      </c>
      <c r="G473" s="6"/>
      <c r="H473" s="27" t="s">
        <v>2370</v>
      </c>
    </row>
    <row r="474" spans="1:8" ht="15.75" customHeight="1">
      <c r="A474" s="3" t="s">
        <v>2378</v>
      </c>
      <c r="B474" s="3" t="s">
        <v>2379</v>
      </c>
      <c r="C474" s="3" t="s">
        <v>2380</v>
      </c>
      <c r="D474" s="4" t="s">
        <v>2381</v>
      </c>
      <c r="E474" s="3" t="s">
        <v>2382</v>
      </c>
      <c r="F474" s="9" t="s">
        <v>2369</v>
      </c>
      <c r="G474" s="9" t="s">
        <v>2383</v>
      </c>
      <c r="H474" s="27" t="s">
        <v>2370</v>
      </c>
    </row>
    <row r="475" spans="1:8" ht="15.75" customHeight="1">
      <c r="A475" s="3" t="s">
        <v>2384</v>
      </c>
      <c r="B475" s="3" t="s">
        <v>2385</v>
      </c>
      <c r="C475" s="3" t="s">
        <v>46</v>
      </c>
      <c r="D475" s="4" t="s">
        <v>2386</v>
      </c>
      <c r="E475" s="3" t="s">
        <v>2387</v>
      </c>
      <c r="F475" s="9" t="s">
        <v>2369</v>
      </c>
      <c r="G475" s="9">
        <v>525514552562</v>
      </c>
      <c r="H475" s="27" t="s">
        <v>2370</v>
      </c>
    </row>
    <row r="476" spans="1:8" ht="15.75" customHeight="1">
      <c r="A476" s="3" t="s">
        <v>2388</v>
      </c>
      <c r="B476" s="3" t="s">
        <v>2150</v>
      </c>
      <c r="C476" s="3" t="s">
        <v>2389</v>
      </c>
      <c r="D476" s="4" t="s">
        <v>2390</v>
      </c>
      <c r="E476" s="5" t="s">
        <v>2391</v>
      </c>
      <c r="F476" s="9" t="s">
        <v>2392</v>
      </c>
      <c r="G476" s="9" t="s">
        <v>2393</v>
      </c>
      <c r="H476" s="4" t="s">
        <v>2394</v>
      </c>
    </row>
    <row r="477" spans="1:8" ht="15.75" customHeight="1">
      <c r="A477" s="3" t="s">
        <v>1501</v>
      </c>
      <c r="B477" s="3" t="s">
        <v>2395</v>
      </c>
      <c r="C477" s="3" t="s">
        <v>2396</v>
      </c>
      <c r="D477" s="4" t="s">
        <v>2397</v>
      </c>
      <c r="E477" s="6"/>
      <c r="F477" s="8">
        <f t="shared" ref="F477:F478" si="3">33.1553517</f>
        <v>33.155351699999997</v>
      </c>
      <c r="G477" s="6"/>
      <c r="H477" s="4" t="s">
        <v>2398</v>
      </c>
    </row>
    <row r="478" spans="1:8" ht="15.75" customHeight="1">
      <c r="A478" s="3" t="s">
        <v>2399</v>
      </c>
      <c r="B478" s="3" t="s">
        <v>2400</v>
      </c>
      <c r="C478" s="3" t="s">
        <v>2401</v>
      </c>
      <c r="D478" s="4" t="s">
        <v>2402</v>
      </c>
      <c r="E478" s="6"/>
      <c r="F478" s="8">
        <f t="shared" si="3"/>
        <v>33.155351699999997</v>
      </c>
      <c r="G478" s="5" t="s">
        <v>2403</v>
      </c>
      <c r="H478" s="4" t="s">
        <v>2398</v>
      </c>
    </row>
    <row r="479" spans="1:8" ht="15.75" customHeight="1">
      <c r="A479" s="3" t="s">
        <v>1763</v>
      </c>
      <c r="B479" s="3" t="s">
        <v>801</v>
      </c>
      <c r="C479" s="3" t="s">
        <v>2404</v>
      </c>
      <c r="D479" s="4" t="s">
        <v>2405</v>
      </c>
      <c r="E479" s="3" t="s">
        <v>2406</v>
      </c>
      <c r="F479" s="5" t="s">
        <v>2407</v>
      </c>
      <c r="G479" s="6"/>
      <c r="H479" s="4" t="s">
        <v>2408</v>
      </c>
    </row>
    <row r="480" spans="1:8" ht="15.75" customHeight="1">
      <c r="A480" s="3" t="s">
        <v>69</v>
      </c>
      <c r="B480" s="3" t="s">
        <v>2245</v>
      </c>
      <c r="C480" s="3" t="s">
        <v>1586</v>
      </c>
      <c r="D480" s="4" t="s">
        <v>2409</v>
      </c>
      <c r="E480" s="6"/>
      <c r="F480" s="5" t="s">
        <v>2410</v>
      </c>
      <c r="G480" s="6"/>
      <c r="H480" s="4" t="s">
        <v>2411</v>
      </c>
    </row>
    <row r="481" spans="1:8" ht="15.75" customHeight="1">
      <c r="A481" s="3" t="s">
        <v>295</v>
      </c>
      <c r="B481" s="3" t="s">
        <v>2412</v>
      </c>
      <c r="C481" s="3" t="s">
        <v>2413</v>
      </c>
      <c r="D481" s="4" t="s">
        <v>2414</v>
      </c>
      <c r="E481" s="5" t="s">
        <v>2415</v>
      </c>
      <c r="F481" s="9" t="s">
        <v>488</v>
      </c>
      <c r="G481" s="9" t="s">
        <v>2416</v>
      </c>
      <c r="H481" s="4" t="s">
        <v>2417</v>
      </c>
    </row>
    <row r="482" spans="1:8" ht="15.75" customHeight="1">
      <c r="A482" s="3" t="s">
        <v>301</v>
      </c>
      <c r="B482" s="3" t="s">
        <v>2418</v>
      </c>
      <c r="C482" s="3" t="s">
        <v>2419</v>
      </c>
      <c r="D482" s="4" t="s">
        <v>2420</v>
      </c>
      <c r="E482" s="5" t="s">
        <v>2421</v>
      </c>
      <c r="F482" s="5" t="s">
        <v>2422</v>
      </c>
      <c r="G482" s="6"/>
      <c r="H482" s="4" t="s">
        <v>2423</v>
      </c>
    </row>
    <row r="483" spans="1:8" ht="15.75" customHeight="1">
      <c r="A483" s="3" t="s">
        <v>2218</v>
      </c>
      <c r="B483" s="3" t="s">
        <v>2424</v>
      </c>
      <c r="C483" s="3" t="s">
        <v>140</v>
      </c>
      <c r="D483" s="4" t="s">
        <v>2425</v>
      </c>
      <c r="E483" s="3" t="s">
        <v>2426</v>
      </c>
      <c r="F483" s="6"/>
      <c r="G483" s="6"/>
      <c r="H483" s="4" t="s">
        <v>2427</v>
      </c>
    </row>
    <row r="484" spans="1:8" ht="15.75" customHeight="1">
      <c r="A484" s="3" t="s">
        <v>2428</v>
      </c>
      <c r="B484" s="3" t="s">
        <v>2429</v>
      </c>
      <c r="C484" s="3" t="s">
        <v>2430</v>
      </c>
      <c r="D484" s="4" t="s">
        <v>2431</v>
      </c>
      <c r="E484" s="5" t="s">
        <v>2432</v>
      </c>
      <c r="F484" s="5" t="s">
        <v>2433</v>
      </c>
      <c r="G484" s="6"/>
      <c r="H484" s="4" t="s">
        <v>2434</v>
      </c>
    </row>
    <row r="485" spans="1:8" ht="15.75" customHeight="1">
      <c r="A485" s="3" t="s">
        <v>2435</v>
      </c>
      <c r="B485" s="3" t="s">
        <v>2436</v>
      </c>
      <c r="C485" s="3" t="s">
        <v>2437</v>
      </c>
      <c r="D485" s="3" t="s">
        <v>2438</v>
      </c>
      <c r="E485" s="5" t="s">
        <v>2439</v>
      </c>
      <c r="F485" s="6"/>
      <c r="G485" s="6"/>
      <c r="H485" s="3" t="s">
        <v>2440</v>
      </c>
    </row>
    <row r="486" spans="1:8" ht="15.75" customHeight="1">
      <c r="A486" s="3" t="s">
        <v>69</v>
      </c>
      <c r="B486" s="3" t="s">
        <v>429</v>
      </c>
      <c r="C486" s="3" t="s">
        <v>222</v>
      </c>
      <c r="D486" s="3" t="s">
        <v>2441</v>
      </c>
      <c r="E486" s="9" t="s">
        <v>2442</v>
      </c>
      <c r="F486" s="6"/>
      <c r="G486" s="6"/>
      <c r="H486" s="4" t="s">
        <v>2443</v>
      </c>
    </row>
    <row r="487" spans="1:8" ht="15.75" customHeight="1">
      <c r="A487" s="3" t="s">
        <v>873</v>
      </c>
      <c r="B487" s="3" t="s">
        <v>2444</v>
      </c>
      <c r="C487" s="3" t="s">
        <v>2445</v>
      </c>
      <c r="D487" s="4" t="s">
        <v>2446</v>
      </c>
      <c r="E487" s="5" t="s">
        <v>2447</v>
      </c>
      <c r="F487" s="9" t="s">
        <v>2448</v>
      </c>
      <c r="G487" s="8">
        <v>442071531198</v>
      </c>
      <c r="H487" s="4" t="s">
        <v>2449</v>
      </c>
    </row>
    <row r="488" spans="1:8" ht="15.75" customHeight="1">
      <c r="A488" s="3" t="s">
        <v>2450</v>
      </c>
      <c r="B488" s="3" t="s">
        <v>2451</v>
      </c>
      <c r="C488" s="3" t="s">
        <v>229</v>
      </c>
      <c r="D488" s="4" t="s">
        <v>2452</v>
      </c>
      <c r="E488" s="5" t="s">
        <v>2453</v>
      </c>
      <c r="F488" s="9" t="s">
        <v>2448</v>
      </c>
      <c r="G488" s="6"/>
      <c r="H488" s="4" t="s">
        <v>2449</v>
      </c>
    </row>
    <row r="489" spans="1:8" ht="15.75" customHeight="1">
      <c r="A489" s="3" t="s">
        <v>1209</v>
      </c>
      <c r="B489" s="3" t="s">
        <v>2454</v>
      </c>
      <c r="C489" s="3" t="s">
        <v>2455</v>
      </c>
      <c r="D489" s="4" t="s">
        <v>2456</v>
      </c>
      <c r="E489" s="5" t="s">
        <v>2457</v>
      </c>
      <c r="F489" s="9" t="s">
        <v>2448</v>
      </c>
      <c r="G489" s="6"/>
      <c r="H489" s="4" t="s">
        <v>2449</v>
      </c>
    </row>
    <row r="490" spans="1:8" ht="15.75" customHeight="1">
      <c r="A490" s="3" t="s">
        <v>301</v>
      </c>
      <c r="B490" s="3" t="s">
        <v>2458</v>
      </c>
      <c r="C490" s="3" t="s">
        <v>140</v>
      </c>
      <c r="D490" s="4" t="s">
        <v>2459</v>
      </c>
      <c r="E490" s="5" t="s">
        <v>2460</v>
      </c>
      <c r="F490" s="9" t="s">
        <v>2461</v>
      </c>
      <c r="G490" s="6"/>
      <c r="H490" s="4" t="s">
        <v>2462</v>
      </c>
    </row>
    <row r="491" spans="1:8" ht="15.75" customHeight="1">
      <c r="A491" s="3" t="s">
        <v>2463</v>
      </c>
      <c r="B491" s="3" t="s">
        <v>2464</v>
      </c>
      <c r="C491" s="3" t="s">
        <v>229</v>
      </c>
      <c r="D491" s="4" t="s">
        <v>2465</v>
      </c>
      <c r="E491" s="3" t="s">
        <v>2466</v>
      </c>
      <c r="F491" s="5" t="s">
        <v>2467</v>
      </c>
      <c r="G491" s="8">
        <v>33450271417</v>
      </c>
      <c r="H491" s="4" t="s">
        <v>2468</v>
      </c>
    </row>
    <row r="492" spans="1:8" ht="15.75" customHeight="1">
      <c r="A492" s="3" t="s">
        <v>2469</v>
      </c>
      <c r="B492" s="3" t="s">
        <v>2470</v>
      </c>
      <c r="C492" s="3" t="s">
        <v>2471</v>
      </c>
      <c r="D492" s="4" t="s">
        <v>2472</v>
      </c>
      <c r="E492" s="5" t="s">
        <v>2473</v>
      </c>
      <c r="F492" s="5" t="s">
        <v>2467</v>
      </c>
      <c r="G492" s="6"/>
      <c r="H492" s="4" t="s">
        <v>2468</v>
      </c>
    </row>
    <row r="493" spans="1:8" ht="15.75" customHeight="1">
      <c r="A493" s="3" t="s">
        <v>1148</v>
      </c>
      <c r="B493" s="3" t="s">
        <v>2474</v>
      </c>
      <c r="C493" s="3" t="s">
        <v>229</v>
      </c>
      <c r="D493" s="4" t="s">
        <v>2475</v>
      </c>
      <c r="E493" s="6"/>
      <c r="F493" s="5" t="s">
        <v>2467</v>
      </c>
      <c r="G493" s="8">
        <v>33450271417</v>
      </c>
      <c r="H493" s="4" t="s">
        <v>2468</v>
      </c>
    </row>
    <row r="494" spans="1:8" ht="15.75" customHeight="1">
      <c r="A494" s="3" t="s">
        <v>58</v>
      </c>
      <c r="B494" s="3" t="s">
        <v>2476</v>
      </c>
      <c r="C494" s="3" t="s">
        <v>229</v>
      </c>
      <c r="D494" s="4" t="s">
        <v>2477</v>
      </c>
      <c r="E494" s="3" t="s">
        <v>2478</v>
      </c>
      <c r="F494" s="5" t="s">
        <v>2467</v>
      </c>
      <c r="G494" s="8">
        <v>33450271417</v>
      </c>
      <c r="H494" s="4" t="s">
        <v>2468</v>
      </c>
    </row>
    <row r="495" spans="1:8" ht="15.75" customHeight="1">
      <c r="A495" s="3" t="s">
        <v>2479</v>
      </c>
      <c r="B495" s="3" t="s">
        <v>732</v>
      </c>
      <c r="C495" s="3" t="s">
        <v>109</v>
      </c>
      <c r="D495" s="4" t="s">
        <v>2480</v>
      </c>
      <c r="E495" s="5" t="s">
        <v>2481</v>
      </c>
      <c r="F495" s="8">
        <f>528182624500</f>
        <v>528182624500</v>
      </c>
      <c r="G495" s="6"/>
      <c r="H495" s="4" t="s">
        <v>2482</v>
      </c>
    </row>
    <row r="496" spans="1:8" ht="15.75" customHeight="1">
      <c r="A496" s="3" t="s">
        <v>2483</v>
      </c>
      <c r="B496" s="3" t="s">
        <v>2213</v>
      </c>
      <c r="C496" s="3" t="s">
        <v>994</v>
      </c>
      <c r="D496" s="4" t="s">
        <v>2484</v>
      </c>
      <c r="E496" s="6"/>
      <c r="F496" s="6"/>
      <c r="G496" s="6"/>
      <c r="H496" s="4" t="s">
        <v>2485</v>
      </c>
    </row>
    <row r="497" spans="1:8" ht="15.75" customHeight="1">
      <c r="A497" s="3" t="s">
        <v>955</v>
      </c>
      <c r="B497" s="3" t="s">
        <v>1229</v>
      </c>
      <c r="C497" s="3" t="s">
        <v>2486</v>
      </c>
      <c r="D497" s="4" t="s">
        <v>2487</v>
      </c>
      <c r="E497" s="3" t="s">
        <v>2488</v>
      </c>
      <c r="F497" s="5" t="s">
        <v>2489</v>
      </c>
      <c r="G497" s="6"/>
      <c r="H497" s="4" t="s">
        <v>2490</v>
      </c>
    </row>
    <row r="498" spans="1:8" ht="15.75" customHeight="1">
      <c r="A498" s="3" t="s">
        <v>417</v>
      </c>
      <c r="B498" s="3" t="s">
        <v>2491</v>
      </c>
      <c r="C498" s="3" t="s">
        <v>2492</v>
      </c>
      <c r="D498" s="3" t="s">
        <v>2493</v>
      </c>
      <c r="E498" s="3" t="s">
        <v>2494</v>
      </c>
      <c r="F498" s="9" t="s">
        <v>2495</v>
      </c>
      <c r="G498" s="6"/>
      <c r="H498" s="4" t="s">
        <v>2496</v>
      </c>
    </row>
    <row r="499" spans="1:8" ht="15.75" customHeight="1">
      <c r="A499" s="3" t="s">
        <v>14</v>
      </c>
      <c r="B499" s="3" t="s">
        <v>2497</v>
      </c>
      <c r="C499" s="3" t="s">
        <v>109</v>
      </c>
      <c r="D499" s="4" t="s">
        <v>2498</v>
      </c>
      <c r="E499" s="5" t="s">
        <v>2499</v>
      </c>
      <c r="F499" s="6"/>
      <c r="G499" s="6"/>
      <c r="H499" s="4" t="s">
        <v>2500</v>
      </c>
    </row>
    <row r="500" spans="1:8" ht="15.75" customHeight="1">
      <c r="A500" s="3" t="s">
        <v>2501</v>
      </c>
      <c r="B500" s="3" t="s">
        <v>2502</v>
      </c>
      <c r="C500" s="3" t="s">
        <v>602</v>
      </c>
      <c r="D500" s="4" t="s">
        <v>2503</v>
      </c>
      <c r="E500" s="5" t="s">
        <v>2504</v>
      </c>
      <c r="F500" s="9" t="s">
        <v>2505</v>
      </c>
      <c r="G500" s="5" t="s">
        <v>2506</v>
      </c>
      <c r="H500" s="4" t="s">
        <v>2507</v>
      </c>
    </row>
    <row r="501" spans="1:8" ht="15.75" customHeight="1">
      <c r="A501" s="3" t="s">
        <v>2508</v>
      </c>
      <c r="B501" s="3" t="s">
        <v>2509</v>
      </c>
      <c r="C501" s="3" t="s">
        <v>229</v>
      </c>
      <c r="D501" s="4" t="s">
        <v>2510</v>
      </c>
      <c r="E501" s="6"/>
      <c r="F501" s="5" t="s">
        <v>2511</v>
      </c>
      <c r="G501" s="6"/>
      <c r="H501" s="4" t="s">
        <v>2512</v>
      </c>
    </row>
    <row r="502" spans="1:8" ht="15.75" customHeight="1">
      <c r="A502" s="3" t="s">
        <v>2513</v>
      </c>
      <c r="B502" s="3" t="s">
        <v>2514</v>
      </c>
      <c r="C502" s="3" t="s">
        <v>2515</v>
      </c>
      <c r="D502" s="4" t="s">
        <v>2516</v>
      </c>
      <c r="E502" s="5" t="s">
        <v>2517</v>
      </c>
      <c r="F502" s="5" t="s">
        <v>2518</v>
      </c>
      <c r="G502" s="8">
        <f>528009990683</f>
        <v>528009990683</v>
      </c>
      <c r="H502" s="4" t="s">
        <v>2519</v>
      </c>
    </row>
    <row r="503" spans="1:8" ht="15.75" customHeight="1">
      <c r="A503" s="3" t="s">
        <v>2520</v>
      </c>
      <c r="B503" s="3" t="s">
        <v>2521</v>
      </c>
      <c r="C503" s="3" t="s">
        <v>2522</v>
      </c>
      <c r="D503" s="4" t="s">
        <v>2523</v>
      </c>
      <c r="E503" s="5" t="s">
        <v>2524</v>
      </c>
      <c r="F503" s="6"/>
      <c r="G503" s="6"/>
      <c r="H503" s="4" t="s">
        <v>2525</v>
      </c>
    </row>
    <row r="504" spans="1:8" ht="15.75" customHeight="1">
      <c r="A504" s="3" t="s">
        <v>1019</v>
      </c>
      <c r="B504" s="3" t="s">
        <v>49</v>
      </c>
      <c r="C504" s="3" t="s">
        <v>229</v>
      </c>
      <c r="D504" s="4" t="s">
        <v>2526</v>
      </c>
      <c r="E504" s="5" t="s">
        <v>2527</v>
      </c>
      <c r="F504" s="6"/>
      <c r="G504" s="6"/>
      <c r="H504" s="4" t="s">
        <v>2525</v>
      </c>
    </row>
    <row r="505" spans="1:8" ht="15.75" customHeight="1">
      <c r="A505" s="3" t="s">
        <v>2528</v>
      </c>
      <c r="B505" s="3" t="s">
        <v>2529</v>
      </c>
      <c r="C505" s="3" t="s">
        <v>140</v>
      </c>
      <c r="D505" s="4" t="s">
        <v>2530</v>
      </c>
      <c r="E505" s="5" t="s">
        <v>2531</v>
      </c>
      <c r="F505" s="5" t="s">
        <v>2532</v>
      </c>
      <c r="G505" s="9" t="s">
        <v>2533</v>
      </c>
      <c r="H505" s="4" t="s">
        <v>2534</v>
      </c>
    </row>
    <row r="506" spans="1:8" ht="15.75" customHeight="1">
      <c r="A506" s="3" t="s">
        <v>2535</v>
      </c>
      <c r="B506" s="3" t="s">
        <v>2536</v>
      </c>
      <c r="C506" s="3" t="s">
        <v>229</v>
      </c>
      <c r="D506" s="4" t="s">
        <v>2537</v>
      </c>
      <c r="E506" s="6"/>
      <c r="F506" s="6"/>
      <c r="G506" s="6"/>
      <c r="H506" s="4" t="s">
        <v>2538</v>
      </c>
    </row>
    <row r="507" spans="1:8" ht="15.75" customHeight="1">
      <c r="A507" s="3" t="s">
        <v>2539</v>
      </c>
      <c r="B507" s="3" t="s">
        <v>2109</v>
      </c>
      <c r="C507" s="3" t="s">
        <v>109</v>
      </c>
      <c r="D507" s="4" t="s">
        <v>2540</v>
      </c>
      <c r="E507" s="5" t="s">
        <v>2541</v>
      </c>
      <c r="F507" s="5" t="s">
        <v>2542</v>
      </c>
      <c r="G507" s="8">
        <f>528182593101</f>
        <v>528182593101</v>
      </c>
      <c r="H507" s="4" t="s">
        <v>2543</v>
      </c>
    </row>
    <row r="508" spans="1:8" ht="15.75" customHeight="1">
      <c r="A508" s="3" t="s">
        <v>2251</v>
      </c>
      <c r="B508" s="3" t="s">
        <v>1372</v>
      </c>
      <c r="C508" s="3" t="s">
        <v>2544</v>
      </c>
      <c r="D508" s="4" t="s">
        <v>2545</v>
      </c>
      <c r="E508" s="3" t="s">
        <v>2546</v>
      </c>
      <c r="F508" s="5" t="s">
        <v>2547</v>
      </c>
      <c r="G508" s="6"/>
      <c r="H508" s="4" t="s">
        <v>2548</v>
      </c>
    </row>
    <row r="509" spans="1:8" ht="15.75" customHeight="1">
      <c r="A509" s="3" t="s">
        <v>2251</v>
      </c>
      <c r="B509" s="3" t="s">
        <v>55</v>
      </c>
      <c r="C509" s="3" t="s">
        <v>2549</v>
      </c>
      <c r="D509" s="4" t="s">
        <v>2550</v>
      </c>
      <c r="E509" s="5" t="s">
        <v>2551</v>
      </c>
      <c r="F509" s="6"/>
      <c r="G509" s="6"/>
      <c r="H509" s="4" t="s">
        <v>2548</v>
      </c>
    </row>
    <row r="510" spans="1:8" ht="15.75" customHeight="1">
      <c r="A510" s="3" t="s">
        <v>2552</v>
      </c>
      <c r="B510" s="3" t="s">
        <v>2553</v>
      </c>
      <c r="C510" s="3" t="s">
        <v>1416</v>
      </c>
      <c r="D510" s="4" t="s">
        <v>2554</v>
      </c>
      <c r="E510" s="6"/>
      <c r="F510" s="5" t="s">
        <v>2555</v>
      </c>
      <c r="G510" s="6"/>
      <c r="H510" s="4" t="s">
        <v>2556</v>
      </c>
    </row>
    <row r="511" spans="1:8" ht="15.75" customHeight="1">
      <c r="A511" s="3" t="s">
        <v>973</v>
      </c>
      <c r="B511" s="3" t="s">
        <v>1361</v>
      </c>
      <c r="C511" s="3" t="s">
        <v>2557</v>
      </c>
      <c r="D511" s="4" t="s">
        <v>2558</v>
      </c>
      <c r="E511" s="5" t="s">
        <v>2559</v>
      </c>
      <c r="F511" s="6"/>
      <c r="G511" s="6"/>
      <c r="H511" s="4" t="s">
        <v>2560</v>
      </c>
    </row>
    <row r="512" spans="1:8" ht="15.75" customHeight="1">
      <c r="A512" s="3" t="s">
        <v>536</v>
      </c>
      <c r="B512" s="3" t="s">
        <v>695</v>
      </c>
      <c r="C512" s="3" t="s">
        <v>2561</v>
      </c>
      <c r="D512" s="4" t="s">
        <v>2562</v>
      </c>
      <c r="E512" s="5" t="s">
        <v>2563</v>
      </c>
      <c r="F512" s="6"/>
      <c r="G512" s="6"/>
      <c r="H512" s="4" t="s">
        <v>2560</v>
      </c>
    </row>
    <row r="513" spans="1:8" ht="15.75" customHeight="1">
      <c r="A513" s="3" t="s">
        <v>2564</v>
      </c>
      <c r="B513" s="3" t="s">
        <v>2565</v>
      </c>
      <c r="C513" s="3" t="s">
        <v>2566</v>
      </c>
      <c r="D513" s="4" t="s">
        <v>2567</v>
      </c>
      <c r="E513" s="3" t="s">
        <v>2568</v>
      </c>
      <c r="F513" s="6"/>
      <c r="G513" s="6"/>
      <c r="H513" s="4" t="s">
        <v>2560</v>
      </c>
    </row>
    <row r="514" spans="1:8" ht="15.75" customHeight="1">
      <c r="A514" s="3" t="s">
        <v>422</v>
      </c>
      <c r="B514" s="3" t="s">
        <v>2569</v>
      </c>
      <c r="C514" s="3" t="s">
        <v>2570</v>
      </c>
      <c r="D514" s="4" t="s">
        <v>2571</v>
      </c>
      <c r="E514" s="5" t="s">
        <v>2572</v>
      </c>
      <c r="F514" s="9" t="s">
        <v>2573</v>
      </c>
      <c r="G514" s="6"/>
      <c r="H514" s="4" t="s">
        <v>2560</v>
      </c>
    </row>
    <row r="515" spans="1:8" ht="15.75" customHeight="1">
      <c r="A515" s="3" t="s">
        <v>1557</v>
      </c>
      <c r="B515" s="3" t="s">
        <v>2574</v>
      </c>
      <c r="C515" s="3" t="s">
        <v>2575</v>
      </c>
      <c r="D515" s="4" t="s">
        <v>2576</v>
      </c>
      <c r="E515" s="5" t="s">
        <v>2577</v>
      </c>
      <c r="F515" s="5" t="s">
        <v>2578</v>
      </c>
      <c r="G515" s="6"/>
      <c r="H515" s="4" t="s">
        <v>2579</v>
      </c>
    </row>
    <row r="516" spans="1:8" ht="15.75" customHeight="1">
      <c r="A516" s="3" t="s">
        <v>1501</v>
      </c>
      <c r="B516" s="3" t="s">
        <v>2580</v>
      </c>
      <c r="C516" s="3" t="s">
        <v>109</v>
      </c>
      <c r="D516" s="4" t="s">
        <v>2581</v>
      </c>
      <c r="E516" s="5" t="s">
        <v>2582</v>
      </c>
      <c r="F516" s="9" t="s">
        <v>2583</v>
      </c>
      <c r="G516" s="9" t="s">
        <v>2584</v>
      </c>
      <c r="H516" s="4" t="s">
        <v>2585</v>
      </c>
    </row>
    <row r="517" spans="1:8" ht="15.75" customHeight="1">
      <c r="A517" s="3" t="s">
        <v>295</v>
      </c>
      <c r="B517" s="3" t="s">
        <v>2586</v>
      </c>
      <c r="C517" s="3" t="s">
        <v>2587</v>
      </c>
      <c r="D517" s="4" t="s">
        <v>2588</v>
      </c>
      <c r="E517" s="5" t="s">
        <v>2589</v>
      </c>
      <c r="F517" s="6"/>
      <c r="G517" s="6"/>
      <c r="H517" s="4" t="s">
        <v>2590</v>
      </c>
    </row>
    <row r="518" spans="1:8" ht="15.75" customHeight="1">
      <c r="A518" s="3" t="s">
        <v>143</v>
      </c>
      <c r="B518" s="3" t="s">
        <v>2033</v>
      </c>
      <c r="C518" s="3" t="s">
        <v>229</v>
      </c>
      <c r="D518" s="4" t="s">
        <v>2591</v>
      </c>
      <c r="E518" s="5" t="s">
        <v>2592</v>
      </c>
      <c r="F518" s="6"/>
      <c r="G518" s="6"/>
      <c r="H518" s="4" t="s">
        <v>2593</v>
      </c>
    </row>
    <row r="519" spans="1:8" ht="15.75" customHeight="1">
      <c r="A519" s="3" t="s">
        <v>2594</v>
      </c>
      <c r="B519" s="3" t="s">
        <v>582</v>
      </c>
      <c r="C519" s="3" t="s">
        <v>2595</v>
      </c>
      <c r="D519" s="4" t="s">
        <v>2596</v>
      </c>
      <c r="E519" s="3" t="s">
        <v>2597</v>
      </c>
      <c r="F519" s="5" t="s">
        <v>2598</v>
      </c>
      <c r="G519" s="5" t="s">
        <v>2599</v>
      </c>
      <c r="H519" s="4" t="s">
        <v>2600</v>
      </c>
    </row>
    <row r="520" spans="1:8" ht="15.75" customHeight="1">
      <c r="A520" s="3" t="s">
        <v>1465</v>
      </c>
      <c r="B520" s="3" t="s">
        <v>2601</v>
      </c>
      <c r="C520" s="3" t="s">
        <v>2602</v>
      </c>
      <c r="D520" s="4" t="s">
        <v>2603</v>
      </c>
      <c r="E520" s="6"/>
      <c r="F520" s="5" t="s">
        <v>2598</v>
      </c>
      <c r="G520" s="6"/>
      <c r="H520" s="4" t="s">
        <v>2600</v>
      </c>
    </row>
    <row r="521" spans="1:8" ht="15.75" customHeight="1">
      <c r="A521" s="3" t="s">
        <v>2604</v>
      </c>
      <c r="B521" s="3" t="s">
        <v>2605</v>
      </c>
      <c r="C521" s="3" t="s">
        <v>1467</v>
      </c>
      <c r="D521" s="4" t="s">
        <v>2606</v>
      </c>
      <c r="E521" s="6"/>
      <c r="F521" s="5" t="s">
        <v>2598</v>
      </c>
      <c r="G521" s="6"/>
      <c r="H521" s="4" t="s">
        <v>2600</v>
      </c>
    </row>
    <row r="522" spans="1:8" ht="15.75" customHeight="1">
      <c r="A522" s="3" t="s">
        <v>1214</v>
      </c>
      <c r="B522" s="3" t="s">
        <v>2607</v>
      </c>
      <c r="C522" s="3" t="s">
        <v>109</v>
      </c>
      <c r="D522" s="4" t="s">
        <v>2608</v>
      </c>
      <c r="E522" s="5" t="s">
        <v>2609</v>
      </c>
      <c r="F522" s="9" t="s">
        <v>2610</v>
      </c>
      <c r="G522" s="6"/>
      <c r="H522" s="4" t="s">
        <v>2611</v>
      </c>
    </row>
    <row r="523" spans="1:8" ht="15.75" customHeight="1">
      <c r="A523" s="3" t="s">
        <v>2612</v>
      </c>
      <c r="B523" s="3" t="s">
        <v>2613</v>
      </c>
      <c r="C523" s="3" t="s">
        <v>109</v>
      </c>
      <c r="D523" s="4" t="s">
        <v>2614</v>
      </c>
      <c r="E523" s="3" t="s">
        <v>2615</v>
      </c>
      <c r="F523" s="9" t="s">
        <v>2616</v>
      </c>
      <c r="G523" s="5" t="s">
        <v>2617</v>
      </c>
      <c r="H523" s="4" t="s">
        <v>2618</v>
      </c>
    </row>
    <row r="524" spans="1:8" ht="15.75" customHeight="1">
      <c r="A524" s="3" t="s">
        <v>2619</v>
      </c>
      <c r="B524" s="3" t="s">
        <v>368</v>
      </c>
      <c r="C524" s="3" t="s">
        <v>2620</v>
      </c>
      <c r="D524" s="4" t="s">
        <v>2621</v>
      </c>
      <c r="E524" s="6"/>
      <c r="F524" s="8">
        <v>525585000305</v>
      </c>
      <c r="G524" s="6"/>
      <c r="H524" s="4" t="s">
        <v>2622</v>
      </c>
    </row>
    <row r="525" spans="1:8" ht="15.75" customHeight="1">
      <c r="A525" s="3" t="s">
        <v>2623</v>
      </c>
      <c r="B525" s="3" t="s">
        <v>2624</v>
      </c>
      <c r="C525" s="3" t="s">
        <v>2625</v>
      </c>
      <c r="D525" s="4" t="s">
        <v>2626</v>
      </c>
      <c r="E525" s="5" t="s">
        <v>2627</v>
      </c>
      <c r="F525" s="8">
        <v>525585000305</v>
      </c>
      <c r="G525" s="5" t="s">
        <v>2628</v>
      </c>
      <c r="H525" s="4" t="s">
        <v>2622</v>
      </c>
    </row>
    <row r="526" spans="1:8" ht="15.75" customHeight="1">
      <c r="A526" s="3" t="s">
        <v>2629</v>
      </c>
      <c r="B526" s="3" t="s">
        <v>414</v>
      </c>
      <c r="C526" s="3" t="s">
        <v>2630</v>
      </c>
      <c r="D526" s="4" t="s">
        <v>2631</v>
      </c>
      <c r="E526" s="6"/>
      <c r="F526" s="9" t="s">
        <v>2632</v>
      </c>
      <c r="G526" s="6"/>
      <c r="H526" s="4" t="s">
        <v>2633</v>
      </c>
    </row>
    <row r="527" spans="1:8" ht="15.75" customHeight="1">
      <c r="A527" s="3" t="s">
        <v>1669</v>
      </c>
      <c r="B527" s="3" t="s">
        <v>2634</v>
      </c>
      <c r="C527" s="3" t="s">
        <v>2635</v>
      </c>
      <c r="D527" s="4" t="s">
        <v>2636</v>
      </c>
      <c r="E527" s="5" t="s">
        <v>2637</v>
      </c>
      <c r="F527" s="5" t="s">
        <v>2638</v>
      </c>
      <c r="G527" s="5" t="s">
        <v>2639</v>
      </c>
      <c r="H527" s="4" t="s">
        <v>2640</v>
      </c>
    </row>
    <row r="528" spans="1:8" ht="15.75" customHeight="1">
      <c r="A528" s="3" t="s">
        <v>2641</v>
      </c>
      <c r="B528" s="3" t="s">
        <v>2642</v>
      </c>
      <c r="C528" s="3" t="s">
        <v>2643</v>
      </c>
      <c r="D528" s="4" t="s">
        <v>2644</v>
      </c>
      <c r="E528" s="5" t="s">
        <v>2645</v>
      </c>
      <c r="F528" s="5" t="s">
        <v>2638</v>
      </c>
      <c r="G528" s="5" t="s">
        <v>2646</v>
      </c>
      <c r="H528" s="4" t="s">
        <v>2640</v>
      </c>
    </row>
    <row r="529" spans="1:8" ht="15.75" customHeight="1">
      <c r="A529" s="9" t="s">
        <v>2647</v>
      </c>
      <c r="B529" s="14" t="s">
        <v>2648</v>
      </c>
      <c r="C529" s="5" t="s">
        <v>2649</v>
      </c>
      <c r="D529" s="4" t="s">
        <v>2650</v>
      </c>
      <c r="E529" s="5" t="s">
        <v>2651</v>
      </c>
      <c r="F529" s="9" t="s">
        <v>2652</v>
      </c>
      <c r="G529" s="6"/>
      <c r="H529" s="15" t="s">
        <v>2653</v>
      </c>
    </row>
    <row r="530" spans="1:8" ht="15.75" customHeight="1">
      <c r="A530" s="3" t="s">
        <v>1241</v>
      </c>
      <c r="B530" s="3" t="s">
        <v>2654</v>
      </c>
      <c r="C530" s="3" t="s">
        <v>109</v>
      </c>
      <c r="D530" s="4" t="s">
        <v>2655</v>
      </c>
      <c r="E530" s="5" t="s">
        <v>2656</v>
      </c>
      <c r="F530" s="9" t="s">
        <v>2657</v>
      </c>
      <c r="G530" s="6"/>
      <c r="H530" s="4" t="s">
        <v>2658</v>
      </c>
    </row>
    <row r="531" spans="1:8" ht="15.75" customHeight="1">
      <c r="A531" s="3" t="s">
        <v>203</v>
      </c>
      <c r="B531" s="3" t="s">
        <v>2659</v>
      </c>
      <c r="C531" s="3" t="s">
        <v>2660</v>
      </c>
      <c r="D531" s="4" t="s">
        <v>2661</v>
      </c>
      <c r="E531" s="3" t="s">
        <v>2662</v>
      </c>
      <c r="F531" s="9" t="s">
        <v>2657</v>
      </c>
      <c r="G531" s="5" t="s">
        <v>2663</v>
      </c>
      <c r="H531" s="4" t="s">
        <v>2658</v>
      </c>
    </row>
    <row r="532" spans="1:8" ht="15.75" customHeight="1">
      <c r="A532" s="3" t="s">
        <v>2664</v>
      </c>
      <c r="B532" s="3" t="s">
        <v>883</v>
      </c>
      <c r="C532" s="3" t="s">
        <v>2665</v>
      </c>
      <c r="D532" s="4" t="s">
        <v>2666</v>
      </c>
      <c r="E532" s="6"/>
      <c r="F532" s="9" t="s">
        <v>2657</v>
      </c>
      <c r="G532" s="6"/>
      <c r="H532" s="4" t="s">
        <v>2658</v>
      </c>
    </row>
    <row r="533" spans="1:8" ht="15.75" customHeight="1">
      <c r="A533" s="3" t="s">
        <v>2667</v>
      </c>
      <c r="B533" s="3" t="s">
        <v>2668</v>
      </c>
      <c r="C533" s="3" t="s">
        <v>46</v>
      </c>
      <c r="D533" s="4" t="s">
        <v>2669</v>
      </c>
      <c r="E533" s="6"/>
      <c r="F533" s="9" t="s">
        <v>2657</v>
      </c>
      <c r="G533" s="8">
        <f>525526292790</f>
        <v>525526292790</v>
      </c>
      <c r="H533" s="4" t="s">
        <v>2658</v>
      </c>
    </row>
    <row r="534" spans="1:8" ht="15.75" customHeight="1">
      <c r="A534" s="3" t="s">
        <v>2670</v>
      </c>
      <c r="B534" s="3" t="s">
        <v>2671</v>
      </c>
      <c r="C534" s="3" t="s">
        <v>91</v>
      </c>
      <c r="D534" s="4" t="s">
        <v>2672</v>
      </c>
      <c r="E534" s="6"/>
      <c r="F534" s="6"/>
      <c r="G534" s="6"/>
      <c r="H534" s="4" t="s">
        <v>2673</v>
      </c>
    </row>
    <row r="535" spans="1:8" ht="15.75" customHeight="1">
      <c r="A535" s="3" t="s">
        <v>2674</v>
      </c>
      <c r="B535" s="3" t="s">
        <v>1055</v>
      </c>
      <c r="C535" s="3" t="s">
        <v>2675</v>
      </c>
      <c r="D535" s="4" t="s">
        <v>2676</v>
      </c>
      <c r="E535" s="6"/>
      <c r="F535" s="6"/>
      <c r="G535" s="6"/>
      <c r="H535" s="4" t="s">
        <v>2673</v>
      </c>
    </row>
    <row r="536" spans="1:8" ht="15.75" customHeight="1">
      <c r="A536" s="3" t="s">
        <v>865</v>
      </c>
      <c r="B536" s="3" t="s">
        <v>2677</v>
      </c>
      <c r="C536" s="3" t="s">
        <v>2678</v>
      </c>
      <c r="D536" s="4" t="s">
        <v>2679</v>
      </c>
      <c r="E536" s="6"/>
      <c r="F536" s="5" t="s">
        <v>2680</v>
      </c>
      <c r="G536" s="9" t="s">
        <v>2681</v>
      </c>
      <c r="H536" s="4" t="s">
        <v>2682</v>
      </c>
    </row>
    <row r="537" spans="1:8" ht="15.75" customHeight="1">
      <c r="A537" s="3" t="s">
        <v>2683</v>
      </c>
      <c r="B537" s="3" t="s">
        <v>221</v>
      </c>
      <c r="C537" s="3" t="s">
        <v>772</v>
      </c>
      <c r="D537" s="4" t="s">
        <v>2684</v>
      </c>
      <c r="E537" s="5" t="s">
        <v>2685</v>
      </c>
      <c r="F537" s="5" t="s">
        <v>2680</v>
      </c>
      <c r="G537" s="9" t="s">
        <v>2681</v>
      </c>
      <c r="H537" s="4" t="s">
        <v>2682</v>
      </c>
    </row>
    <row r="538" spans="1:8" ht="15.75" customHeight="1">
      <c r="A538" s="3" t="s">
        <v>2463</v>
      </c>
      <c r="B538" s="3" t="s">
        <v>2686</v>
      </c>
      <c r="C538" s="3" t="s">
        <v>638</v>
      </c>
      <c r="D538" s="4" t="s">
        <v>2687</v>
      </c>
      <c r="E538" s="5" t="s">
        <v>2688</v>
      </c>
      <c r="F538" s="5" t="s">
        <v>2680</v>
      </c>
      <c r="G538" s="9" t="s">
        <v>2681</v>
      </c>
      <c r="H538" s="4" t="s">
        <v>2682</v>
      </c>
    </row>
    <row r="539" spans="1:8" ht="15.75" customHeight="1">
      <c r="A539" s="3" t="s">
        <v>2683</v>
      </c>
      <c r="B539" s="3" t="s">
        <v>221</v>
      </c>
      <c r="C539" s="3" t="s">
        <v>772</v>
      </c>
      <c r="D539" s="4" t="s">
        <v>2689</v>
      </c>
      <c r="E539" s="5" t="s">
        <v>2685</v>
      </c>
      <c r="F539" s="5" t="s">
        <v>2680</v>
      </c>
      <c r="G539" s="9" t="s">
        <v>2681</v>
      </c>
      <c r="H539" s="4" t="s">
        <v>2682</v>
      </c>
    </row>
    <row r="540" spans="1:8" ht="15.75" customHeight="1">
      <c r="A540" s="3" t="s">
        <v>1138</v>
      </c>
      <c r="B540" s="3" t="s">
        <v>2690</v>
      </c>
      <c r="C540" s="3" t="s">
        <v>2691</v>
      </c>
      <c r="D540" s="4" t="s">
        <v>2692</v>
      </c>
      <c r="E540" s="6"/>
      <c r="F540" s="5" t="s">
        <v>2693</v>
      </c>
      <c r="G540" s="6"/>
      <c r="H540" s="4" t="s">
        <v>2694</v>
      </c>
    </row>
    <row r="541" spans="1:8" ht="15.75" customHeight="1">
      <c r="A541" s="3" t="s">
        <v>1192</v>
      </c>
      <c r="B541" s="3" t="s">
        <v>2695</v>
      </c>
      <c r="C541" s="3" t="s">
        <v>2696</v>
      </c>
      <c r="D541" s="4" t="s">
        <v>2697</v>
      </c>
      <c r="E541" s="3" t="s">
        <v>2698</v>
      </c>
      <c r="F541" s="5" t="s">
        <v>2699</v>
      </c>
      <c r="G541" s="6"/>
      <c r="H541" s="4" t="s">
        <v>2700</v>
      </c>
    </row>
    <row r="542" spans="1:8" ht="15.75" customHeight="1">
      <c r="A542" s="3" t="s">
        <v>422</v>
      </c>
      <c r="B542" s="3" t="s">
        <v>290</v>
      </c>
      <c r="C542" s="3" t="s">
        <v>222</v>
      </c>
      <c r="D542" s="4" t="s">
        <v>2701</v>
      </c>
      <c r="E542" s="3" t="s">
        <v>2702</v>
      </c>
      <c r="F542" s="9" t="s">
        <v>2703</v>
      </c>
      <c r="G542" s="6"/>
      <c r="H542" s="4" t="s">
        <v>2704</v>
      </c>
    </row>
    <row r="543" spans="1:8" ht="15.75" customHeight="1">
      <c r="A543" s="3" t="s">
        <v>2705</v>
      </c>
      <c r="B543" s="3" t="s">
        <v>2706</v>
      </c>
      <c r="C543" s="3" t="s">
        <v>229</v>
      </c>
      <c r="D543" s="4" t="s">
        <v>2707</v>
      </c>
      <c r="E543" s="5" t="s">
        <v>2708</v>
      </c>
      <c r="F543" s="5" t="s">
        <v>2709</v>
      </c>
      <c r="G543" s="5" t="s">
        <v>2710</v>
      </c>
      <c r="H543" s="4" t="s">
        <v>2711</v>
      </c>
    </row>
    <row r="544" spans="1:8" ht="15.75" customHeight="1">
      <c r="A544" s="3" t="s">
        <v>2712</v>
      </c>
      <c r="B544" s="3" t="s">
        <v>49</v>
      </c>
      <c r="C544" s="3" t="s">
        <v>229</v>
      </c>
      <c r="D544" s="4" t="s">
        <v>2713</v>
      </c>
      <c r="E544" s="5" t="s">
        <v>2714</v>
      </c>
      <c r="F544" s="6"/>
      <c r="G544" s="6"/>
      <c r="H544" s="4" t="s">
        <v>2715</v>
      </c>
    </row>
    <row r="545" spans="1:8" ht="15.75" customHeight="1">
      <c r="A545" s="3" t="s">
        <v>2716</v>
      </c>
      <c r="B545" s="3" t="s">
        <v>414</v>
      </c>
      <c r="C545" s="3" t="s">
        <v>2717</v>
      </c>
      <c r="D545" s="4" t="s">
        <v>2718</v>
      </c>
      <c r="E545" s="5" t="s">
        <v>2719</v>
      </c>
      <c r="F545" s="6"/>
      <c r="G545" s="6"/>
      <c r="H545" s="4" t="s">
        <v>2720</v>
      </c>
    </row>
    <row r="546" spans="1:8" ht="15.75" customHeight="1">
      <c r="A546" s="3" t="s">
        <v>812</v>
      </c>
      <c r="B546" s="3" t="s">
        <v>2721</v>
      </c>
      <c r="C546" s="3" t="s">
        <v>46</v>
      </c>
      <c r="D546" s="4" t="s">
        <v>2722</v>
      </c>
      <c r="E546" s="6"/>
      <c r="F546" s="9" t="s">
        <v>2723</v>
      </c>
      <c r="G546" s="9" t="s">
        <v>2724</v>
      </c>
      <c r="H546" s="4" t="s">
        <v>2725</v>
      </c>
    </row>
    <row r="547" spans="1:8" ht="15.75" customHeight="1">
      <c r="A547" s="3" t="s">
        <v>413</v>
      </c>
      <c r="B547" s="3" t="s">
        <v>2726</v>
      </c>
      <c r="C547" s="3" t="s">
        <v>91</v>
      </c>
      <c r="D547" s="4" t="s">
        <v>2727</v>
      </c>
      <c r="E547" s="5" t="s">
        <v>2728</v>
      </c>
      <c r="F547" s="9" t="s">
        <v>2723</v>
      </c>
      <c r="G547" s="9" t="s">
        <v>2729</v>
      </c>
      <c r="H547" s="4" t="s">
        <v>2725</v>
      </c>
    </row>
    <row r="548" spans="1:8" ht="15.75" customHeight="1">
      <c r="A548" s="3" t="s">
        <v>2528</v>
      </c>
      <c r="B548" s="3" t="s">
        <v>2586</v>
      </c>
      <c r="C548" s="3" t="s">
        <v>2730</v>
      </c>
      <c r="D548" s="4" t="s">
        <v>2731</v>
      </c>
      <c r="E548" s="5" t="s">
        <v>2732</v>
      </c>
      <c r="F548" s="9" t="s">
        <v>2733</v>
      </c>
      <c r="G548" s="9" t="s">
        <v>2734</v>
      </c>
      <c r="H548" s="4" t="s">
        <v>2735</v>
      </c>
    </row>
    <row r="549" spans="1:8" ht="15.75" customHeight="1">
      <c r="A549" s="3" t="s">
        <v>1517</v>
      </c>
      <c r="B549" s="3" t="s">
        <v>2736</v>
      </c>
      <c r="C549" s="3" t="s">
        <v>229</v>
      </c>
      <c r="D549" s="4" t="s">
        <v>2737</v>
      </c>
      <c r="E549" s="6"/>
      <c r="F549" s="6"/>
      <c r="G549" s="6"/>
      <c r="H549" s="4" t="s">
        <v>2738</v>
      </c>
    </row>
    <row r="550" spans="1:8" ht="15.75" customHeight="1">
      <c r="A550" s="3" t="s">
        <v>1209</v>
      </c>
      <c r="B550" s="3" t="s">
        <v>151</v>
      </c>
      <c r="C550" s="3" t="s">
        <v>46</v>
      </c>
      <c r="D550" s="3" t="s">
        <v>2739</v>
      </c>
      <c r="E550" s="3" t="s">
        <v>2740</v>
      </c>
      <c r="F550" s="6"/>
      <c r="G550" s="6"/>
      <c r="H550" s="4" t="s">
        <v>2741</v>
      </c>
    </row>
    <row r="551" spans="1:8" ht="15.75" customHeight="1">
      <c r="A551" s="3" t="s">
        <v>155</v>
      </c>
      <c r="B551" s="3" t="s">
        <v>1277</v>
      </c>
      <c r="C551" s="3" t="s">
        <v>229</v>
      </c>
      <c r="D551" s="4" t="s">
        <v>2742</v>
      </c>
      <c r="E551" s="5" t="s">
        <v>2743</v>
      </c>
      <c r="F551" s="5" t="s">
        <v>2744</v>
      </c>
      <c r="G551" s="6"/>
      <c r="H551" s="4" t="s">
        <v>2745</v>
      </c>
    </row>
    <row r="552" spans="1:8" ht="15.75" customHeight="1">
      <c r="A552" s="3" t="s">
        <v>301</v>
      </c>
      <c r="B552" s="3" t="s">
        <v>2746</v>
      </c>
      <c r="C552" s="3" t="s">
        <v>2747</v>
      </c>
      <c r="D552" s="4" t="s">
        <v>2748</v>
      </c>
      <c r="E552" s="5" t="s">
        <v>2749</v>
      </c>
      <c r="F552" s="5" t="s">
        <v>2744</v>
      </c>
      <c r="G552" s="6"/>
      <c r="H552" s="4" t="s">
        <v>2745</v>
      </c>
    </row>
    <row r="553" spans="1:8" ht="15.75" customHeight="1">
      <c r="A553" s="3" t="s">
        <v>2750</v>
      </c>
      <c r="B553" s="3" t="s">
        <v>2751</v>
      </c>
      <c r="C553" s="3" t="s">
        <v>2075</v>
      </c>
      <c r="D553" s="4" t="s">
        <v>2752</v>
      </c>
      <c r="E553" s="5" t="s">
        <v>2753</v>
      </c>
      <c r="F553" s="5" t="s">
        <v>2754</v>
      </c>
      <c r="G553" s="6"/>
      <c r="H553" s="4" t="s">
        <v>2755</v>
      </c>
    </row>
    <row r="554" spans="1:8" ht="15.75" customHeight="1">
      <c r="A554" s="3" t="s">
        <v>2756</v>
      </c>
      <c r="B554" s="3" t="s">
        <v>2757</v>
      </c>
      <c r="C554" s="3" t="s">
        <v>2758</v>
      </c>
      <c r="D554" s="4" t="s">
        <v>2759</v>
      </c>
      <c r="E554" s="6"/>
      <c r="F554" s="6"/>
      <c r="G554" s="6"/>
      <c r="H554" s="4" t="s">
        <v>2760</v>
      </c>
    </row>
    <row r="555" spans="1:8" ht="15.75" customHeight="1">
      <c r="A555" s="3" t="s">
        <v>2761</v>
      </c>
      <c r="B555" s="3" t="s">
        <v>2762</v>
      </c>
      <c r="C555" s="3" t="s">
        <v>2763</v>
      </c>
      <c r="D555" s="4" t="s">
        <v>2764</v>
      </c>
      <c r="E555" s="6"/>
      <c r="F555" s="6"/>
      <c r="G555" s="6"/>
      <c r="H555" s="4" t="s">
        <v>2760</v>
      </c>
    </row>
    <row r="556" spans="1:8" ht="15.75" customHeight="1">
      <c r="A556" s="3" t="s">
        <v>2765</v>
      </c>
      <c r="B556" s="3" t="s">
        <v>1187</v>
      </c>
      <c r="C556" s="3" t="s">
        <v>303</v>
      </c>
      <c r="D556" s="6"/>
      <c r="E556" s="6"/>
      <c r="F556" s="6"/>
      <c r="G556" s="6"/>
      <c r="H556" s="4" t="s">
        <v>2760</v>
      </c>
    </row>
    <row r="557" spans="1:8" ht="15.75" customHeight="1">
      <c r="A557" s="3" t="s">
        <v>1222</v>
      </c>
      <c r="B557" s="3" t="s">
        <v>2766</v>
      </c>
      <c r="C557" s="3" t="s">
        <v>2767</v>
      </c>
      <c r="D557" s="4" t="s">
        <v>2768</v>
      </c>
      <c r="E557" s="3" t="s">
        <v>2769</v>
      </c>
      <c r="F557" s="5" t="s">
        <v>2770</v>
      </c>
      <c r="G557" s="6"/>
      <c r="H557" s="4" t="s">
        <v>2771</v>
      </c>
    </row>
    <row r="558" spans="1:8" ht="15.75" customHeight="1">
      <c r="A558" s="3" t="s">
        <v>44</v>
      </c>
      <c r="B558" s="3" t="s">
        <v>1055</v>
      </c>
      <c r="C558" s="3" t="s">
        <v>583</v>
      </c>
      <c r="D558" s="4" t="s">
        <v>2772</v>
      </c>
      <c r="E558" s="5" t="s">
        <v>2773</v>
      </c>
      <c r="F558" s="6"/>
      <c r="G558" s="6"/>
      <c r="H558" s="4" t="s">
        <v>2774</v>
      </c>
    </row>
    <row r="559" spans="1:8" ht="15.75" customHeight="1">
      <c r="A559" s="3" t="s">
        <v>394</v>
      </c>
      <c r="B559" s="3" t="s">
        <v>2775</v>
      </c>
      <c r="C559" s="3" t="s">
        <v>229</v>
      </c>
      <c r="D559" s="3" t="s">
        <v>2776</v>
      </c>
      <c r="E559" s="6"/>
      <c r="F559" s="6"/>
      <c r="G559" s="6"/>
      <c r="H559" s="4" t="s">
        <v>2777</v>
      </c>
    </row>
    <row r="560" spans="1:8" ht="15.75" customHeight="1">
      <c r="A560" s="3" t="s">
        <v>710</v>
      </c>
      <c r="B560" s="3" t="s">
        <v>2778</v>
      </c>
      <c r="C560" s="3" t="s">
        <v>2779</v>
      </c>
      <c r="D560" s="4" t="s">
        <v>2780</v>
      </c>
      <c r="E560" s="5" t="s">
        <v>2781</v>
      </c>
      <c r="F560" s="8">
        <f>52.818000713</f>
        <v>52.818000713000004</v>
      </c>
      <c r="G560" s="8">
        <v>87119095020</v>
      </c>
      <c r="H560" s="4" t="s">
        <v>2782</v>
      </c>
    </row>
    <row r="561" spans="1:8" ht="15.75" customHeight="1">
      <c r="A561" s="3" t="s">
        <v>2783</v>
      </c>
      <c r="B561" s="3" t="s">
        <v>2784</v>
      </c>
      <c r="C561" s="3" t="s">
        <v>583</v>
      </c>
      <c r="D561" s="4" t="s">
        <v>2785</v>
      </c>
      <c r="E561" s="5" t="s">
        <v>2786</v>
      </c>
      <c r="F561" s="6"/>
      <c r="G561" s="6"/>
      <c r="H561" s="4" t="s">
        <v>2787</v>
      </c>
    </row>
    <row r="562" spans="1:8" ht="15.75" customHeight="1">
      <c r="A562" s="3" t="s">
        <v>725</v>
      </c>
      <c r="B562" s="3" t="s">
        <v>2788</v>
      </c>
      <c r="C562" s="3" t="s">
        <v>222</v>
      </c>
      <c r="D562" s="4" t="s">
        <v>2789</v>
      </c>
      <c r="E562" s="3" t="s">
        <v>2790</v>
      </c>
      <c r="F562" s="6"/>
      <c r="G562" s="6"/>
      <c r="H562" s="4" t="s">
        <v>2791</v>
      </c>
    </row>
    <row r="563" spans="1:8" ht="15.75" customHeight="1">
      <c r="A563" s="3" t="s">
        <v>2792</v>
      </c>
      <c r="B563" s="3" t="s">
        <v>2793</v>
      </c>
      <c r="C563" s="3" t="s">
        <v>91</v>
      </c>
      <c r="D563" s="4" t="s">
        <v>2794</v>
      </c>
      <c r="E563" s="6"/>
      <c r="F563" s="5" t="s">
        <v>2795</v>
      </c>
      <c r="G563" s="6"/>
      <c r="H563" s="4" t="s">
        <v>2796</v>
      </c>
    </row>
    <row r="564" spans="1:8" ht="15.75" customHeight="1">
      <c r="A564" s="3" t="s">
        <v>2797</v>
      </c>
      <c r="B564" s="3" t="s">
        <v>144</v>
      </c>
      <c r="C564" s="3" t="s">
        <v>2798</v>
      </c>
      <c r="D564" s="4" t="s">
        <v>2799</v>
      </c>
      <c r="E564" s="6"/>
      <c r="F564" s="5" t="s">
        <v>2795</v>
      </c>
      <c r="G564" s="6"/>
      <c r="H564" s="4" t="s">
        <v>2796</v>
      </c>
    </row>
    <row r="565" spans="1:8" ht="15.75" customHeight="1">
      <c r="A565" s="3" t="s">
        <v>2182</v>
      </c>
      <c r="B565" s="3" t="s">
        <v>2800</v>
      </c>
      <c r="C565" s="3" t="s">
        <v>2801</v>
      </c>
      <c r="D565" s="4" t="s">
        <v>2802</v>
      </c>
      <c r="E565" s="3" t="s">
        <v>2803</v>
      </c>
      <c r="F565" s="5" t="s">
        <v>2795</v>
      </c>
      <c r="G565" s="6"/>
      <c r="H565" s="4" t="s">
        <v>2796</v>
      </c>
    </row>
    <row r="566" spans="1:8" ht="15.75" customHeight="1">
      <c r="A566" s="3" t="s">
        <v>2804</v>
      </c>
      <c r="B566" s="3" t="s">
        <v>2805</v>
      </c>
      <c r="C566" s="3" t="s">
        <v>2806</v>
      </c>
      <c r="D566" s="4" t="s">
        <v>2807</v>
      </c>
      <c r="E566" s="3" t="s">
        <v>2808</v>
      </c>
      <c r="F566" s="5" t="s">
        <v>2809</v>
      </c>
      <c r="G566" s="9" t="s">
        <v>2810</v>
      </c>
      <c r="H566" s="4" t="s">
        <v>2811</v>
      </c>
    </row>
    <row r="567" spans="1:8" ht="15.75" customHeight="1">
      <c r="A567" s="3" t="s">
        <v>763</v>
      </c>
      <c r="B567" s="3" t="s">
        <v>1162</v>
      </c>
      <c r="C567" s="3" t="s">
        <v>2812</v>
      </c>
      <c r="D567" s="4" t="s">
        <v>2813</v>
      </c>
      <c r="E567" s="5" t="s">
        <v>2814</v>
      </c>
      <c r="F567" s="5" t="s">
        <v>2809</v>
      </c>
      <c r="G567" s="6"/>
      <c r="H567" s="4" t="s">
        <v>2811</v>
      </c>
    </row>
    <row r="568" spans="1:8" ht="15.75" customHeight="1">
      <c r="A568" s="3" t="s">
        <v>2815</v>
      </c>
      <c r="B568" s="3" t="s">
        <v>2816</v>
      </c>
      <c r="C568" s="3" t="s">
        <v>2817</v>
      </c>
      <c r="D568" s="4" t="s">
        <v>2818</v>
      </c>
      <c r="E568" s="5" t="s">
        <v>2819</v>
      </c>
      <c r="F568" s="5" t="s">
        <v>2809</v>
      </c>
      <c r="G568" s="9" t="s">
        <v>2820</v>
      </c>
      <c r="H568" s="4" t="s">
        <v>2811</v>
      </c>
    </row>
    <row r="569" spans="1:8" ht="15.75" customHeight="1">
      <c r="A569" s="3" t="s">
        <v>2821</v>
      </c>
      <c r="B569" s="3" t="s">
        <v>2822</v>
      </c>
      <c r="C569" s="3" t="s">
        <v>229</v>
      </c>
      <c r="D569" s="4" t="s">
        <v>2823</v>
      </c>
      <c r="E569" s="6"/>
      <c r="F569" s="5" t="s">
        <v>2809</v>
      </c>
      <c r="G569" s="6"/>
      <c r="H569" s="4" t="s">
        <v>2811</v>
      </c>
    </row>
    <row r="570" spans="1:8" ht="15.75" customHeight="1">
      <c r="A570" s="3" t="s">
        <v>2824</v>
      </c>
      <c r="B570" s="3" t="s">
        <v>2825</v>
      </c>
      <c r="C570" s="3" t="s">
        <v>2826</v>
      </c>
      <c r="D570" s="4" t="s">
        <v>2827</v>
      </c>
      <c r="E570" s="5" t="s">
        <v>2828</v>
      </c>
      <c r="F570" s="5" t="s">
        <v>2809</v>
      </c>
      <c r="G570" s="6"/>
      <c r="H570" s="4" t="s">
        <v>2811</v>
      </c>
    </row>
    <row r="571" spans="1:8" ht="15.75" customHeight="1">
      <c r="A571" s="3" t="s">
        <v>69</v>
      </c>
      <c r="B571" s="3" t="s">
        <v>2829</v>
      </c>
      <c r="C571" s="3" t="s">
        <v>229</v>
      </c>
      <c r="D571" s="4" t="s">
        <v>2830</v>
      </c>
      <c r="E571" s="5" t="s">
        <v>2831</v>
      </c>
      <c r="F571" s="5" t="s">
        <v>2809</v>
      </c>
      <c r="G571" s="6"/>
      <c r="H571" s="4" t="s">
        <v>2811</v>
      </c>
    </row>
    <row r="572" spans="1:8" ht="15.75" customHeight="1">
      <c r="A572" s="3" t="s">
        <v>2832</v>
      </c>
      <c r="B572" s="3" t="s">
        <v>20</v>
      </c>
      <c r="C572" s="3" t="s">
        <v>229</v>
      </c>
      <c r="D572" s="4" t="s">
        <v>2833</v>
      </c>
      <c r="E572" s="5" t="s">
        <v>2834</v>
      </c>
      <c r="F572" s="5" t="s">
        <v>2809</v>
      </c>
      <c r="G572" s="6"/>
      <c r="H572" s="4" t="s">
        <v>2811</v>
      </c>
    </row>
    <row r="573" spans="1:8" ht="15.75" customHeight="1">
      <c r="A573" s="3" t="s">
        <v>14</v>
      </c>
      <c r="B573" s="3" t="s">
        <v>2835</v>
      </c>
      <c r="C573" s="3" t="s">
        <v>91</v>
      </c>
      <c r="D573" s="4" t="s">
        <v>2836</v>
      </c>
      <c r="E573" s="6"/>
      <c r="F573" s="6"/>
      <c r="G573" s="6"/>
      <c r="H573" s="4" t="s">
        <v>2837</v>
      </c>
    </row>
    <row r="574" spans="1:8" ht="15.75" customHeight="1">
      <c r="A574" s="3" t="s">
        <v>44</v>
      </c>
      <c r="B574" s="3" t="s">
        <v>2838</v>
      </c>
      <c r="C574" s="3" t="s">
        <v>91</v>
      </c>
      <c r="D574" s="4" t="s">
        <v>2839</v>
      </c>
      <c r="E574" s="6"/>
      <c r="F574" s="5" t="s">
        <v>2840</v>
      </c>
      <c r="G574" s="9" t="s">
        <v>2841</v>
      </c>
      <c r="H574" s="4" t="s">
        <v>2842</v>
      </c>
    </row>
    <row r="575" spans="1:8" ht="15.75" customHeight="1">
      <c r="A575" s="3" t="s">
        <v>2843</v>
      </c>
      <c r="B575" s="3" t="s">
        <v>2844</v>
      </c>
      <c r="C575" s="3" t="s">
        <v>96</v>
      </c>
      <c r="D575" s="4" t="s">
        <v>2845</v>
      </c>
      <c r="E575" s="6"/>
      <c r="F575" s="5" t="s">
        <v>2846</v>
      </c>
      <c r="G575" s="6"/>
      <c r="H575" s="4" t="s">
        <v>2847</v>
      </c>
    </row>
    <row r="576" spans="1:8" ht="15.75" customHeight="1">
      <c r="A576" s="3" t="s">
        <v>721</v>
      </c>
      <c r="B576" s="3" t="s">
        <v>2848</v>
      </c>
      <c r="C576" s="3" t="s">
        <v>2849</v>
      </c>
      <c r="D576" s="4" t="s">
        <v>2850</v>
      </c>
      <c r="E576" s="5" t="s">
        <v>2851</v>
      </c>
      <c r="F576" s="8">
        <f t="shared" ref="F576:F577" si="4">528131014281</f>
        <v>528131014281</v>
      </c>
      <c r="G576" s="6"/>
      <c r="H576" s="4" t="s">
        <v>2852</v>
      </c>
    </row>
    <row r="577" spans="1:8" ht="15.75" customHeight="1">
      <c r="A577" s="3" t="s">
        <v>1105</v>
      </c>
      <c r="B577" s="3" t="s">
        <v>2853</v>
      </c>
      <c r="C577" s="3" t="s">
        <v>109</v>
      </c>
      <c r="D577" s="4" t="s">
        <v>2854</v>
      </c>
      <c r="E577" s="6"/>
      <c r="F577" s="8">
        <f t="shared" si="4"/>
        <v>528131014281</v>
      </c>
      <c r="G577" s="6"/>
      <c r="H577" s="4" t="s">
        <v>2852</v>
      </c>
    </row>
    <row r="578" spans="1:8" ht="15.75" customHeight="1">
      <c r="A578" s="3" t="s">
        <v>2855</v>
      </c>
      <c r="B578" s="3" t="s">
        <v>2856</v>
      </c>
      <c r="C578" s="3" t="s">
        <v>2857</v>
      </c>
      <c r="D578" s="4" t="s">
        <v>2858</v>
      </c>
      <c r="E578" s="5" t="s">
        <v>2859</v>
      </c>
      <c r="F578" s="5" t="s">
        <v>2860</v>
      </c>
      <c r="G578" s="6"/>
      <c r="H578" s="4" t="s">
        <v>2861</v>
      </c>
    </row>
    <row r="579" spans="1:8" ht="15.75" customHeight="1">
      <c r="A579" s="3" t="s">
        <v>2428</v>
      </c>
      <c r="B579" s="3" t="s">
        <v>2862</v>
      </c>
      <c r="C579" s="3" t="s">
        <v>2863</v>
      </c>
      <c r="D579" s="4" t="s">
        <v>2864</v>
      </c>
      <c r="E579" s="5" t="s">
        <v>2865</v>
      </c>
      <c r="F579" s="5" t="s">
        <v>2866</v>
      </c>
      <c r="G579" s="5" t="s">
        <v>2867</v>
      </c>
      <c r="H579" s="4" t="s">
        <v>2868</v>
      </c>
    </row>
    <row r="580" spans="1:8" ht="15.75" customHeight="1">
      <c r="A580" s="3" t="s">
        <v>2869</v>
      </c>
      <c r="B580" s="3" t="s">
        <v>2870</v>
      </c>
      <c r="C580" s="3" t="s">
        <v>2871</v>
      </c>
      <c r="D580" s="4" t="s">
        <v>2872</v>
      </c>
      <c r="E580" s="3" t="s">
        <v>2873</v>
      </c>
      <c r="F580" s="5" t="s">
        <v>2866</v>
      </c>
      <c r="G580" s="9" t="s">
        <v>2874</v>
      </c>
      <c r="H580" s="4" t="s">
        <v>2868</v>
      </c>
    </row>
    <row r="581" spans="1:8" ht="15.75" customHeight="1">
      <c r="A581" s="3" t="s">
        <v>2875</v>
      </c>
      <c r="B581" s="3" t="s">
        <v>2876</v>
      </c>
      <c r="C581" s="3" t="s">
        <v>229</v>
      </c>
      <c r="D581" s="4" t="s">
        <v>2877</v>
      </c>
      <c r="E581" s="3" t="s">
        <v>2878</v>
      </c>
      <c r="F581" s="5" t="s">
        <v>2866</v>
      </c>
      <c r="G581" s="9" t="s">
        <v>2879</v>
      </c>
      <c r="H581" s="4" t="s">
        <v>2868</v>
      </c>
    </row>
    <row r="582" spans="1:8" ht="15.75" customHeight="1">
      <c r="A582" s="3" t="s">
        <v>2880</v>
      </c>
      <c r="B582" s="3" t="s">
        <v>2881</v>
      </c>
      <c r="C582" s="3" t="s">
        <v>2882</v>
      </c>
      <c r="D582" s="4" t="s">
        <v>2883</v>
      </c>
      <c r="E582" s="6"/>
      <c r="F582" s="5" t="s">
        <v>2866</v>
      </c>
      <c r="G582" s="5" t="s">
        <v>2884</v>
      </c>
      <c r="H582" s="4" t="s">
        <v>2868</v>
      </c>
    </row>
    <row r="583" spans="1:8" ht="15.75" customHeight="1">
      <c r="A583" s="3" t="s">
        <v>2885</v>
      </c>
      <c r="B583" s="3" t="s">
        <v>2886</v>
      </c>
      <c r="C583" s="3" t="s">
        <v>229</v>
      </c>
      <c r="D583" s="4" t="s">
        <v>2887</v>
      </c>
      <c r="E583" s="5" t="s">
        <v>2888</v>
      </c>
      <c r="F583" s="5" t="s">
        <v>2866</v>
      </c>
      <c r="G583" s="6"/>
      <c r="H583" s="4" t="s">
        <v>2868</v>
      </c>
    </row>
    <row r="584" spans="1:8" ht="15.75" customHeight="1">
      <c r="A584" s="3" t="s">
        <v>2889</v>
      </c>
      <c r="B584" s="3" t="s">
        <v>2224</v>
      </c>
      <c r="C584" s="3" t="s">
        <v>140</v>
      </c>
      <c r="D584" s="4" t="s">
        <v>2890</v>
      </c>
      <c r="E584" s="5" t="s">
        <v>2891</v>
      </c>
      <c r="F584" s="5" t="s">
        <v>2866</v>
      </c>
      <c r="G584" s="6"/>
      <c r="H584" s="4" t="s">
        <v>2868</v>
      </c>
    </row>
    <row r="585" spans="1:8" ht="15.75" customHeight="1">
      <c r="A585" s="3" t="s">
        <v>2892</v>
      </c>
      <c r="B585" s="3" t="s">
        <v>414</v>
      </c>
      <c r="C585" s="3" t="s">
        <v>2893</v>
      </c>
      <c r="D585" s="4" t="s">
        <v>2894</v>
      </c>
      <c r="E585" s="5" t="s">
        <v>2895</v>
      </c>
      <c r="F585" s="6"/>
      <c r="G585" s="6"/>
      <c r="H585" s="4" t="s">
        <v>2896</v>
      </c>
    </row>
    <row r="586" spans="1:8" ht="15.75" customHeight="1">
      <c r="A586" s="3" t="s">
        <v>2897</v>
      </c>
      <c r="B586" s="3" t="s">
        <v>2898</v>
      </c>
      <c r="C586" s="3" t="s">
        <v>2899</v>
      </c>
      <c r="D586" s="4" t="s">
        <v>2900</v>
      </c>
      <c r="E586" s="5" t="s">
        <v>2901</v>
      </c>
      <c r="F586" s="6"/>
      <c r="G586" s="6"/>
      <c r="H586" s="4" t="s">
        <v>2896</v>
      </c>
    </row>
    <row r="587" spans="1:8" ht="15.75" customHeight="1">
      <c r="A587" s="3" t="s">
        <v>462</v>
      </c>
      <c r="B587" s="3" t="s">
        <v>198</v>
      </c>
      <c r="C587" s="3" t="s">
        <v>2902</v>
      </c>
      <c r="D587" s="4" t="s">
        <v>2903</v>
      </c>
      <c r="E587" s="3" t="s">
        <v>2904</v>
      </c>
      <c r="F587" s="9" t="s">
        <v>2905</v>
      </c>
      <c r="G587" s="6"/>
      <c r="H587" s="4" t="s">
        <v>2896</v>
      </c>
    </row>
    <row r="588" spans="1:8" ht="15.75" customHeight="1">
      <c r="A588" s="3" t="s">
        <v>2906</v>
      </c>
      <c r="B588" s="3" t="s">
        <v>2907</v>
      </c>
      <c r="C588" s="3" t="s">
        <v>2908</v>
      </c>
      <c r="D588" s="4" t="s">
        <v>2909</v>
      </c>
      <c r="E588" s="6"/>
      <c r="F588" s="9" t="s">
        <v>2910</v>
      </c>
      <c r="G588" s="6"/>
      <c r="H588" s="4" t="s">
        <v>2911</v>
      </c>
    </row>
    <row r="589" spans="1:8" ht="15.75" customHeight="1">
      <c r="A589" s="3" t="s">
        <v>2912</v>
      </c>
      <c r="B589" s="3" t="s">
        <v>874</v>
      </c>
      <c r="C589" s="3" t="s">
        <v>2913</v>
      </c>
      <c r="D589" s="4" t="s">
        <v>2914</v>
      </c>
      <c r="E589" s="3" t="s">
        <v>2915</v>
      </c>
      <c r="F589" s="9" t="s">
        <v>2910</v>
      </c>
      <c r="G589" s="9" t="s">
        <v>2916</v>
      </c>
      <c r="H589" s="4" t="s">
        <v>2911</v>
      </c>
    </row>
    <row r="590" spans="1:8" ht="15.75" customHeight="1">
      <c r="A590" s="3" t="s">
        <v>789</v>
      </c>
      <c r="B590" s="3" t="s">
        <v>2917</v>
      </c>
      <c r="C590" s="3" t="s">
        <v>2918</v>
      </c>
      <c r="D590" s="4" t="s">
        <v>2919</v>
      </c>
      <c r="E590" s="6"/>
      <c r="F590" s="5" t="s">
        <v>2910</v>
      </c>
      <c r="G590" s="6"/>
      <c r="H590" s="4" t="s">
        <v>2911</v>
      </c>
    </row>
    <row r="591" spans="1:8" ht="15.75" customHeight="1">
      <c r="A591" s="3" t="s">
        <v>2906</v>
      </c>
      <c r="B591" s="3" t="s">
        <v>2920</v>
      </c>
      <c r="C591" s="3" t="s">
        <v>1382</v>
      </c>
      <c r="D591" s="4" t="s">
        <v>2921</v>
      </c>
      <c r="E591" s="5" t="s">
        <v>2922</v>
      </c>
      <c r="F591" s="5" t="s">
        <v>2910</v>
      </c>
      <c r="G591" s="6"/>
      <c r="H591" s="4" t="s">
        <v>2911</v>
      </c>
    </row>
    <row r="592" spans="1:8" ht="15.75" customHeight="1">
      <c r="A592" s="3" t="s">
        <v>69</v>
      </c>
      <c r="B592" s="3" t="s">
        <v>1604</v>
      </c>
      <c r="C592" s="3" t="s">
        <v>2923</v>
      </c>
      <c r="D592" s="4" t="s">
        <v>2924</v>
      </c>
      <c r="E592" s="5" t="s">
        <v>2925</v>
      </c>
      <c r="F592" s="6"/>
      <c r="G592" s="6"/>
      <c r="H592" s="4" t="s">
        <v>2926</v>
      </c>
    </row>
    <row r="593" spans="1:8" ht="15.75" customHeight="1">
      <c r="A593" s="3" t="s">
        <v>44</v>
      </c>
      <c r="B593" s="3" t="s">
        <v>2927</v>
      </c>
      <c r="C593" s="3" t="s">
        <v>2928</v>
      </c>
      <c r="D593" s="4" t="s">
        <v>2929</v>
      </c>
      <c r="E593" s="6"/>
      <c r="F593" s="6"/>
      <c r="G593" s="6"/>
      <c r="H593" s="4" t="s">
        <v>2930</v>
      </c>
    </row>
    <row r="594" spans="1:8" ht="15.75" customHeight="1">
      <c r="A594" s="3" t="s">
        <v>2931</v>
      </c>
      <c r="B594" s="3" t="s">
        <v>151</v>
      </c>
      <c r="C594" s="3" t="s">
        <v>2932</v>
      </c>
      <c r="D594" s="4" t="s">
        <v>2933</v>
      </c>
      <c r="E594" s="5" t="s">
        <v>2934</v>
      </c>
      <c r="F594" s="6"/>
      <c r="G594" s="6"/>
      <c r="H594" s="4" t="s">
        <v>2935</v>
      </c>
    </row>
    <row r="595" spans="1:8" ht="15.75" customHeight="1">
      <c r="A595" s="3" t="s">
        <v>2157</v>
      </c>
      <c r="B595" s="3" t="s">
        <v>2936</v>
      </c>
      <c r="C595" s="3" t="s">
        <v>2937</v>
      </c>
      <c r="D595" s="4" t="s">
        <v>2938</v>
      </c>
      <c r="E595" s="6"/>
      <c r="F595" s="8">
        <f t="shared" ref="F595:F599" si="5">525541703567</f>
        <v>525541703567</v>
      </c>
      <c r="G595" s="6"/>
      <c r="H595" s="4" t="s">
        <v>2939</v>
      </c>
    </row>
    <row r="596" spans="1:8" ht="15.75" customHeight="1">
      <c r="A596" s="3" t="s">
        <v>2940</v>
      </c>
      <c r="B596" s="3" t="s">
        <v>429</v>
      </c>
      <c r="C596" s="3" t="s">
        <v>2941</v>
      </c>
      <c r="D596" s="3" t="s">
        <v>2942</v>
      </c>
      <c r="E596" s="6"/>
      <c r="F596" s="8">
        <f t="shared" si="5"/>
        <v>525541703567</v>
      </c>
      <c r="G596" s="6"/>
      <c r="H596" s="4" t="s">
        <v>2939</v>
      </c>
    </row>
    <row r="597" spans="1:8" ht="15.75" customHeight="1">
      <c r="A597" s="3" t="s">
        <v>2943</v>
      </c>
      <c r="B597" s="3" t="s">
        <v>2944</v>
      </c>
      <c r="C597" s="3" t="s">
        <v>162</v>
      </c>
      <c r="D597" s="4" t="s">
        <v>2945</v>
      </c>
      <c r="E597" s="23"/>
      <c r="F597" s="8">
        <f t="shared" si="5"/>
        <v>525541703567</v>
      </c>
      <c r="G597" s="6"/>
      <c r="H597" s="4" t="s">
        <v>2939</v>
      </c>
    </row>
    <row r="598" spans="1:8" ht="15.75" customHeight="1">
      <c r="A598" s="3" t="s">
        <v>2946</v>
      </c>
      <c r="B598" s="3" t="s">
        <v>2947</v>
      </c>
      <c r="C598" s="3" t="s">
        <v>2948</v>
      </c>
      <c r="D598" s="4" t="s">
        <v>2949</v>
      </c>
      <c r="E598" s="5" t="s">
        <v>2950</v>
      </c>
      <c r="F598" s="8">
        <f t="shared" si="5"/>
        <v>525541703567</v>
      </c>
      <c r="G598" s="6"/>
      <c r="H598" s="4" t="s">
        <v>2939</v>
      </c>
    </row>
    <row r="599" spans="1:8" ht="15.75" customHeight="1">
      <c r="A599" s="3" t="s">
        <v>2951</v>
      </c>
      <c r="B599" s="3" t="s">
        <v>2952</v>
      </c>
      <c r="C599" s="3" t="s">
        <v>109</v>
      </c>
      <c r="D599" s="4" t="s">
        <v>2953</v>
      </c>
      <c r="E599" s="3" t="s">
        <v>2954</v>
      </c>
      <c r="F599" s="8">
        <f t="shared" si="5"/>
        <v>525541703567</v>
      </c>
      <c r="G599" s="6"/>
      <c r="H599" s="4" t="s">
        <v>2939</v>
      </c>
    </row>
    <row r="600" spans="1:8" ht="15.75" customHeight="1">
      <c r="A600" s="3" t="s">
        <v>2955</v>
      </c>
      <c r="B600" s="3" t="s">
        <v>2956</v>
      </c>
      <c r="C600" s="3" t="s">
        <v>229</v>
      </c>
      <c r="D600" s="4" t="s">
        <v>2957</v>
      </c>
      <c r="E600" s="6"/>
      <c r="F600" s="5" t="s">
        <v>2958</v>
      </c>
      <c r="G600" s="6"/>
      <c r="H600" s="4" t="s">
        <v>2959</v>
      </c>
    </row>
    <row r="601" spans="1:8" ht="15.75" customHeight="1">
      <c r="A601" s="3" t="s">
        <v>595</v>
      </c>
      <c r="B601" s="3" t="s">
        <v>2960</v>
      </c>
      <c r="C601" s="3" t="s">
        <v>2961</v>
      </c>
      <c r="D601" s="4" t="s">
        <v>2962</v>
      </c>
      <c r="E601" s="5" t="s">
        <v>2963</v>
      </c>
      <c r="F601" s="5" t="s">
        <v>2958</v>
      </c>
      <c r="G601" s="8">
        <v>33687743025</v>
      </c>
      <c r="H601" s="4" t="s">
        <v>2959</v>
      </c>
    </row>
    <row r="602" spans="1:8" ht="15.75" customHeight="1">
      <c r="A602" s="3" t="s">
        <v>2964</v>
      </c>
      <c r="B602" s="3" t="s">
        <v>2965</v>
      </c>
      <c r="C602" s="3" t="s">
        <v>91</v>
      </c>
      <c r="D602" s="4" t="s">
        <v>2966</v>
      </c>
      <c r="E602" s="5" t="s">
        <v>2967</v>
      </c>
      <c r="F602" s="5" t="s">
        <v>2958</v>
      </c>
      <c r="G602" s="6"/>
      <c r="H602" s="4" t="s">
        <v>2959</v>
      </c>
    </row>
    <row r="603" spans="1:8" ht="15.75" customHeight="1">
      <c r="A603" s="3" t="s">
        <v>171</v>
      </c>
      <c r="B603" s="3" t="s">
        <v>2968</v>
      </c>
      <c r="C603" s="3" t="s">
        <v>229</v>
      </c>
      <c r="D603" s="4" t="s">
        <v>2969</v>
      </c>
      <c r="E603" s="5" t="s">
        <v>2970</v>
      </c>
      <c r="F603" s="6"/>
      <c r="G603" s="6"/>
      <c r="H603" s="4" t="s">
        <v>2971</v>
      </c>
    </row>
    <row r="604" spans="1:8" ht="15.75" customHeight="1">
      <c r="A604" s="3" t="s">
        <v>14</v>
      </c>
      <c r="B604" s="3" t="s">
        <v>45</v>
      </c>
      <c r="C604" s="3" t="s">
        <v>2972</v>
      </c>
      <c r="D604" s="4" t="s">
        <v>2973</v>
      </c>
      <c r="E604" s="5" t="s">
        <v>2974</v>
      </c>
      <c r="F604" s="5" t="s">
        <v>2975</v>
      </c>
      <c r="G604" s="6"/>
      <c r="H604" s="4" t="s">
        <v>2976</v>
      </c>
    </row>
    <row r="605" spans="1:8" ht="15.75" customHeight="1">
      <c r="A605" s="3" t="s">
        <v>600</v>
      </c>
      <c r="B605" s="3" t="s">
        <v>2977</v>
      </c>
      <c r="C605" s="3" t="s">
        <v>791</v>
      </c>
      <c r="D605" s="4" t="s">
        <v>2978</v>
      </c>
      <c r="E605" s="5" t="s">
        <v>2979</v>
      </c>
      <c r="F605" s="5" t="s">
        <v>2975</v>
      </c>
      <c r="G605" s="6"/>
      <c r="H605" s="4" t="s">
        <v>2976</v>
      </c>
    </row>
    <row r="606" spans="1:8" ht="15.75" customHeight="1">
      <c r="A606" s="3" t="s">
        <v>2463</v>
      </c>
      <c r="B606" s="3" t="s">
        <v>2980</v>
      </c>
      <c r="C606" s="3" t="s">
        <v>2981</v>
      </c>
      <c r="D606" s="4" t="s">
        <v>2982</v>
      </c>
      <c r="E606" s="5" t="s">
        <v>2983</v>
      </c>
      <c r="F606" s="5" t="s">
        <v>2975</v>
      </c>
      <c r="G606" s="6"/>
      <c r="H606" s="4" t="s">
        <v>2976</v>
      </c>
    </row>
    <row r="607" spans="1:8" ht="15.75" customHeight="1">
      <c r="A607" s="3" t="s">
        <v>94</v>
      </c>
      <c r="B607" s="3" t="s">
        <v>2984</v>
      </c>
      <c r="C607" s="3" t="s">
        <v>1382</v>
      </c>
      <c r="D607" s="4" t="s">
        <v>2985</v>
      </c>
      <c r="E607" s="5" t="s">
        <v>2986</v>
      </c>
      <c r="F607" s="5" t="s">
        <v>2975</v>
      </c>
      <c r="G607" s="6"/>
      <c r="H607" s="4" t="s">
        <v>2976</v>
      </c>
    </row>
    <row r="608" spans="1:8" ht="15.75" customHeight="1">
      <c r="A608" s="3" t="s">
        <v>763</v>
      </c>
      <c r="B608" s="3" t="s">
        <v>2987</v>
      </c>
      <c r="C608" s="3" t="s">
        <v>602</v>
      </c>
      <c r="D608" s="4" t="s">
        <v>2988</v>
      </c>
      <c r="E608" s="6"/>
      <c r="F608" s="5" t="s">
        <v>2989</v>
      </c>
      <c r="G608" s="6"/>
      <c r="H608" s="4" t="s">
        <v>2990</v>
      </c>
    </row>
    <row r="609" spans="1:8" ht="15.75" customHeight="1">
      <c r="A609" s="3" t="s">
        <v>1157</v>
      </c>
      <c r="B609" s="3" t="s">
        <v>2991</v>
      </c>
      <c r="C609" s="3" t="s">
        <v>46</v>
      </c>
      <c r="D609" s="4" t="s">
        <v>2992</v>
      </c>
      <c r="E609" s="5" t="s">
        <v>2993</v>
      </c>
      <c r="F609" s="9" t="s">
        <v>2994</v>
      </c>
      <c r="G609" s="12">
        <v>525531176389</v>
      </c>
      <c r="H609" s="4" t="s">
        <v>2995</v>
      </c>
    </row>
    <row r="610" spans="1:8" ht="15.75" customHeight="1">
      <c r="A610" s="3" t="s">
        <v>789</v>
      </c>
      <c r="B610" s="3" t="s">
        <v>2996</v>
      </c>
      <c r="C610" s="3" t="s">
        <v>2997</v>
      </c>
      <c r="D610" s="3" t="s">
        <v>2998</v>
      </c>
      <c r="E610" s="5" t="s">
        <v>2999</v>
      </c>
      <c r="F610" s="6"/>
      <c r="G610" s="6"/>
      <c r="H610" s="4" t="s">
        <v>3000</v>
      </c>
    </row>
    <row r="611" spans="1:8" ht="15.75" customHeight="1">
      <c r="A611" s="3" t="s">
        <v>394</v>
      </c>
      <c r="B611" s="3" t="s">
        <v>3001</v>
      </c>
      <c r="C611" s="3" t="s">
        <v>162</v>
      </c>
      <c r="D611" s="4" t="s">
        <v>3002</v>
      </c>
      <c r="E611" s="5" t="s">
        <v>3003</v>
      </c>
      <c r="F611" s="6"/>
      <c r="G611" s="6"/>
      <c r="H611" s="4" t="s">
        <v>3000</v>
      </c>
    </row>
    <row r="612" spans="1:8" ht="15.75" customHeight="1">
      <c r="A612" s="3" t="s">
        <v>3004</v>
      </c>
      <c r="B612" s="3" t="s">
        <v>3005</v>
      </c>
      <c r="C612" s="3" t="s">
        <v>3006</v>
      </c>
      <c r="D612" s="3" t="s">
        <v>3007</v>
      </c>
      <c r="E612" s="5" t="s">
        <v>3008</v>
      </c>
      <c r="F612" s="6"/>
      <c r="G612" s="6"/>
      <c r="H612" s="4" t="s">
        <v>3000</v>
      </c>
    </row>
    <row r="613" spans="1:8" ht="15.75" customHeight="1">
      <c r="A613" s="3" t="s">
        <v>2804</v>
      </c>
      <c r="B613" s="3" t="s">
        <v>3009</v>
      </c>
      <c r="C613" s="3" t="s">
        <v>994</v>
      </c>
      <c r="D613" s="4" t="s">
        <v>3010</v>
      </c>
      <c r="E613" s="5" t="s">
        <v>3011</v>
      </c>
      <c r="F613" s="6"/>
      <c r="G613" s="6"/>
      <c r="H613" s="4" t="s">
        <v>3000</v>
      </c>
    </row>
    <row r="614" spans="1:8" ht="15.75" customHeight="1">
      <c r="A614" s="3" t="s">
        <v>1371</v>
      </c>
      <c r="B614" s="3" t="s">
        <v>3012</v>
      </c>
      <c r="C614" s="3" t="s">
        <v>3013</v>
      </c>
      <c r="D614" s="4" t="s">
        <v>3014</v>
      </c>
      <c r="E614" s="3" t="s">
        <v>3015</v>
      </c>
      <c r="F614" s="9" t="s">
        <v>3016</v>
      </c>
      <c r="G614" s="6"/>
      <c r="H614" s="4" t="s">
        <v>3017</v>
      </c>
    </row>
    <row r="615" spans="1:8" ht="15.75" customHeight="1">
      <c r="A615" s="3" t="s">
        <v>14</v>
      </c>
      <c r="B615" s="3" t="s">
        <v>3018</v>
      </c>
      <c r="C615" s="3" t="s">
        <v>3019</v>
      </c>
      <c r="D615" s="4" t="s">
        <v>3020</v>
      </c>
      <c r="E615" s="6"/>
      <c r="F615" s="6"/>
      <c r="G615" s="6"/>
      <c r="H615" s="4" t="s">
        <v>3021</v>
      </c>
    </row>
    <row r="616" spans="1:8" ht="15.75" customHeight="1">
      <c r="A616" s="3" t="s">
        <v>3022</v>
      </c>
      <c r="B616" s="3" t="s">
        <v>3023</v>
      </c>
      <c r="C616" s="3" t="s">
        <v>3024</v>
      </c>
      <c r="D616" s="4" t="s">
        <v>3025</v>
      </c>
      <c r="E616" s="6"/>
      <c r="F616" s="6"/>
      <c r="G616" s="6"/>
      <c r="H616" s="4" t="s">
        <v>3026</v>
      </c>
    </row>
    <row r="617" spans="1:8" ht="15.75" customHeight="1">
      <c r="A617" s="3" t="s">
        <v>1517</v>
      </c>
      <c r="B617" s="3" t="s">
        <v>352</v>
      </c>
      <c r="C617" s="3" t="s">
        <v>3027</v>
      </c>
      <c r="D617" s="4" t="s">
        <v>3028</v>
      </c>
      <c r="E617" s="6"/>
      <c r="F617" s="6"/>
      <c r="G617" s="6"/>
      <c r="H617" s="4" t="s">
        <v>3026</v>
      </c>
    </row>
    <row r="618" spans="1:8" ht="15.75" customHeight="1">
      <c r="A618" s="3" t="s">
        <v>3029</v>
      </c>
      <c r="B618" s="3" t="s">
        <v>3030</v>
      </c>
      <c r="C618" s="3" t="s">
        <v>77</v>
      </c>
      <c r="D618" s="4" t="s">
        <v>3031</v>
      </c>
      <c r="E618" s="6"/>
      <c r="F618" s="6"/>
      <c r="G618" s="6"/>
      <c r="H618" s="4" t="s">
        <v>3032</v>
      </c>
    </row>
    <row r="619" spans="1:8" ht="15.75" customHeight="1">
      <c r="A619" s="3" t="s">
        <v>422</v>
      </c>
      <c r="B619" s="3" t="s">
        <v>3033</v>
      </c>
      <c r="C619" s="3" t="s">
        <v>229</v>
      </c>
      <c r="D619" s="4" t="s">
        <v>3034</v>
      </c>
      <c r="E619" s="3" t="s">
        <v>3035</v>
      </c>
      <c r="F619" s="6"/>
      <c r="G619" s="9" t="s">
        <v>3036</v>
      </c>
      <c r="H619" s="4" t="s">
        <v>3037</v>
      </c>
    </row>
    <row r="620" spans="1:8" ht="15.75" customHeight="1">
      <c r="A620" s="3" t="s">
        <v>462</v>
      </c>
      <c r="B620" s="3" t="s">
        <v>801</v>
      </c>
      <c r="C620" s="3" t="s">
        <v>602</v>
      </c>
      <c r="D620" s="4" t="s">
        <v>3038</v>
      </c>
      <c r="E620" s="5" t="s">
        <v>3039</v>
      </c>
      <c r="F620" s="9" t="s">
        <v>3036</v>
      </c>
      <c r="G620" s="5" t="s">
        <v>3040</v>
      </c>
      <c r="H620" s="4" t="s">
        <v>3037</v>
      </c>
    </row>
    <row r="621" spans="1:8" ht="15.75" customHeight="1">
      <c r="A621" s="3" t="s">
        <v>3041</v>
      </c>
      <c r="B621" s="3" t="s">
        <v>2775</v>
      </c>
      <c r="C621" s="3" t="s">
        <v>3042</v>
      </c>
      <c r="D621" s="4" t="s">
        <v>3043</v>
      </c>
      <c r="E621" s="6"/>
      <c r="F621" s="5" t="s">
        <v>3044</v>
      </c>
      <c r="G621" s="6"/>
      <c r="H621" s="4" t="s">
        <v>3045</v>
      </c>
    </row>
    <row r="622" spans="1:8" ht="15.75" customHeight="1">
      <c r="A622" s="3" t="s">
        <v>3046</v>
      </c>
      <c r="B622" s="3" t="s">
        <v>3047</v>
      </c>
      <c r="C622" s="3" t="s">
        <v>583</v>
      </c>
      <c r="D622" s="4" t="s">
        <v>3048</v>
      </c>
      <c r="E622" s="6"/>
      <c r="F622" s="5" t="s">
        <v>3044</v>
      </c>
      <c r="G622" s="6"/>
      <c r="H622" s="4" t="s">
        <v>3045</v>
      </c>
    </row>
    <row r="623" spans="1:8" ht="15.75" customHeight="1">
      <c r="A623" s="3" t="s">
        <v>3049</v>
      </c>
      <c r="B623" s="3" t="s">
        <v>3050</v>
      </c>
      <c r="C623" s="3" t="s">
        <v>3051</v>
      </c>
      <c r="D623" s="4" t="s">
        <v>3052</v>
      </c>
      <c r="E623" s="6"/>
      <c r="F623" s="9" t="s">
        <v>3053</v>
      </c>
      <c r="G623" s="5" t="s">
        <v>3054</v>
      </c>
      <c r="H623" s="4" t="s">
        <v>3055</v>
      </c>
    </row>
    <row r="624" spans="1:8" ht="15.75" customHeight="1">
      <c r="A624" s="3" t="s">
        <v>295</v>
      </c>
      <c r="B624" s="3" t="s">
        <v>1993</v>
      </c>
      <c r="C624" s="3" t="s">
        <v>91</v>
      </c>
      <c r="D624" s="4" t="s">
        <v>3056</v>
      </c>
      <c r="E624" s="6"/>
      <c r="F624" s="6"/>
      <c r="G624" s="6"/>
      <c r="H624" s="4" t="s">
        <v>3057</v>
      </c>
    </row>
    <row r="625" spans="1:8" ht="15.75" customHeight="1">
      <c r="A625" s="3" t="s">
        <v>2520</v>
      </c>
      <c r="B625" s="3" t="s">
        <v>3058</v>
      </c>
      <c r="C625" s="3" t="s">
        <v>229</v>
      </c>
      <c r="D625" s="4" t="s">
        <v>3059</v>
      </c>
      <c r="E625" s="6"/>
      <c r="F625" s="5" t="s">
        <v>3060</v>
      </c>
      <c r="G625" s="6"/>
      <c r="H625" s="4" t="s">
        <v>3061</v>
      </c>
    </row>
    <row r="626" spans="1:8" ht="15.75" customHeight="1">
      <c r="A626" s="3" t="s">
        <v>710</v>
      </c>
      <c r="B626" s="3" t="s">
        <v>3062</v>
      </c>
      <c r="C626" s="3" t="s">
        <v>602</v>
      </c>
      <c r="D626" s="4" t="s">
        <v>3063</v>
      </c>
      <c r="E626" s="5" t="s">
        <v>3064</v>
      </c>
      <c r="F626" s="9" t="s">
        <v>3065</v>
      </c>
      <c r="G626" s="6"/>
      <c r="H626" s="4" t="s">
        <v>3066</v>
      </c>
    </row>
    <row r="627" spans="1:8" ht="15.75" customHeight="1">
      <c r="A627" s="3" t="s">
        <v>3067</v>
      </c>
      <c r="B627" s="3" t="s">
        <v>3068</v>
      </c>
      <c r="C627" s="3" t="s">
        <v>46</v>
      </c>
      <c r="D627" s="4" t="s">
        <v>3069</v>
      </c>
      <c r="E627" s="5" t="s">
        <v>3070</v>
      </c>
      <c r="F627" s="9" t="s">
        <v>3071</v>
      </c>
      <c r="G627" s="5" t="s">
        <v>3072</v>
      </c>
      <c r="H627" s="4" t="s">
        <v>3066</v>
      </c>
    </row>
    <row r="628" spans="1:8" ht="15.75" customHeight="1">
      <c r="A628" s="3" t="s">
        <v>789</v>
      </c>
      <c r="B628" s="3" t="s">
        <v>1055</v>
      </c>
      <c r="C628" s="3" t="s">
        <v>3073</v>
      </c>
      <c r="D628" s="3" t="s">
        <v>3074</v>
      </c>
      <c r="E628" s="5" t="s">
        <v>3075</v>
      </c>
      <c r="F628" s="9" t="s">
        <v>3076</v>
      </c>
      <c r="G628" s="6"/>
      <c r="H628" s="4" t="s">
        <v>3077</v>
      </c>
    </row>
    <row r="629" spans="1:8" ht="15.75" customHeight="1">
      <c r="A629" s="3" t="s">
        <v>3078</v>
      </c>
      <c r="B629" s="3" t="s">
        <v>3079</v>
      </c>
      <c r="C629" s="3" t="s">
        <v>3080</v>
      </c>
      <c r="D629" s="4" t="s">
        <v>3081</v>
      </c>
      <c r="E629" s="5" t="s">
        <v>3082</v>
      </c>
      <c r="F629" s="9" t="s">
        <v>3076</v>
      </c>
      <c r="G629" s="6"/>
      <c r="H629" s="4" t="s">
        <v>3077</v>
      </c>
    </row>
    <row r="630" spans="1:8" ht="15.75" customHeight="1">
      <c r="A630" s="3" t="s">
        <v>1669</v>
      </c>
      <c r="B630" s="3" t="s">
        <v>3083</v>
      </c>
      <c r="C630" s="3" t="s">
        <v>222</v>
      </c>
      <c r="D630" s="4" t="s">
        <v>3084</v>
      </c>
      <c r="E630" s="3" t="s">
        <v>3085</v>
      </c>
      <c r="F630" s="9" t="s">
        <v>3076</v>
      </c>
      <c r="G630" s="6"/>
      <c r="H630" s="4" t="s">
        <v>3077</v>
      </c>
    </row>
    <row r="631" spans="1:8" ht="15.75" customHeight="1">
      <c r="A631" s="3" t="s">
        <v>69</v>
      </c>
      <c r="B631" s="3" t="s">
        <v>3086</v>
      </c>
      <c r="C631" s="3" t="s">
        <v>809</v>
      </c>
      <c r="D631" s="4" t="s">
        <v>3087</v>
      </c>
      <c r="E631" s="6"/>
      <c r="F631" s="6"/>
      <c r="G631" s="6"/>
      <c r="H631" s="4" t="s">
        <v>3088</v>
      </c>
    </row>
    <row r="632" spans="1:8" ht="15.75" customHeight="1">
      <c r="A632" s="3" t="s">
        <v>3089</v>
      </c>
      <c r="B632" s="3" t="s">
        <v>1993</v>
      </c>
      <c r="C632" s="3" t="s">
        <v>2678</v>
      </c>
      <c r="D632" s="4" t="s">
        <v>3090</v>
      </c>
      <c r="E632" s="3" t="s">
        <v>3091</v>
      </c>
      <c r="F632" s="8">
        <v>528186255300</v>
      </c>
      <c r="G632" s="6"/>
      <c r="H632" s="4" t="s">
        <v>3092</v>
      </c>
    </row>
    <row r="633" spans="1:8" ht="15.75" customHeight="1">
      <c r="A633" s="3" t="s">
        <v>721</v>
      </c>
      <c r="B633" s="3" t="s">
        <v>3093</v>
      </c>
      <c r="C633" s="3" t="s">
        <v>3094</v>
      </c>
      <c r="D633" s="4" t="s">
        <v>3095</v>
      </c>
      <c r="E633" s="3" t="s">
        <v>3096</v>
      </c>
      <c r="F633" s="6"/>
      <c r="G633" s="6"/>
      <c r="H633" s="4" t="s">
        <v>3097</v>
      </c>
    </row>
    <row r="634" spans="1:8" ht="15.75" customHeight="1">
      <c r="A634" s="3" t="s">
        <v>651</v>
      </c>
      <c r="B634" s="3" t="s">
        <v>3098</v>
      </c>
      <c r="C634" s="3" t="s">
        <v>229</v>
      </c>
      <c r="D634" s="4" t="s">
        <v>3099</v>
      </c>
      <c r="E634" s="5" t="s">
        <v>3100</v>
      </c>
      <c r="F634" s="5" t="s">
        <v>3101</v>
      </c>
      <c r="G634" s="6"/>
      <c r="H634" s="4" t="s">
        <v>3102</v>
      </c>
    </row>
    <row r="635" spans="1:8" ht="15.75" customHeight="1">
      <c r="A635" s="3" t="s">
        <v>14</v>
      </c>
      <c r="B635" s="3" t="s">
        <v>1789</v>
      </c>
      <c r="C635" s="3" t="s">
        <v>229</v>
      </c>
      <c r="D635" s="4" t="s">
        <v>3103</v>
      </c>
      <c r="E635" s="5" t="s">
        <v>3104</v>
      </c>
      <c r="F635" s="8">
        <f>52.5555570255</f>
        <v>52.555557025500001</v>
      </c>
      <c r="G635" s="6"/>
      <c r="H635" s="4" t="s">
        <v>3105</v>
      </c>
    </row>
    <row r="636" spans="1:8" ht="15.75" customHeight="1">
      <c r="A636" s="3" t="s">
        <v>3106</v>
      </c>
      <c r="B636" s="3" t="s">
        <v>3107</v>
      </c>
      <c r="C636" s="3" t="s">
        <v>1416</v>
      </c>
      <c r="D636" s="3" t="s">
        <v>3108</v>
      </c>
      <c r="E636" s="9" t="s">
        <v>3109</v>
      </c>
      <c r="F636" s="9" t="s">
        <v>3110</v>
      </c>
      <c r="G636" s="6"/>
      <c r="H636" s="4" t="s">
        <v>3111</v>
      </c>
    </row>
    <row r="637" spans="1:8" ht="15.75" customHeight="1">
      <c r="A637" s="3" t="s">
        <v>69</v>
      </c>
      <c r="B637" s="3" t="s">
        <v>3112</v>
      </c>
      <c r="C637" s="3" t="s">
        <v>91</v>
      </c>
      <c r="D637" s="4" t="s">
        <v>3113</v>
      </c>
      <c r="E637" s="9" t="s">
        <v>3114</v>
      </c>
      <c r="F637" s="12">
        <f>525554571974</f>
        <v>525554571974</v>
      </c>
      <c r="G637" s="6"/>
      <c r="H637" s="4" t="s">
        <v>3111</v>
      </c>
    </row>
    <row r="638" spans="1:8" ht="15.75" customHeight="1">
      <c r="A638" s="3" t="s">
        <v>3115</v>
      </c>
      <c r="B638" s="3" t="s">
        <v>3116</v>
      </c>
      <c r="C638" s="3" t="s">
        <v>229</v>
      </c>
      <c r="D638" s="3" t="s">
        <v>3117</v>
      </c>
      <c r="E638" s="9" t="s">
        <v>3118</v>
      </c>
      <c r="F638" s="9" t="s">
        <v>3119</v>
      </c>
      <c r="G638" s="6"/>
      <c r="H638" s="4" t="s">
        <v>3111</v>
      </c>
    </row>
    <row r="639" spans="1:8" ht="15.75" customHeight="1">
      <c r="A639" s="3" t="s">
        <v>710</v>
      </c>
      <c r="B639" s="3" t="s">
        <v>652</v>
      </c>
      <c r="C639" s="3" t="s">
        <v>3120</v>
      </c>
      <c r="D639" s="4" t="s">
        <v>3121</v>
      </c>
      <c r="E639" s="9" t="s">
        <v>3122</v>
      </c>
      <c r="F639" s="9" t="s">
        <v>3119</v>
      </c>
      <c r="G639" s="6"/>
      <c r="H639" s="4" t="s">
        <v>3111</v>
      </c>
    </row>
    <row r="640" spans="1:8" ht="15.75" customHeight="1">
      <c r="A640" s="3" t="s">
        <v>2388</v>
      </c>
      <c r="B640" s="3" t="s">
        <v>3123</v>
      </c>
      <c r="C640" s="3" t="s">
        <v>3124</v>
      </c>
      <c r="D640" s="4" t="s">
        <v>3125</v>
      </c>
      <c r="E640" s="9" t="s">
        <v>3126</v>
      </c>
      <c r="F640" s="9" t="s">
        <v>3119</v>
      </c>
      <c r="G640" s="9" t="s">
        <v>3127</v>
      </c>
      <c r="H640" s="4" t="s">
        <v>3111</v>
      </c>
    </row>
    <row r="641" spans="1:8" ht="15.75" customHeight="1">
      <c r="A641" s="3" t="s">
        <v>3128</v>
      </c>
      <c r="B641" s="3" t="s">
        <v>3129</v>
      </c>
      <c r="C641" s="3" t="s">
        <v>3130</v>
      </c>
      <c r="D641" s="26" t="s">
        <v>1917</v>
      </c>
      <c r="E641" s="3" t="s">
        <v>3131</v>
      </c>
      <c r="F641" s="3">
        <v>525626104560</v>
      </c>
      <c r="G641" s="6"/>
      <c r="H641" s="30" t="s">
        <v>3132</v>
      </c>
    </row>
    <row r="642" spans="1:8" ht="15.75" customHeight="1">
      <c r="A642" s="3" t="s">
        <v>3133</v>
      </c>
      <c r="B642" s="3" t="s">
        <v>2374</v>
      </c>
      <c r="C642" s="3" t="s">
        <v>1922</v>
      </c>
      <c r="D642" s="4" t="s">
        <v>3134</v>
      </c>
      <c r="E642" s="3" t="s">
        <v>3135</v>
      </c>
      <c r="F642" s="25">
        <v>525626104560</v>
      </c>
      <c r="G642" s="6"/>
      <c r="H642" s="30" t="s">
        <v>3132</v>
      </c>
    </row>
    <row r="643" spans="1:8" ht="15.75" customHeight="1">
      <c r="A643" s="3" t="s">
        <v>100</v>
      </c>
      <c r="B643" s="3" t="s">
        <v>3136</v>
      </c>
      <c r="C643" s="3" t="s">
        <v>3137</v>
      </c>
      <c r="D643" s="4" t="s">
        <v>3138</v>
      </c>
      <c r="E643" s="23"/>
      <c r="F643" s="9" t="s">
        <v>3139</v>
      </c>
      <c r="G643" s="6"/>
      <c r="H643" s="4" t="s">
        <v>3140</v>
      </c>
    </row>
    <row r="644" spans="1:8" ht="15.75" customHeight="1">
      <c r="A644" s="3" t="s">
        <v>1100</v>
      </c>
      <c r="B644" s="3" t="s">
        <v>2991</v>
      </c>
      <c r="C644" s="3" t="s">
        <v>46</v>
      </c>
      <c r="D644" s="4" t="s">
        <v>3141</v>
      </c>
      <c r="E644" s="9" t="s">
        <v>3142</v>
      </c>
      <c r="F644" s="12">
        <f t="shared" ref="F644:F645" si="6">5213336738450</f>
        <v>5213336738450</v>
      </c>
      <c r="G644" s="9" t="s">
        <v>3143</v>
      </c>
      <c r="H644" s="4" t="s">
        <v>3144</v>
      </c>
    </row>
    <row r="645" spans="1:8" ht="15.75" customHeight="1">
      <c r="A645" s="3" t="s">
        <v>3145</v>
      </c>
      <c r="B645" s="3" t="s">
        <v>3146</v>
      </c>
      <c r="C645" s="3" t="s">
        <v>3147</v>
      </c>
      <c r="D645" s="4" t="s">
        <v>3148</v>
      </c>
      <c r="E645" s="6"/>
      <c r="F645" s="12">
        <f t="shared" si="6"/>
        <v>5213336738450</v>
      </c>
      <c r="G645" s="6"/>
      <c r="H645" s="4" t="s">
        <v>3144</v>
      </c>
    </row>
    <row r="646" spans="1:8" ht="15.75" customHeight="1">
      <c r="A646" s="3" t="s">
        <v>39</v>
      </c>
      <c r="B646" s="3" t="s">
        <v>3149</v>
      </c>
      <c r="C646" s="3" t="s">
        <v>3150</v>
      </c>
      <c r="D646" s="4" t="s">
        <v>3151</v>
      </c>
      <c r="E646" s="5" t="s">
        <v>3152</v>
      </c>
      <c r="F646" s="9" t="s">
        <v>3153</v>
      </c>
      <c r="G646" s="6"/>
      <c r="H646" s="4" t="s">
        <v>3154</v>
      </c>
    </row>
    <row r="647" spans="1:8" ht="15.75" customHeight="1">
      <c r="A647" s="3" t="s">
        <v>2889</v>
      </c>
      <c r="B647" s="3" t="s">
        <v>3155</v>
      </c>
      <c r="C647" s="3" t="s">
        <v>3156</v>
      </c>
      <c r="D647" s="4" t="s">
        <v>3157</v>
      </c>
      <c r="E647" s="3" t="s">
        <v>3158</v>
      </c>
      <c r="F647" s="5" t="s">
        <v>3159</v>
      </c>
      <c r="G647" s="5" t="s">
        <v>3160</v>
      </c>
      <c r="H647" s="4" t="s">
        <v>3161</v>
      </c>
    </row>
    <row r="648" spans="1:8" ht="15.75" customHeight="1">
      <c r="A648" s="3" t="s">
        <v>3162</v>
      </c>
      <c r="B648" s="3" t="s">
        <v>3163</v>
      </c>
      <c r="C648" s="3" t="s">
        <v>3164</v>
      </c>
      <c r="D648" s="4" t="s">
        <v>3165</v>
      </c>
      <c r="E648" s="5" t="s">
        <v>3166</v>
      </c>
      <c r="F648" s="6"/>
      <c r="G648" s="6"/>
      <c r="H648" s="4" t="s">
        <v>3167</v>
      </c>
    </row>
    <row r="649" spans="1:8" ht="15.75" customHeight="1">
      <c r="A649" s="3" t="s">
        <v>14</v>
      </c>
      <c r="B649" s="3" t="s">
        <v>3168</v>
      </c>
      <c r="C649" s="3" t="s">
        <v>152</v>
      </c>
      <c r="D649" s="4" t="s">
        <v>3169</v>
      </c>
      <c r="E649" s="5" t="s">
        <v>3170</v>
      </c>
      <c r="F649" s="9" t="s">
        <v>3171</v>
      </c>
      <c r="G649" s="6"/>
      <c r="H649" s="4" t="s">
        <v>3172</v>
      </c>
    </row>
    <row r="650" spans="1:8" ht="15.75" customHeight="1">
      <c r="A650" s="3" t="s">
        <v>3173</v>
      </c>
      <c r="B650" s="3" t="s">
        <v>3174</v>
      </c>
      <c r="C650" s="3" t="s">
        <v>3175</v>
      </c>
      <c r="D650" s="4" t="s">
        <v>3176</v>
      </c>
      <c r="E650" s="5" t="s">
        <v>3177</v>
      </c>
      <c r="F650" s="6"/>
      <c r="G650" s="6"/>
      <c r="H650" s="4" t="s">
        <v>3178</v>
      </c>
    </row>
    <row r="651" spans="1:8" ht="15.75" customHeight="1">
      <c r="A651" s="3" t="s">
        <v>1175</v>
      </c>
      <c r="B651" s="3" t="s">
        <v>801</v>
      </c>
      <c r="C651" s="3" t="s">
        <v>3179</v>
      </c>
      <c r="D651" s="4" t="s">
        <v>3180</v>
      </c>
      <c r="E651" s="5" t="s">
        <v>3181</v>
      </c>
      <c r="F651" s="6"/>
      <c r="G651" s="6"/>
      <c r="H651" s="4" t="s">
        <v>3182</v>
      </c>
    </row>
    <row r="652" spans="1:8" ht="15.75" customHeight="1">
      <c r="A652" s="3" t="s">
        <v>3183</v>
      </c>
      <c r="B652" s="3" t="s">
        <v>3184</v>
      </c>
      <c r="C652" s="3" t="s">
        <v>3185</v>
      </c>
      <c r="D652" s="4" t="s">
        <v>3186</v>
      </c>
      <c r="E652" s="6"/>
      <c r="F652" s="9" t="s">
        <v>3187</v>
      </c>
      <c r="G652" s="6"/>
      <c r="H652" s="4" t="s">
        <v>3188</v>
      </c>
    </row>
    <row r="653" spans="1:8" ht="15.75" customHeight="1">
      <c r="A653" s="3" t="s">
        <v>3189</v>
      </c>
      <c r="B653" s="3" t="s">
        <v>3190</v>
      </c>
      <c r="C653" s="3" t="s">
        <v>3191</v>
      </c>
      <c r="D653" s="4" t="s">
        <v>3192</v>
      </c>
      <c r="E653" s="3" t="s">
        <v>3193</v>
      </c>
      <c r="F653" s="5" t="s">
        <v>3194</v>
      </c>
      <c r="G653" s="5" t="s">
        <v>3195</v>
      </c>
      <c r="H653" s="4" t="s">
        <v>3196</v>
      </c>
    </row>
    <row r="654" spans="1:8" ht="15.75" customHeight="1">
      <c r="A654" s="3" t="s">
        <v>3197</v>
      </c>
      <c r="B654" s="3" t="s">
        <v>3198</v>
      </c>
      <c r="C654" s="3" t="s">
        <v>3199</v>
      </c>
      <c r="D654" s="4" t="s">
        <v>3200</v>
      </c>
      <c r="E654" s="6"/>
      <c r="F654" s="5" t="s">
        <v>3201</v>
      </c>
      <c r="G654" s="6"/>
      <c r="H654" s="4" t="s">
        <v>3202</v>
      </c>
    </row>
    <row r="655" spans="1:8" ht="15.75" customHeight="1">
      <c r="A655" s="3" t="s">
        <v>3203</v>
      </c>
      <c r="B655" s="3" t="s">
        <v>2444</v>
      </c>
      <c r="C655" s="3" t="s">
        <v>85</v>
      </c>
      <c r="D655" s="4" t="s">
        <v>3204</v>
      </c>
      <c r="E655" s="5" t="s">
        <v>3205</v>
      </c>
      <c r="F655" s="5" t="s">
        <v>3201</v>
      </c>
      <c r="G655" s="8">
        <f>525215572619099</f>
        <v>525215572619099</v>
      </c>
      <c r="H655" s="4" t="s">
        <v>3202</v>
      </c>
    </row>
    <row r="656" spans="1:8" ht="15.75" customHeight="1">
      <c r="A656" s="3" t="s">
        <v>3206</v>
      </c>
      <c r="B656" s="3" t="s">
        <v>3207</v>
      </c>
      <c r="C656" s="3" t="s">
        <v>46</v>
      </c>
      <c r="D656" s="3" t="s">
        <v>3208</v>
      </c>
      <c r="E656" s="6"/>
      <c r="F656" s="5" t="s">
        <v>3201</v>
      </c>
      <c r="G656" s="6"/>
      <c r="H656" s="4" t="s">
        <v>3202</v>
      </c>
    </row>
    <row r="657" spans="1:8" ht="15.75" customHeight="1">
      <c r="A657" s="3" t="s">
        <v>3209</v>
      </c>
      <c r="B657" s="3" t="s">
        <v>3210</v>
      </c>
      <c r="C657" s="3" t="s">
        <v>229</v>
      </c>
      <c r="D657" s="4" t="s">
        <v>3211</v>
      </c>
      <c r="E657" s="5" t="s">
        <v>3212</v>
      </c>
      <c r="F657" s="6"/>
      <c r="G657" s="6"/>
      <c r="H657" s="4" t="s">
        <v>3213</v>
      </c>
    </row>
    <row r="658" spans="1:8" ht="15.75" customHeight="1">
      <c r="A658" s="3" t="s">
        <v>3214</v>
      </c>
      <c r="B658" s="3" t="s">
        <v>1381</v>
      </c>
      <c r="C658" s="3" t="s">
        <v>46</v>
      </c>
      <c r="D658" s="3" t="s">
        <v>3215</v>
      </c>
      <c r="E658" s="6"/>
      <c r="F658" s="23"/>
      <c r="G658" s="6"/>
      <c r="H658" s="4" t="s">
        <v>3216</v>
      </c>
    </row>
    <row r="659" spans="1:8" ht="15.75" customHeight="1">
      <c r="A659" s="3" t="s">
        <v>985</v>
      </c>
      <c r="B659" s="3" t="s">
        <v>1372</v>
      </c>
      <c r="C659" s="3" t="s">
        <v>3217</v>
      </c>
      <c r="D659" s="3" t="s">
        <v>3218</v>
      </c>
      <c r="E659" s="5" t="s">
        <v>3219</v>
      </c>
      <c r="F659" s="9" t="s">
        <v>3220</v>
      </c>
      <c r="G659" s="6"/>
      <c r="H659" s="4" t="s">
        <v>3221</v>
      </c>
    </row>
    <row r="660" spans="1:8" ht="15.75" customHeight="1">
      <c r="A660" s="3" t="s">
        <v>3222</v>
      </c>
      <c r="B660" s="3" t="s">
        <v>3223</v>
      </c>
      <c r="C660" s="3" t="s">
        <v>3224</v>
      </c>
      <c r="D660" s="4" t="s">
        <v>3225</v>
      </c>
      <c r="E660" s="5" t="s">
        <v>3226</v>
      </c>
      <c r="F660" s="5" t="s">
        <v>3227</v>
      </c>
      <c r="G660" s="5" t="s">
        <v>3228</v>
      </c>
      <c r="H660" s="4" t="s">
        <v>3229</v>
      </c>
    </row>
    <row r="661" spans="1:8" ht="15.75" customHeight="1">
      <c r="A661" s="3" t="s">
        <v>3230</v>
      </c>
      <c r="B661" s="3" t="s">
        <v>3231</v>
      </c>
      <c r="C661" s="3" t="s">
        <v>3232</v>
      </c>
      <c r="D661" s="4" t="s">
        <v>3233</v>
      </c>
      <c r="E661" s="3" t="s">
        <v>3234</v>
      </c>
      <c r="F661" s="5" t="s">
        <v>3227</v>
      </c>
      <c r="G661" s="5" t="s">
        <v>3235</v>
      </c>
      <c r="H661" s="4" t="s">
        <v>3229</v>
      </c>
    </row>
    <row r="662" spans="1:8" ht="15.75" customHeight="1">
      <c r="A662" s="3" t="s">
        <v>3236</v>
      </c>
      <c r="B662" s="3" t="s">
        <v>2319</v>
      </c>
      <c r="C662" s="3" t="s">
        <v>3237</v>
      </c>
      <c r="D662" s="4" t="s">
        <v>3238</v>
      </c>
      <c r="E662" s="5" t="s">
        <v>3239</v>
      </c>
      <c r="F662" s="5" t="s">
        <v>3227</v>
      </c>
      <c r="G662" s="6"/>
      <c r="H662" s="4" t="s">
        <v>3229</v>
      </c>
    </row>
    <row r="663" spans="1:8" ht="15.75" customHeight="1">
      <c r="A663" s="9" t="s">
        <v>3240</v>
      </c>
      <c r="B663" s="14" t="s">
        <v>3241</v>
      </c>
      <c r="C663" s="5" t="s">
        <v>91</v>
      </c>
      <c r="D663" s="4" t="s">
        <v>3242</v>
      </c>
      <c r="E663" s="6"/>
      <c r="F663" s="5" t="s">
        <v>3243</v>
      </c>
      <c r="G663" s="6"/>
      <c r="H663" s="15" t="s">
        <v>3244</v>
      </c>
    </row>
    <row r="664" spans="1:8" ht="15.75" customHeight="1">
      <c r="A664" s="3" t="s">
        <v>39</v>
      </c>
      <c r="B664" s="3" t="s">
        <v>3245</v>
      </c>
      <c r="C664" s="3" t="s">
        <v>3246</v>
      </c>
      <c r="D664" s="4" t="s">
        <v>3247</v>
      </c>
      <c r="E664" s="6"/>
      <c r="F664" s="5" t="s">
        <v>3243</v>
      </c>
      <c r="G664" s="6"/>
      <c r="H664" s="4" t="s">
        <v>3244</v>
      </c>
    </row>
    <row r="665" spans="1:8" ht="15.75" customHeight="1">
      <c r="A665" s="3" t="s">
        <v>3248</v>
      </c>
      <c r="B665" s="3" t="s">
        <v>652</v>
      </c>
      <c r="C665" s="3" t="s">
        <v>3249</v>
      </c>
      <c r="D665" s="3" t="s">
        <v>3250</v>
      </c>
      <c r="E665" s="6"/>
      <c r="F665" s="5" t="s">
        <v>3243</v>
      </c>
      <c r="G665" s="6"/>
      <c r="H665" s="4" t="s">
        <v>3244</v>
      </c>
    </row>
    <row r="666" spans="1:8" ht="15.75" customHeight="1">
      <c r="A666" s="3" t="s">
        <v>3251</v>
      </c>
      <c r="B666" s="3" t="s">
        <v>2775</v>
      </c>
      <c r="C666" s="3" t="s">
        <v>3252</v>
      </c>
      <c r="D666" s="4" t="s">
        <v>3253</v>
      </c>
      <c r="E666" s="5" t="s">
        <v>3254</v>
      </c>
      <c r="F666" s="5" t="s">
        <v>3255</v>
      </c>
      <c r="G666" s="6"/>
      <c r="H666" s="4" t="s">
        <v>3256</v>
      </c>
    </row>
    <row r="667" spans="1:8" ht="15.75" customHeight="1">
      <c r="A667" s="3" t="s">
        <v>1486</v>
      </c>
      <c r="B667" s="3" t="s">
        <v>883</v>
      </c>
      <c r="C667" s="3" t="s">
        <v>3257</v>
      </c>
      <c r="D667" s="4" t="s">
        <v>3258</v>
      </c>
      <c r="E667" s="3" t="s">
        <v>3259</v>
      </c>
      <c r="F667" s="5" t="s">
        <v>3255</v>
      </c>
      <c r="G667" s="6"/>
      <c r="H667" s="4" t="s">
        <v>3256</v>
      </c>
    </row>
    <row r="668" spans="1:8" ht="15.75" customHeight="1">
      <c r="A668" s="3" t="s">
        <v>3260</v>
      </c>
      <c r="B668" s="3" t="s">
        <v>3261</v>
      </c>
      <c r="C668" s="3" t="s">
        <v>229</v>
      </c>
      <c r="D668" s="4" t="s">
        <v>3262</v>
      </c>
      <c r="E668" s="5" t="s">
        <v>3263</v>
      </c>
      <c r="F668" s="9" t="s">
        <v>3264</v>
      </c>
      <c r="G668" s="6"/>
      <c r="H668" s="4" t="s">
        <v>3265</v>
      </c>
    </row>
    <row r="669" spans="1:8" ht="15.75" customHeight="1">
      <c r="A669" s="3" t="s">
        <v>3266</v>
      </c>
      <c r="B669" s="3" t="s">
        <v>3267</v>
      </c>
      <c r="C669" s="3" t="s">
        <v>229</v>
      </c>
      <c r="D669" s="4" t="s">
        <v>3268</v>
      </c>
      <c r="E669" s="5" t="s">
        <v>3269</v>
      </c>
      <c r="F669" s="5" t="s">
        <v>3270</v>
      </c>
      <c r="G669" s="6"/>
      <c r="H669" s="4" t="s">
        <v>3271</v>
      </c>
    </row>
    <row r="670" spans="1:8" ht="15.75" customHeight="1">
      <c r="A670" s="3" t="s">
        <v>3041</v>
      </c>
      <c r="B670" s="3" t="s">
        <v>3272</v>
      </c>
      <c r="C670" s="3" t="s">
        <v>46</v>
      </c>
      <c r="D670" s="4" t="s">
        <v>3273</v>
      </c>
      <c r="E670" s="3" t="s">
        <v>3274</v>
      </c>
      <c r="F670" s="5" t="s">
        <v>3275</v>
      </c>
      <c r="G670" s="6"/>
      <c r="H670" s="4" t="s">
        <v>3276</v>
      </c>
    </row>
    <row r="671" spans="1:8" ht="15.75" customHeight="1">
      <c r="A671" s="3" t="s">
        <v>1689</v>
      </c>
      <c r="B671" s="3" t="s">
        <v>3277</v>
      </c>
      <c r="C671" s="3" t="s">
        <v>3278</v>
      </c>
      <c r="D671" s="4" t="s">
        <v>3279</v>
      </c>
      <c r="E671" s="6"/>
      <c r="F671" s="6"/>
      <c r="G671" s="6"/>
      <c r="H671" s="4" t="s">
        <v>3280</v>
      </c>
    </row>
    <row r="672" spans="1:8" ht="15.75" customHeight="1">
      <c r="A672" s="3" t="s">
        <v>3281</v>
      </c>
      <c r="B672" s="3" t="s">
        <v>3282</v>
      </c>
      <c r="C672" s="3" t="s">
        <v>3283</v>
      </c>
      <c r="D672" s="4" t="s">
        <v>3284</v>
      </c>
      <c r="E672" s="6"/>
      <c r="F672" s="5" t="s">
        <v>3285</v>
      </c>
      <c r="G672" s="5" t="s">
        <v>3286</v>
      </c>
      <c r="H672" s="4" t="s">
        <v>3287</v>
      </c>
    </row>
    <row r="673" spans="1:8" ht="15.75" customHeight="1">
      <c r="A673" s="3" t="s">
        <v>3288</v>
      </c>
      <c r="B673" s="3" t="s">
        <v>3289</v>
      </c>
      <c r="C673" s="3" t="s">
        <v>3290</v>
      </c>
      <c r="D673" s="4" t="s">
        <v>3291</v>
      </c>
      <c r="E673" s="6"/>
      <c r="F673" s="5" t="s">
        <v>3285</v>
      </c>
      <c r="G673" s="6"/>
      <c r="H673" s="4" t="s">
        <v>3287</v>
      </c>
    </row>
    <row r="674" spans="1:8" ht="15.75" customHeight="1">
      <c r="A674" s="3" t="s">
        <v>3292</v>
      </c>
      <c r="B674" s="3" t="s">
        <v>3293</v>
      </c>
      <c r="C674" s="3" t="s">
        <v>229</v>
      </c>
      <c r="D674" s="6"/>
      <c r="E674" s="5" t="s">
        <v>3294</v>
      </c>
      <c r="F674" s="9" t="s">
        <v>3295</v>
      </c>
      <c r="G674" s="5" t="s">
        <v>3296</v>
      </c>
      <c r="H674" s="4" t="s">
        <v>3297</v>
      </c>
    </row>
    <row r="675" spans="1:8" ht="15.75" customHeight="1">
      <c r="A675" s="3" t="s">
        <v>3298</v>
      </c>
      <c r="B675" s="3" t="s">
        <v>8</v>
      </c>
      <c r="C675" s="3" t="s">
        <v>390</v>
      </c>
      <c r="D675" s="6"/>
      <c r="E675" s="5" t="s">
        <v>3299</v>
      </c>
      <c r="F675" s="9" t="s">
        <v>3295</v>
      </c>
      <c r="G675" s="5" t="s">
        <v>3300</v>
      </c>
      <c r="H675" s="4" t="s">
        <v>3297</v>
      </c>
    </row>
    <row r="676" spans="1:8" ht="15.75" customHeight="1">
      <c r="A676" s="3" t="s">
        <v>3301</v>
      </c>
      <c r="B676" s="3" t="s">
        <v>3302</v>
      </c>
      <c r="C676" s="3" t="s">
        <v>109</v>
      </c>
      <c r="D676" s="4" t="s">
        <v>3303</v>
      </c>
      <c r="E676" s="5" t="s">
        <v>3304</v>
      </c>
      <c r="F676" s="9" t="s">
        <v>3295</v>
      </c>
      <c r="G676" s="6"/>
      <c r="H676" s="4" t="s">
        <v>3297</v>
      </c>
    </row>
    <row r="677" spans="1:8" ht="15.75" customHeight="1">
      <c r="A677" s="3" t="s">
        <v>3305</v>
      </c>
      <c r="B677" s="3" t="s">
        <v>3306</v>
      </c>
      <c r="C677" s="3" t="s">
        <v>1429</v>
      </c>
      <c r="D677" s="4" t="s">
        <v>3307</v>
      </c>
      <c r="E677" s="6"/>
      <c r="F677" s="5" t="s">
        <v>3308</v>
      </c>
      <c r="G677" s="6"/>
      <c r="H677" s="4" t="s">
        <v>3309</v>
      </c>
    </row>
    <row r="678" spans="1:8" ht="15.75" customHeight="1">
      <c r="A678" s="3" t="s">
        <v>3310</v>
      </c>
      <c r="B678" s="3" t="s">
        <v>3311</v>
      </c>
      <c r="C678" s="3" t="s">
        <v>1652</v>
      </c>
      <c r="D678" s="4" t="s">
        <v>3312</v>
      </c>
      <c r="E678" s="6"/>
      <c r="F678" s="5" t="s">
        <v>3308</v>
      </c>
      <c r="G678" s="6"/>
      <c r="H678" s="4" t="s">
        <v>3309</v>
      </c>
    </row>
    <row r="679" spans="1:8" ht="15.75" customHeight="1">
      <c r="A679" s="3" t="s">
        <v>2171</v>
      </c>
      <c r="B679" s="3" t="s">
        <v>2654</v>
      </c>
      <c r="C679" s="3" t="s">
        <v>602</v>
      </c>
      <c r="D679" s="4" t="s">
        <v>3313</v>
      </c>
      <c r="E679" s="6"/>
      <c r="F679" s="5" t="s">
        <v>3308</v>
      </c>
      <c r="G679" s="6"/>
      <c r="H679" s="4" t="s">
        <v>3309</v>
      </c>
    </row>
    <row r="680" spans="1:8" ht="15.75" customHeight="1">
      <c r="A680" s="3" t="s">
        <v>624</v>
      </c>
      <c r="B680" s="3" t="s">
        <v>3314</v>
      </c>
      <c r="C680" s="3" t="s">
        <v>229</v>
      </c>
      <c r="D680" s="3" t="s">
        <v>3315</v>
      </c>
      <c r="E680" s="6"/>
      <c r="F680" s="12">
        <v>525511063693</v>
      </c>
      <c r="G680" s="9" t="s">
        <v>3316</v>
      </c>
      <c r="H680" s="4" t="s">
        <v>3317</v>
      </c>
    </row>
    <row r="681" spans="1:8" ht="15.75" customHeight="1">
      <c r="A681" s="3" t="s">
        <v>3318</v>
      </c>
      <c r="B681" s="3" t="s">
        <v>26</v>
      </c>
      <c r="C681" s="3" t="s">
        <v>3319</v>
      </c>
      <c r="D681" s="4" t="s">
        <v>3320</v>
      </c>
      <c r="E681" s="5" t="s">
        <v>3321</v>
      </c>
      <c r="F681" s="5" t="s">
        <v>3322</v>
      </c>
      <c r="G681" s="6"/>
      <c r="H681" s="4" t="s">
        <v>3323</v>
      </c>
    </row>
    <row r="682" spans="1:8" ht="15.75" customHeight="1">
      <c r="A682" s="3" t="s">
        <v>3324</v>
      </c>
      <c r="B682" s="3" t="s">
        <v>3325</v>
      </c>
      <c r="C682" s="3" t="s">
        <v>691</v>
      </c>
      <c r="D682" s="4" t="s">
        <v>3326</v>
      </c>
      <c r="E682" s="3" t="s">
        <v>3327</v>
      </c>
      <c r="F682" s="5" t="s">
        <v>3322</v>
      </c>
      <c r="G682" s="6"/>
      <c r="H682" s="4" t="s">
        <v>3323</v>
      </c>
    </row>
    <row r="683" spans="1:8" ht="15.75" customHeight="1">
      <c r="A683" s="3" t="s">
        <v>1501</v>
      </c>
      <c r="B683" s="3" t="s">
        <v>3328</v>
      </c>
      <c r="C683" s="3" t="s">
        <v>229</v>
      </c>
      <c r="D683" s="4" t="s">
        <v>3329</v>
      </c>
      <c r="E683" s="3" t="s">
        <v>3330</v>
      </c>
      <c r="F683" s="5" t="s">
        <v>3322</v>
      </c>
      <c r="G683" s="6"/>
      <c r="H683" s="4" t="s">
        <v>3323</v>
      </c>
    </row>
    <row r="684" spans="1:8" ht="15.75" customHeight="1">
      <c r="A684" s="3" t="s">
        <v>3331</v>
      </c>
      <c r="B684" s="3" t="s">
        <v>3331</v>
      </c>
      <c r="C684" s="3" t="s">
        <v>3332</v>
      </c>
      <c r="D684" s="4" t="s">
        <v>3333</v>
      </c>
      <c r="E684" s="3" t="s">
        <v>3334</v>
      </c>
      <c r="F684" s="5" t="s">
        <v>3322</v>
      </c>
      <c r="G684" s="6"/>
      <c r="H684" s="4" t="s">
        <v>3323</v>
      </c>
    </row>
    <row r="685" spans="1:8" ht="15.75" customHeight="1">
      <c r="A685" s="3" t="s">
        <v>3335</v>
      </c>
      <c r="B685" s="3" t="s">
        <v>236</v>
      </c>
      <c r="C685" s="3" t="s">
        <v>1467</v>
      </c>
      <c r="D685" s="4" t="s">
        <v>3336</v>
      </c>
      <c r="E685" s="3" t="s">
        <v>3337</v>
      </c>
      <c r="F685" s="5" t="s">
        <v>3322</v>
      </c>
      <c r="G685" s="6"/>
      <c r="H685" s="4" t="s">
        <v>3323</v>
      </c>
    </row>
    <row r="686" spans="1:8" ht="15.75" customHeight="1">
      <c r="A686" s="3" t="s">
        <v>3338</v>
      </c>
      <c r="B686" s="3" t="s">
        <v>3339</v>
      </c>
      <c r="C686" s="3" t="s">
        <v>1973</v>
      </c>
      <c r="D686" s="4" t="s">
        <v>3340</v>
      </c>
      <c r="E686" s="5" t="s">
        <v>3341</v>
      </c>
      <c r="F686" s="9" t="s">
        <v>3342</v>
      </c>
      <c r="G686" s="6"/>
      <c r="H686" s="4" t="s">
        <v>3343</v>
      </c>
    </row>
    <row r="687" spans="1:8" ht="15.75" customHeight="1">
      <c r="A687" s="3" t="s">
        <v>528</v>
      </c>
      <c r="B687" s="3" t="s">
        <v>3344</v>
      </c>
      <c r="C687" s="3" t="s">
        <v>691</v>
      </c>
      <c r="D687" s="4" t="s">
        <v>3345</v>
      </c>
      <c r="E687" s="5" t="s">
        <v>3346</v>
      </c>
      <c r="F687" s="9" t="s">
        <v>3347</v>
      </c>
      <c r="G687" s="9" t="s">
        <v>3348</v>
      </c>
      <c r="H687" s="4" t="s">
        <v>3343</v>
      </c>
    </row>
    <row r="688" spans="1:8" ht="15.75" customHeight="1">
      <c r="A688" s="3" t="s">
        <v>3349</v>
      </c>
      <c r="B688" s="3" t="s">
        <v>3350</v>
      </c>
      <c r="C688" s="3" t="s">
        <v>3351</v>
      </c>
      <c r="D688" s="4" t="s">
        <v>3352</v>
      </c>
      <c r="E688" s="6"/>
      <c r="F688" s="9" t="s">
        <v>3347</v>
      </c>
      <c r="G688" s="6"/>
      <c r="H688" s="4" t="s">
        <v>3353</v>
      </c>
    </row>
    <row r="689" spans="1:8" ht="15.75" customHeight="1">
      <c r="A689" s="3" t="s">
        <v>240</v>
      </c>
      <c r="B689" s="3" t="s">
        <v>3354</v>
      </c>
      <c r="C689" s="3" t="s">
        <v>3355</v>
      </c>
      <c r="D689" s="4" t="s">
        <v>3356</v>
      </c>
      <c r="E689" s="6"/>
      <c r="F689" s="9" t="s">
        <v>3347</v>
      </c>
      <c r="G689" s="5" t="s">
        <v>3357</v>
      </c>
      <c r="H689" s="4" t="s">
        <v>3353</v>
      </c>
    </row>
    <row r="690" spans="1:8" ht="15.75" customHeight="1">
      <c r="A690" s="3" t="s">
        <v>973</v>
      </c>
      <c r="B690" s="3" t="s">
        <v>3358</v>
      </c>
      <c r="C690" s="3" t="s">
        <v>3359</v>
      </c>
      <c r="D690" s="4" t="s">
        <v>3360</v>
      </c>
      <c r="E690" s="5" t="s">
        <v>3361</v>
      </c>
      <c r="F690" s="9" t="s">
        <v>3347</v>
      </c>
      <c r="G690" s="5" t="s">
        <v>3362</v>
      </c>
      <c r="H690" s="4" t="s">
        <v>3353</v>
      </c>
    </row>
    <row r="691" spans="1:8" ht="15.75" customHeight="1">
      <c r="A691" s="3" t="s">
        <v>3363</v>
      </c>
      <c r="B691" s="3" t="s">
        <v>3364</v>
      </c>
      <c r="C691" s="3" t="s">
        <v>27</v>
      </c>
      <c r="D691" s="4" t="s">
        <v>3365</v>
      </c>
      <c r="E691" s="6"/>
      <c r="F691" s="5" t="s">
        <v>3366</v>
      </c>
      <c r="G691" s="6"/>
      <c r="H691" s="4" t="s">
        <v>3367</v>
      </c>
    </row>
    <row r="692" spans="1:8" ht="15.75" customHeight="1">
      <c r="A692" s="3" t="s">
        <v>1517</v>
      </c>
      <c r="B692" s="3" t="s">
        <v>593</v>
      </c>
      <c r="C692" s="3" t="s">
        <v>3368</v>
      </c>
      <c r="D692" s="4" t="s">
        <v>3369</v>
      </c>
      <c r="E692" s="5" t="s">
        <v>3370</v>
      </c>
      <c r="F692" s="5" t="s">
        <v>3366</v>
      </c>
      <c r="G692" s="6"/>
      <c r="H692" s="4" t="s">
        <v>3367</v>
      </c>
    </row>
    <row r="693" spans="1:8" ht="15.75" customHeight="1">
      <c r="A693" s="3" t="s">
        <v>301</v>
      </c>
      <c r="B693" s="3" t="s">
        <v>3371</v>
      </c>
      <c r="C693" s="3" t="s">
        <v>27</v>
      </c>
      <c r="D693" s="4" t="s">
        <v>3372</v>
      </c>
      <c r="E693" s="5" t="s">
        <v>3373</v>
      </c>
      <c r="F693" s="6"/>
      <c r="G693" s="6"/>
      <c r="H693" s="4" t="s">
        <v>3374</v>
      </c>
    </row>
    <row r="694" spans="1:8" ht="15.75" customHeight="1">
      <c r="A694" s="3" t="s">
        <v>3375</v>
      </c>
      <c r="B694" s="3" t="s">
        <v>3376</v>
      </c>
      <c r="C694" s="3" t="s">
        <v>390</v>
      </c>
      <c r="D694" s="4" t="s">
        <v>3377</v>
      </c>
      <c r="E694" s="5" t="s">
        <v>3378</v>
      </c>
      <c r="F694" s="5" t="s">
        <v>3379</v>
      </c>
      <c r="G694" s="6"/>
      <c r="H694" s="4" t="s">
        <v>3380</v>
      </c>
    </row>
    <row r="695" spans="1:8" ht="15.75" customHeight="1">
      <c r="A695" s="3" t="s">
        <v>462</v>
      </c>
      <c r="B695" s="3" t="s">
        <v>3381</v>
      </c>
      <c r="C695" s="3" t="s">
        <v>3382</v>
      </c>
      <c r="D695" s="4" t="s">
        <v>3383</v>
      </c>
      <c r="E695" s="5" t="s">
        <v>3384</v>
      </c>
      <c r="F695" s="9" t="s">
        <v>3385</v>
      </c>
      <c r="G695" s="6"/>
      <c r="H695" s="4" t="s">
        <v>3386</v>
      </c>
    </row>
    <row r="696" spans="1:8" ht="15.75" customHeight="1">
      <c r="A696" s="3" t="s">
        <v>901</v>
      </c>
      <c r="B696" s="3" t="s">
        <v>3387</v>
      </c>
      <c r="C696" s="3" t="s">
        <v>3388</v>
      </c>
      <c r="D696" s="4" t="s">
        <v>3389</v>
      </c>
      <c r="E696" s="5" t="s">
        <v>3390</v>
      </c>
      <c r="F696" s="6"/>
      <c r="G696" s="6"/>
      <c r="H696" s="4" t="s">
        <v>3391</v>
      </c>
    </row>
    <row r="697" spans="1:8" ht="15.75" customHeight="1">
      <c r="A697" s="17" t="s">
        <v>3392</v>
      </c>
      <c r="B697" s="17" t="s">
        <v>3393</v>
      </c>
      <c r="C697" s="17" t="s">
        <v>3394</v>
      </c>
      <c r="D697" s="18" t="s">
        <v>3395</v>
      </c>
      <c r="E697" s="20" t="s">
        <v>3396</v>
      </c>
      <c r="F697" s="20" t="s">
        <v>3397</v>
      </c>
      <c r="G697" s="21"/>
      <c r="H697" s="18" t="s">
        <v>3398</v>
      </c>
    </row>
    <row r="698" spans="1:8" ht="15.75" customHeight="1">
      <c r="A698" s="17" t="s">
        <v>3399</v>
      </c>
      <c r="B698" s="17" t="s">
        <v>3400</v>
      </c>
      <c r="C698" s="17" t="s">
        <v>3394</v>
      </c>
      <c r="D698" s="18" t="s">
        <v>3401</v>
      </c>
      <c r="E698" s="22" t="s">
        <v>3402</v>
      </c>
      <c r="F698" s="31" t="s">
        <v>3397</v>
      </c>
      <c r="G698" s="21"/>
      <c r="H698" s="18" t="s">
        <v>3398</v>
      </c>
    </row>
    <row r="699" spans="1:8" ht="15.75" customHeight="1">
      <c r="A699" s="17" t="s">
        <v>3403</v>
      </c>
      <c r="B699" s="17" t="s">
        <v>3404</v>
      </c>
      <c r="C699" s="17" t="s">
        <v>3394</v>
      </c>
      <c r="D699" s="18" t="s">
        <v>3405</v>
      </c>
      <c r="E699" s="20" t="s">
        <v>3402</v>
      </c>
      <c r="F699" s="20" t="s">
        <v>3397</v>
      </c>
      <c r="G699" s="21"/>
      <c r="H699" s="18" t="s">
        <v>3398</v>
      </c>
    </row>
    <row r="700" spans="1:8" ht="15.75" customHeight="1">
      <c r="A700" s="3" t="s">
        <v>58</v>
      </c>
      <c r="B700" s="3" t="s">
        <v>360</v>
      </c>
      <c r="C700" s="3" t="s">
        <v>3406</v>
      </c>
      <c r="D700" s="4" t="s">
        <v>3407</v>
      </c>
      <c r="E700" s="3" t="s">
        <v>3408</v>
      </c>
      <c r="F700" s="5" t="s">
        <v>3397</v>
      </c>
      <c r="G700" s="9" t="s">
        <v>3409</v>
      </c>
      <c r="H700" s="4" t="s">
        <v>3398</v>
      </c>
    </row>
    <row r="701" spans="1:8" ht="15.75" customHeight="1">
      <c r="A701" s="3" t="s">
        <v>44</v>
      </c>
      <c r="B701" s="3" t="s">
        <v>3410</v>
      </c>
      <c r="C701" s="3" t="s">
        <v>3411</v>
      </c>
      <c r="D701" s="4" t="s">
        <v>3412</v>
      </c>
      <c r="E701" s="6"/>
      <c r="F701" s="6"/>
      <c r="G701" s="6"/>
      <c r="H701" s="4" t="s">
        <v>3413</v>
      </c>
    </row>
    <row r="702" spans="1:8" ht="15.75" customHeight="1">
      <c r="A702" s="3" t="s">
        <v>3414</v>
      </c>
      <c r="B702" s="3" t="s">
        <v>3415</v>
      </c>
      <c r="C702" s="3" t="s">
        <v>46</v>
      </c>
      <c r="D702" s="4" t="s">
        <v>3416</v>
      </c>
      <c r="E702" s="5" t="s">
        <v>3417</v>
      </c>
      <c r="F702" s="9" t="s">
        <v>3418</v>
      </c>
      <c r="G702" s="6"/>
      <c r="H702" s="4" t="s">
        <v>3419</v>
      </c>
    </row>
    <row r="703" spans="1:8" ht="15.75" customHeight="1">
      <c r="A703" s="3" t="s">
        <v>3420</v>
      </c>
      <c r="B703" s="3" t="s">
        <v>3421</v>
      </c>
      <c r="C703" s="3" t="s">
        <v>3422</v>
      </c>
      <c r="D703" s="4" t="s">
        <v>3423</v>
      </c>
      <c r="E703" s="6"/>
      <c r="F703" s="9" t="s">
        <v>3424</v>
      </c>
      <c r="G703" s="6"/>
      <c r="H703" s="4" t="s">
        <v>3425</v>
      </c>
    </row>
    <row r="704" spans="1:8" ht="15.75" customHeight="1">
      <c r="A704" s="3" t="s">
        <v>1176</v>
      </c>
      <c r="B704" s="3" t="s">
        <v>1030</v>
      </c>
      <c r="C704" s="3" t="s">
        <v>3426</v>
      </c>
      <c r="D704" s="4" t="s">
        <v>3427</v>
      </c>
      <c r="E704" s="6"/>
      <c r="F704" s="6"/>
      <c r="G704" s="6"/>
      <c r="H704" s="4" t="s">
        <v>3428</v>
      </c>
    </row>
    <row r="705" spans="1:8" ht="15.75" customHeight="1">
      <c r="A705" s="3" t="s">
        <v>3429</v>
      </c>
      <c r="B705" s="3" t="s">
        <v>718</v>
      </c>
      <c r="C705" s="3" t="s">
        <v>583</v>
      </c>
      <c r="D705" s="4" t="s">
        <v>3430</v>
      </c>
      <c r="E705" s="6"/>
      <c r="F705" s="9" t="s">
        <v>3431</v>
      </c>
      <c r="G705" s="6"/>
      <c r="H705" s="4" t="s">
        <v>3432</v>
      </c>
    </row>
    <row r="706" spans="1:8" ht="15.75" customHeight="1">
      <c r="A706" s="3" t="s">
        <v>3433</v>
      </c>
      <c r="B706" s="3" t="s">
        <v>1829</v>
      </c>
      <c r="C706" s="3" t="s">
        <v>3434</v>
      </c>
      <c r="D706" s="4" t="s">
        <v>3435</v>
      </c>
      <c r="E706" s="6"/>
      <c r="F706" s="9" t="s">
        <v>3431</v>
      </c>
      <c r="G706" s="6"/>
      <c r="H706" s="4" t="s">
        <v>3432</v>
      </c>
    </row>
    <row r="707" spans="1:8" ht="15.75" customHeight="1">
      <c r="A707" s="3" t="s">
        <v>3436</v>
      </c>
      <c r="B707" s="3" t="s">
        <v>3437</v>
      </c>
      <c r="C707" s="3" t="s">
        <v>3438</v>
      </c>
      <c r="D707" s="4" t="s">
        <v>3439</v>
      </c>
      <c r="E707" s="6"/>
      <c r="F707" s="9" t="s">
        <v>3440</v>
      </c>
      <c r="G707" s="6"/>
      <c r="H707" s="4" t="s">
        <v>3441</v>
      </c>
    </row>
    <row r="708" spans="1:8" ht="15.75" customHeight="1">
      <c r="A708" s="3" t="s">
        <v>3442</v>
      </c>
      <c r="B708" s="3" t="s">
        <v>3443</v>
      </c>
      <c r="C708" s="3" t="s">
        <v>3444</v>
      </c>
      <c r="D708" s="4" t="s">
        <v>3445</v>
      </c>
      <c r="E708" s="5" t="s">
        <v>3446</v>
      </c>
      <c r="F708" s="6"/>
      <c r="G708" s="6"/>
      <c r="H708" s="4" t="s">
        <v>3447</v>
      </c>
    </row>
    <row r="709" spans="1:8" ht="15.75" customHeight="1">
      <c r="A709" s="3" t="s">
        <v>1286</v>
      </c>
      <c r="B709" s="3" t="s">
        <v>3448</v>
      </c>
      <c r="C709" s="3" t="s">
        <v>3449</v>
      </c>
      <c r="D709" s="4" t="s">
        <v>3450</v>
      </c>
      <c r="E709" s="5" t="s">
        <v>3451</v>
      </c>
      <c r="F709" s="5" t="s">
        <v>3452</v>
      </c>
      <c r="G709" s="6"/>
      <c r="H709" s="4" t="s">
        <v>3453</v>
      </c>
    </row>
    <row r="710" spans="1:8" ht="15.75" customHeight="1">
      <c r="A710" s="3" t="s">
        <v>3454</v>
      </c>
      <c r="B710" s="3" t="s">
        <v>1249</v>
      </c>
      <c r="C710" s="3" t="s">
        <v>602</v>
      </c>
      <c r="D710" s="4" t="s">
        <v>3455</v>
      </c>
      <c r="E710" s="23"/>
      <c r="F710" s="6"/>
      <c r="G710" s="6"/>
      <c r="H710" s="4" t="s">
        <v>3456</v>
      </c>
    </row>
    <row r="711" spans="1:8" ht="15.75" customHeight="1">
      <c r="A711" s="3" t="s">
        <v>473</v>
      </c>
      <c r="B711" s="3" t="s">
        <v>3457</v>
      </c>
      <c r="C711" s="3" t="s">
        <v>3458</v>
      </c>
      <c r="D711" s="4" t="s">
        <v>3459</v>
      </c>
      <c r="E711" s="3" t="s">
        <v>3460</v>
      </c>
      <c r="F711" s="6"/>
      <c r="G711" s="6"/>
      <c r="H711" s="4" t="s">
        <v>3461</v>
      </c>
    </row>
    <row r="712" spans="1:8" ht="15.75" customHeight="1">
      <c r="A712" s="3" t="s">
        <v>3462</v>
      </c>
      <c r="B712" s="3" t="s">
        <v>3463</v>
      </c>
      <c r="C712" s="3" t="s">
        <v>833</v>
      </c>
      <c r="D712" s="4" t="s">
        <v>3464</v>
      </c>
      <c r="E712" s="3" t="s">
        <v>3465</v>
      </c>
      <c r="F712" s="8">
        <f t="shared" ref="F712:F714" si="7">525522603929</f>
        <v>525522603929</v>
      </c>
      <c r="G712" s="8">
        <v>5215574742597</v>
      </c>
      <c r="H712" s="4" t="s">
        <v>3466</v>
      </c>
    </row>
    <row r="713" spans="1:8" ht="15.75" customHeight="1">
      <c r="A713" s="3" t="s">
        <v>3467</v>
      </c>
      <c r="B713" s="3" t="s">
        <v>1055</v>
      </c>
      <c r="C713" s="3" t="s">
        <v>3468</v>
      </c>
      <c r="D713" s="4" t="s">
        <v>3469</v>
      </c>
      <c r="E713" s="5" t="s">
        <v>3470</v>
      </c>
      <c r="F713" s="8">
        <f t="shared" si="7"/>
        <v>525522603929</v>
      </c>
      <c r="G713" s="6"/>
      <c r="H713" s="4" t="s">
        <v>3466</v>
      </c>
    </row>
    <row r="714" spans="1:8" ht="15.75" customHeight="1">
      <c r="A714" s="3" t="s">
        <v>3471</v>
      </c>
      <c r="B714" s="3" t="s">
        <v>1932</v>
      </c>
      <c r="C714" s="3" t="s">
        <v>3472</v>
      </c>
      <c r="D714" s="4" t="s">
        <v>3473</v>
      </c>
      <c r="E714" s="5" t="s">
        <v>3474</v>
      </c>
      <c r="F714" s="8">
        <f t="shared" si="7"/>
        <v>525522603929</v>
      </c>
      <c r="G714" s="6"/>
      <c r="H714" s="4" t="s">
        <v>3466</v>
      </c>
    </row>
    <row r="715" spans="1:8" ht="15.75" customHeight="1">
      <c r="A715" s="3" t="s">
        <v>3475</v>
      </c>
      <c r="B715" s="3" t="s">
        <v>3476</v>
      </c>
      <c r="C715" s="3" t="s">
        <v>3477</v>
      </c>
      <c r="D715" s="4" t="s">
        <v>3478</v>
      </c>
      <c r="E715" s="5" t="s">
        <v>3479</v>
      </c>
      <c r="F715" s="9" t="s">
        <v>3480</v>
      </c>
      <c r="G715" s="6"/>
      <c r="H715" s="4" t="s">
        <v>3481</v>
      </c>
    </row>
    <row r="716" spans="1:8" ht="15.75" customHeight="1">
      <c r="A716" s="3" t="s">
        <v>3482</v>
      </c>
      <c r="B716" s="3" t="s">
        <v>3483</v>
      </c>
      <c r="C716" s="3" t="s">
        <v>3484</v>
      </c>
      <c r="D716" s="4" t="s">
        <v>3485</v>
      </c>
      <c r="E716" s="5" t="s">
        <v>3486</v>
      </c>
      <c r="F716" s="9" t="s">
        <v>3487</v>
      </c>
      <c r="G716" s="9" t="s">
        <v>3488</v>
      </c>
      <c r="H716" s="4" t="s">
        <v>3489</v>
      </c>
    </row>
    <row r="717" spans="1:8" ht="15.75" customHeight="1">
      <c r="A717" s="3" t="s">
        <v>3490</v>
      </c>
      <c r="B717" s="3" t="s">
        <v>3491</v>
      </c>
      <c r="C717" s="3" t="s">
        <v>1026</v>
      </c>
      <c r="D717" s="4" t="s">
        <v>3492</v>
      </c>
      <c r="E717" s="6"/>
      <c r="F717" s="9" t="s">
        <v>3487</v>
      </c>
      <c r="G717" s="5" t="s">
        <v>3493</v>
      </c>
      <c r="H717" s="4" t="s">
        <v>3489</v>
      </c>
    </row>
    <row r="718" spans="1:8" ht="15.75" customHeight="1">
      <c r="A718" s="3" t="s">
        <v>3494</v>
      </c>
      <c r="B718" s="3" t="s">
        <v>3495</v>
      </c>
      <c r="C718" s="3" t="s">
        <v>3496</v>
      </c>
      <c r="D718" s="4" t="s">
        <v>3497</v>
      </c>
      <c r="E718" s="3" t="s">
        <v>3498</v>
      </c>
      <c r="F718" s="8">
        <v>7714788584</v>
      </c>
      <c r="G718" s="6"/>
      <c r="H718" s="4" t="s">
        <v>3499</v>
      </c>
    </row>
    <row r="719" spans="1:8" ht="15.75" customHeight="1">
      <c r="A719" s="3" t="s">
        <v>3500</v>
      </c>
      <c r="B719" s="3" t="s">
        <v>3501</v>
      </c>
      <c r="C719" s="3" t="s">
        <v>27</v>
      </c>
      <c r="D719" s="4" t="s">
        <v>3502</v>
      </c>
      <c r="E719" s="5" t="s">
        <v>3503</v>
      </c>
      <c r="F719" s="5" t="s">
        <v>3504</v>
      </c>
      <c r="G719" s="6"/>
      <c r="H719" s="4" t="s">
        <v>3505</v>
      </c>
    </row>
    <row r="720" spans="1:8" ht="15.75" customHeight="1">
      <c r="A720" s="3" t="s">
        <v>2931</v>
      </c>
      <c r="B720" s="3" t="s">
        <v>3506</v>
      </c>
      <c r="C720" s="3" t="s">
        <v>3507</v>
      </c>
      <c r="D720" s="4" t="s">
        <v>3508</v>
      </c>
      <c r="E720" s="6"/>
      <c r="F720" s="6"/>
      <c r="G720" s="6"/>
      <c r="H720" s="4" t="s">
        <v>3509</v>
      </c>
    </row>
    <row r="721" spans="1:8" ht="15.75" customHeight="1">
      <c r="A721" s="3" t="s">
        <v>2435</v>
      </c>
      <c r="B721" s="3" t="s">
        <v>2150</v>
      </c>
      <c r="C721" s="3" t="s">
        <v>3510</v>
      </c>
      <c r="D721" s="4" t="s">
        <v>3511</v>
      </c>
      <c r="E721" s="3" t="s">
        <v>3512</v>
      </c>
      <c r="F721" s="9" t="s">
        <v>3513</v>
      </c>
      <c r="G721" s="5" t="s">
        <v>3514</v>
      </c>
      <c r="H721" s="4" t="s">
        <v>3515</v>
      </c>
    </row>
    <row r="722" spans="1:8" ht="15.75" customHeight="1">
      <c r="A722" s="3" t="s">
        <v>3516</v>
      </c>
      <c r="B722" s="3" t="s">
        <v>3517</v>
      </c>
      <c r="C722" s="3" t="s">
        <v>2401</v>
      </c>
      <c r="D722" s="4" t="s">
        <v>3518</v>
      </c>
      <c r="E722" s="5" t="s">
        <v>3519</v>
      </c>
      <c r="F722" s="6"/>
      <c r="G722" s="6"/>
      <c r="H722" s="4" t="s">
        <v>3520</v>
      </c>
    </row>
    <row r="723" spans="1:8" ht="15.75" customHeight="1">
      <c r="A723" s="3" t="s">
        <v>3521</v>
      </c>
      <c r="B723" s="3" t="s">
        <v>3522</v>
      </c>
      <c r="C723" s="3" t="s">
        <v>3523</v>
      </c>
      <c r="D723" s="4" t="s">
        <v>3524</v>
      </c>
      <c r="E723" s="5" t="s">
        <v>3525</v>
      </c>
      <c r="F723" s="6"/>
      <c r="G723" s="6"/>
      <c r="H723" s="4" t="s">
        <v>3520</v>
      </c>
    </row>
    <row r="724" spans="1:8" ht="15.75" customHeight="1">
      <c r="A724" s="3" t="s">
        <v>2705</v>
      </c>
      <c r="B724" s="3" t="s">
        <v>3526</v>
      </c>
      <c r="C724" s="3" t="s">
        <v>140</v>
      </c>
      <c r="D724" s="4" t="s">
        <v>3527</v>
      </c>
      <c r="E724" s="5" t="s">
        <v>3528</v>
      </c>
      <c r="F724" s="6"/>
      <c r="G724" s="6"/>
      <c r="H724" s="3" t="s">
        <v>3529</v>
      </c>
    </row>
    <row r="725" spans="1:8" ht="15.75" customHeight="1">
      <c r="A725" s="3" t="s">
        <v>678</v>
      </c>
      <c r="B725" s="3" t="s">
        <v>3530</v>
      </c>
      <c r="C725" s="3" t="s">
        <v>1467</v>
      </c>
      <c r="D725" s="4" t="s">
        <v>3531</v>
      </c>
      <c r="E725" s="5" t="s">
        <v>3532</v>
      </c>
      <c r="F725" s="6"/>
      <c r="G725" s="6"/>
      <c r="H725" s="3" t="s">
        <v>3529</v>
      </c>
    </row>
    <row r="726" spans="1:8" ht="15.75" customHeight="1">
      <c r="A726" s="3" t="s">
        <v>3533</v>
      </c>
      <c r="B726" s="3" t="s">
        <v>3534</v>
      </c>
      <c r="C726" s="3" t="s">
        <v>91</v>
      </c>
      <c r="D726" s="4" t="s">
        <v>3535</v>
      </c>
      <c r="E726" s="5" t="s">
        <v>3536</v>
      </c>
      <c r="F726" s="5" t="s">
        <v>3537</v>
      </c>
      <c r="G726" s="6"/>
      <c r="H726" s="3" t="s">
        <v>3529</v>
      </c>
    </row>
    <row r="727" spans="1:8" ht="15.75" customHeight="1">
      <c r="A727" s="3" t="s">
        <v>3538</v>
      </c>
      <c r="B727" s="3" t="s">
        <v>3267</v>
      </c>
      <c r="C727" s="3" t="s">
        <v>3539</v>
      </c>
      <c r="D727" s="4" t="s">
        <v>3540</v>
      </c>
      <c r="E727" s="5" t="s">
        <v>3541</v>
      </c>
      <c r="F727" s="5" t="s">
        <v>3542</v>
      </c>
      <c r="G727" s="5" t="s">
        <v>3543</v>
      </c>
      <c r="H727" s="4" t="s">
        <v>3544</v>
      </c>
    </row>
    <row r="728" spans="1:8" ht="15.75" customHeight="1">
      <c r="A728" s="3" t="s">
        <v>3545</v>
      </c>
      <c r="B728" s="3" t="s">
        <v>3546</v>
      </c>
      <c r="C728" s="3" t="s">
        <v>229</v>
      </c>
      <c r="D728" s="4" t="s">
        <v>3547</v>
      </c>
      <c r="E728" s="5" t="s">
        <v>3548</v>
      </c>
      <c r="F728" s="5" t="s">
        <v>3549</v>
      </c>
      <c r="G728" s="8">
        <f>52.5555409916</f>
        <v>52.555540991599997</v>
      </c>
      <c r="H728" s="4" t="s">
        <v>3550</v>
      </c>
    </row>
    <row r="729" spans="1:8" ht="15.75" customHeight="1">
      <c r="A729" s="3" t="s">
        <v>94</v>
      </c>
      <c r="B729" s="3" t="s">
        <v>2721</v>
      </c>
      <c r="C729" s="3" t="s">
        <v>1543</v>
      </c>
      <c r="D729" s="4" t="s">
        <v>3551</v>
      </c>
      <c r="E729" s="3" t="s">
        <v>3552</v>
      </c>
      <c r="F729" s="5" t="s">
        <v>3553</v>
      </c>
      <c r="G729" s="8">
        <f>525580970133</f>
        <v>525580970133</v>
      </c>
      <c r="H729" s="4" t="s">
        <v>3554</v>
      </c>
    </row>
    <row r="730" spans="1:8" ht="15.75" customHeight="1">
      <c r="A730" s="3" t="s">
        <v>359</v>
      </c>
      <c r="B730" s="3" t="s">
        <v>3555</v>
      </c>
      <c r="C730" s="3" t="s">
        <v>3556</v>
      </c>
      <c r="D730" s="4" t="s">
        <v>3557</v>
      </c>
      <c r="E730" s="5" t="s">
        <v>3558</v>
      </c>
      <c r="F730" s="5" t="s">
        <v>3553</v>
      </c>
      <c r="G730" s="6"/>
      <c r="H730" s="4" t="s">
        <v>3554</v>
      </c>
    </row>
    <row r="731" spans="1:8" ht="15.75" customHeight="1">
      <c r="A731" s="3" t="s">
        <v>2946</v>
      </c>
      <c r="B731" s="3" t="s">
        <v>2033</v>
      </c>
      <c r="C731" s="3" t="s">
        <v>3559</v>
      </c>
      <c r="D731" s="4" t="s">
        <v>3560</v>
      </c>
      <c r="E731" s="5" t="s">
        <v>3561</v>
      </c>
      <c r="F731" s="6"/>
      <c r="G731" s="6"/>
      <c r="H731" s="3" t="s">
        <v>3562</v>
      </c>
    </row>
    <row r="732" spans="1:8" ht="15.75" customHeight="1">
      <c r="A732" s="3" t="s">
        <v>3563</v>
      </c>
      <c r="B732" s="3" t="s">
        <v>3564</v>
      </c>
      <c r="C732" s="3" t="s">
        <v>229</v>
      </c>
      <c r="D732" s="4" t="s">
        <v>3565</v>
      </c>
      <c r="E732" s="5" t="s">
        <v>3566</v>
      </c>
      <c r="F732" s="5" t="s">
        <v>3567</v>
      </c>
      <c r="G732" s="5" t="s">
        <v>3568</v>
      </c>
      <c r="H732" s="4" t="s">
        <v>3569</v>
      </c>
    </row>
    <row r="733" spans="1:8" ht="15.75" customHeight="1">
      <c r="A733" s="3" t="s">
        <v>2384</v>
      </c>
      <c r="B733" s="3" t="s">
        <v>3570</v>
      </c>
      <c r="C733" s="3" t="s">
        <v>3571</v>
      </c>
      <c r="D733" s="4" t="s">
        <v>3572</v>
      </c>
      <c r="E733" s="5" t="s">
        <v>3573</v>
      </c>
      <c r="F733" s="5" t="s">
        <v>3574</v>
      </c>
      <c r="G733" s="6"/>
      <c r="H733" s="4" t="s">
        <v>3575</v>
      </c>
    </row>
    <row r="734" spans="1:8" ht="15.75" customHeight="1">
      <c r="A734" s="3" t="s">
        <v>3576</v>
      </c>
      <c r="B734" s="3" t="s">
        <v>3577</v>
      </c>
      <c r="C734" s="3" t="s">
        <v>109</v>
      </c>
      <c r="D734" s="4" t="s">
        <v>3578</v>
      </c>
      <c r="E734" s="5" t="s">
        <v>3579</v>
      </c>
      <c r="F734" s="5" t="s">
        <v>3574</v>
      </c>
      <c r="G734" s="6"/>
      <c r="H734" s="4" t="s">
        <v>3575</v>
      </c>
    </row>
    <row r="735" spans="1:8" ht="15.75" customHeight="1">
      <c r="A735" s="3" t="s">
        <v>3580</v>
      </c>
      <c r="B735" s="3" t="s">
        <v>3581</v>
      </c>
      <c r="C735" s="3" t="s">
        <v>229</v>
      </c>
      <c r="D735" s="4" t="s">
        <v>3582</v>
      </c>
      <c r="E735" s="5" t="s">
        <v>3583</v>
      </c>
      <c r="F735" s="5" t="s">
        <v>3574</v>
      </c>
      <c r="G735" s="5" t="s">
        <v>3584</v>
      </c>
      <c r="H735" s="4" t="s">
        <v>3575</v>
      </c>
    </row>
    <row r="736" spans="1:8" ht="15.75" customHeight="1">
      <c r="A736" s="3" t="s">
        <v>3585</v>
      </c>
      <c r="B736" s="3" t="s">
        <v>3586</v>
      </c>
      <c r="C736" s="3" t="s">
        <v>3587</v>
      </c>
      <c r="D736" s="4" t="s">
        <v>3588</v>
      </c>
      <c r="E736" s="5" t="s">
        <v>3589</v>
      </c>
      <c r="F736" s="6"/>
      <c r="G736" s="6"/>
      <c r="H736" s="4" t="s">
        <v>3590</v>
      </c>
    </row>
    <row r="737" spans="1:8" ht="15.75" customHeight="1">
      <c r="A737" s="3" t="s">
        <v>1615</v>
      </c>
      <c r="B737" s="3" t="s">
        <v>3591</v>
      </c>
      <c r="C737" s="3" t="s">
        <v>3592</v>
      </c>
      <c r="D737" s="4" t="s">
        <v>3593</v>
      </c>
      <c r="E737" s="3" t="s">
        <v>3594</v>
      </c>
      <c r="F737" s="9" t="s">
        <v>3595</v>
      </c>
      <c r="G737" s="6"/>
      <c r="H737" s="4" t="s">
        <v>3596</v>
      </c>
    </row>
    <row r="738" spans="1:8" ht="15.75" customHeight="1">
      <c r="A738" s="3" t="s">
        <v>600</v>
      </c>
      <c r="B738" s="3" t="s">
        <v>3058</v>
      </c>
      <c r="C738" s="3" t="s">
        <v>1251</v>
      </c>
      <c r="D738" s="4" t="s">
        <v>3597</v>
      </c>
      <c r="E738" s="5" t="s">
        <v>3598</v>
      </c>
      <c r="F738" s="5" t="s">
        <v>3599</v>
      </c>
      <c r="G738" s="9" t="s">
        <v>3600</v>
      </c>
      <c r="H738" s="4" t="s">
        <v>3601</v>
      </c>
    </row>
    <row r="739" spans="1:8" ht="15.75" customHeight="1">
      <c r="A739" s="3" t="s">
        <v>1338</v>
      </c>
      <c r="B739" s="3" t="s">
        <v>1123</v>
      </c>
      <c r="C739" s="3" t="s">
        <v>1382</v>
      </c>
      <c r="D739" s="4" t="s">
        <v>3602</v>
      </c>
      <c r="E739" s="5" t="s">
        <v>3603</v>
      </c>
      <c r="F739" s="9" t="s">
        <v>3604</v>
      </c>
      <c r="G739" s="9" t="s">
        <v>3605</v>
      </c>
      <c r="H739" s="4" t="s">
        <v>3606</v>
      </c>
    </row>
    <row r="740" spans="1:8" ht="15.75" customHeight="1">
      <c r="A740" s="3" t="s">
        <v>2384</v>
      </c>
      <c r="B740" s="3" t="s">
        <v>1162</v>
      </c>
      <c r="C740" s="3" t="s">
        <v>91</v>
      </c>
      <c r="D740" s="4" t="s">
        <v>3607</v>
      </c>
      <c r="E740" s="5" t="s">
        <v>3608</v>
      </c>
      <c r="F740" s="9" t="s">
        <v>3604</v>
      </c>
      <c r="G740" s="5" t="s">
        <v>3609</v>
      </c>
      <c r="H740" s="4" t="s">
        <v>3606</v>
      </c>
    </row>
    <row r="741" spans="1:8" ht="15.75" customHeight="1">
      <c r="A741" s="3" t="s">
        <v>3251</v>
      </c>
      <c r="B741" s="3" t="s">
        <v>1162</v>
      </c>
      <c r="C741" s="3" t="s">
        <v>1758</v>
      </c>
      <c r="D741" s="4" t="s">
        <v>3610</v>
      </c>
      <c r="E741" s="5" t="s">
        <v>3611</v>
      </c>
      <c r="F741" s="9" t="s">
        <v>3604</v>
      </c>
      <c r="G741" s="6"/>
      <c r="H741" s="4" t="s">
        <v>3606</v>
      </c>
    </row>
    <row r="742" spans="1:8" ht="15.75" customHeight="1">
      <c r="A742" s="3" t="s">
        <v>3612</v>
      </c>
      <c r="B742" s="3" t="s">
        <v>3613</v>
      </c>
      <c r="C742" s="3" t="s">
        <v>944</v>
      </c>
      <c r="D742" s="4" t="s">
        <v>3614</v>
      </c>
      <c r="E742" s="5" t="s">
        <v>3615</v>
      </c>
      <c r="F742" s="9" t="s">
        <v>3616</v>
      </c>
      <c r="G742" s="6"/>
      <c r="H742" s="4" t="s">
        <v>3617</v>
      </c>
    </row>
    <row r="743" spans="1:8" ht="15.75" customHeight="1">
      <c r="A743" s="3" t="s">
        <v>3618</v>
      </c>
      <c r="B743" s="3" t="s">
        <v>2245</v>
      </c>
      <c r="C743" s="3" t="s">
        <v>46</v>
      </c>
      <c r="D743" s="4" t="s">
        <v>3619</v>
      </c>
      <c r="E743" s="3" t="s">
        <v>3620</v>
      </c>
      <c r="F743" s="9" t="s">
        <v>3621</v>
      </c>
      <c r="G743" s="6"/>
      <c r="H743" s="4" t="s">
        <v>3622</v>
      </c>
    </row>
    <row r="744" spans="1:8" ht="15.75" customHeight="1">
      <c r="A744" s="3" t="s">
        <v>717</v>
      </c>
      <c r="B744" s="3" t="s">
        <v>3623</v>
      </c>
      <c r="C744" s="3" t="s">
        <v>229</v>
      </c>
      <c r="D744" s="4" t="s">
        <v>3624</v>
      </c>
      <c r="E744" s="3" t="s">
        <v>3625</v>
      </c>
      <c r="F744" s="6"/>
      <c r="G744" s="6"/>
      <c r="H744" s="4" t="s">
        <v>3626</v>
      </c>
    </row>
    <row r="745" spans="1:8" ht="15.75" customHeight="1">
      <c r="A745" s="3" t="s">
        <v>3627</v>
      </c>
      <c r="B745" s="3" t="s">
        <v>3628</v>
      </c>
      <c r="C745" s="3" t="s">
        <v>3629</v>
      </c>
      <c r="D745" s="4" t="s">
        <v>3630</v>
      </c>
      <c r="E745" s="3" t="s">
        <v>3631</v>
      </c>
      <c r="F745" s="6"/>
      <c r="G745" s="6"/>
      <c r="H745" s="4" t="s">
        <v>3626</v>
      </c>
    </row>
    <row r="746" spans="1:8" ht="15.75" customHeight="1">
      <c r="A746" s="3" t="s">
        <v>1209</v>
      </c>
      <c r="B746" s="3" t="s">
        <v>3632</v>
      </c>
      <c r="C746" s="3" t="s">
        <v>46</v>
      </c>
      <c r="D746" s="4" t="s">
        <v>3633</v>
      </c>
      <c r="E746" s="6"/>
      <c r="F746" s="5" t="s">
        <v>3634</v>
      </c>
      <c r="G746" s="6"/>
      <c r="H746" s="4" t="s">
        <v>3635</v>
      </c>
    </row>
    <row r="747" spans="1:8" ht="15.75" customHeight="1">
      <c r="A747" s="3" t="s">
        <v>563</v>
      </c>
      <c r="B747" s="3" t="s">
        <v>2569</v>
      </c>
      <c r="C747" s="3" t="s">
        <v>91</v>
      </c>
      <c r="D747" s="4" t="s">
        <v>3636</v>
      </c>
      <c r="E747" s="5" t="s">
        <v>3637</v>
      </c>
      <c r="F747" s="9" t="s">
        <v>3638</v>
      </c>
      <c r="G747" s="8">
        <f>528007708263</f>
        <v>528007708263</v>
      </c>
      <c r="H747" s="4" t="s">
        <v>3639</v>
      </c>
    </row>
    <row r="748" spans="1:8" ht="15.75" customHeight="1">
      <c r="A748" s="3" t="s">
        <v>3640</v>
      </c>
      <c r="B748" s="3" t="s">
        <v>3641</v>
      </c>
      <c r="C748" s="3" t="s">
        <v>925</v>
      </c>
      <c r="D748" s="6"/>
      <c r="E748" s="5" t="s">
        <v>3642</v>
      </c>
      <c r="F748" s="9" t="s">
        <v>3643</v>
      </c>
      <c r="G748" s="6"/>
      <c r="H748" s="4" t="s">
        <v>3644</v>
      </c>
    </row>
    <row r="749" spans="1:8" ht="15.75" customHeight="1">
      <c r="A749" s="3" t="s">
        <v>907</v>
      </c>
      <c r="B749" s="3" t="s">
        <v>3645</v>
      </c>
      <c r="C749" s="3" t="s">
        <v>3646</v>
      </c>
      <c r="D749" s="4" t="s">
        <v>3647</v>
      </c>
      <c r="E749" s="5" t="s">
        <v>3648</v>
      </c>
      <c r="F749" s="9" t="s">
        <v>3643</v>
      </c>
      <c r="G749" s="9" t="s">
        <v>3649</v>
      </c>
      <c r="H749" s="4" t="s">
        <v>3644</v>
      </c>
    </row>
    <row r="750" spans="1:8" ht="15.75" customHeight="1">
      <c r="A750" s="3" t="s">
        <v>3650</v>
      </c>
      <c r="B750" s="3" t="s">
        <v>3651</v>
      </c>
      <c r="C750" s="3" t="s">
        <v>229</v>
      </c>
      <c r="D750" s="4" t="s">
        <v>3652</v>
      </c>
      <c r="E750" s="3" t="s">
        <v>3653</v>
      </c>
      <c r="F750" s="8">
        <f>436764900674</f>
        <v>436764900674</v>
      </c>
      <c r="G750" s="6"/>
      <c r="H750" s="4" t="s">
        <v>3654</v>
      </c>
    </row>
    <row r="751" spans="1:8" ht="15.75" customHeight="1">
      <c r="A751" s="3" t="s">
        <v>3655</v>
      </c>
      <c r="B751" s="3" t="s">
        <v>3656</v>
      </c>
      <c r="C751" s="3" t="s">
        <v>303</v>
      </c>
      <c r="D751" s="4" t="s">
        <v>3657</v>
      </c>
      <c r="E751" s="3" t="s">
        <v>3658</v>
      </c>
      <c r="F751" s="8">
        <v>436602008505</v>
      </c>
      <c r="G751" s="6"/>
      <c r="H751" s="4" t="s">
        <v>3654</v>
      </c>
    </row>
    <row r="752" spans="1:8" ht="15.75" customHeight="1">
      <c r="A752" s="3" t="s">
        <v>624</v>
      </c>
      <c r="B752" s="3" t="s">
        <v>3659</v>
      </c>
      <c r="C752" s="3" t="s">
        <v>229</v>
      </c>
      <c r="D752" s="4" t="s">
        <v>3660</v>
      </c>
      <c r="E752" s="5" t="s">
        <v>3661</v>
      </c>
      <c r="F752" s="9" t="s">
        <v>3662</v>
      </c>
      <c r="G752" s="6"/>
      <c r="H752" s="4" t="s">
        <v>3663</v>
      </c>
    </row>
    <row r="753" spans="1:8" ht="15.75" customHeight="1">
      <c r="A753" s="3" t="s">
        <v>3664</v>
      </c>
      <c r="B753" s="3" t="s">
        <v>3665</v>
      </c>
      <c r="C753" s="3" t="s">
        <v>91</v>
      </c>
      <c r="D753" s="4" t="s">
        <v>3666</v>
      </c>
      <c r="E753" s="6"/>
      <c r="F753" s="9" t="s">
        <v>3662</v>
      </c>
      <c r="G753" s="6"/>
      <c r="H753" s="4" t="s">
        <v>3663</v>
      </c>
    </row>
    <row r="754" spans="1:8" ht="15.75" customHeight="1">
      <c r="A754" s="3" t="s">
        <v>3667</v>
      </c>
      <c r="B754" s="3" t="s">
        <v>3668</v>
      </c>
      <c r="C754" s="3" t="s">
        <v>91</v>
      </c>
      <c r="D754" s="4" t="s">
        <v>3669</v>
      </c>
      <c r="E754" s="5" t="s">
        <v>3670</v>
      </c>
      <c r="F754" s="9" t="s">
        <v>3662</v>
      </c>
      <c r="G754" s="9" t="s">
        <v>3671</v>
      </c>
      <c r="H754" s="4" t="s">
        <v>3663</v>
      </c>
    </row>
    <row r="755" spans="1:8" ht="15.75" customHeight="1">
      <c r="A755" s="3" t="s">
        <v>1228</v>
      </c>
      <c r="B755" s="3" t="s">
        <v>247</v>
      </c>
      <c r="C755" s="3" t="s">
        <v>3672</v>
      </c>
      <c r="D755" s="4" t="s">
        <v>3673</v>
      </c>
      <c r="E755" s="5" t="s">
        <v>3674</v>
      </c>
      <c r="F755" s="9" t="s">
        <v>3662</v>
      </c>
      <c r="G755" s="6"/>
      <c r="H755" s="4" t="s">
        <v>3663</v>
      </c>
    </row>
    <row r="756" spans="1:8" ht="15.75" customHeight="1">
      <c r="A756" s="3" t="s">
        <v>69</v>
      </c>
      <c r="B756" s="3" t="s">
        <v>3675</v>
      </c>
      <c r="C756" s="3" t="s">
        <v>3629</v>
      </c>
      <c r="D756" s="4" t="s">
        <v>3676</v>
      </c>
      <c r="E756" s="3" t="s">
        <v>3677</v>
      </c>
      <c r="F756" s="9" t="s">
        <v>3662</v>
      </c>
      <c r="G756" s="8">
        <v>524444011947</v>
      </c>
      <c r="H756" s="4" t="s">
        <v>3663</v>
      </c>
    </row>
    <row r="757" spans="1:8" ht="15.75" customHeight="1">
      <c r="A757" s="3" t="s">
        <v>2027</v>
      </c>
      <c r="B757" s="3" t="s">
        <v>144</v>
      </c>
      <c r="C757" s="3" t="s">
        <v>3678</v>
      </c>
      <c r="D757" s="4" t="s">
        <v>3679</v>
      </c>
      <c r="E757" s="5" t="s">
        <v>3680</v>
      </c>
      <c r="F757" s="9" t="s">
        <v>3662</v>
      </c>
      <c r="G757" s="6"/>
      <c r="H757" s="4" t="s">
        <v>3663</v>
      </c>
    </row>
    <row r="758" spans="1:8" ht="15.75" customHeight="1">
      <c r="A758" s="3" t="s">
        <v>3681</v>
      </c>
      <c r="B758" s="3" t="s">
        <v>3682</v>
      </c>
      <c r="C758" s="3" t="s">
        <v>3683</v>
      </c>
      <c r="D758" s="4" t="s">
        <v>3684</v>
      </c>
      <c r="E758" s="3" t="s">
        <v>3685</v>
      </c>
      <c r="F758" s="9" t="s">
        <v>3662</v>
      </c>
      <c r="G758" s="6"/>
      <c r="H758" s="4" t="s">
        <v>3663</v>
      </c>
    </row>
    <row r="759" spans="1:8" ht="15.75" customHeight="1">
      <c r="A759" s="3" t="s">
        <v>413</v>
      </c>
      <c r="B759" s="3" t="s">
        <v>3107</v>
      </c>
      <c r="C759" s="3" t="s">
        <v>3686</v>
      </c>
      <c r="D759" s="3" t="s">
        <v>3687</v>
      </c>
      <c r="E759" s="6"/>
      <c r="F759" s="5" t="s">
        <v>3688</v>
      </c>
      <c r="G759" s="6"/>
      <c r="H759" s="4" t="s">
        <v>3689</v>
      </c>
    </row>
    <row r="760" spans="1:8" ht="15.75" customHeight="1">
      <c r="A760" s="3" t="s">
        <v>743</v>
      </c>
      <c r="B760" s="3" t="s">
        <v>395</v>
      </c>
      <c r="C760" s="3" t="s">
        <v>91</v>
      </c>
      <c r="D760" s="4" t="s">
        <v>3690</v>
      </c>
      <c r="E760" s="6"/>
      <c r="F760" s="5" t="s">
        <v>3688</v>
      </c>
      <c r="G760" s="6"/>
      <c r="H760" s="4" t="s">
        <v>3689</v>
      </c>
    </row>
    <row r="761" spans="1:8" ht="15.75" customHeight="1">
      <c r="A761" s="3" t="s">
        <v>69</v>
      </c>
      <c r="B761" s="3" t="s">
        <v>2996</v>
      </c>
      <c r="C761" s="3" t="s">
        <v>3691</v>
      </c>
      <c r="D761" s="4" t="s">
        <v>3692</v>
      </c>
      <c r="E761" s="6"/>
      <c r="F761" s="6"/>
      <c r="G761" s="6"/>
      <c r="H761" s="4" t="s">
        <v>3693</v>
      </c>
    </row>
    <row r="762" spans="1:8" ht="15.75" customHeight="1">
      <c r="A762" s="3" t="s">
        <v>3694</v>
      </c>
      <c r="B762" s="3" t="s">
        <v>3695</v>
      </c>
      <c r="C762" s="3" t="s">
        <v>602</v>
      </c>
      <c r="D762" s="4" t="s">
        <v>3696</v>
      </c>
      <c r="E762" s="6"/>
      <c r="F762" s="6"/>
      <c r="G762" s="6"/>
      <c r="H762" s="4" t="s">
        <v>3697</v>
      </c>
    </row>
    <row r="763" spans="1:8" ht="15.75" customHeight="1">
      <c r="A763" s="3" t="s">
        <v>3698</v>
      </c>
      <c r="B763" s="3" t="s">
        <v>3699</v>
      </c>
      <c r="C763" s="3" t="s">
        <v>222</v>
      </c>
      <c r="D763" s="6"/>
      <c r="E763" s="6"/>
      <c r="F763" s="9" t="s">
        <v>3700</v>
      </c>
      <c r="G763" s="6"/>
      <c r="H763" s="4" t="s">
        <v>3701</v>
      </c>
    </row>
    <row r="764" spans="1:8" ht="15.75" customHeight="1">
      <c r="A764" s="3" t="s">
        <v>3702</v>
      </c>
      <c r="B764" s="3" t="s">
        <v>3703</v>
      </c>
      <c r="C764" s="3" t="s">
        <v>3704</v>
      </c>
      <c r="D764" s="4" t="s">
        <v>3705</v>
      </c>
      <c r="E764" s="5" t="s">
        <v>3706</v>
      </c>
      <c r="F764" s="9" t="s">
        <v>3707</v>
      </c>
      <c r="G764" s="6"/>
      <c r="H764" s="4" t="s">
        <v>3708</v>
      </c>
    </row>
    <row r="765" spans="1:8" ht="15.75" customHeight="1">
      <c r="A765" s="3" t="s">
        <v>3709</v>
      </c>
      <c r="B765" s="3" t="s">
        <v>3710</v>
      </c>
      <c r="C765" s="3" t="s">
        <v>3237</v>
      </c>
      <c r="D765" s="4" t="s">
        <v>3711</v>
      </c>
      <c r="E765" s="5" t="s">
        <v>3712</v>
      </c>
      <c r="F765" s="5" t="s">
        <v>3713</v>
      </c>
      <c r="G765" s="5" t="s">
        <v>3714</v>
      </c>
      <c r="H765" s="4" t="s">
        <v>3715</v>
      </c>
    </row>
    <row r="766" spans="1:8" ht="15.75" customHeight="1">
      <c r="A766" s="3" t="s">
        <v>3716</v>
      </c>
      <c r="B766" s="3" t="s">
        <v>3717</v>
      </c>
      <c r="C766" s="3" t="s">
        <v>3718</v>
      </c>
      <c r="D766" s="4" t="s">
        <v>3719</v>
      </c>
      <c r="E766" s="3" t="s">
        <v>3720</v>
      </c>
      <c r="F766" s="5" t="s">
        <v>3713</v>
      </c>
      <c r="G766" s="5" t="s">
        <v>3721</v>
      </c>
      <c r="H766" s="4" t="s">
        <v>3715</v>
      </c>
    </row>
    <row r="767" spans="1:8" ht="15.75" customHeight="1">
      <c r="A767" s="3" t="s">
        <v>528</v>
      </c>
      <c r="B767" s="3" t="s">
        <v>3722</v>
      </c>
      <c r="C767" s="3" t="s">
        <v>3723</v>
      </c>
      <c r="D767" s="4" t="s">
        <v>3724</v>
      </c>
      <c r="E767" s="6"/>
      <c r="F767" s="5" t="s">
        <v>3713</v>
      </c>
      <c r="G767" s="6"/>
      <c r="H767" s="4" t="s">
        <v>3715</v>
      </c>
    </row>
    <row r="768" spans="1:8" ht="15.75" customHeight="1">
      <c r="A768" s="3" t="s">
        <v>3725</v>
      </c>
      <c r="B768" s="3" t="s">
        <v>3726</v>
      </c>
      <c r="C768" s="3" t="s">
        <v>152</v>
      </c>
      <c r="D768" s="4" t="s">
        <v>3727</v>
      </c>
      <c r="E768" s="6"/>
      <c r="F768" s="5" t="s">
        <v>3713</v>
      </c>
      <c r="G768" s="6"/>
      <c r="H768" s="4" t="s">
        <v>3715</v>
      </c>
    </row>
    <row r="769" spans="1:8" ht="15.75" customHeight="1">
      <c r="A769" s="3" t="s">
        <v>3728</v>
      </c>
      <c r="B769" s="3" t="s">
        <v>3729</v>
      </c>
      <c r="C769" s="3" t="s">
        <v>925</v>
      </c>
      <c r="D769" s="4" t="s">
        <v>3730</v>
      </c>
      <c r="E769" s="5" t="s">
        <v>3731</v>
      </c>
      <c r="F769" s="5" t="s">
        <v>3713</v>
      </c>
      <c r="G769" s="6"/>
      <c r="H769" s="4" t="s">
        <v>3715</v>
      </c>
    </row>
    <row r="770" spans="1:8" ht="15.75" customHeight="1">
      <c r="A770" s="3" t="s">
        <v>3732</v>
      </c>
      <c r="B770" s="3" t="s">
        <v>3733</v>
      </c>
      <c r="C770" s="3" t="s">
        <v>3734</v>
      </c>
      <c r="D770" s="4" t="s">
        <v>3735</v>
      </c>
      <c r="E770" s="5" t="s">
        <v>3736</v>
      </c>
      <c r="F770" s="6"/>
      <c r="G770" s="6"/>
      <c r="H770" s="4" t="s">
        <v>3715</v>
      </c>
    </row>
    <row r="771" spans="1:8" ht="15.75" customHeight="1">
      <c r="A771" s="3" t="s">
        <v>1530</v>
      </c>
      <c r="B771" s="3" t="s">
        <v>1229</v>
      </c>
      <c r="C771" s="3" t="s">
        <v>229</v>
      </c>
      <c r="D771" s="3" t="s">
        <v>3737</v>
      </c>
      <c r="E771" s="6"/>
      <c r="F771" s="6"/>
      <c r="G771" s="6"/>
      <c r="H771" s="4" t="s">
        <v>3738</v>
      </c>
    </row>
    <row r="772" spans="1:8" ht="15.75" customHeight="1">
      <c r="A772" s="3" t="s">
        <v>3739</v>
      </c>
      <c r="B772" s="3" t="s">
        <v>3740</v>
      </c>
      <c r="C772" s="3" t="s">
        <v>3741</v>
      </c>
      <c r="D772" s="4" t="s">
        <v>3742</v>
      </c>
      <c r="E772" s="3" t="s">
        <v>3743</v>
      </c>
      <c r="F772" s="5" t="s">
        <v>3744</v>
      </c>
      <c r="G772" s="5" t="s">
        <v>3745</v>
      </c>
      <c r="H772" s="4" t="s">
        <v>3746</v>
      </c>
    </row>
    <row r="773" spans="1:8" ht="15.75" customHeight="1">
      <c r="A773" s="3" t="s">
        <v>3747</v>
      </c>
      <c r="B773" s="3" t="s">
        <v>3748</v>
      </c>
      <c r="C773" s="3" t="s">
        <v>3749</v>
      </c>
      <c r="D773" s="4" t="s">
        <v>3750</v>
      </c>
      <c r="E773" s="3" t="s">
        <v>3751</v>
      </c>
      <c r="F773" s="5" t="s">
        <v>3744</v>
      </c>
      <c r="G773" s="5" t="s">
        <v>3752</v>
      </c>
      <c r="H773" s="4" t="s">
        <v>3746</v>
      </c>
    </row>
    <row r="774" spans="1:8" ht="15.75" customHeight="1">
      <c r="A774" s="3" t="s">
        <v>2664</v>
      </c>
      <c r="B774" s="3" t="s">
        <v>717</v>
      </c>
      <c r="C774" s="3" t="s">
        <v>46</v>
      </c>
      <c r="D774" s="4" t="s">
        <v>3753</v>
      </c>
      <c r="E774" s="6"/>
      <c r="F774" s="9" t="s">
        <v>3754</v>
      </c>
      <c r="G774" s="6"/>
      <c r="H774" s="4" t="s">
        <v>3755</v>
      </c>
    </row>
    <row r="775" spans="1:8" ht="15.75" customHeight="1">
      <c r="A775" s="3" t="s">
        <v>490</v>
      </c>
      <c r="B775" s="3" t="s">
        <v>352</v>
      </c>
      <c r="C775" s="3" t="s">
        <v>3756</v>
      </c>
      <c r="D775" s="4" t="s">
        <v>3757</v>
      </c>
      <c r="E775" s="5" t="s">
        <v>3758</v>
      </c>
      <c r="F775" s="5" t="s">
        <v>3759</v>
      </c>
      <c r="G775" s="9" t="s">
        <v>3760</v>
      </c>
      <c r="H775" s="4" t="s">
        <v>3761</v>
      </c>
    </row>
    <row r="776" spans="1:8" ht="15.75" customHeight="1">
      <c r="A776" s="3" t="s">
        <v>3762</v>
      </c>
      <c r="B776" s="3" t="s">
        <v>3261</v>
      </c>
      <c r="C776" s="3" t="s">
        <v>3763</v>
      </c>
      <c r="D776" s="3" t="s">
        <v>3764</v>
      </c>
      <c r="E776" s="5" t="s">
        <v>3765</v>
      </c>
      <c r="F776" s="23"/>
      <c r="G776" s="6"/>
      <c r="H776" s="4" t="s">
        <v>3766</v>
      </c>
    </row>
    <row r="777" spans="1:8" ht="15.75" customHeight="1">
      <c r="A777" s="3" t="s">
        <v>3767</v>
      </c>
      <c r="B777" s="3" t="s">
        <v>2458</v>
      </c>
      <c r="C777" s="3" t="s">
        <v>3768</v>
      </c>
      <c r="D777" s="4" t="s">
        <v>3769</v>
      </c>
      <c r="E777" s="5" t="s">
        <v>3770</v>
      </c>
      <c r="F777" s="12">
        <v>527222146421</v>
      </c>
      <c r="G777" s="6"/>
      <c r="H777" s="4" t="s">
        <v>3771</v>
      </c>
    </row>
    <row r="778" spans="1:8" ht="15.75" customHeight="1">
      <c r="A778" s="3" t="s">
        <v>1209</v>
      </c>
      <c r="B778" s="3" t="s">
        <v>3772</v>
      </c>
      <c r="C778" s="3" t="s">
        <v>602</v>
      </c>
      <c r="D778" s="4" t="s">
        <v>3773</v>
      </c>
      <c r="E778" s="6"/>
      <c r="F778" s="9" t="s">
        <v>3774</v>
      </c>
      <c r="G778" s="6"/>
      <c r="H778" s="4" t="s">
        <v>3775</v>
      </c>
    </row>
    <row r="779" spans="1:8" ht="15.75" customHeight="1">
      <c r="A779" s="3" t="s">
        <v>812</v>
      </c>
      <c r="B779" s="3" t="s">
        <v>3776</v>
      </c>
      <c r="C779" s="3" t="s">
        <v>303</v>
      </c>
      <c r="D779" s="4" t="s">
        <v>3777</v>
      </c>
      <c r="E779" s="3" t="s">
        <v>3778</v>
      </c>
      <c r="F779" s="9" t="s">
        <v>3779</v>
      </c>
      <c r="G779" s="9" t="s">
        <v>3780</v>
      </c>
      <c r="H779" s="3" t="s">
        <v>3781</v>
      </c>
    </row>
    <row r="780" spans="1:8" ht="15.75" customHeight="1">
      <c r="A780" s="3" t="s">
        <v>69</v>
      </c>
      <c r="B780" s="3" t="s">
        <v>883</v>
      </c>
      <c r="C780" s="3" t="s">
        <v>765</v>
      </c>
      <c r="D780" s="4" t="s">
        <v>3782</v>
      </c>
      <c r="E780" s="5" t="s">
        <v>3783</v>
      </c>
      <c r="F780" s="5" t="s">
        <v>3784</v>
      </c>
      <c r="G780" s="9" t="s">
        <v>3785</v>
      </c>
      <c r="H780" s="4" t="s">
        <v>3786</v>
      </c>
    </row>
    <row r="781" spans="1:8" ht="15.75" customHeight="1">
      <c r="A781" s="3" t="s">
        <v>3787</v>
      </c>
      <c r="B781" s="3" t="s">
        <v>3788</v>
      </c>
      <c r="C781" s="3" t="s">
        <v>46</v>
      </c>
      <c r="D781" s="3" t="s">
        <v>3789</v>
      </c>
      <c r="E781" s="3" t="s">
        <v>3790</v>
      </c>
      <c r="F781" s="5" t="s">
        <v>3784</v>
      </c>
      <c r="G781" s="6"/>
      <c r="H781" s="4" t="s">
        <v>3786</v>
      </c>
    </row>
    <row r="782" spans="1:8" ht="15.75" customHeight="1">
      <c r="A782" s="3" t="s">
        <v>3791</v>
      </c>
      <c r="B782" s="3" t="s">
        <v>3792</v>
      </c>
      <c r="C782" s="3" t="s">
        <v>46</v>
      </c>
      <c r="D782" s="4" t="s">
        <v>3793</v>
      </c>
      <c r="E782" s="5" t="s">
        <v>3794</v>
      </c>
      <c r="F782" s="5" t="s">
        <v>3795</v>
      </c>
      <c r="G782" s="6"/>
      <c r="H782" s="4" t="s">
        <v>3796</v>
      </c>
    </row>
    <row r="783" spans="1:8" ht="15.75" customHeight="1">
      <c r="A783" s="3" t="s">
        <v>1669</v>
      </c>
      <c r="B783" s="3" t="s">
        <v>1162</v>
      </c>
      <c r="C783" s="3" t="s">
        <v>303</v>
      </c>
      <c r="D783" s="4" t="s">
        <v>3797</v>
      </c>
      <c r="E783" s="5" t="s">
        <v>3798</v>
      </c>
      <c r="F783" s="5" t="s">
        <v>3795</v>
      </c>
      <c r="G783" s="8">
        <v>523336788000</v>
      </c>
      <c r="H783" s="4" t="s">
        <v>3796</v>
      </c>
    </row>
    <row r="784" spans="1:8" ht="15.75" customHeight="1">
      <c r="A784" s="3" t="s">
        <v>3799</v>
      </c>
      <c r="B784" s="3" t="s">
        <v>2202</v>
      </c>
      <c r="C784" s="3" t="s">
        <v>222</v>
      </c>
      <c r="D784" s="4" t="s">
        <v>3800</v>
      </c>
      <c r="E784" s="6"/>
      <c r="F784" s="5" t="s">
        <v>3801</v>
      </c>
      <c r="G784" s="9" t="s">
        <v>3802</v>
      </c>
      <c r="H784" s="4" t="s">
        <v>3803</v>
      </c>
    </row>
    <row r="785" spans="1:8" ht="15.75" customHeight="1">
      <c r="A785" s="3" t="s">
        <v>770</v>
      </c>
      <c r="B785" s="3" t="s">
        <v>2084</v>
      </c>
      <c r="C785" s="3" t="s">
        <v>3804</v>
      </c>
      <c r="D785" s="4" t="s">
        <v>3805</v>
      </c>
      <c r="E785" s="5" t="s">
        <v>3806</v>
      </c>
      <c r="F785" s="5" t="s">
        <v>3801</v>
      </c>
      <c r="G785" s="6"/>
      <c r="H785" s="4" t="s">
        <v>3803</v>
      </c>
    </row>
    <row r="786" spans="1:8" ht="15.75" customHeight="1">
      <c r="A786" s="3" t="s">
        <v>301</v>
      </c>
      <c r="B786" s="3" t="s">
        <v>1681</v>
      </c>
      <c r="C786" s="3" t="s">
        <v>229</v>
      </c>
      <c r="D786" s="4" t="s">
        <v>3807</v>
      </c>
      <c r="E786" s="5" t="s">
        <v>3808</v>
      </c>
      <c r="F786" s="6"/>
      <c r="G786" s="6"/>
      <c r="H786" s="4" t="s">
        <v>3809</v>
      </c>
    </row>
    <row r="787" spans="1:8" ht="15.75" customHeight="1">
      <c r="A787" s="3" t="s">
        <v>3810</v>
      </c>
      <c r="B787" s="3" t="s">
        <v>3811</v>
      </c>
      <c r="C787" s="3" t="s">
        <v>229</v>
      </c>
      <c r="D787" s="4" t="s">
        <v>3812</v>
      </c>
      <c r="E787" s="5" t="s">
        <v>3813</v>
      </c>
      <c r="F787" s="5" t="s">
        <v>3814</v>
      </c>
      <c r="G787" s="5" t="s">
        <v>3815</v>
      </c>
      <c r="H787" s="4" t="s">
        <v>3816</v>
      </c>
    </row>
    <row r="788" spans="1:8" ht="15.75" customHeight="1">
      <c r="A788" s="3" t="s">
        <v>1360</v>
      </c>
      <c r="B788" s="3" t="s">
        <v>3311</v>
      </c>
      <c r="C788" s="3" t="s">
        <v>91</v>
      </c>
      <c r="D788" s="4" t="s">
        <v>3817</v>
      </c>
      <c r="E788" s="5" t="s">
        <v>3818</v>
      </c>
      <c r="F788" s="9" t="s">
        <v>3819</v>
      </c>
      <c r="G788" s="5" t="s">
        <v>3820</v>
      </c>
      <c r="H788" s="4" t="s">
        <v>3821</v>
      </c>
    </row>
    <row r="789" spans="1:8" ht="15.75" customHeight="1">
      <c r="A789" s="3" t="s">
        <v>2083</v>
      </c>
      <c r="B789" s="3" t="s">
        <v>593</v>
      </c>
      <c r="C789" s="3" t="s">
        <v>1088</v>
      </c>
      <c r="D789" s="4" t="s">
        <v>3822</v>
      </c>
      <c r="E789" s="3" t="s">
        <v>3823</v>
      </c>
      <c r="F789" s="9" t="s">
        <v>3819</v>
      </c>
      <c r="G789" s="9" t="s">
        <v>3824</v>
      </c>
      <c r="H789" s="4" t="s">
        <v>3821</v>
      </c>
    </row>
    <row r="790" spans="1:8" ht="15.75" customHeight="1">
      <c r="A790" s="3" t="s">
        <v>1157</v>
      </c>
      <c r="B790" s="3" t="s">
        <v>3825</v>
      </c>
      <c r="C790" s="3" t="s">
        <v>109</v>
      </c>
      <c r="D790" s="4" t="s">
        <v>3826</v>
      </c>
      <c r="E790" s="5" t="s">
        <v>3827</v>
      </c>
      <c r="F790" s="9" t="s">
        <v>3828</v>
      </c>
      <c r="G790" s="6"/>
      <c r="H790" s="4" t="s">
        <v>3829</v>
      </c>
    </row>
    <row r="791" spans="1:8" ht="15.75" customHeight="1">
      <c r="A791" s="3" t="s">
        <v>973</v>
      </c>
      <c r="B791" s="3" t="s">
        <v>3830</v>
      </c>
      <c r="C791" s="3" t="s">
        <v>3831</v>
      </c>
      <c r="D791" s="4" t="s">
        <v>3832</v>
      </c>
      <c r="E791" s="5" t="s">
        <v>3833</v>
      </c>
      <c r="F791" s="5" t="s">
        <v>3834</v>
      </c>
      <c r="G791" s="6"/>
      <c r="H791" s="4" t="s">
        <v>3835</v>
      </c>
    </row>
    <row r="792" spans="1:8" ht="15.75" customHeight="1">
      <c r="A792" s="3" t="s">
        <v>44</v>
      </c>
      <c r="B792" s="3" t="s">
        <v>3836</v>
      </c>
      <c r="C792" s="3" t="s">
        <v>3837</v>
      </c>
      <c r="D792" s="4" t="s">
        <v>3838</v>
      </c>
      <c r="E792" s="5" t="s">
        <v>3839</v>
      </c>
      <c r="F792" s="9" t="s">
        <v>3840</v>
      </c>
      <c r="G792" s="9" t="s">
        <v>3841</v>
      </c>
      <c r="H792" s="4" t="s">
        <v>3842</v>
      </c>
    </row>
    <row r="793" spans="1:8" ht="15.75" customHeight="1">
      <c r="A793" s="3" t="s">
        <v>58</v>
      </c>
      <c r="B793" s="3" t="s">
        <v>3410</v>
      </c>
      <c r="C793" s="3" t="s">
        <v>46</v>
      </c>
      <c r="D793" s="4" t="s">
        <v>3843</v>
      </c>
      <c r="E793" s="5" t="s">
        <v>3844</v>
      </c>
      <c r="F793" s="6"/>
      <c r="G793" s="6"/>
      <c r="H793" s="4" t="s">
        <v>3845</v>
      </c>
    </row>
    <row r="794" spans="1:8" ht="15.75" customHeight="1">
      <c r="A794" s="3" t="s">
        <v>865</v>
      </c>
      <c r="B794" s="3" t="s">
        <v>1229</v>
      </c>
      <c r="C794" s="3" t="s">
        <v>3846</v>
      </c>
      <c r="D794" s="3" t="s">
        <v>3847</v>
      </c>
      <c r="E794" s="5" t="s">
        <v>3848</v>
      </c>
      <c r="F794" s="6"/>
      <c r="G794" s="6"/>
      <c r="H794" s="4" t="s">
        <v>3845</v>
      </c>
    </row>
    <row r="795" spans="1:8" ht="15.75" customHeight="1">
      <c r="A795" s="3" t="s">
        <v>1729</v>
      </c>
      <c r="B795" s="3" t="s">
        <v>3849</v>
      </c>
      <c r="C795" s="3" t="s">
        <v>3850</v>
      </c>
      <c r="D795" s="4" t="s">
        <v>3851</v>
      </c>
      <c r="E795" s="5" t="s">
        <v>3852</v>
      </c>
      <c r="F795" s="6"/>
      <c r="G795" s="6"/>
      <c r="H795" s="4" t="s">
        <v>3845</v>
      </c>
    </row>
    <row r="796" spans="1:8" ht="15.75" customHeight="1">
      <c r="A796" s="3" t="s">
        <v>955</v>
      </c>
      <c r="B796" s="3" t="s">
        <v>3853</v>
      </c>
      <c r="C796" s="3" t="s">
        <v>3854</v>
      </c>
      <c r="D796" s="4" t="s">
        <v>3855</v>
      </c>
      <c r="E796" s="5" t="s">
        <v>3856</v>
      </c>
      <c r="F796" s="6"/>
      <c r="G796" s="6"/>
      <c r="H796" s="4" t="s">
        <v>3845</v>
      </c>
    </row>
    <row r="797" spans="1:8" ht="15.75" customHeight="1">
      <c r="A797" s="3" t="s">
        <v>44</v>
      </c>
      <c r="B797" s="3" t="s">
        <v>3857</v>
      </c>
      <c r="C797" s="3" t="s">
        <v>3858</v>
      </c>
      <c r="D797" s="4" t="s">
        <v>3859</v>
      </c>
      <c r="E797" s="5" t="s">
        <v>3860</v>
      </c>
      <c r="F797" s="9" t="s">
        <v>3861</v>
      </c>
      <c r="G797" s="8">
        <f>5215521987230</f>
        <v>5215521987230</v>
      </c>
      <c r="H797" s="4" t="s">
        <v>3862</v>
      </c>
    </row>
    <row r="798" spans="1:8" ht="15.75" customHeight="1">
      <c r="A798" s="3" t="s">
        <v>301</v>
      </c>
      <c r="B798" s="3" t="s">
        <v>221</v>
      </c>
      <c r="C798" s="3" t="s">
        <v>91</v>
      </c>
      <c r="D798" s="4" t="s">
        <v>3863</v>
      </c>
      <c r="E798" s="5" t="s">
        <v>3864</v>
      </c>
      <c r="F798" s="9" t="s">
        <v>3861</v>
      </c>
      <c r="G798" s="5" t="s">
        <v>3865</v>
      </c>
      <c r="H798" s="4" t="s">
        <v>3862</v>
      </c>
    </row>
    <row r="799" spans="1:8" ht="15.75" customHeight="1">
      <c r="A799" s="3" t="s">
        <v>3260</v>
      </c>
      <c r="B799" s="3" t="s">
        <v>3866</v>
      </c>
      <c r="C799" s="3" t="s">
        <v>3867</v>
      </c>
      <c r="D799" s="4" t="s">
        <v>3868</v>
      </c>
      <c r="E799" s="5" t="s">
        <v>3869</v>
      </c>
      <c r="F799" s="5" t="s">
        <v>3870</v>
      </c>
      <c r="G799" s="6"/>
      <c r="H799" s="4" t="s">
        <v>3871</v>
      </c>
    </row>
    <row r="800" spans="1:8" ht="15.75" customHeight="1">
      <c r="A800" s="3" t="s">
        <v>1286</v>
      </c>
      <c r="B800" s="3" t="s">
        <v>2458</v>
      </c>
      <c r="C800" s="3" t="s">
        <v>1330</v>
      </c>
      <c r="D800" s="4" t="s">
        <v>3872</v>
      </c>
      <c r="E800" s="5" t="s">
        <v>3873</v>
      </c>
      <c r="F800" s="5" t="s">
        <v>3870</v>
      </c>
      <c r="G800" s="9" t="s">
        <v>3874</v>
      </c>
      <c r="H800" s="4" t="s">
        <v>3871</v>
      </c>
    </row>
    <row r="801" spans="1:8" ht="15.75" customHeight="1">
      <c r="A801" s="3" t="s">
        <v>3875</v>
      </c>
      <c r="B801" s="3" t="s">
        <v>3876</v>
      </c>
      <c r="C801" s="3" t="s">
        <v>3877</v>
      </c>
      <c r="D801" s="4" t="s">
        <v>3878</v>
      </c>
      <c r="E801" s="6"/>
      <c r="F801" s="5" t="s">
        <v>3870</v>
      </c>
      <c r="G801" s="5" t="s">
        <v>3879</v>
      </c>
      <c r="H801" s="4" t="s">
        <v>3871</v>
      </c>
    </row>
    <row r="802" spans="1:8" ht="15.75" customHeight="1">
      <c r="A802" s="3" t="s">
        <v>2384</v>
      </c>
      <c r="B802" s="3" t="s">
        <v>3880</v>
      </c>
      <c r="C802" s="3" t="s">
        <v>229</v>
      </c>
      <c r="D802" s="4" t="s">
        <v>3881</v>
      </c>
      <c r="E802" s="6"/>
      <c r="F802" s="6"/>
      <c r="G802" s="6"/>
      <c r="H802" s="4" t="s">
        <v>3882</v>
      </c>
    </row>
    <row r="803" spans="1:8" ht="15.75" customHeight="1">
      <c r="A803" s="3" t="s">
        <v>3883</v>
      </c>
      <c r="B803" s="3" t="s">
        <v>3884</v>
      </c>
      <c r="C803" s="3" t="s">
        <v>229</v>
      </c>
      <c r="D803" s="4" t="s">
        <v>3885</v>
      </c>
      <c r="E803" s="5" t="s">
        <v>3886</v>
      </c>
      <c r="F803" s="5" t="s">
        <v>3887</v>
      </c>
      <c r="G803" s="5" t="s">
        <v>3888</v>
      </c>
      <c r="H803" s="4" t="s">
        <v>3889</v>
      </c>
    </row>
    <row r="804" spans="1:8" ht="15.75" customHeight="1">
      <c r="A804" s="3" t="s">
        <v>301</v>
      </c>
      <c r="B804" s="3" t="s">
        <v>3890</v>
      </c>
      <c r="C804" s="3" t="s">
        <v>3891</v>
      </c>
      <c r="D804" s="4" t="s">
        <v>3892</v>
      </c>
      <c r="E804" s="6"/>
      <c r="F804" s="9" t="s">
        <v>3893</v>
      </c>
      <c r="G804" s="6"/>
      <c r="H804" s="4" t="s">
        <v>3894</v>
      </c>
    </row>
    <row r="805" spans="1:8" ht="15.75" customHeight="1">
      <c r="A805" s="3" t="s">
        <v>1209</v>
      </c>
      <c r="B805" s="3" t="s">
        <v>185</v>
      </c>
      <c r="C805" s="3" t="s">
        <v>91</v>
      </c>
      <c r="D805" s="4" t="s">
        <v>3895</v>
      </c>
      <c r="E805" s="3" t="s">
        <v>3896</v>
      </c>
      <c r="F805" s="9" t="s">
        <v>3897</v>
      </c>
      <c r="G805" s="9" t="s">
        <v>3898</v>
      </c>
      <c r="H805" s="4" t="s">
        <v>3899</v>
      </c>
    </row>
    <row r="806" spans="1:8" ht="15.75" customHeight="1">
      <c r="A806" s="3" t="s">
        <v>2463</v>
      </c>
      <c r="B806" s="3" t="s">
        <v>368</v>
      </c>
      <c r="C806" s="3" t="s">
        <v>3900</v>
      </c>
      <c r="D806" s="4" t="s">
        <v>3901</v>
      </c>
      <c r="E806" s="5" t="s">
        <v>3902</v>
      </c>
      <c r="F806" s="6"/>
      <c r="G806" s="6"/>
      <c r="H806" s="4" t="s">
        <v>3903</v>
      </c>
    </row>
    <row r="807" spans="1:8" ht="15.75" customHeight="1">
      <c r="A807" s="3" t="s">
        <v>1669</v>
      </c>
      <c r="B807" s="3" t="s">
        <v>3904</v>
      </c>
      <c r="C807" s="3" t="s">
        <v>3905</v>
      </c>
      <c r="D807" s="4" t="s">
        <v>3906</v>
      </c>
      <c r="E807" s="6"/>
      <c r="F807" s="9" t="s">
        <v>3907</v>
      </c>
      <c r="G807" s="6"/>
      <c r="H807" s="4" t="s">
        <v>3908</v>
      </c>
    </row>
    <row r="808" spans="1:8" ht="15.75" customHeight="1">
      <c r="A808" s="3" t="s">
        <v>3909</v>
      </c>
      <c r="B808" s="3" t="s">
        <v>3910</v>
      </c>
      <c r="C808" s="3" t="s">
        <v>1586</v>
      </c>
      <c r="D808" s="4" t="s">
        <v>3911</v>
      </c>
      <c r="E808" s="6"/>
      <c r="F808" s="9" t="s">
        <v>3907</v>
      </c>
      <c r="G808" s="6"/>
      <c r="H808" s="4" t="s">
        <v>3908</v>
      </c>
    </row>
    <row r="809" spans="1:8" ht="15.75" customHeight="1">
      <c r="A809" s="3" t="s">
        <v>3912</v>
      </c>
      <c r="B809" s="3" t="s">
        <v>1669</v>
      </c>
      <c r="C809" s="3" t="s">
        <v>3913</v>
      </c>
      <c r="D809" s="4" t="s">
        <v>3914</v>
      </c>
      <c r="E809" s="6"/>
      <c r="F809" s="9" t="s">
        <v>3907</v>
      </c>
      <c r="G809" s="6"/>
      <c r="H809" s="4" t="s">
        <v>3908</v>
      </c>
    </row>
    <row r="810" spans="1:8" ht="15.75" customHeight="1">
      <c r="A810" s="3" t="s">
        <v>14</v>
      </c>
      <c r="B810" s="3" t="s">
        <v>3915</v>
      </c>
      <c r="C810" s="3" t="s">
        <v>91</v>
      </c>
      <c r="D810" s="4" t="s">
        <v>3916</v>
      </c>
      <c r="E810" s="6"/>
      <c r="F810" s="9" t="s">
        <v>3907</v>
      </c>
      <c r="G810" s="6"/>
      <c r="H810" s="4" t="s">
        <v>3908</v>
      </c>
    </row>
    <row r="811" spans="1:8" ht="15.75" customHeight="1">
      <c r="A811" s="3" t="s">
        <v>3917</v>
      </c>
      <c r="B811" s="3" t="s">
        <v>3918</v>
      </c>
      <c r="C811" s="3" t="s">
        <v>3919</v>
      </c>
      <c r="D811" s="4" t="s">
        <v>3920</v>
      </c>
      <c r="E811" s="5" t="s">
        <v>3921</v>
      </c>
      <c r="F811" s="8">
        <f t="shared" ref="F811:F812" si="8">525550897350</f>
        <v>525550897350</v>
      </c>
      <c r="G811" s="6"/>
      <c r="H811" s="4" t="s">
        <v>3922</v>
      </c>
    </row>
    <row r="812" spans="1:8" ht="15.75" customHeight="1">
      <c r="A812" s="3" t="s">
        <v>3923</v>
      </c>
      <c r="B812" s="3" t="s">
        <v>3924</v>
      </c>
      <c r="C812" s="3" t="s">
        <v>3925</v>
      </c>
      <c r="D812" s="4" t="s">
        <v>3926</v>
      </c>
      <c r="E812" s="5" t="s">
        <v>3927</v>
      </c>
      <c r="F812" s="8">
        <f t="shared" si="8"/>
        <v>525550897350</v>
      </c>
      <c r="G812" s="6"/>
      <c r="H812" s="4" t="s">
        <v>3922</v>
      </c>
    </row>
    <row r="813" spans="1:8" ht="15.75" customHeight="1">
      <c r="A813" s="3" t="s">
        <v>3928</v>
      </c>
      <c r="B813" s="3" t="s">
        <v>3929</v>
      </c>
      <c r="C813" s="3" t="s">
        <v>3930</v>
      </c>
      <c r="D813" s="4" t="s">
        <v>3931</v>
      </c>
      <c r="E813" s="5" t="s">
        <v>3932</v>
      </c>
      <c r="F813" s="5" t="s">
        <v>3933</v>
      </c>
      <c r="G813" s="6"/>
      <c r="H813" s="4" t="s">
        <v>3934</v>
      </c>
    </row>
    <row r="814" spans="1:8" ht="15.75" customHeight="1">
      <c r="A814" s="3" t="s">
        <v>462</v>
      </c>
      <c r="B814" s="3" t="s">
        <v>1730</v>
      </c>
      <c r="C814" s="3" t="s">
        <v>3935</v>
      </c>
      <c r="D814" s="4" t="s">
        <v>3936</v>
      </c>
      <c r="E814" s="3" t="s">
        <v>3937</v>
      </c>
      <c r="F814" s="5" t="s">
        <v>3938</v>
      </c>
      <c r="G814" s="5" t="s">
        <v>3939</v>
      </c>
      <c r="H814" s="4" t="s">
        <v>3940</v>
      </c>
    </row>
    <row r="815" spans="1:8" ht="15.75" customHeight="1">
      <c r="A815" s="3" t="s">
        <v>3941</v>
      </c>
      <c r="B815" s="3" t="s">
        <v>3942</v>
      </c>
      <c r="C815" s="3" t="s">
        <v>443</v>
      </c>
      <c r="D815" s="4" t="s">
        <v>3943</v>
      </c>
      <c r="E815" s="5" t="s">
        <v>3944</v>
      </c>
      <c r="F815" s="9" t="s">
        <v>3945</v>
      </c>
      <c r="G815" s="6"/>
      <c r="H815" s="4" t="s">
        <v>3946</v>
      </c>
    </row>
    <row r="816" spans="1:8" ht="15.75" customHeight="1">
      <c r="A816" s="3" t="s">
        <v>3947</v>
      </c>
      <c r="B816" s="3" t="s">
        <v>732</v>
      </c>
      <c r="C816" s="3" t="s">
        <v>1330</v>
      </c>
      <c r="D816" s="4" t="s">
        <v>3948</v>
      </c>
      <c r="E816" s="6"/>
      <c r="F816" s="5" t="s">
        <v>3949</v>
      </c>
      <c r="G816" s="6"/>
      <c r="H816" s="4" t="s">
        <v>3950</v>
      </c>
    </row>
    <row r="817" spans="1:8" ht="15.75" customHeight="1">
      <c r="A817" s="3" t="s">
        <v>3951</v>
      </c>
      <c r="B817" s="3" t="s">
        <v>593</v>
      </c>
      <c r="C817" s="3" t="s">
        <v>583</v>
      </c>
      <c r="D817" s="4" t="s">
        <v>3952</v>
      </c>
      <c r="E817" s="6"/>
      <c r="F817" s="9" t="s">
        <v>3953</v>
      </c>
      <c r="G817" s="9" t="s">
        <v>3954</v>
      </c>
      <c r="H817" s="4" t="s">
        <v>3955</v>
      </c>
    </row>
    <row r="818" spans="1:8" ht="15.75" customHeight="1">
      <c r="A818" s="3" t="s">
        <v>3956</v>
      </c>
      <c r="B818" s="3" t="s">
        <v>861</v>
      </c>
      <c r="C818" s="3" t="s">
        <v>3957</v>
      </c>
      <c r="D818" s="4" t="s">
        <v>3958</v>
      </c>
      <c r="E818" s="3" t="s">
        <v>3959</v>
      </c>
      <c r="F818" s="9" t="s">
        <v>3953</v>
      </c>
      <c r="G818" s="5" t="s">
        <v>3960</v>
      </c>
      <c r="H818" s="4" t="s">
        <v>3955</v>
      </c>
    </row>
    <row r="819" spans="1:8" ht="15.75" customHeight="1">
      <c r="A819" s="3" t="s">
        <v>413</v>
      </c>
      <c r="B819" s="3" t="s">
        <v>3961</v>
      </c>
      <c r="C819" s="3" t="s">
        <v>3962</v>
      </c>
      <c r="D819" s="4" t="s">
        <v>3963</v>
      </c>
      <c r="E819" s="6"/>
      <c r="F819" s="5" t="s">
        <v>3964</v>
      </c>
      <c r="G819" s="6"/>
      <c r="H819" s="4" t="s">
        <v>3965</v>
      </c>
    </row>
    <row r="820" spans="1:8" ht="15.75" customHeight="1">
      <c r="A820" s="3" t="s">
        <v>3966</v>
      </c>
      <c r="B820" s="3" t="s">
        <v>3967</v>
      </c>
      <c r="C820" s="3" t="s">
        <v>229</v>
      </c>
      <c r="D820" s="4" t="s">
        <v>3968</v>
      </c>
      <c r="E820" s="6"/>
      <c r="F820" s="5" t="s">
        <v>3964</v>
      </c>
      <c r="G820" s="5" t="s">
        <v>3969</v>
      </c>
      <c r="H820" s="4" t="s">
        <v>3965</v>
      </c>
    </row>
    <row r="821" spans="1:8" ht="15.75" customHeight="1">
      <c r="A821" s="3" t="s">
        <v>2804</v>
      </c>
      <c r="B821" s="3" t="s">
        <v>3970</v>
      </c>
      <c r="C821" s="3" t="s">
        <v>3971</v>
      </c>
      <c r="D821" s="4" t="s">
        <v>3972</v>
      </c>
      <c r="E821" s="5" t="s">
        <v>3973</v>
      </c>
      <c r="F821" s="5" t="s">
        <v>3964</v>
      </c>
      <c r="G821" s="6"/>
      <c r="H821" s="4" t="s">
        <v>3965</v>
      </c>
    </row>
    <row r="822" spans="1:8" ht="15.75" customHeight="1">
      <c r="A822" s="3" t="s">
        <v>3974</v>
      </c>
      <c r="B822" s="3" t="s">
        <v>3457</v>
      </c>
      <c r="C822" s="3" t="s">
        <v>3756</v>
      </c>
      <c r="D822" s="4" t="s">
        <v>3975</v>
      </c>
      <c r="E822" s="5" t="s">
        <v>3976</v>
      </c>
      <c r="F822" s="5" t="s">
        <v>3964</v>
      </c>
      <c r="G822" s="6"/>
      <c r="H822" s="4" t="s">
        <v>3965</v>
      </c>
    </row>
    <row r="823" spans="1:8" ht="15.75" customHeight="1">
      <c r="A823" s="3" t="s">
        <v>3977</v>
      </c>
      <c r="B823" s="3" t="s">
        <v>247</v>
      </c>
      <c r="C823" s="3" t="s">
        <v>91</v>
      </c>
      <c r="D823" s="4" t="s">
        <v>3978</v>
      </c>
      <c r="E823" s="6"/>
      <c r="F823" s="9" t="s">
        <v>3979</v>
      </c>
      <c r="G823" s="6"/>
      <c r="H823" s="4" t="s">
        <v>3980</v>
      </c>
    </row>
    <row r="824" spans="1:8" ht="15.75" customHeight="1">
      <c r="A824" s="3" t="s">
        <v>1261</v>
      </c>
      <c r="B824" s="3" t="s">
        <v>414</v>
      </c>
      <c r="C824" s="3" t="s">
        <v>3981</v>
      </c>
      <c r="D824" s="4" t="s">
        <v>3982</v>
      </c>
      <c r="E824" s="6"/>
      <c r="F824" s="6"/>
      <c r="G824" s="6"/>
      <c r="H824" s="4" t="s">
        <v>3983</v>
      </c>
    </row>
    <row r="825" spans="1:8" ht="15.75" customHeight="1">
      <c r="A825" s="3" t="s">
        <v>1228</v>
      </c>
      <c r="B825" s="3" t="s">
        <v>3984</v>
      </c>
      <c r="C825" s="3" t="s">
        <v>178</v>
      </c>
      <c r="D825" s="4" t="s">
        <v>3985</v>
      </c>
      <c r="E825" s="5" t="s">
        <v>3986</v>
      </c>
      <c r="F825" s="6"/>
      <c r="G825" s="6"/>
      <c r="H825" s="4" t="s">
        <v>3987</v>
      </c>
    </row>
    <row r="826" spans="1:8" ht="15.75" customHeight="1">
      <c r="A826" s="3" t="s">
        <v>656</v>
      </c>
      <c r="B826" s="3" t="s">
        <v>3988</v>
      </c>
      <c r="C826" s="3" t="s">
        <v>3989</v>
      </c>
      <c r="D826" s="4" t="s">
        <v>3990</v>
      </c>
      <c r="E826" s="3" t="s">
        <v>3991</v>
      </c>
      <c r="F826" s="9" t="s">
        <v>3992</v>
      </c>
      <c r="G826" s="9" t="s">
        <v>3993</v>
      </c>
      <c r="H826" s="4" t="s">
        <v>3994</v>
      </c>
    </row>
    <row r="827" spans="1:8" ht="15.75" customHeight="1">
      <c r="A827" s="3" t="s">
        <v>1530</v>
      </c>
      <c r="B827" s="3" t="s">
        <v>3995</v>
      </c>
      <c r="C827" s="3" t="s">
        <v>210</v>
      </c>
      <c r="D827" s="4" t="s">
        <v>3996</v>
      </c>
      <c r="E827" s="5" t="s">
        <v>3997</v>
      </c>
      <c r="F827" s="9" t="s">
        <v>3998</v>
      </c>
      <c r="G827" s="6"/>
      <c r="H827" s="4" t="s">
        <v>3999</v>
      </c>
    </row>
    <row r="828" spans="1:8" ht="15.75" customHeight="1">
      <c r="A828" s="3" t="s">
        <v>4000</v>
      </c>
      <c r="B828" s="3" t="s">
        <v>4001</v>
      </c>
      <c r="C828" s="3" t="s">
        <v>229</v>
      </c>
      <c r="D828" s="4" t="s">
        <v>4002</v>
      </c>
      <c r="E828" s="5" t="s">
        <v>4003</v>
      </c>
      <c r="F828" s="9" t="s">
        <v>3998</v>
      </c>
      <c r="G828" s="6"/>
      <c r="H828" s="4" t="s">
        <v>3999</v>
      </c>
    </row>
    <row r="829" spans="1:8" ht="15.75" customHeight="1">
      <c r="A829" s="3" t="s">
        <v>413</v>
      </c>
      <c r="B829" s="3" t="s">
        <v>1848</v>
      </c>
      <c r="C829" s="3" t="s">
        <v>2075</v>
      </c>
      <c r="D829" s="3" t="s">
        <v>4004</v>
      </c>
      <c r="E829" s="5" t="s">
        <v>4005</v>
      </c>
      <c r="F829" s="9" t="s">
        <v>3998</v>
      </c>
      <c r="G829" s="6"/>
      <c r="H829" s="4" t="s">
        <v>3999</v>
      </c>
    </row>
    <row r="830" spans="1:8" ht="15.75" customHeight="1">
      <c r="A830" s="3" t="s">
        <v>763</v>
      </c>
      <c r="B830" s="3" t="s">
        <v>55</v>
      </c>
      <c r="C830" s="3" t="s">
        <v>4006</v>
      </c>
      <c r="D830" s="4" t="s">
        <v>4007</v>
      </c>
      <c r="E830" s="6"/>
      <c r="F830" s="8">
        <f>5213332006636</f>
        <v>5213332006636</v>
      </c>
      <c r="G830" s="6"/>
      <c r="H830" s="4" t="s">
        <v>4008</v>
      </c>
    </row>
    <row r="831" spans="1:8" ht="15.75" customHeight="1">
      <c r="A831" s="3" t="s">
        <v>2528</v>
      </c>
      <c r="B831" s="3" t="s">
        <v>395</v>
      </c>
      <c r="C831" s="3" t="s">
        <v>303</v>
      </c>
      <c r="D831" s="4" t="s">
        <v>4009</v>
      </c>
      <c r="E831" s="5" t="s">
        <v>4010</v>
      </c>
      <c r="F831" s="6"/>
      <c r="G831" s="6"/>
      <c r="H831" s="4" t="s">
        <v>4011</v>
      </c>
    </row>
    <row r="832" spans="1:8" ht="15.75" customHeight="1">
      <c r="A832" s="3" t="s">
        <v>4012</v>
      </c>
      <c r="B832" s="3" t="s">
        <v>4013</v>
      </c>
      <c r="C832" s="3" t="s">
        <v>109</v>
      </c>
      <c r="D832" s="4" t="s">
        <v>4014</v>
      </c>
      <c r="E832" s="6"/>
      <c r="F832" s="6"/>
      <c r="G832" s="6"/>
      <c r="H832" s="4" t="s">
        <v>4015</v>
      </c>
    </row>
    <row r="833" spans="1:8" ht="15.75" customHeight="1">
      <c r="A833" s="3" t="s">
        <v>44</v>
      </c>
      <c r="B833" s="3" t="s">
        <v>352</v>
      </c>
      <c r="C833" s="3" t="s">
        <v>4016</v>
      </c>
      <c r="D833" s="4" t="s">
        <v>4017</v>
      </c>
      <c r="E833" s="6"/>
      <c r="F833" s="6"/>
      <c r="G833" s="6"/>
      <c r="H833" s="4" t="s">
        <v>4015</v>
      </c>
    </row>
    <row r="834" spans="1:8" ht="15.75" customHeight="1">
      <c r="A834" s="3" t="s">
        <v>94</v>
      </c>
      <c r="B834" s="3" t="s">
        <v>4018</v>
      </c>
      <c r="C834" s="3" t="s">
        <v>4019</v>
      </c>
      <c r="D834" s="4" t="s">
        <v>4020</v>
      </c>
      <c r="E834" s="6"/>
      <c r="F834" s="6"/>
      <c r="G834" s="6"/>
      <c r="H834" s="4" t="s">
        <v>4021</v>
      </c>
    </row>
    <row r="835" spans="1:8" ht="15.75" customHeight="1">
      <c r="A835" s="3" t="s">
        <v>4022</v>
      </c>
      <c r="B835" s="3" t="s">
        <v>4023</v>
      </c>
      <c r="C835" s="3" t="s">
        <v>229</v>
      </c>
      <c r="D835" s="4" t="s">
        <v>4024</v>
      </c>
      <c r="E835" s="6"/>
      <c r="F835" s="5" t="s">
        <v>4025</v>
      </c>
      <c r="G835" s="6"/>
      <c r="H835" s="4" t="s">
        <v>4026</v>
      </c>
    </row>
    <row r="836" spans="1:8" ht="15.75" customHeight="1">
      <c r="A836" s="3" t="s">
        <v>1222</v>
      </c>
      <c r="B836" s="3" t="s">
        <v>4027</v>
      </c>
      <c r="C836" s="3" t="s">
        <v>91</v>
      </c>
      <c r="D836" s="4" t="s">
        <v>4028</v>
      </c>
      <c r="E836" s="5" t="s">
        <v>4029</v>
      </c>
      <c r="F836" s="8">
        <v>420541143020</v>
      </c>
      <c r="G836" s="6"/>
      <c r="H836" s="4" t="s">
        <v>4030</v>
      </c>
    </row>
    <row r="837" spans="1:8" ht="15.75" customHeight="1">
      <c r="A837" s="3" t="s">
        <v>4031</v>
      </c>
      <c r="B837" s="3" t="s">
        <v>4032</v>
      </c>
      <c r="C837" s="3" t="s">
        <v>229</v>
      </c>
      <c r="D837" s="4" t="s">
        <v>4033</v>
      </c>
      <c r="E837" s="5" t="s">
        <v>4034</v>
      </c>
      <c r="F837" s="8">
        <v>420541143020</v>
      </c>
      <c r="G837" s="6"/>
      <c r="H837" s="4" t="s">
        <v>4030</v>
      </c>
    </row>
    <row r="838" spans="1:8" ht="15.75" customHeight="1">
      <c r="A838" s="3" t="s">
        <v>4035</v>
      </c>
      <c r="B838" s="3" t="s">
        <v>4036</v>
      </c>
      <c r="C838" s="3" t="s">
        <v>4037</v>
      </c>
      <c r="D838" s="4" t="s">
        <v>4038</v>
      </c>
      <c r="E838" s="5" t="s">
        <v>4039</v>
      </c>
      <c r="F838" s="8">
        <v>420541143020</v>
      </c>
      <c r="G838" s="6"/>
      <c r="H838" s="4" t="s">
        <v>4030</v>
      </c>
    </row>
    <row r="839" spans="1:8" ht="15.75" customHeight="1">
      <c r="A839" s="3" t="s">
        <v>865</v>
      </c>
      <c r="B839" s="3" t="s">
        <v>4040</v>
      </c>
      <c r="C839" s="3" t="s">
        <v>303</v>
      </c>
      <c r="D839" s="4" t="s">
        <v>4041</v>
      </c>
      <c r="E839" s="6"/>
      <c r="F839" s="6"/>
      <c r="G839" s="6"/>
      <c r="H839" s="4" t="s">
        <v>4042</v>
      </c>
    </row>
    <row r="840" spans="1:8" ht="15.75" customHeight="1">
      <c r="A840" s="3" t="s">
        <v>4043</v>
      </c>
      <c r="B840" s="3" t="s">
        <v>4044</v>
      </c>
      <c r="C840" s="3" t="s">
        <v>4045</v>
      </c>
      <c r="D840" s="4" t="s">
        <v>4046</v>
      </c>
      <c r="E840" s="9" t="s">
        <v>4047</v>
      </c>
      <c r="F840" s="9" t="s">
        <v>4048</v>
      </c>
      <c r="G840" s="6"/>
      <c r="H840" s="4" t="s">
        <v>4049</v>
      </c>
    </row>
    <row r="841" spans="1:8" ht="15.75" customHeight="1">
      <c r="A841" s="3" t="s">
        <v>2641</v>
      </c>
      <c r="B841" s="3" t="s">
        <v>4050</v>
      </c>
      <c r="C841" s="3" t="s">
        <v>4051</v>
      </c>
      <c r="D841" s="4" t="s">
        <v>4052</v>
      </c>
      <c r="E841" s="5" t="s">
        <v>4053</v>
      </c>
      <c r="F841" s="5" t="s">
        <v>4054</v>
      </c>
      <c r="G841" s="6"/>
      <c r="H841" s="4" t="s">
        <v>4055</v>
      </c>
    </row>
    <row r="842" spans="1:8" ht="15.75" customHeight="1">
      <c r="A842" s="3" t="s">
        <v>4056</v>
      </c>
      <c r="B842" s="3" t="s">
        <v>4057</v>
      </c>
      <c r="C842" s="3" t="s">
        <v>109</v>
      </c>
      <c r="D842" s="4" t="s">
        <v>4058</v>
      </c>
      <c r="E842" s="5" t="s">
        <v>4059</v>
      </c>
      <c r="F842" s="9" t="s">
        <v>4060</v>
      </c>
      <c r="G842" s="8">
        <v>15172787732</v>
      </c>
      <c r="H842" s="4" t="s">
        <v>4061</v>
      </c>
    </row>
    <row r="843" spans="1:8" ht="15.75" customHeight="1">
      <c r="A843" s="3" t="s">
        <v>4062</v>
      </c>
      <c r="B843" s="3" t="s">
        <v>1782</v>
      </c>
      <c r="C843" s="3" t="s">
        <v>46</v>
      </c>
      <c r="D843" s="4" t="s">
        <v>4063</v>
      </c>
      <c r="E843" s="6"/>
      <c r="F843" s="9" t="s">
        <v>4064</v>
      </c>
      <c r="G843" s="6"/>
      <c r="H843" s="4" t="s">
        <v>4065</v>
      </c>
    </row>
    <row r="844" spans="1:8" ht="15.75" customHeight="1">
      <c r="A844" s="3" t="s">
        <v>75</v>
      </c>
      <c r="B844" s="3" t="s">
        <v>4066</v>
      </c>
      <c r="C844" s="3" t="s">
        <v>4067</v>
      </c>
      <c r="D844" s="4" t="s">
        <v>4068</v>
      </c>
      <c r="E844" s="5" t="s">
        <v>4069</v>
      </c>
      <c r="F844" s="9" t="s">
        <v>4070</v>
      </c>
      <c r="G844" s="6"/>
      <c r="H844" s="4" t="s">
        <v>4071</v>
      </c>
    </row>
    <row r="845" spans="1:8" ht="15.75" customHeight="1">
      <c r="A845" s="3" t="s">
        <v>4072</v>
      </c>
      <c r="B845" s="3" t="s">
        <v>1415</v>
      </c>
      <c r="C845" s="3" t="s">
        <v>4073</v>
      </c>
      <c r="D845" s="4" t="s">
        <v>4074</v>
      </c>
      <c r="E845" s="5" t="s">
        <v>4075</v>
      </c>
      <c r="F845" s="9" t="s">
        <v>4076</v>
      </c>
      <c r="G845" s="6"/>
      <c r="H845" s="4" t="s">
        <v>4077</v>
      </c>
    </row>
    <row r="846" spans="1:8" ht="15.75" customHeight="1">
      <c r="A846" s="3" t="s">
        <v>4078</v>
      </c>
      <c r="B846" s="3" t="s">
        <v>4079</v>
      </c>
      <c r="C846" s="3" t="s">
        <v>4080</v>
      </c>
      <c r="D846" s="4" t="s">
        <v>4081</v>
      </c>
      <c r="E846" s="6"/>
      <c r="F846" s="9" t="s">
        <v>4082</v>
      </c>
      <c r="G846" s="6"/>
      <c r="H846" s="4" t="s">
        <v>4083</v>
      </c>
    </row>
    <row r="847" spans="1:8" ht="15.75" customHeight="1">
      <c r="A847" s="3" t="s">
        <v>2162</v>
      </c>
      <c r="B847" s="3" t="s">
        <v>4084</v>
      </c>
      <c r="C847" s="3" t="s">
        <v>229</v>
      </c>
      <c r="D847" s="4" t="s">
        <v>4085</v>
      </c>
      <c r="E847" s="3" t="s">
        <v>4086</v>
      </c>
      <c r="F847" s="9" t="s">
        <v>4087</v>
      </c>
      <c r="G847" s="9" t="s">
        <v>4088</v>
      </c>
      <c r="H847" s="4" t="s">
        <v>4089</v>
      </c>
    </row>
    <row r="848" spans="1:8" ht="15.75" customHeight="1">
      <c r="A848" s="3" t="s">
        <v>4090</v>
      </c>
      <c r="B848" s="3" t="s">
        <v>1415</v>
      </c>
      <c r="C848" s="3" t="s">
        <v>4091</v>
      </c>
      <c r="D848" s="4" t="s">
        <v>4092</v>
      </c>
      <c r="E848" s="5" t="s">
        <v>4093</v>
      </c>
      <c r="F848" s="9" t="s">
        <v>4087</v>
      </c>
      <c r="G848" s="6"/>
      <c r="H848" s="4" t="s">
        <v>4089</v>
      </c>
    </row>
    <row r="849" spans="1:8" ht="15.75" customHeight="1">
      <c r="A849" s="3" t="s">
        <v>4094</v>
      </c>
      <c r="B849" s="3" t="s">
        <v>4095</v>
      </c>
      <c r="C849" s="3" t="s">
        <v>178</v>
      </c>
      <c r="D849" s="4" t="s">
        <v>4096</v>
      </c>
      <c r="E849" s="3" t="s">
        <v>4097</v>
      </c>
      <c r="F849" s="5" t="s">
        <v>4098</v>
      </c>
      <c r="G849" s="5" t="s">
        <v>4099</v>
      </c>
      <c r="H849" s="32" t="s">
        <v>4100</v>
      </c>
    </row>
    <row r="850" spans="1:8" ht="15.75" customHeight="1">
      <c r="A850" s="3" t="s">
        <v>4101</v>
      </c>
      <c r="B850" s="3" t="s">
        <v>4102</v>
      </c>
      <c r="C850" s="3" t="s">
        <v>4103</v>
      </c>
      <c r="D850" s="3" t="s">
        <v>4104</v>
      </c>
      <c r="E850" s="6"/>
      <c r="F850" s="5" t="s">
        <v>4105</v>
      </c>
      <c r="G850" s="6"/>
      <c r="H850" s="4" t="s">
        <v>4106</v>
      </c>
    </row>
    <row r="851" spans="1:8" ht="15.75" customHeight="1">
      <c r="A851" s="3" t="s">
        <v>955</v>
      </c>
      <c r="B851" s="3" t="s">
        <v>4107</v>
      </c>
      <c r="C851" s="3" t="s">
        <v>4108</v>
      </c>
      <c r="D851" s="4" t="s">
        <v>4109</v>
      </c>
      <c r="E851" s="5" t="s">
        <v>4110</v>
      </c>
      <c r="F851" s="5" t="s">
        <v>4111</v>
      </c>
      <c r="G851" s="5" t="s">
        <v>4112</v>
      </c>
      <c r="H851" s="4" t="s">
        <v>4113</v>
      </c>
    </row>
    <row r="852" spans="1:8" ht="15.75" customHeight="1">
      <c r="A852" s="3" t="s">
        <v>2399</v>
      </c>
      <c r="B852" s="3" t="s">
        <v>4114</v>
      </c>
      <c r="C852" s="3" t="s">
        <v>519</v>
      </c>
      <c r="D852" s="4" t="s">
        <v>4115</v>
      </c>
      <c r="E852" s="5" t="s">
        <v>4116</v>
      </c>
      <c r="F852" s="9" t="s">
        <v>4117</v>
      </c>
      <c r="G852" s="9" t="s">
        <v>4118</v>
      </c>
      <c r="H852" s="4" t="s">
        <v>4119</v>
      </c>
    </row>
    <row r="853" spans="1:8" ht="15.75" customHeight="1">
      <c r="A853" s="3" t="s">
        <v>4120</v>
      </c>
      <c r="B853" s="3" t="s">
        <v>4121</v>
      </c>
      <c r="C853" s="3" t="s">
        <v>303</v>
      </c>
      <c r="D853" s="4" t="s">
        <v>4122</v>
      </c>
      <c r="E853" s="6"/>
      <c r="F853" s="6"/>
      <c r="G853" s="6"/>
      <c r="H853" s="4" t="s">
        <v>4123</v>
      </c>
    </row>
    <row r="854" spans="1:8" ht="15.75" customHeight="1">
      <c r="A854" s="3" t="s">
        <v>4124</v>
      </c>
      <c r="B854" s="3" t="s">
        <v>3915</v>
      </c>
      <c r="C854" s="3" t="s">
        <v>3449</v>
      </c>
      <c r="D854" s="4" t="s">
        <v>4125</v>
      </c>
      <c r="E854" s="3" t="s">
        <v>4126</v>
      </c>
      <c r="F854" s="5" t="s">
        <v>4127</v>
      </c>
      <c r="G854" s="6"/>
      <c r="H854" s="4" t="s">
        <v>4123</v>
      </c>
    </row>
    <row r="855" spans="1:8" ht="15.75" customHeight="1">
      <c r="A855" s="3" t="s">
        <v>4128</v>
      </c>
      <c r="B855" s="3" t="s">
        <v>4129</v>
      </c>
      <c r="C855" s="3" t="s">
        <v>4130</v>
      </c>
      <c r="D855" s="4" t="s">
        <v>4131</v>
      </c>
      <c r="E855" s="5" t="s">
        <v>4132</v>
      </c>
      <c r="F855" s="9" t="s">
        <v>4133</v>
      </c>
      <c r="G855" s="9" t="s">
        <v>4134</v>
      </c>
      <c r="H855" s="4" t="s">
        <v>4135</v>
      </c>
    </row>
    <row r="856" spans="1:8" ht="15.75" customHeight="1">
      <c r="A856" s="3" t="s">
        <v>4128</v>
      </c>
      <c r="B856" s="3" t="s">
        <v>4129</v>
      </c>
      <c r="C856" s="3" t="s">
        <v>4136</v>
      </c>
      <c r="D856" s="4" t="s">
        <v>4131</v>
      </c>
      <c r="E856" s="5" t="s">
        <v>4132</v>
      </c>
      <c r="F856" s="9" t="s">
        <v>4133</v>
      </c>
      <c r="G856" s="9" t="s">
        <v>4134</v>
      </c>
      <c r="H856" s="4" t="s">
        <v>4135</v>
      </c>
    </row>
    <row r="857" spans="1:8" ht="15.75" customHeight="1">
      <c r="A857" s="3" t="s">
        <v>4137</v>
      </c>
      <c r="B857" s="3" t="s">
        <v>319</v>
      </c>
      <c r="C857" s="3" t="s">
        <v>229</v>
      </c>
      <c r="D857" s="4" t="s">
        <v>4138</v>
      </c>
      <c r="E857" s="6"/>
      <c r="F857" s="6"/>
      <c r="G857" s="6"/>
      <c r="H857" s="4" t="s">
        <v>4139</v>
      </c>
    </row>
    <row r="858" spans="1:8" ht="15.75" customHeight="1">
      <c r="A858" s="3" t="s">
        <v>4140</v>
      </c>
      <c r="B858" s="3" t="s">
        <v>4141</v>
      </c>
      <c r="C858" s="3" t="s">
        <v>4142</v>
      </c>
      <c r="D858" s="4" t="s">
        <v>4143</v>
      </c>
      <c r="E858" s="5" t="s">
        <v>4144</v>
      </c>
      <c r="F858" s="6"/>
      <c r="G858" s="6"/>
      <c r="H858" s="4" t="s">
        <v>4145</v>
      </c>
    </row>
    <row r="859" spans="1:8" ht="15.75" customHeight="1">
      <c r="A859" s="3" t="s">
        <v>14</v>
      </c>
      <c r="B859" s="3" t="s">
        <v>4146</v>
      </c>
      <c r="C859" s="3" t="s">
        <v>91</v>
      </c>
      <c r="D859" s="3" t="s">
        <v>4147</v>
      </c>
      <c r="E859" s="5" t="s">
        <v>4148</v>
      </c>
      <c r="F859" s="6"/>
      <c r="G859" s="6"/>
      <c r="H859" s="4" t="s">
        <v>4145</v>
      </c>
    </row>
    <row r="860" spans="1:8" ht="15.75" customHeight="1">
      <c r="A860" s="3" t="s">
        <v>4149</v>
      </c>
      <c r="B860" s="3" t="s">
        <v>1372</v>
      </c>
      <c r="C860" s="3" t="s">
        <v>4150</v>
      </c>
      <c r="D860" s="4" t="s">
        <v>4151</v>
      </c>
      <c r="E860" s="5" t="s">
        <v>4152</v>
      </c>
      <c r="F860" s="6"/>
      <c r="G860" s="6"/>
      <c r="H860" s="4" t="s">
        <v>4145</v>
      </c>
    </row>
    <row r="861" spans="1:8" ht="15.75" customHeight="1">
      <c r="A861" s="3" t="s">
        <v>1228</v>
      </c>
      <c r="B861" s="3" t="s">
        <v>998</v>
      </c>
      <c r="C861" s="3" t="s">
        <v>229</v>
      </c>
      <c r="D861" s="4" t="s">
        <v>4153</v>
      </c>
      <c r="E861" s="3" t="s">
        <v>4154</v>
      </c>
      <c r="F861" s="8">
        <v>525562743100</v>
      </c>
      <c r="G861" s="6"/>
      <c r="H861" s="4" t="s">
        <v>4155</v>
      </c>
    </row>
    <row r="862" spans="1:8" ht="15.75" customHeight="1">
      <c r="A862" s="3" t="s">
        <v>4156</v>
      </c>
      <c r="B862" s="3" t="s">
        <v>4157</v>
      </c>
      <c r="C862" s="3" t="s">
        <v>4158</v>
      </c>
      <c r="D862" s="3" t="s">
        <v>4159</v>
      </c>
      <c r="E862" s="6"/>
      <c r="F862" s="9" t="s">
        <v>4160</v>
      </c>
      <c r="G862" s="6"/>
      <c r="H862" s="4" t="s">
        <v>4161</v>
      </c>
    </row>
    <row r="863" spans="1:8" ht="15.75" customHeight="1">
      <c r="A863" s="3" t="s">
        <v>4162</v>
      </c>
      <c r="B863" s="3" t="s">
        <v>198</v>
      </c>
      <c r="C863" s="3" t="s">
        <v>35</v>
      </c>
      <c r="D863" s="4" t="s">
        <v>4163</v>
      </c>
      <c r="E863" s="6"/>
      <c r="F863" s="9" t="s">
        <v>4160</v>
      </c>
      <c r="G863" s="5" t="s">
        <v>4164</v>
      </c>
      <c r="H863" s="4" t="s">
        <v>4161</v>
      </c>
    </row>
    <row r="864" spans="1:8" ht="15.75" customHeight="1">
      <c r="A864" s="3" t="s">
        <v>873</v>
      </c>
      <c r="B864" s="3" t="s">
        <v>1338</v>
      </c>
      <c r="C864" s="3" t="s">
        <v>602</v>
      </c>
      <c r="D864" s="4" t="s">
        <v>4165</v>
      </c>
      <c r="E864" s="3" t="s">
        <v>4166</v>
      </c>
      <c r="F864" s="9" t="s">
        <v>4160</v>
      </c>
      <c r="G864" s="6"/>
      <c r="H864" s="4" t="s">
        <v>4161</v>
      </c>
    </row>
    <row r="865" spans="1:8" ht="15.75" customHeight="1">
      <c r="A865" s="3" t="s">
        <v>1689</v>
      </c>
      <c r="B865" s="3" t="s">
        <v>1168</v>
      </c>
      <c r="C865" s="3" t="s">
        <v>222</v>
      </c>
      <c r="D865" s="4" t="s">
        <v>4167</v>
      </c>
      <c r="E865" s="6"/>
      <c r="F865" s="9" t="s">
        <v>4160</v>
      </c>
      <c r="G865" s="6"/>
      <c r="H865" s="4" t="s">
        <v>4161</v>
      </c>
    </row>
    <row r="866" spans="1:8" ht="15.75" customHeight="1">
      <c r="A866" s="3" t="s">
        <v>4168</v>
      </c>
      <c r="B866" s="3" t="s">
        <v>4169</v>
      </c>
      <c r="C866" s="3" t="s">
        <v>91</v>
      </c>
      <c r="D866" s="4" t="s">
        <v>4170</v>
      </c>
      <c r="E866" s="5" t="s">
        <v>4171</v>
      </c>
      <c r="F866" s="9" t="s">
        <v>4172</v>
      </c>
      <c r="G866" s="6"/>
      <c r="H866" s="4" t="s">
        <v>4173</v>
      </c>
    </row>
    <row r="867" spans="1:8" ht="15.75" customHeight="1">
      <c r="A867" s="33"/>
      <c r="B867" s="33"/>
      <c r="C867" s="33"/>
      <c r="D867" s="33"/>
      <c r="E867" s="33"/>
      <c r="F867" s="33"/>
      <c r="G867" s="33"/>
      <c r="H867" s="33"/>
    </row>
    <row r="868" spans="1:8" ht="15.75" customHeight="1">
      <c r="A868" s="3" t="s">
        <v>2604</v>
      </c>
      <c r="B868" s="3" t="s">
        <v>874</v>
      </c>
      <c r="C868" s="3" t="s">
        <v>4174</v>
      </c>
      <c r="D868" s="4" t="s">
        <v>4175</v>
      </c>
      <c r="E868" s="3" t="s">
        <v>4176</v>
      </c>
      <c r="F868" s="6"/>
      <c r="G868" s="6"/>
      <c r="H868" s="3" t="s">
        <v>4177</v>
      </c>
    </row>
    <row r="869" spans="1:8" ht="15.75" customHeight="1">
      <c r="A869" s="3" t="s">
        <v>4178</v>
      </c>
      <c r="B869" s="3" t="s">
        <v>4179</v>
      </c>
      <c r="C869" s="3" t="s">
        <v>1684</v>
      </c>
      <c r="D869" s="4" t="s">
        <v>4180</v>
      </c>
      <c r="E869" s="3" t="s">
        <v>4181</v>
      </c>
      <c r="F869" s="34" t="s">
        <v>4182</v>
      </c>
      <c r="G869" s="6"/>
      <c r="H869" s="3" t="s">
        <v>4183</v>
      </c>
    </row>
    <row r="870" spans="1:8" ht="15.75" customHeight="1">
      <c r="A870" s="3" t="s">
        <v>2191</v>
      </c>
      <c r="B870" s="3" t="s">
        <v>4184</v>
      </c>
      <c r="C870" s="3" t="s">
        <v>4185</v>
      </c>
      <c r="D870" s="4" t="s">
        <v>4186</v>
      </c>
      <c r="E870" s="3" t="s">
        <v>4187</v>
      </c>
      <c r="F870" s="34" t="s">
        <v>4188</v>
      </c>
      <c r="G870" s="6"/>
      <c r="H870" s="3" t="s">
        <v>4189</v>
      </c>
    </row>
    <row r="871" spans="1:8" ht="15.75" customHeight="1">
      <c r="A871" s="3" t="s">
        <v>4190</v>
      </c>
      <c r="B871" s="3" t="s">
        <v>2968</v>
      </c>
      <c r="C871" s="3" t="s">
        <v>4191</v>
      </c>
      <c r="D871" s="4" t="s">
        <v>4192</v>
      </c>
      <c r="E871" s="3" t="s">
        <v>4193</v>
      </c>
      <c r="F871" s="3" t="s">
        <v>4194</v>
      </c>
      <c r="G871" s="6"/>
      <c r="H871" s="3" t="s">
        <v>4195</v>
      </c>
    </row>
    <row r="872" spans="1:8" ht="15.75" customHeight="1">
      <c r="A872" s="3" t="s">
        <v>2664</v>
      </c>
      <c r="B872" s="3" t="s">
        <v>198</v>
      </c>
      <c r="C872" s="3" t="s">
        <v>4196</v>
      </c>
      <c r="D872" s="4" t="s">
        <v>4197</v>
      </c>
      <c r="E872" s="3" t="s">
        <v>4198</v>
      </c>
      <c r="F872" s="34" t="s">
        <v>4199</v>
      </c>
      <c r="G872" s="6"/>
      <c r="H872" s="3" t="s">
        <v>4200</v>
      </c>
    </row>
    <row r="873" spans="1:8" ht="15.75" customHeight="1">
      <c r="A873" s="3" t="s">
        <v>4201</v>
      </c>
      <c r="B873" s="3" t="s">
        <v>4202</v>
      </c>
      <c r="C873" s="3" t="s">
        <v>4203</v>
      </c>
      <c r="D873" s="4" t="s">
        <v>4204</v>
      </c>
      <c r="E873" s="3" t="s">
        <v>4205</v>
      </c>
      <c r="F873" s="34" t="s">
        <v>4206</v>
      </c>
      <c r="G873" s="6"/>
      <c r="H873" s="3" t="s">
        <v>4207</v>
      </c>
    </row>
    <row r="874" spans="1:8" ht="15.75" customHeight="1">
      <c r="A874" s="3" t="s">
        <v>4208</v>
      </c>
      <c r="B874" s="3" t="s">
        <v>4209</v>
      </c>
      <c r="C874" s="3" t="s">
        <v>4210</v>
      </c>
      <c r="D874" s="4" t="s">
        <v>4211</v>
      </c>
      <c r="E874" s="3" t="s">
        <v>4212</v>
      </c>
      <c r="F874" s="34" t="s">
        <v>4213</v>
      </c>
      <c r="G874" s="6"/>
      <c r="H874" s="3" t="s">
        <v>4214</v>
      </c>
    </row>
    <row r="875" spans="1:8" ht="15.75" customHeight="1">
      <c r="A875" s="3" t="s">
        <v>4215</v>
      </c>
      <c r="B875" s="3" t="s">
        <v>4216</v>
      </c>
      <c r="C875" s="3" t="s">
        <v>4217</v>
      </c>
      <c r="D875" s="4" t="s">
        <v>4218</v>
      </c>
      <c r="E875" s="3" t="s">
        <v>4219</v>
      </c>
      <c r="F875" s="6"/>
      <c r="G875" s="6"/>
      <c r="H875" s="3" t="s">
        <v>4220</v>
      </c>
    </row>
    <row r="876" spans="1:8" ht="15.75" customHeight="1">
      <c r="A876" s="3" t="s">
        <v>3189</v>
      </c>
      <c r="B876" s="3" t="s">
        <v>4221</v>
      </c>
      <c r="C876" s="3" t="s">
        <v>4222</v>
      </c>
      <c r="D876" s="4" t="s">
        <v>4223</v>
      </c>
      <c r="E876" s="3" t="s">
        <v>4224</v>
      </c>
      <c r="F876" s="34" t="s">
        <v>4182</v>
      </c>
      <c r="G876" s="6"/>
      <c r="H876" s="3" t="s">
        <v>4183</v>
      </c>
    </row>
    <row r="877" spans="1:8" ht="15.75" customHeight="1">
      <c r="A877" s="3" t="s">
        <v>2931</v>
      </c>
      <c r="B877" s="3" t="s">
        <v>4225</v>
      </c>
      <c r="C877" s="3" t="s">
        <v>4226</v>
      </c>
      <c r="D877" s="4" t="s">
        <v>4227</v>
      </c>
      <c r="E877" s="3" t="s">
        <v>4228</v>
      </c>
      <c r="F877" s="34" t="s">
        <v>4229</v>
      </c>
      <c r="G877" s="6"/>
      <c r="H877" s="3" t="s">
        <v>4230</v>
      </c>
    </row>
    <row r="878" spans="1:8" ht="15.75" customHeight="1">
      <c r="A878" s="3" t="s">
        <v>4231</v>
      </c>
      <c r="B878" s="3" t="s">
        <v>4232</v>
      </c>
      <c r="C878" s="3" t="s">
        <v>4233</v>
      </c>
      <c r="D878" s="4" t="s">
        <v>4234</v>
      </c>
      <c r="E878" s="3" t="s">
        <v>4235</v>
      </c>
      <c r="F878" s="34" t="s">
        <v>4229</v>
      </c>
      <c r="G878" s="6"/>
      <c r="H878" s="3" t="s">
        <v>4230</v>
      </c>
    </row>
    <row r="879" spans="1:8" ht="15.75" customHeight="1">
      <c r="A879" s="3" t="s">
        <v>4236</v>
      </c>
      <c r="B879" s="3" t="s">
        <v>4237</v>
      </c>
      <c r="C879" s="3" t="s">
        <v>4238</v>
      </c>
      <c r="D879" s="4" t="s">
        <v>4239</v>
      </c>
      <c r="E879" s="3" t="s">
        <v>4240</v>
      </c>
      <c r="F879" s="34" t="s">
        <v>4182</v>
      </c>
      <c r="G879" s="6"/>
      <c r="H879" s="3" t="s">
        <v>4183</v>
      </c>
    </row>
    <row r="880" spans="1:8" ht="15.75" customHeight="1">
      <c r="A880" s="3" t="s">
        <v>4094</v>
      </c>
      <c r="B880" s="3" t="s">
        <v>4095</v>
      </c>
      <c r="C880" s="3" t="s">
        <v>4241</v>
      </c>
      <c r="D880" s="4" t="s">
        <v>4242</v>
      </c>
      <c r="E880" s="3" t="s">
        <v>4243</v>
      </c>
      <c r="F880" s="34" t="s">
        <v>4244</v>
      </c>
      <c r="G880" s="6"/>
      <c r="H880" s="3" t="s">
        <v>4245</v>
      </c>
    </row>
    <row r="881" spans="1:8" ht="15.75" customHeight="1">
      <c r="A881" s="3" t="s">
        <v>4246</v>
      </c>
      <c r="B881" s="3" t="s">
        <v>4247</v>
      </c>
      <c r="C881" s="3" t="s">
        <v>4248</v>
      </c>
      <c r="D881" s="4" t="s">
        <v>4249</v>
      </c>
      <c r="E881" s="3" t="s">
        <v>4250</v>
      </c>
      <c r="F881" s="34" t="s">
        <v>4244</v>
      </c>
      <c r="G881" s="6"/>
      <c r="H881" s="3" t="s">
        <v>4245</v>
      </c>
    </row>
    <row r="882" spans="1:8" ht="15.75" customHeight="1">
      <c r="A882" s="3" t="s">
        <v>39</v>
      </c>
      <c r="B882" s="3" t="s">
        <v>4251</v>
      </c>
      <c r="C882" s="3" t="s">
        <v>4252</v>
      </c>
      <c r="D882" s="4" t="s">
        <v>4253</v>
      </c>
      <c r="E882" s="3" t="s">
        <v>4254</v>
      </c>
      <c r="F882" s="34" t="s">
        <v>4255</v>
      </c>
      <c r="G882" s="6"/>
      <c r="H882" s="3" t="s">
        <v>4256</v>
      </c>
    </row>
    <row r="883" spans="1:8" ht="15.75" customHeight="1">
      <c r="A883" s="3" t="s">
        <v>4257</v>
      </c>
      <c r="B883" s="3" t="s">
        <v>4258</v>
      </c>
      <c r="C883" s="3" t="s">
        <v>390</v>
      </c>
      <c r="D883" s="4" t="s">
        <v>4259</v>
      </c>
      <c r="E883" s="3" t="s">
        <v>4260</v>
      </c>
      <c r="F883" s="34" t="s">
        <v>4206</v>
      </c>
      <c r="G883" s="6"/>
      <c r="H883" s="3" t="s">
        <v>4207</v>
      </c>
    </row>
    <row r="884" spans="1:8" ht="15.75" customHeight="1">
      <c r="A884" s="3" t="s">
        <v>422</v>
      </c>
      <c r="B884" s="3" t="s">
        <v>4261</v>
      </c>
      <c r="C884" s="3" t="s">
        <v>229</v>
      </c>
      <c r="D884" s="4" t="s">
        <v>4262</v>
      </c>
      <c r="E884" s="3" t="s">
        <v>4263</v>
      </c>
      <c r="F884" s="34" t="s">
        <v>4264</v>
      </c>
      <c r="G884" s="6"/>
      <c r="H884" s="3" t="s">
        <v>4265</v>
      </c>
    </row>
    <row r="885" spans="1:8" ht="15.75" customHeight="1">
      <c r="A885" s="3" t="s">
        <v>3650</v>
      </c>
      <c r="B885" s="3" t="s">
        <v>4266</v>
      </c>
      <c r="C885" s="3" t="s">
        <v>4267</v>
      </c>
      <c r="D885" s="4" t="s">
        <v>4268</v>
      </c>
      <c r="E885" s="3" t="s">
        <v>4269</v>
      </c>
      <c r="F885" s="34" t="s">
        <v>4270</v>
      </c>
      <c r="G885" s="6"/>
      <c r="H885" s="3" t="s">
        <v>4271</v>
      </c>
    </row>
    <row r="886" spans="1:8" ht="15.75" customHeight="1">
      <c r="A886" s="3" t="s">
        <v>1233</v>
      </c>
      <c r="B886" s="3" t="s">
        <v>4272</v>
      </c>
      <c r="C886" s="3" t="s">
        <v>4273</v>
      </c>
      <c r="D886" s="4" t="s">
        <v>4274</v>
      </c>
      <c r="E886" s="3" t="s">
        <v>4275</v>
      </c>
      <c r="F886" s="34" t="s">
        <v>4276</v>
      </c>
      <c r="G886" s="6"/>
      <c r="H886" s="3" t="s">
        <v>4277</v>
      </c>
    </row>
    <row r="887" spans="1:8" ht="15.75" customHeight="1">
      <c r="A887" s="3" t="s">
        <v>4278</v>
      </c>
      <c r="B887" s="3" t="s">
        <v>4279</v>
      </c>
      <c r="C887" s="3" t="s">
        <v>4280</v>
      </c>
      <c r="D887" s="4" t="s">
        <v>4281</v>
      </c>
      <c r="E887" s="3" t="s">
        <v>4282</v>
      </c>
      <c r="F887" s="34" t="s">
        <v>4283</v>
      </c>
      <c r="G887" s="6"/>
      <c r="H887" s="3" t="s">
        <v>4284</v>
      </c>
    </row>
    <row r="888" spans="1:8" ht="15.75" customHeight="1">
      <c r="A888" s="3" t="s">
        <v>4285</v>
      </c>
      <c r="B888" s="3" t="s">
        <v>3494</v>
      </c>
      <c r="C888" s="3" t="s">
        <v>4286</v>
      </c>
      <c r="D888" s="4" t="s">
        <v>4287</v>
      </c>
      <c r="E888" s="3" t="s">
        <v>4288</v>
      </c>
      <c r="F888" s="34" t="s">
        <v>4229</v>
      </c>
      <c r="G888" s="6"/>
      <c r="H888" s="3" t="s">
        <v>4230</v>
      </c>
    </row>
    <row r="889" spans="1:8" ht="15.75" customHeight="1">
      <c r="A889" s="3" t="s">
        <v>763</v>
      </c>
      <c r="B889" s="3" t="s">
        <v>4289</v>
      </c>
      <c r="C889" s="3" t="s">
        <v>4290</v>
      </c>
      <c r="D889" s="4" t="s">
        <v>4291</v>
      </c>
      <c r="E889" s="3" t="s">
        <v>4292</v>
      </c>
      <c r="F889" s="34" t="s">
        <v>4293</v>
      </c>
      <c r="G889" s="6"/>
      <c r="H889" s="3" t="s">
        <v>4294</v>
      </c>
    </row>
    <row r="890" spans="1:8" ht="15.75" customHeight="1">
      <c r="A890" s="3" t="s">
        <v>2509</v>
      </c>
      <c r="B890" s="3" t="s">
        <v>4295</v>
      </c>
      <c r="C890" s="3" t="s">
        <v>4296</v>
      </c>
      <c r="D890" s="4" t="s">
        <v>4297</v>
      </c>
      <c r="E890" s="3" t="s">
        <v>4298</v>
      </c>
      <c r="F890" s="6"/>
      <c r="G890" s="6"/>
      <c r="H890" s="3" t="s">
        <v>4177</v>
      </c>
    </row>
    <row r="891" spans="1:8" ht="15.75" customHeight="1">
      <c r="A891" s="3" t="s">
        <v>422</v>
      </c>
      <c r="B891" s="3" t="s">
        <v>4299</v>
      </c>
      <c r="C891" s="3" t="s">
        <v>4300</v>
      </c>
      <c r="D891" s="4" t="s">
        <v>4301</v>
      </c>
      <c r="E891" s="3" t="s">
        <v>4302</v>
      </c>
      <c r="F891" s="34" t="s">
        <v>4303</v>
      </c>
      <c r="G891" s="6"/>
      <c r="H891" s="3" t="s">
        <v>4304</v>
      </c>
    </row>
    <row r="892" spans="1:8" ht="15.75" customHeight="1">
      <c r="A892" s="3" t="s">
        <v>865</v>
      </c>
      <c r="B892" s="3" t="s">
        <v>4305</v>
      </c>
      <c r="C892" s="3" t="s">
        <v>4306</v>
      </c>
      <c r="D892" s="6"/>
      <c r="E892" s="3" t="s">
        <v>4307</v>
      </c>
      <c r="F892" s="35">
        <v>5.25553E+16</v>
      </c>
      <c r="G892" s="6"/>
      <c r="H892" s="3" t="s">
        <v>4220</v>
      </c>
    </row>
    <row r="893" spans="1:8" ht="15.75" customHeight="1">
      <c r="A893" s="3" t="s">
        <v>2463</v>
      </c>
      <c r="B893" s="3" t="s">
        <v>1993</v>
      </c>
      <c r="C893" s="3" t="s">
        <v>4308</v>
      </c>
      <c r="D893" s="4" t="s">
        <v>4309</v>
      </c>
      <c r="E893" s="3" t="s">
        <v>4310</v>
      </c>
      <c r="F893" s="34" t="s">
        <v>4311</v>
      </c>
      <c r="G893" s="6"/>
      <c r="H893" s="3" t="s">
        <v>4312</v>
      </c>
    </row>
    <row r="894" spans="1:8" ht="15.75" customHeight="1">
      <c r="A894" s="3" t="s">
        <v>4313</v>
      </c>
      <c r="B894" s="3" t="s">
        <v>4314</v>
      </c>
      <c r="C894" s="3" t="s">
        <v>229</v>
      </c>
      <c r="D894" s="4" t="s">
        <v>4315</v>
      </c>
      <c r="E894" s="3" t="s">
        <v>4316</v>
      </c>
      <c r="F894" s="34" t="s">
        <v>4229</v>
      </c>
      <c r="G894" s="6"/>
      <c r="H894" s="3" t="s">
        <v>4230</v>
      </c>
    </row>
    <row r="895" spans="1:8" ht="15.75" customHeight="1">
      <c r="A895" s="3" t="s">
        <v>2041</v>
      </c>
      <c r="B895" s="3" t="s">
        <v>4317</v>
      </c>
      <c r="C895" s="3" t="s">
        <v>4318</v>
      </c>
      <c r="D895" s="4" t="s">
        <v>4319</v>
      </c>
      <c r="E895" s="3" t="s">
        <v>4320</v>
      </c>
      <c r="F895" s="34" t="s">
        <v>4188</v>
      </c>
      <c r="G895" s="6"/>
      <c r="H895" s="3" t="s">
        <v>4189</v>
      </c>
    </row>
    <row r="896" spans="1:8" ht="15.75" customHeight="1">
      <c r="A896" s="3" t="s">
        <v>413</v>
      </c>
      <c r="B896" s="3" t="s">
        <v>2245</v>
      </c>
      <c r="C896" s="3" t="s">
        <v>4321</v>
      </c>
      <c r="D896" s="6"/>
      <c r="E896" s="3" t="s">
        <v>4322</v>
      </c>
      <c r="F896" s="34" t="s">
        <v>4323</v>
      </c>
      <c r="G896" s="6"/>
      <c r="H896" s="3" t="s">
        <v>4324</v>
      </c>
    </row>
    <row r="897" spans="1:8" ht="15.75" customHeight="1">
      <c r="A897" s="3" t="s">
        <v>422</v>
      </c>
      <c r="B897" s="3" t="s">
        <v>4325</v>
      </c>
      <c r="C897" s="3" t="s">
        <v>4306</v>
      </c>
      <c r="D897" s="4" t="s">
        <v>4326</v>
      </c>
      <c r="E897" s="3" t="s">
        <v>4327</v>
      </c>
      <c r="F897" s="34" t="s">
        <v>4328</v>
      </c>
      <c r="G897" s="6"/>
      <c r="H897" s="3" t="s">
        <v>4329</v>
      </c>
    </row>
    <row r="898" spans="1:8" ht="15.75" customHeight="1">
      <c r="A898" s="3" t="s">
        <v>763</v>
      </c>
      <c r="B898" s="3" t="s">
        <v>151</v>
      </c>
      <c r="C898" s="3" t="s">
        <v>4330</v>
      </c>
      <c r="D898" s="6"/>
      <c r="E898" s="3" t="s">
        <v>4331</v>
      </c>
      <c r="F898" s="34" t="s">
        <v>4276</v>
      </c>
      <c r="G898" s="6"/>
      <c r="H898" s="3" t="s">
        <v>4277</v>
      </c>
    </row>
    <row r="899" spans="1:8" ht="15.75" customHeight="1">
      <c r="A899" s="3" t="s">
        <v>4332</v>
      </c>
      <c r="B899" s="3" t="s">
        <v>4333</v>
      </c>
      <c r="C899" s="3" t="s">
        <v>222</v>
      </c>
      <c r="D899" s="6"/>
      <c r="E899" s="3" t="s">
        <v>4334</v>
      </c>
      <c r="F899" s="34" t="s">
        <v>4303</v>
      </c>
      <c r="G899" s="6"/>
      <c r="H899" s="3" t="s">
        <v>4304</v>
      </c>
    </row>
    <row r="900" spans="1:8" ht="15.75" customHeight="1">
      <c r="A900" s="3" t="s">
        <v>295</v>
      </c>
      <c r="B900" s="3" t="s">
        <v>4335</v>
      </c>
      <c r="C900" s="3" t="s">
        <v>4336</v>
      </c>
      <c r="D900" s="4" t="s">
        <v>4337</v>
      </c>
      <c r="E900" s="3" t="s">
        <v>4338</v>
      </c>
      <c r="F900" s="6"/>
      <c r="G900" s="6"/>
      <c r="H900" s="3" t="s">
        <v>4177</v>
      </c>
    </row>
    <row r="901" spans="1:8" ht="15.75" customHeight="1">
      <c r="A901" s="3" t="s">
        <v>4339</v>
      </c>
      <c r="B901" s="3" t="s">
        <v>4340</v>
      </c>
      <c r="C901" s="3" t="s">
        <v>4341</v>
      </c>
      <c r="D901" s="4" t="s">
        <v>4342</v>
      </c>
      <c r="E901" s="3" t="s">
        <v>4343</v>
      </c>
      <c r="F901" s="34" t="s">
        <v>4283</v>
      </c>
      <c r="G901" s="6"/>
      <c r="H901" s="3" t="s">
        <v>4284</v>
      </c>
    </row>
    <row r="902" spans="1:8" ht="15.75" customHeight="1">
      <c r="A902" s="3" t="s">
        <v>4344</v>
      </c>
      <c r="B902" s="3" t="s">
        <v>319</v>
      </c>
      <c r="C902" s="3" t="s">
        <v>4345</v>
      </c>
      <c r="D902" s="4" t="s">
        <v>4346</v>
      </c>
      <c r="E902" s="3" t="s">
        <v>4347</v>
      </c>
      <c r="F902" s="34" t="s">
        <v>4244</v>
      </c>
      <c r="G902" s="6"/>
      <c r="H902" s="3" t="s">
        <v>4245</v>
      </c>
    </row>
    <row r="903" spans="1:8" ht="15.75" customHeight="1">
      <c r="A903" s="3" t="s">
        <v>4348</v>
      </c>
      <c r="B903" s="3" t="s">
        <v>4349</v>
      </c>
      <c r="C903" s="3" t="s">
        <v>91</v>
      </c>
      <c r="D903" s="4" t="s">
        <v>4350</v>
      </c>
      <c r="E903" s="3" t="s">
        <v>4351</v>
      </c>
      <c r="F903" s="34" t="s">
        <v>4206</v>
      </c>
      <c r="G903" s="6"/>
      <c r="H903" s="3" t="s">
        <v>4207</v>
      </c>
    </row>
    <row r="904" spans="1:8" ht="15.75" customHeight="1">
      <c r="A904" s="3" t="s">
        <v>2528</v>
      </c>
      <c r="B904" s="3" t="s">
        <v>4216</v>
      </c>
      <c r="C904" s="3" t="s">
        <v>4352</v>
      </c>
      <c r="D904" s="4" t="s">
        <v>4353</v>
      </c>
      <c r="E904" s="3" t="s">
        <v>4354</v>
      </c>
      <c r="F904" s="6"/>
      <c r="G904" s="6"/>
      <c r="H904" s="3" t="s">
        <v>4355</v>
      </c>
    </row>
    <row r="905" spans="1:8" ht="15.75" customHeight="1">
      <c r="A905" s="3" t="s">
        <v>4356</v>
      </c>
      <c r="B905" s="3" t="s">
        <v>1101</v>
      </c>
      <c r="C905" s="3" t="s">
        <v>4357</v>
      </c>
      <c r="D905" s="4" t="s">
        <v>4358</v>
      </c>
      <c r="E905" s="3" t="s">
        <v>4359</v>
      </c>
      <c r="F905" s="34" t="s">
        <v>4360</v>
      </c>
      <c r="G905" s="6"/>
      <c r="H905" s="3" t="s">
        <v>4361</v>
      </c>
    </row>
    <row r="906" spans="1:8" ht="15.75" customHeight="1">
      <c r="A906" s="3" t="s">
        <v>4362</v>
      </c>
      <c r="B906" s="3" t="s">
        <v>4363</v>
      </c>
      <c r="C906" s="3" t="s">
        <v>4364</v>
      </c>
      <c r="D906" s="4" t="s">
        <v>4365</v>
      </c>
      <c r="E906" s="3" t="s">
        <v>4366</v>
      </c>
      <c r="F906" s="34" t="s">
        <v>4367</v>
      </c>
      <c r="G906" s="6"/>
      <c r="H906" s="3" t="s">
        <v>4368</v>
      </c>
    </row>
    <row r="907" spans="1:8" ht="15.75" customHeight="1">
      <c r="A907" s="3" t="s">
        <v>4369</v>
      </c>
      <c r="B907" s="3" t="s">
        <v>4370</v>
      </c>
      <c r="C907" s="3" t="s">
        <v>4371</v>
      </c>
      <c r="D907" s="4" t="s">
        <v>4372</v>
      </c>
      <c r="E907" s="3" t="s">
        <v>4373</v>
      </c>
      <c r="F907" s="34" t="s">
        <v>4283</v>
      </c>
      <c r="G907" s="6"/>
      <c r="H907" s="3" t="s">
        <v>4284</v>
      </c>
    </row>
    <row r="908" spans="1:8" ht="15.75" customHeight="1">
      <c r="A908" s="3" t="s">
        <v>4374</v>
      </c>
      <c r="B908" s="3" t="s">
        <v>4375</v>
      </c>
      <c r="C908" s="3" t="s">
        <v>4376</v>
      </c>
      <c r="D908" s="4" t="s">
        <v>4377</v>
      </c>
      <c r="E908" s="3" t="s">
        <v>4378</v>
      </c>
      <c r="F908" s="34" t="s">
        <v>4188</v>
      </c>
      <c r="G908" s="6"/>
      <c r="H908" s="3" t="s">
        <v>4189</v>
      </c>
    </row>
    <row r="909" spans="1:8" ht="15.75" customHeight="1">
      <c r="A909" s="3" t="s">
        <v>1233</v>
      </c>
      <c r="B909" s="3" t="s">
        <v>4379</v>
      </c>
      <c r="C909" s="3" t="s">
        <v>4380</v>
      </c>
      <c r="D909" s="4" t="s">
        <v>4381</v>
      </c>
      <c r="E909" s="3" t="s">
        <v>4382</v>
      </c>
      <c r="F909" s="34" t="s">
        <v>4255</v>
      </c>
      <c r="G909" s="6"/>
      <c r="H909" s="3" t="s">
        <v>4256</v>
      </c>
    </row>
    <row r="910" spans="1:8" ht="15.75" customHeight="1">
      <c r="A910" s="3" t="s">
        <v>743</v>
      </c>
      <c r="B910" s="3" t="s">
        <v>1479</v>
      </c>
      <c r="C910" s="3" t="s">
        <v>4383</v>
      </c>
      <c r="D910" s="6"/>
      <c r="E910" s="3" t="s">
        <v>4384</v>
      </c>
      <c r="F910" s="34" t="s">
        <v>4385</v>
      </c>
      <c r="G910" s="6"/>
      <c r="H910" s="3" t="s">
        <v>3772</v>
      </c>
    </row>
    <row r="911" spans="1:8" ht="15.75" customHeight="1">
      <c r="A911" s="3" t="s">
        <v>1044</v>
      </c>
      <c r="B911" s="3" t="s">
        <v>4386</v>
      </c>
      <c r="C911" s="3" t="s">
        <v>4387</v>
      </c>
      <c r="D911" s="4" t="s">
        <v>4388</v>
      </c>
      <c r="E911" s="3" t="s">
        <v>4389</v>
      </c>
      <c r="F911" s="34" t="s">
        <v>4182</v>
      </c>
      <c r="G911" s="6"/>
      <c r="H911" s="3" t="s">
        <v>4183</v>
      </c>
    </row>
    <row r="912" spans="1:8" ht="15.75" customHeight="1">
      <c r="A912" s="3" t="s">
        <v>4390</v>
      </c>
      <c r="B912" s="3" t="s">
        <v>4391</v>
      </c>
      <c r="C912" s="3" t="s">
        <v>4392</v>
      </c>
      <c r="D912" s="4" t="s">
        <v>4393</v>
      </c>
      <c r="E912" s="3" t="s">
        <v>4394</v>
      </c>
      <c r="F912" s="34" t="s">
        <v>4206</v>
      </c>
      <c r="G912" s="6"/>
      <c r="H912" s="3" t="s">
        <v>4207</v>
      </c>
    </row>
    <row r="913" spans="1:8" ht="15.75" customHeight="1">
      <c r="A913" s="3" t="s">
        <v>240</v>
      </c>
      <c r="B913" s="3" t="s">
        <v>4395</v>
      </c>
      <c r="C913" s="3" t="s">
        <v>229</v>
      </c>
      <c r="D913" s="4" t="s">
        <v>4396</v>
      </c>
      <c r="E913" s="3" t="s">
        <v>4397</v>
      </c>
      <c r="F913" s="34" t="s">
        <v>4398</v>
      </c>
      <c r="G913" s="6"/>
      <c r="H913" s="4" t="s">
        <v>4399</v>
      </c>
    </row>
    <row r="914" spans="1:8" ht="15.75" customHeight="1">
      <c r="A914" s="3" t="s">
        <v>656</v>
      </c>
      <c r="B914" s="3" t="s">
        <v>1435</v>
      </c>
      <c r="C914" s="3" t="s">
        <v>4400</v>
      </c>
      <c r="D914" s="4" t="s">
        <v>4401</v>
      </c>
      <c r="E914" s="3" t="s">
        <v>4402</v>
      </c>
      <c r="F914" s="34" t="s">
        <v>4403</v>
      </c>
      <c r="G914" s="6"/>
      <c r="H914" s="3" t="s">
        <v>4404</v>
      </c>
    </row>
    <row r="915" spans="1:8" ht="15.75" customHeight="1">
      <c r="A915" s="3" t="s">
        <v>789</v>
      </c>
      <c r="B915" s="3" t="s">
        <v>185</v>
      </c>
      <c r="C915" s="3" t="s">
        <v>4405</v>
      </c>
      <c r="D915" s="4" t="s">
        <v>4406</v>
      </c>
      <c r="E915" s="3" t="s">
        <v>4407</v>
      </c>
      <c r="F915" s="34" t="s">
        <v>4408</v>
      </c>
      <c r="G915" s="6"/>
      <c r="H915" s="3" t="s">
        <v>4200</v>
      </c>
    </row>
    <row r="916" spans="1:8" ht="15.75" customHeight="1">
      <c r="A916" s="3" t="s">
        <v>600</v>
      </c>
      <c r="B916" s="3" t="s">
        <v>3058</v>
      </c>
      <c r="C916" s="3" t="s">
        <v>4409</v>
      </c>
      <c r="D916" s="4" t="s">
        <v>4410</v>
      </c>
      <c r="E916" s="3" t="s">
        <v>3598</v>
      </c>
      <c r="F916" s="6"/>
      <c r="G916" s="6"/>
      <c r="H916" s="3" t="s">
        <v>4411</v>
      </c>
    </row>
    <row r="917" spans="1:8" ht="15.75" customHeight="1">
      <c r="A917" s="3" t="s">
        <v>4412</v>
      </c>
      <c r="B917" s="3" t="s">
        <v>4413</v>
      </c>
      <c r="C917" s="3" t="s">
        <v>4414</v>
      </c>
      <c r="D917" s="4" t="s">
        <v>4415</v>
      </c>
      <c r="E917" s="3" t="s">
        <v>4416</v>
      </c>
      <c r="F917" s="34" t="s">
        <v>4188</v>
      </c>
      <c r="G917" s="6"/>
      <c r="H917" s="3" t="s">
        <v>4189</v>
      </c>
    </row>
    <row r="918" spans="1:8" ht="15.75" customHeight="1">
      <c r="A918" s="3" t="s">
        <v>4417</v>
      </c>
      <c r="B918" s="3" t="s">
        <v>1293</v>
      </c>
      <c r="C918" s="3" t="s">
        <v>4418</v>
      </c>
      <c r="D918" s="4" t="s">
        <v>4419</v>
      </c>
      <c r="E918" s="3" t="s">
        <v>4420</v>
      </c>
      <c r="F918" s="34" t="s">
        <v>4229</v>
      </c>
      <c r="G918" s="6"/>
      <c r="H918" s="3" t="s">
        <v>4230</v>
      </c>
    </row>
    <row r="919" spans="1:8" ht="15.75" customHeight="1">
      <c r="A919" s="3" t="s">
        <v>2428</v>
      </c>
      <c r="B919" s="3" t="s">
        <v>4421</v>
      </c>
      <c r="C919" s="3" t="s">
        <v>4422</v>
      </c>
      <c r="D919" s="4" t="s">
        <v>4423</v>
      </c>
      <c r="E919" s="3" t="s">
        <v>4424</v>
      </c>
      <c r="F919" s="34" t="s">
        <v>4229</v>
      </c>
      <c r="G919" s="6"/>
      <c r="H919" s="3" t="s">
        <v>4230</v>
      </c>
    </row>
    <row r="920" spans="1:8" ht="15.75" customHeight="1">
      <c r="A920" s="3" t="s">
        <v>4425</v>
      </c>
      <c r="B920" s="3" t="s">
        <v>3376</v>
      </c>
      <c r="C920" s="3" t="s">
        <v>229</v>
      </c>
      <c r="D920" s="4" t="s">
        <v>4426</v>
      </c>
      <c r="E920" s="3" t="s">
        <v>4427</v>
      </c>
      <c r="F920" s="34" t="s">
        <v>4229</v>
      </c>
      <c r="G920" s="6"/>
      <c r="H920" s="3" t="s">
        <v>4230</v>
      </c>
    </row>
    <row r="921" spans="1:8" ht="15.75" customHeight="1">
      <c r="A921" s="3" t="s">
        <v>4428</v>
      </c>
      <c r="B921" s="3" t="s">
        <v>4429</v>
      </c>
      <c r="C921" s="3" t="s">
        <v>4430</v>
      </c>
      <c r="D921" s="4" t="s">
        <v>4431</v>
      </c>
      <c r="E921" s="3" t="s">
        <v>4432</v>
      </c>
      <c r="F921" s="34" t="s">
        <v>4433</v>
      </c>
      <c r="G921" s="6"/>
      <c r="H921" s="3" t="s">
        <v>4189</v>
      </c>
    </row>
    <row r="922" spans="1:8" ht="15.75" customHeight="1">
      <c r="A922" s="3" t="s">
        <v>4434</v>
      </c>
      <c r="B922" s="3" t="s">
        <v>4435</v>
      </c>
      <c r="C922" s="3" t="s">
        <v>4364</v>
      </c>
      <c r="D922" s="4" t="s">
        <v>4436</v>
      </c>
      <c r="E922" s="3" t="s">
        <v>4437</v>
      </c>
      <c r="F922" s="3" t="s">
        <v>4438</v>
      </c>
      <c r="G922" s="6"/>
      <c r="H922" s="3" t="s">
        <v>4189</v>
      </c>
    </row>
    <row r="923" spans="1:8" ht="15.75" customHeight="1">
      <c r="A923" s="3" t="s">
        <v>800</v>
      </c>
      <c r="B923" s="3" t="s">
        <v>943</v>
      </c>
      <c r="C923" s="3" t="s">
        <v>4439</v>
      </c>
      <c r="D923" s="4" t="s">
        <v>4440</v>
      </c>
      <c r="E923" s="3" t="s">
        <v>4441</v>
      </c>
      <c r="F923" s="34" t="s">
        <v>4442</v>
      </c>
      <c r="G923" s="6"/>
      <c r="H923" s="3" t="s">
        <v>4443</v>
      </c>
    </row>
    <row r="924" spans="1:8" ht="15.75" customHeight="1">
      <c r="A924" s="3" t="s">
        <v>4444</v>
      </c>
      <c r="B924" s="3" t="s">
        <v>4445</v>
      </c>
      <c r="C924" s="3" t="s">
        <v>4446</v>
      </c>
      <c r="D924" s="4" t="s">
        <v>4447</v>
      </c>
      <c r="E924" s="3" t="s">
        <v>4448</v>
      </c>
      <c r="F924" s="34" t="s">
        <v>4449</v>
      </c>
      <c r="G924" s="6"/>
      <c r="H924" s="3" t="s">
        <v>4312</v>
      </c>
    </row>
    <row r="925" spans="1:8" ht="15.75" customHeight="1">
      <c r="A925" s="3" t="s">
        <v>75</v>
      </c>
      <c r="B925" s="3" t="s">
        <v>2898</v>
      </c>
      <c r="C925" s="3" t="s">
        <v>4450</v>
      </c>
      <c r="D925" s="4" t="s">
        <v>4451</v>
      </c>
      <c r="E925" s="3" t="s">
        <v>4452</v>
      </c>
      <c r="F925" s="34" t="s">
        <v>4453</v>
      </c>
      <c r="G925" s="6"/>
      <c r="H925" s="3" t="s">
        <v>4454</v>
      </c>
    </row>
    <row r="926" spans="1:8" ht="15.75" customHeight="1">
      <c r="A926" s="3" t="s">
        <v>1286</v>
      </c>
      <c r="B926" s="3" t="s">
        <v>4335</v>
      </c>
      <c r="C926" s="3" t="s">
        <v>4455</v>
      </c>
      <c r="D926" s="4" t="s">
        <v>4456</v>
      </c>
      <c r="E926" s="3" t="s">
        <v>4457</v>
      </c>
      <c r="F926" s="34" t="s">
        <v>4311</v>
      </c>
      <c r="G926" s="6"/>
      <c r="H926" s="3" t="s">
        <v>4312</v>
      </c>
    </row>
    <row r="927" spans="1:8" ht="15.75" customHeight="1">
      <c r="A927" s="3" t="s">
        <v>4458</v>
      </c>
      <c r="B927" s="3" t="s">
        <v>4459</v>
      </c>
      <c r="C927" s="3" t="s">
        <v>229</v>
      </c>
      <c r="D927" s="4" t="s">
        <v>4460</v>
      </c>
      <c r="E927" s="3" t="s">
        <v>4461</v>
      </c>
      <c r="F927" s="34" t="s">
        <v>4229</v>
      </c>
      <c r="G927" s="6"/>
      <c r="H927" s="3" t="s">
        <v>4230</v>
      </c>
    </row>
    <row r="928" spans="1:8" ht="15.75" customHeight="1">
      <c r="A928" s="3" t="s">
        <v>4462</v>
      </c>
      <c r="B928" s="3" t="s">
        <v>4463</v>
      </c>
      <c r="C928" s="3" t="s">
        <v>91</v>
      </c>
      <c r="D928" s="4" t="s">
        <v>4464</v>
      </c>
      <c r="E928" s="3" t="s">
        <v>4465</v>
      </c>
      <c r="F928" s="34" t="s">
        <v>4229</v>
      </c>
      <c r="G928" s="6"/>
      <c r="H928" s="3" t="s">
        <v>4230</v>
      </c>
    </row>
    <row r="929" spans="1:8" ht="15.75" customHeight="1">
      <c r="A929" s="3" t="s">
        <v>4462</v>
      </c>
      <c r="B929" s="3" t="s">
        <v>4466</v>
      </c>
      <c r="C929" s="3" t="s">
        <v>4467</v>
      </c>
      <c r="D929" s="4" t="s">
        <v>4468</v>
      </c>
      <c r="E929" s="3" t="s">
        <v>4469</v>
      </c>
      <c r="F929" s="34" t="s">
        <v>4206</v>
      </c>
      <c r="G929" s="6"/>
      <c r="H929" s="3" t="s">
        <v>4207</v>
      </c>
    </row>
    <row r="930" spans="1:8" ht="15.75" customHeight="1">
      <c r="A930" s="3" t="s">
        <v>4470</v>
      </c>
      <c r="B930" s="3" t="s">
        <v>4471</v>
      </c>
      <c r="C930" s="3" t="s">
        <v>4472</v>
      </c>
      <c r="D930" s="4" t="s">
        <v>4473</v>
      </c>
      <c r="E930" s="3" t="s">
        <v>4474</v>
      </c>
      <c r="F930" s="34" t="s">
        <v>4367</v>
      </c>
      <c r="G930" s="6"/>
      <c r="H930" s="3" t="s">
        <v>4368</v>
      </c>
    </row>
    <row r="931" spans="1:8" ht="15.75" customHeight="1">
      <c r="A931" s="3" t="s">
        <v>4475</v>
      </c>
      <c r="B931" s="6"/>
      <c r="C931" s="3" t="s">
        <v>4321</v>
      </c>
      <c r="D931" s="6"/>
      <c r="E931" s="3" t="s">
        <v>4476</v>
      </c>
      <c r="F931" s="34" t="s">
        <v>4477</v>
      </c>
      <c r="G931" s="6"/>
      <c r="H931" s="3" t="s">
        <v>4478</v>
      </c>
    </row>
    <row r="932" spans="1:8" ht="15.75" customHeight="1">
      <c r="A932" s="3" t="s">
        <v>4479</v>
      </c>
      <c r="B932" s="3" t="s">
        <v>764</v>
      </c>
      <c r="C932" s="3" t="s">
        <v>229</v>
      </c>
      <c r="D932" s="4" t="s">
        <v>4480</v>
      </c>
      <c r="E932" s="3" t="s">
        <v>4481</v>
      </c>
      <c r="F932" s="34" t="s">
        <v>4482</v>
      </c>
      <c r="G932" s="6"/>
      <c r="H932" s="3" t="s">
        <v>4483</v>
      </c>
    </row>
    <row r="933" spans="1:8" ht="15.75" customHeight="1">
      <c r="A933" s="3" t="s">
        <v>2027</v>
      </c>
      <c r="B933" s="3" t="s">
        <v>4484</v>
      </c>
      <c r="C933" s="3" t="s">
        <v>4357</v>
      </c>
      <c r="D933" s="4" t="s">
        <v>4485</v>
      </c>
      <c r="E933" s="3" t="s">
        <v>4486</v>
      </c>
      <c r="F933" s="34" t="s">
        <v>4487</v>
      </c>
      <c r="G933" s="6"/>
      <c r="H933" s="4" t="s">
        <v>4488</v>
      </c>
    </row>
    <row r="934" spans="1:8" ht="15.75" customHeight="1">
      <c r="A934" s="3" t="s">
        <v>4489</v>
      </c>
      <c r="B934" s="3" t="s">
        <v>4490</v>
      </c>
      <c r="C934" s="3" t="s">
        <v>4203</v>
      </c>
      <c r="D934" s="4" t="s">
        <v>4491</v>
      </c>
      <c r="E934" s="3" t="s">
        <v>4492</v>
      </c>
      <c r="F934" s="34" t="s">
        <v>4206</v>
      </c>
      <c r="G934" s="6"/>
      <c r="H934" s="3" t="s">
        <v>4207</v>
      </c>
    </row>
    <row r="935" spans="1:8" ht="15.75" customHeight="1">
      <c r="A935" s="3" t="s">
        <v>2501</v>
      </c>
      <c r="B935" s="3" t="s">
        <v>4493</v>
      </c>
      <c r="C935" s="3" t="s">
        <v>4494</v>
      </c>
      <c r="D935" s="4" t="s">
        <v>4495</v>
      </c>
      <c r="E935" s="3" t="s">
        <v>4496</v>
      </c>
      <c r="F935" s="34" t="s">
        <v>4213</v>
      </c>
      <c r="G935" s="6"/>
      <c r="H935" s="3" t="s">
        <v>4214</v>
      </c>
    </row>
    <row r="936" spans="1:8" ht="15.75" customHeight="1">
      <c r="A936" s="3" t="s">
        <v>413</v>
      </c>
      <c r="B936" s="3" t="s">
        <v>4497</v>
      </c>
      <c r="C936" s="3" t="s">
        <v>91</v>
      </c>
      <c r="D936" s="6"/>
      <c r="E936" s="3" t="s">
        <v>4498</v>
      </c>
      <c r="F936" s="3" t="s">
        <v>4499</v>
      </c>
      <c r="G936" s="6"/>
      <c r="H936" s="3" t="s">
        <v>4500</v>
      </c>
    </row>
    <row r="937" spans="1:8" ht="15.75" customHeight="1">
      <c r="A937" s="3" t="s">
        <v>4501</v>
      </c>
      <c r="B937" s="3" t="s">
        <v>4502</v>
      </c>
      <c r="C937" s="3" t="s">
        <v>4503</v>
      </c>
      <c r="D937" s="4" t="s">
        <v>4504</v>
      </c>
      <c r="E937" s="3" t="s">
        <v>4505</v>
      </c>
      <c r="F937" s="3" t="s">
        <v>4438</v>
      </c>
      <c r="G937" s="6"/>
      <c r="H937" s="3" t="s">
        <v>4189</v>
      </c>
    </row>
    <row r="938" spans="1:8" ht="15.75" customHeight="1">
      <c r="A938" s="3" t="s">
        <v>2027</v>
      </c>
      <c r="B938" s="3" t="s">
        <v>4506</v>
      </c>
      <c r="C938" s="3" t="s">
        <v>4507</v>
      </c>
      <c r="D938" s="4" t="s">
        <v>4508</v>
      </c>
      <c r="E938" s="3" t="s">
        <v>4509</v>
      </c>
      <c r="F938" s="34" t="s">
        <v>4510</v>
      </c>
      <c r="G938" s="6"/>
      <c r="H938" s="3" t="s">
        <v>4511</v>
      </c>
    </row>
    <row r="939" spans="1:8" ht="15.75" customHeight="1">
      <c r="A939" s="3" t="s">
        <v>4156</v>
      </c>
      <c r="B939" s="3" t="s">
        <v>652</v>
      </c>
      <c r="C939" s="3" t="s">
        <v>4512</v>
      </c>
      <c r="D939" s="4" t="s">
        <v>4513</v>
      </c>
      <c r="E939" s="3" t="s">
        <v>4514</v>
      </c>
      <c r="F939" s="34" t="s">
        <v>4515</v>
      </c>
      <c r="G939" s="6"/>
      <c r="H939" s="3" t="s">
        <v>4516</v>
      </c>
    </row>
    <row r="940" spans="1:8" ht="15.75" customHeight="1">
      <c r="A940" s="3" t="s">
        <v>4517</v>
      </c>
      <c r="B940" s="3" t="s">
        <v>4518</v>
      </c>
      <c r="C940" s="3" t="s">
        <v>4519</v>
      </c>
      <c r="D940" s="4" t="s">
        <v>4520</v>
      </c>
      <c r="E940" s="3" t="s">
        <v>4521</v>
      </c>
      <c r="F940" s="34" t="s">
        <v>4522</v>
      </c>
      <c r="G940" s="6"/>
      <c r="H940" s="3" t="s">
        <v>4523</v>
      </c>
    </row>
    <row r="941" spans="1:8" ht="15.75" customHeight="1">
      <c r="A941" s="3" t="s">
        <v>4168</v>
      </c>
      <c r="B941" s="3" t="s">
        <v>4524</v>
      </c>
      <c r="C941" s="3" t="s">
        <v>4525</v>
      </c>
      <c r="D941" s="6"/>
      <c r="E941" s="3" t="s">
        <v>4526</v>
      </c>
      <c r="F941" s="3" t="s">
        <v>4527</v>
      </c>
      <c r="G941" s="6"/>
      <c r="H941" s="3" t="s">
        <v>4528</v>
      </c>
    </row>
    <row r="942" spans="1:8" ht="15.75" customHeight="1">
      <c r="A942" s="3" t="s">
        <v>4529</v>
      </c>
      <c r="B942" s="3" t="s">
        <v>4530</v>
      </c>
      <c r="C942" s="3" t="s">
        <v>4531</v>
      </c>
      <c r="D942" s="4" t="s">
        <v>4532</v>
      </c>
      <c r="E942" s="3" t="s">
        <v>4533</v>
      </c>
      <c r="F942" s="34" t="s">
        <v>4182</v>
      </c>
      <c r="G942" s="6"/>
      <c r="H942" s="3" t="s">
        <v>4183</v>
      </c>
    </row>
    <row r="943" spans="1:8" ht="15.75" customHeight="1">
      <c r="A943" s="3" t="s">
        <v>710</v>
      </c>
      <c r="B943" s="3" t="s">
        <v>198</v>
      </c>
      <c r="C943" s="3" t="s">
        <v>91</v>
      </c>
      <c r="D943" s="4" t="s">
        <v>4534</v>
      </c>
      <c r="E943" s="3" t="s">
        <v>4535</v>
      </c>
      <c r="F943" s="34" t="s">
        <v>4229</v>
      </c>
      <c r="G943" s="6"/>
      <c r="H943" s="3" t="s">
        <v>4230</v>
      </c>
    </row>
    <row r="944" spans="1:8" ht="15.75" customHeight="1">
      <c r="A944" s="3" t="s">
        <v>4536</v>
      </c>
      <c r="B944" s="3" t="s">
        <v>4537</v>
      </c>
      <c r="C944" s="3" t="s">
        <v>4538</v>
      </c>
      <c r="D944" s="4" t="s">
        <v>4539</v>
      </c>
      <c r="E944" s="3" t="s">
        <v>4540</v>
      </c>
      <c r="F944" s="34" t="s">
        <v>4182</v>
      </c>
      <c r="G944" s="6"/>
      <c r="H944" s="3" t="s">
        <v>4183</v>
      </c>
    </row>
    <row r="945" spans="1:8" ht="15.75" customHeight="1">
      <c r="A945" s="3" t="s">
        <v>1192</v>
      </c>
      <c r="B945" s="3" t="s">
        <v>2149</v>
      </c>
      <c r="C945" s="3" t="s">
        <v>4541</v>
      </c>
      <c r="D945" s="4" t="s">
        <v>4542</v>
      </c>
      <c r="E945" s="3" t="s">
        <v>4543</v>
      </c>
      <c r="F945" s="34" t="s">
        <v>4544</v>
      </c>
      <c r="G945" s="6"/>
      <c r="H945" s="3" t="s">
        <v>4545</v>
      </c>
    </row>
    <row r="946" spans="1:8" ht="15.75" customHeight="1">
      <c r="A946" s="3" t="s">
        <v>763</v>
      </c>
      <c r="B946" s="3" t="s">
        <v>589</v>
      </c>
      <c r="C946" s="3" t="s">
        <v>4546</v>
      </c>
      <c r="D946" s="4" t="s">
        <v>4547</v>
      </c>
      <c r="E946" s="3" t="s">
        <v>4548</v>
      </c>
      <c r="F946" s="34" t="s">
        <v>4276</v>
      </c>
      <c r="G946" s="6"/>
      <c r="H946" s="3" t="s">
        <v>4277</v>
      </c>
    </row>
    <row r="947" spans="1:8" ht="15.75" customHeight="1">
      <c r="A947" s="3" t="s">
        <v>572</v>
      </c>
      <c r="B947" s="3" t="s">
        <v>4549</v>
      </c>
      <c r="C947" s="3" t="s">
        <v>4550</v>
      </c>
      <c r="D947" s="4" t="s">
        <v>4551</v>
      </c>
      <c r="E947" s="3" t="s">
        <v>4552</v>
      </c>
      <c r="F947" s="34" t="s">
        <v>4553</v>
      </c>
      <c r="G947" s="6"/>
      <c r="H947" s="3" t="s">
        <v>4554</v>
      </c>
    </row>
    <row r="948" spans="1:8" ht="15.75" customHeight="1">
      <c r="A948" s="3" t="s">
        <v>3928</v>
      </c>
      <c r="B948" s="3" t="s">
        <v>4555</v>
      </c>
      <c r="C948" s="3" t="s">
        <v>1684</v>
      </c>
      <c r="D948" s="4" t="s">
        <v>4556</v>
      </c>
      <c r="E948" s="3" t="s">
        <v>4557</v>
      </c>
      <c r="F948" s="34" t="s">
        <v>4188</v>
      </c>
      <c r="G948" s="6"/>
      <c r="H948" s="3" t="s">
        <v>4189</v>
      </c>
    </row>
    <row r="949" spans="1:8" ht="15.75" customHeight="1">
      <c r="A949" s="3" t="s">
        <v>4558</v>
      </c>
      <c r="B949" s="3" t="s">
        <v>4559</v>
      </c>
      <c r="C949" s="3" t="s">
        <v>2401</v>
      </c>
      <c r="D949" s="4" t="s">
        <v>4560</v>
      </c>
      <c r="E949" s="3" t="s">
        <v>4561</v>
      </c>
      <c r="F949" s="34" t="s">
        <v>4229</v>
      </c>
      <c r="G949" s="6"/>
      <c r="H949" s="3" t="s">
        <v>4230</v>
      </c>
    </row>
    <row r="950" spans="1:8" ht="15.75" customHeight="1">
      <c r="A950" s="3" t="s">
        <v>3331</v>
      </c>
      <c r="B950" s="3" t="s">
        <v>4562</v>
      </c>
      <c r="C950" s="3" t="s">
        <v>4563</v>
      </c>
      <c r="D950" s="4" t="s">
        <v>4564</v>
      </c>
      <c r="E950" s="3" t="s">
        <v>4565</v>
      </c>
      <c r="F950" s="34" t="s">
        <v>4188</v>
      </c>
      <c r="G950" s="6"/>
      <c r="H950" s="3" t="s">
        <v>4189</v>
      </c>
    </row>
    <row r="951" spans="1:8" ht="15.75" customHeight="1">
      <c r="A951" s="3" t="s">
        <v>4566</v>
      </c>
      <c r="B951" s="3" t="s">
        <v>4567</v>
      </c>
      <c r="C951" s="3" t="s">
        <v>4568</v>
      </c>
      <c r="D951" s="4" t="s">
        <v>4569</v>
      </c>
      <c r="E951" s="3" t="s">
        <v>4570</v>
      </c>
      <c r="F951" s="34" t="s">
        <v>4182</v>
      </c>
      <c r="G951" s="6"/>
      <c r="H951" s="3" t="s">
        <v>4183</v>
      </c>
    </row>
    <row r="952" spans="1:8" ht="15.75" customHeight="1">
      <c r="A952" s="3" t="s">
        <v>4231</v>
      </c>
      <c r="B952" s="3" t="s">
        <v>4571</v>
      </c>
      <c r="C952" s="3" t="s">
        <v>390</v>
      </c>
      <c r="D952" s="4" t="s">
        <v>4572</v>
      </c>
      <c r="E952" s="3" t="s">
        <v>4573</v>
      </c>
      <c r="F952" s="34" t="s">
        <v>4229</v>
      </c>
      <c r="G952" s="6"/>
      <c r="H952" s="3" t="s">
        <v>4230</v>
      </c>
    </row>
    <row r="953" spans="1:8" ht="15.75" customHeight="1">
      <c r="A953" s="3" t="s">
        <v>4574</v>
      </c>
      <c r="B953" s="3" t="s">
        <v>4575</v>
      </c>
      <c r="C953" s="3" t="s">
        <v>691</v>
      </c>
      <c r="D953" s="4" t="s">
        <v>4576</v>
      </c>
      <c r="E953" s="3" t="s">
        <v>4577</v>
      </c>
      <c r="F953" s="34" t="s">
        <v>4182</v>
      </c>
      <c r="G953" s="6"/>
      <c r="H953" s="3" t="s">
        <v>4183</v>
      </c>
    </row>
    <row r="954" spans="1:8" ht="15.75" customHeight="1">
      <c r="A954" s="3" t="s">
        <v>4578</v>
      </c>
      <c r="B954" s="3" t="s">
        <v>4579</v>
      </c>
      <c r="C954" s="3" t="s">
        <v>4203</v>
      </c>
      <c r="D954" s="4" t="s">
        <v>4580</v>
      </c>
      <c r="E954" s="3" t="s">
        <v>4581</v>
      </c>
      <c r="F954" s="34" t="s">
        <v>4229</v>
      </c>
      <c r="G954" s="6"/>
      <c r="H954" s="3" t="s">
        <v>4230</v>
      </c>
    </row>
    <row r="955" spans="1:8" ht="15.75" customHeight="1">
      <c r="A955" s="3" t="s">
        <v>4582</v>
      </c>
      <c r="B955" s="3" t="s">
        <v>333</v>
      </c>
      <c r="C955" s="3" t="s">
        <v>229</v>
      </c>
      <c r="D955" s="4" t="s">
        <v>4583</v>
      </c>
      <c r="E955" s="3" t="s">
        <v>4584</v>
      </c>
      <c r="F955" s="34" t="s">
        <v>4585</v>
      </c>
      <c r="G955" s="6"/>
      <c r="H955" s="3" t="s">
        <v>4523</v>
      </c>
    </row>
    <row r="956" spans="1:8" ht="15.75" customHeight="1">
      <c r="A956" s="3" t="s">
        <v>3787</v>
      </c>
      <c r="B956" s="3" t="s">
        <v>4314</v>
      </c>
      <c r="C956" s="3" t="s">
        <v>4586</v>
      </c>
      <c r="D956" s="4" t="s">
        <v>4587</v>
      </c>
      <c r="E956" s="3" t="s">
        <v>4588</v>
      </c>
      <c r="F956" s="34" t="s">
        <v>4229</v>
      </c>
      <c r="G956" s="6"/>
      <c r="H956" s="3" t="s">
        <v>4230</v>
      </c>
    </row>
    <row r="957" spans="1:8" ht="15.75" customHeight="1">
      <c r="A957" s="3" t="s">
        <v>4589</v>
      </c>
      <c r="B957" s="3" t="s">
        <v>49</v>
      </c>
      <c r="C957" s="3" t="s">
        <v>4590</v>
      </c>
      <c r="D957" s="4" t="s">
        <v>4591</v>
      </c>
      <c r="E957" s="3" t="s">
        <v>4592</v>
      </c>
      <c r="F957" s="34" t="s">
        <v>4593</v>
      </c>
      <c r="G957" s="6"/>
      <c r="H957" s="3" t="s">
        <v>4594</v>
      </c>
    </row>
    <row r="958" spans="1:8" ht="15.75" customHeight="1">
      <c r="A958" s="3" t="s">
        <v>4595</v>
      </c>
      <c r="B958" s="3" t="s">
        <v>4596</v>
      </c>
      <c r="C958" s="3" t="s">
        <v>4597</v>
      </c>
      <c r="D958" s="4" t="s">
        <v>4598</v>
      </c>
      <c r="E958" s="3" t="s">
        <v>4599</v>
      </c>
      <c r="F958" s="34" t="s">
        <v>4600</v>
      </c>
      <c r="G958" s="6"/>
      <c r="H958" s="3" t="s">
        <v>4183</v>
      </c>
    </row>
    <row r="959" spans="1:8" ht="15.75" customHeight="1">
      <c r="A959" s="3" t="s">
        <v>2027</v>
      </c>
      <c r="B959" s="3" t="s">
        <v>4601</v>
      </c>
      <c r="C959" s="3" t="s">
        <v>4357</v>
      </c>
      <c r="D959" s="4" t="s">
        <v>4602</v>
      </c>
      <c r="E959" s="3" t="s">
        <v>4603</v>
      </c>
      <c r="F959" s="34" t="s">
        <v>4604</v>
      </c>
      <c r="G959" s="6"/>
      <c r="H959" s="3" t="s">
        <v>4605</v>
      </c>
    </row>
    <row r="960" spans="1:8" ht="15.75" customHeight="1">
      <c r="A960" s="3" t="s">
        <v>2664</v>
      </c>
      <c r="B960" s="3" t="s">
        <v>463</v>
      </c>
      <c r="C960" s="3" t="s">
        <v>4606</v>
      </c>
      <c r="D960" s="4" t="s">
        <v>4607</v>
      </c>
      <c r="E960" s="3" t="s">
        <v>4608</v>
      </c>
      <c r="F960" s="34" t="s">
        <v>4609</v>
      </c>
      <c r="G960" s="6"/>
      <c r="H960" s="3" t="s">
        <v>4610</v>
      </c>
    </row>
    <row r="961" spans="1:8" ht="15.75" customHeight="1">
      <c r="A961" s="3" t="s">
        <v>4611</v>
      </c>
      <c r="B961" s="3" t="s">
        <v>4612</v>
      </c>
      <c r="C961" s="3" t="s">
        <v>4613</v>
      </c>
      <c r="D961" s="6"/>
      <c r="E961" s="3" t="s">
        <v>4614</v>
      </c>
      <c r="F961" s="34" t="s">
        <v>4615</v>
      </c>
      <c r="G961" s="6"/>
      <c r="H961" s="3" t="s">
        <v>4610</v>
      </c>
    </row>
    <row r="962" spans="1:8" ht="15.75" customHeight="1">
      <c r="A962" s="3" t="s">
        <v>3650</v>
      </c>
      <c r="B962" s="3" t="s">
        <v>4616</v>
      </c>
      <c r="C962" s="3" t="s">
        <v>4617</v>
      </c>
      <c r="D962" s="6"/>
      <c r="E962" s="3" t="s">
        <v>4618</v>
      </c>
      <c r="F962" s="34" t="s">
        <v>4270</v>
      </c>
      <c r="G962" s="6"/>
      <c r="H962" s="3" t="s">
        <v>4619</v>
      </c>
    </row>
    <row r="963" spans="1:8" ht="15.75" customHeight="1">
      <c r="A963" s="3" t="s">
        <v>4620</v>
      </c>
      <c r="B963" s="3" t="s">
        <v>4621</v>
      </c>
      <c r="C963" s="3" t="s">
        <v>4364</v>
      </c>
      <c r="D963" s="4" t="s">
        <v>4622</v>
      </c>
      <c r="E963" s="3" t="s">
        <v>4623</v>
      </c>
      <c r="F963" s="34" t="s">
        <v>4229</v>
      </c>
      <c r="G963" s="6"/>
      <c r="H963" s="3" t="s">
        <v>4230</v>
      </c>
    </row>
    <row r="964" spans="1:8" ht="15.75" customHeight="1">
      <c r="A964" s="3" t="s">
        <v>4624</v>
      </c>
      <c r="B964" s="3" t="s">
        <v>3501</v>
      </c>
      <c r="C964" s="3" t="s">
        <v>4625</v>
      </c>
      <c r="D964" s="4" t="s">
        <v>4626</v>
      </c>
      <c r="E964" s="3" t="s">
        <v>4627</v>
      </c>
      <c r="F964" s="34" t="s">
        <v>4229</v>
      </c>
      <c r="G964" s="6"/>
      <c r="H964" s="3" t="s">
        <v>4230</v>
      </c>
    </row>
    <row r="965" spans="1:8" ht="15.75" customHeight="1">
      <c r="A965" s="3" t="s">
        <v>4628</v>
      </c>
      <c r="B965" s="3" t="s">
        <v>4629</v>
      </c>
      <c r="C965" s="3" t="s">
        <v>222</v>
      </c>
      <c r="D965" s="4" t="s">
        <v>4630</v>
      </c>
      <c r="E965" s="3" t="s">
        <v>4631</v>
      </c>
      <c r="F965" s="34" t="s">
        <v>4585</v>
      </c>
      <c r="G965" s="6"/>
      <c r="H965" s="3" t="s">
        <v>4523</v>
      </c>
    </row>
    <row r="966" spans="1:8" ht="15.75" customHeight="1">
      <c r="A966" s="3" t="s">
        <v>1286</v>
      </c>
      <c r="B966" s="3" t="s">
        <v>718</v>
      </c>
      <c r="C966" s="3" t="s">
        <v>4321</v>
      </c>
      <c r="D966" s="6"/>
      <c r="E966" s="3" t="s">
        <v>1923</v>
      </c>
      <c r="F966" s="34" t="s">
        <v>4632</v>
      </c>
      <c r="G966" s="6"/>
      <c r="H966" s="3" t="s">
        <v>4633</v>
      </c>
    </row>
    <row r="967" spans="1:8" ht="15.75" customHeight="1">
      <c r="A967" s="3" t="s">
        <v>4634</v>
      </c>
      <c r="B967" s="3" t="s">
        <v>4635</v>
      </c>
      <c r="C967" s="3" t="s">
        <v>4636</v>
      </c>
      <c r="D967" s="4" t="s">
        <v>4637</v>
      </c>
      <c r="E967" s="3" t="s">
        <v>4638</v>
      </c>
      <c r="F967" s="34" t="s">
        <v>4639</v>
      </c>
      <c r="G967" s="6"/>
      <c r="H967" s="3" t="s">
        <v>4640</v>
      </c>
    </row>
    <row r="968" spans="1:8" ht="15.75" customHeight="1">
      <c r="A968" s="3" t="s">
        <v>4641</v>
      </c>
      <c r="B968" s="3" t="s">
        <v>221</v>
      </c>
      <c r="C968" s="3" t="s">
        <v>4642</v>
      </c>
      <c r="D968" s="4" t="s">
        <v>4643</v>
      </c>
      <c r="E968" s="3" t="s">
        <v>4644</v>
      </c>
      <c r="F968" s="6"/>
      <c r="G968" s="6"/>
      <c r="H968" s="3" t="s">
        <v>4214</v>
      </c>
    </row>
    <row r="969" spans="1:8" ht="15.75" customHeight="1">
      <c r="A969" s="3" t="s">
        <v>2509</v>
      </c>
      <c r="B969" s="3" t="s">
        <v>4645</v>
      </c>
      <c r="C969" s="3" t="s">
        <v>4646</v>
      </c>
      <c r="D969" s="4" t="s">
        <v>4647</v>
      </c>
      <c r="E969" s="3" t="s">
        <v>4648</v>
      </c>
      <c r="F969" s="34" t="s">
        <v>4276</v>
      </c>
      <c r="G969" s="6"/>
      <c r="H969" s="3" t="s">
        <v>4277</v>
      </c>
    </row>
    <row r="970" spans="1:8" ht="15.75" customHeight="1">
      <c r="A970" s="3" t="s">
        <v>4649</v>
      </c>
      <c r="B970" s="3" t="s">
        <v>4650</v>
      </c>
      <c r="C970" s="3" t="s">
        <v>4651</v>
      </c>
      <c r="D970" s="4" t="s">
        <v>4652</v>
      </c>
      <c r="E970" s="3" t="s">
        <v>4653</v>
      </c>
      <c r="F970" s="34" t="s">
        <v>4188</v>
      </c>
      <c r="G970" s="6"/>
      <c r="H970" s="3" t="s">
        <v>4189</v>
      </c>
    </row>
    <row r="971" spans="1:8" ht="15.75" customHeight="1">
      <c r="A971" s="3" t="s">
        <v>4654</v>
      </c>
      <c r="B971" s="3" t="s">
        <v>4571</v>
      </c>
      <c r="C971" s="3" t="s">
        <v>4655</v>
      </c>
      <c r="D971" s="4" t="s">
        <v>4656</v>
      </c>
      <c r="E971" s="3" t="s">
        <v>4657</v>
      </c>
      <c r="F971" s="34" t="s">
        <v>4283</v>
      </c>
      <c r="G971" s="6"/>
      <c r="H971" s="3" t="s">
        <v>4284</v>
      </c>
    </row>
    <row r="972" spans="1:8" ht="15.75" customHeight="1">
      <c r="A972" s="3" t="s">
        <v>422</v>
      </c>
      <c r="B972" s="3" t="s">
        <v>4658</v>
      </c>
      <c r="C972" s="3" t="s">
        <v>1684</v>
      </c>
      <c r="D972" s="4" t="s">
        <v>4659</v>
      </c>
      <c r="E972" s="3" t="s">
        <v>4660</v>
      </c>
      <c r="F972" s="34" t="s">
        <v>4661</v>
      </c>
      <c r="G972" s="6"/>
      <c r="H972" s="3" t="s">
        <v>4662</v>
      </c>
    </row>
    <row r="973" spans="1:8" ht="15.75" customHeight="1">
      <c r="A973" s="3" t="s">
        <v>4663</v>
      </c>
      <c r="B973" s="3" t="s">
        <v>2018</v>
      </c>
      <c r="C973" s="3" t="s">
        <v>4664</v>
      </c>
      <c r="D973" s="4" t="s">
        <v>4665</v>
      </c>
      <c r="E973" s="3" t="s">
        <v>4666</v>
      </c>
      <c r="F973" s="34" t="s">
        <v>4453</v>
      </c>
      <c r="G973" s="6"/>
      <c r="H973" s="3" t="s">
        <v>4454</v>
      </c>
    </row>
    <row r="974" spans="1:8" ht="15.75" customHeight="1">
      <c r="A974" s="3" t="s">
        <v>1645</v>
      </c>
      <c r="B974" s="3" t="s">
        <v>1646</v>
      </c>
      <c r="C974" s="3" t="s">
        <v>4667</v>
      </c>
      <c r="D974" s="4" t="s">
        <v>4668</v>
      </c>
      <c r="E974" s="3" t="s">
        <v>1649</v>
      </c>
      <c r="F974" s="34" t="s">
        <v>4229</v>
      </c>
      <c r="G974" s="6"/>
      <c r="H974" s="3" t="s">
        <v>4230</v>
      </c>
    </row>
    <row r="975" spans="1:8" ht="15.75" customHeight="1">
      <c r="A975" s="3" t="s">
        <v>2528</v>
      </c>
      <c r="B975" s="3" t="s">
        <v>2245</v>
      </c>
      <c r="C975" s="3" t="s">
        <v>4669</v>
      </c>
      <c r="D975" s="4" t="s">
        <v>4670</v>
      </c>
      <c r="E975" s="3" t="s">
        <v>4671</v>
      </c>
      <c r="F975" s="34" t="s">
        <v>4672</v>
      </c>
      <c r="G975" s="6"/>
      <c r="H975" s="3" t="s">
        <v>4523</v>
      </c>
    </row>
    <row r="976" spans="1:8" ht="15.75" customHeight="1">
      <c r="A976" s="3" t="s">
        <v>1138</v>
      </c>
      <c r="B976" s="3" t="s">
        <v>4673</v>
      </c>
      <c r="C976" s="3" t="s">
        <v>4674</v>
      </c>
      <c r="D976" s="4" t="s">
        <v>4675</v>
      </c>
      <c r="E976" s="3" t="s">
        <v>4676</v>
      </c>
      <c r="F976" s="34" t="s">
        <v>4276</v>
      </c>
      <c r="G976" s="6"/>
      <c r="H976" s="3" t="s">
        <v>4277</v>
      </c>
    </row>
    <row r="977" spans="1:8" ht="15.75" customHeight="1">
      <c r="A977" s="3" t="s">
        <v>4677</v>
      </c>
      <c r="B977" s="3" t="s">
        <v>4678</v>
      </c>
      <c r="C977" s="3" t="s">
        <v>4679</v>
      </c>
      <c r="D977" s="4" t="s">
        <v>4680</v>
      </c>
      <c r="E977" s="3" t="s">
        <v>4681</v>
      </c>
      <c r="F977" s="34" t="s">
        <v>4682</v>
      </c>
      <c r="G977" s="6"/>
      <c r="H977" s="3" t="s">
        <v>4683</v>
      </c>
    </row>
    <row r="978" spans="1:8" ht="15.75" customHeight="1">
      <c r="A978" s="3" t="s">
        <v>4684</v>
      </c>
      <c r="B978" s="3" t="s">
        <v>4685</v>
      </c>
      <c r="C978" s="3" t="s">
        <v>4686</v>
      </c>
      <c r="D978" s="4" t="s">
        <v>4687</v>
      </c>
      <c r="E978" s="3" t="s">
        <v>4688</v>
      </c>
      <c r="F978" s="34" t="s">
        <v>4244</v>
      </c>
      <c r="G978" s="6"/>
      <c r="H978" s="3" t="s">
        <v>4245</v>
      </c>
    </row>
    <row r="979" spans="1:8" ht="15.75" customHeight="1">
      <c r="A979" s="3" t="s">
        <v>4332</v>
      </c>
      <c r="B979" s="3" t="s">
        <v>4689</v>
      </c>
      <c r="C979" s="3" t="s">
        <v>4690</v>
      </c>
      <c r="D979" s="4" t="s">
        <v>4691</v>
      </c>
      <c r="E979" s="3" t="s">
        <v>4692</v>
      </c>
      <c r="F979" s="34" t="s">
        <v>4182</v>
      </c>
      <c r="G979" s="6"/>
      <c r="H979" s="3" t="s">
        <v>4183</v>
      </c>
    </row>
    <row r="980" spans="1:8" ht="15.75" customHeight="1">
      <c r="A980" s="3" t="s">
        <v>4693</v>
      </c>
      <c r="B980" s="3" t="s">
        <v>4694</v>
      </c>
      <c r="C980" s="3" t="s">
        <v>4695</v>
      </c>
      <c r="D980" s="4" t="s">
        <v>4696</v>
      </c>
      <c r="E980" s="3" t="s">
        <v>4697</v>
      </c>
      <c r="F980" s="34" t="s">
        <v>4244</v>
      </c>
      <c r="G980" s="6"/>
      <c r="H980" s="3" t="s">
        <v>4245</v>
      </c>
    </row>
    <row r="981" spans="1:8" ht="15.75" customHeight="1">
      <c r="A981" s="3" t="s">
        <v>1161</v>
      </c>
      <c r="B981" s="3" t="s">
        <v>4698</v>
      </c>
      <c r="C981" s="3" t="s">
        <v>4699</v>
      </c>
      <c r="D981" s="4" t="s">
        <v>4700</v>
      </c>
      <c r="E981" s="3" t="s">
        <v>4701</v>
      </c>
      <c r="F981" s="34" t="s">
        <v>4702</v>
      </c>
      <c r="G981" s="6"/>
      <c r="H981" s="3" t="s">
        <v>4703</v>
      </c>
    </row>
    <row r="982" spans="1:8" ht="15.75" customHeight="1">
      <c r="A982" s="3" t="s">
        <v>1465</v>
      </c>
      <c r="B982" s="3" t="s">
        <v>4704</v>
      </c>
      <c r="C982" s="3" t="s">
        <v>4705</v>
      </c>
      <c r="D982" s="4" t="s">
        <v>4706</v>
      </c>
      <c r="E982" s="3" t="s">
        <v>4707</v>
      </c>
      <c r="F982" s="34" t="s">
        <v>4182</v>
      </c>
      <c r="G982" s="6"/>
      <c r="H982" s="3" t="s">
        <v>4183</v>
      </c>
    </row>
    <row r="983" spans="1:8" ht="15.75" customHeight="1">
      <c r="A983" s="3" t="s">
        <v>4708</v>
      </c>
      <c r="B983" s="3" t="s">
        <v>4709</v>
      </c>
      <c r="C983" s="3" t="s">
        <v>4710</v>
      </c>
      <c r="D983" s="4" t="s">
        <v>4711</v>
      </c>
      <c r="E983" s="3" t="s">
        <v>4712</v>
      </c>
      <c r="F983" s="34" t="s">
        <v>4600</v>
      </c>
      <c r="G983" s="6"/>
      <c r="H983" s="3" t="s">
        <v>4183</v>
      </c>
    </row>
    <row r="984" spans="1:8" ht="15.75" customHeight="1">
      <c r="A984" s="3" t="s">
        <v>4713</v>
      </c>
      <c r="B984" s="3" t="s">
        <v>3149</v>
      </c>
      <c r="C984" s="3" t="s">
        <v>4714</v>
      </c>
      <c r="D984" s="4" t="s">
        <v>4715</v>
      </c>
      <c r="E984" s="3" t="s">
        <v>4716</v>
      </c>
      <c r="F984" s="6"/>
      <c r="G984" s="6"/>
      <c r="H984" s="3" t="s">
        <v>4355</v>
      </c>
    </row>
    <row r="985" spans="1:8" ht="15.75" customHeight="1">
      <c r="A985" s="3" t="s">
        <v>4717</v>
      </c>
      <c r="B985" s="3" t="s">
        <v>2659</v>
      </c>
      <c r="C985" s="3" t="s">
        <v>4718</v>
      </c>
      <c r="D985" s="4" t="s">
        <v>4719</v>
      </c>
      <c r="E985" s="3" t="s">
        <v>4720</v>
      </c>
      <c r="F985" s="34" t="s">
        <v>4721</v>
      </c>
      <c r="G985" s="6"/>
      <c r="H985" s="3" t="s">
        <v>4523</v>
      </c>
    </row>
    <row r="986" spans="1:8" ht="15.75" customHeight="1">
      <c r="A986" s="3" t="s">
        <v>4722</v>
      </c>
      <c r="B986" s="3" t="s">
        <v>4723</v>
      </c>
      <c r="C986" s="3" t="s">
        <v>4724</v>
      </c>
      <c r="D986" s="4" t="s">
        <v>4725</v>
      </c>
      <c r="E986" s="3" t="s">
        <v>4726</v>
      </c>
      <c r="F986" s="34" t="s">
        <v>4600</v>
      </c>
      <c r="G986" s="6"/>
      <c r="H986" s="3" t="s">
        <v>4183</v>
      </c>
    </row>
    <row r="987" spans="1:8" ht="15.75" customHeight="1">
      <c r="A987" s="3" t="s">
        <v>394</v>
      </c>
      <c r="B987" s="3" t="s">
        <v>360</v>
      </c>
      <c r="C987" s="3" t="s">
        <v>4727</v>
      </c>
      <c r="D987" s="6"/>
      <c r="E987" s="3" t="s">
        <v>4728</v>
      </c>
      <c r="F987" s="34" t="s">
        <v>4729</v>
      </c>
      <c r="G987" s="6"/>
      <c r="H987" s="3" t="s">
        <v>4730</v>
      </c>
    </row>
    <row r="988" spans="1:8" ht="15.75" customHeight="1">
      <c r="A988" s="3" t="s">
        <v>789</v>
      </c>
      <c r="B988" s="3" t="s">
        <v>4731</v>
      </c>
      <c r="C988" s="3" t="s">
        <v>4732</v>
      </c>
      <c r="D988" s="4" t="s">
        <v>4733</v>
      </c>
      <c r="E988" s="3" t="s">
        <v>4734</v>
      </c>
      <c r="F988" s="34" t="s">
        <v>4276</v>
      </c>
      <c r="G988" s="6"/>
      <c r="H988" s="3" t="s">
        <v>4277</v>
      </c>
    </row>
    <row r="989" spans="1:8" ht="15.75" customHeight="1">
      <c r="A989" s="3" t="s">
        <v>4735</v>
      </c>
      <c r="B989" s="3" t="s">
        <v>4736</v>
      </c>
      <c r="C989" s="3" t="s">
        <v>4737</v>
      </c>
      <c r="D989" s="4" t="s">
        <v>4738</v>
      </c>
      <c r="E989" s="3" t="s">
        <v>4739</v>
      </c>
      <c r="F989" s="34" t="s">
        <v>4182</v>
      </c>
      <c r="G989" s="6"/>
      <c r="H989" s="3" t="s">
        <v>4183</v>
      </c>
    </row>
    <row r="990" spans="1:8" ht="15.75" customHeight="1">
      <c r="A990" s="3" t="s">
        <v>1640</v>
      </c>
      <c r="B990" s="3" t="s">
        <v>4740</v>
      </c>
      <c r="C990" s="3" t="s">
        <v>4741</v>
      </c>
      <c r="D990" s="4" t="s">
        <v>4742</v>
      </c>
      <c r="E990" s="3" t="s">
        <v>4743</v>
      </c>
      <c r="F990" s="34" t="s">
        <v>4229</v>
      </c>
      <c r="G990" s="6"/>
      <c r="H990" s="3" t="s">
        <v>4230</v>
      </c>
    </row>
    <row r="991" spans="1:8" ht="15.75" customHeight="1">
      <c r="A991" s="3" t="s">
        <v>4744</v>
      </c>
      <c r="B991" s="3" t="s">
        <v>4745</v>
      </c>
      <c r="C991" s="3" t="s">
        <v>4746</v>
      </c>
      <c r="D991" s="4" t="s">
        <v>4747</v>
      </c>
      <c r="E991" s="3" t="s">
        <v>4748</v>
      </c>
      <c r="F991" s="34" t="s">
        <v>4749</v>
      </c>
      <c r="G991" s="6"/>
      <c r="H991" s="3" t="s">
        <v>4750</v>
      </c>
    </row>
    <row r="992" spans="1:8" ht="15.75" customHeight="1">
      <c r="A992" s="3" t="s">
        <v>4751</v>
      </c>
      <c r="B992" s="3" t="s">
        <v>4752</v>
      </c>
      <c r="C992" s="3" t="s">
        <v>4753</v>
      </c>
      <c r="D992" s="4" t="s">
        <v>4754</v>
      </c>
      <c r="E992" s="3" t="s">
        <v>4755</v>
      </c>
      <c r="F992" s="34" t="s">
        <v>4756</v>
      </c>
      <c r="G992" s="6"/>
      <c r="H992" s="3" t="s">
        <v>4757</v>
      </c>
    </row>
    <row r="993" spans="1:8" ht="15.75" customHeight="1">
      <c r="A993" s="3" t="s">
        <v>4758</v>
      </c>
      <c r="B993" s="3" t="s">
        <v>4759</v>
      </c>
      <c r="C993" s="3" t="s">
        <v>4760</v>
      </c>
      <c r="D993" s="4" t="s">
        <v>4761</v>
      </c>
      <c r="E993" s="3" t="s">
        <v>4762</v>
      </c>
      <c r="F993" s="34" t="s">
        <v>4639</v>
      </c>
      <c r="G993" s="6"/>
      <c r="H993" s="3" t="s">
        <v>4640</v>
      </c>
    </row>
    <row r="994" spans="1:8" ht="15.75" customHeight="1">
      <c r="A994" s="3" t="s">
        <v>4763</v>
      </c>
      <c r="B994" s="3" t="s">
        <v>360</v>
      </c>
      <c r="C994" s="3" t="s">
        <v>4321</v>
      </c>
      <c r="D994" s="6"/>
      <c r="E994" s="3" t="s">
        <v>4764</v>
      </c>
      <c r="F994" s="6"/>
      <c r="G994" s="6"/>
      <c r="H994" s="3" t="s">
        <v>4730</v>
      </c>
    </row>
    <row r="995" spans="1:8" ht="15.75" customHeight="1">
      <c r="A995" s="3" t="s">
        <v>433</v>
      </c>
      <c r="B995" s="3" t="s">
        <v>4765</v>
      </c>
      <c r="C995" s="3" t="s">
        <v>4766</v>
      </c>
      <c r="D995" s="6"/>
      <c r="E995" s="3" t="s">
        <v>4767</v>
      </c>
      <c r="F995" s="34" t="s">
        <v>4768</v>
      </c>
      <c r="G995" s="6"/>
      <c r="H995" s="3" t="s">
        <v>4769</v>
      </c>
    </row>
    <row r="996" spans="1:8" ht="15.75" customHeight="1">
      <c r="A996" s="3" t="s">
        <v>563</v>
      </c>
      <c r="B996" s="3" t="s">
        <v>801</v>
      </c>
      <c r="C996" s="3" t="s">
        <v>4321</v>
      </c>
      <c r="D996" s="4" t="s">
        <v>4770</v>
      </c>
      <c r="E996" s="3" t="s">
        <v>4771</v>
      </c>
      <c r="F996" s="34" t="s">
        <v>4772</v>
      </c>
      <c r="G996" s="6"/>
      <c r="H996" s="3" t="s">
        <v>4773</v>
      </c>
    </row>
    <row r="997" spans="1:8" ht="15.75" customHeight="1">
      <c r="A997" s="3" t="s">
        <v>4774</v>
      </c>
      <c r="B997" s="3" t="s">
        <v>4775</v>
      </c>
      <c r="C997" s="3" t="s">
        <v>4776</v>
      </c>
      <c r="D997" s="4" t="s">
        <v>4777</v>
      </c>
      <c r="E997" s="3" t="s">
        <v>4778</v>
      </c>
      <c r="F997" s="34" t="s">
        <v>4779</v>
      </c>
      <c r="G997" s="6"/>
      <c r="H997" s="3" t="s">
        <v>4780</v>
      </c>
    </row>
    <row r="998" spans="1:8" ht="15.75" customHeight="1">
      <c r="A998" s="3" t="s">
        <v>4781</v>
      </c>
      <c r="B998" s="3" t="s">
        <v>4782</v>
      </c>
      <c r="C998" s="3" t="s">
        <v>4783</v>
      </c>
      <c r="D998" s="4" t="s">
        <v>4784</v>
      </c>
      <c r="E998" s="3" t="s">
        <v>4785</v>
      </c>
      <c r="F998" s="34" t="s">
        <v>4786</v>
      </c>
      <c r="G998" s="6"/>
      <c r="H998" s="3" t="s">
        <v>4207</v>
      </c>
    </row>
    <row r="999" spans="1:8" ht="15.75" customHeight="1">
      <c r="A999" s="3" t="s">
        <v>75</v>
      </c>
      <c r="B999" s="3" t="s">
        <v>4787</v>
      </c>
      <c r="C999" s="3" t="s">
        <v>4450</v>
      </c>
      <c r="D999" s="4" t="s">
        <v>4451</v>
      </c>
      <c r="E999" s="3" t="s">
        <v>4788</v>
      </c>
      <c r="F999" s="34" t="s">
        <v>4453</v>
      </c>
      <c r="G999" s="6"/>
      <c r="H999" s="3" t="s">
        <v>4454</v>
      </c>
    </row>
    <row r="1000" spans="1:8" ht="15.75" customHeight="1">
      <c r="A1000" s="3" t="s">
        <v>4162</v>
      </c>
      <c r="B1000" s="3" t="s">
        <v>955</v>
      </c>
      <c r="C1000" s="3" t="s">
        <v>4789</v>
      </c>
      <c r="D1000" s="4" t="s">
        <v>4790</v>
      </c>
      <c r="E1000" s="3" t="s">
        <v>4791</v>
      </c>
      <c r="F1000" s="6"/>
      <c r="G1000" s="6"/>
      <c r="H1000" s="3" t="s">
        <v>4177</v>
      </c>
    </row>
    <row r="1001" spans="1:8" ht="15.75" customHeight="1">
      <c r="A1001" s="3" t="s">
        <v>281</v>
      </c>
      <c r="B1001" s="3" t="s">
        <v>185</v>
      </c>
      <c r="C1001" s="3" t="s">
        <v>4792</v>
      </c>
      <c r="D1001" s="4" t="s">
        <v>4793</v>
      </c>
      <c r="E1001" s="3" t="s">
        <v>4794</v>
      </c>
      <c r="F1001" s="6"/>
      <c r="G1001" s="6"/>
      <c r="H1001" s="3" t="s">
        <v>4545</v>
      </c>
    </row>
    <row r="1002" spans="1:8" ht="15.75" customHeight="1">
      <c r="A1002" s="3" t="s">
        <v>4795</v>
      </c>
      <c r="B1002" s="3" t="s">
        <v>732</v>
      </c>
      <c r="C1002" s="3" t="s">
        <v>4796</v>
      </c>
      <c r="D1002" s="6"/>
      <c r="E1002" s="3" t="s">
        <v>4797</v>
      </c>
      <c r="F1002" s="3" t="s">
        <v>4798</v>
      </c>
      <c r="G1002" s="6"/>
      <c r="H1002" s="3" t="s">
        <v>4799</v>
      </c>
    </row>
    <row r="1003" spans="1:8" ht="15.75" customHeight="1">
      <c r="A1003" s="3" t="s">
        <v>4800</v>
      </c>
      <c r="B1003" s="3" t="s">
        <v>722</v>
      </c>
      <c r="C1003" s="3" t="s">
        <v>4801</v>
      </c>
      <c r="D1003" s="4" t="s">
        <v>4802</v>
      </c>
      <c r="E1003" s="3" t="s">
        <v>4803</v>
      </c>
      <c r="F1003" s="34" t="s">
        <v>4182</v>
      </c>
      <c r="G1003" s="6"/>
      <c r="H1003" s="3" t="s">
        <v>4183</v>
      </c>
    </row>
    <row r="1004" spans="1:8" ht="15.75" customHeight="1">
      <c r="A1004" s="3" t="s">
        <v>4804</v>
      </c>
      <c r="B1004" s="3" t="s">
        <v>4805</v>
      </c>
      <c r="C1004" s="3" t="s">
        <v>4806</v>
      </c>
      <c r="D1004" s="4" t="s">
        <v>4807</v>
      </c>
      <c r="E1004" s="3" t="s">
        <v>4808</v>
      </c>
      <c r="F1004" s="34" t="s">
        <v>4182</v>
      </c>
      <c r="G1004" s="6"/>
      <c r="H1004" s="3" t="s">
        <v>4183</v>
      </c>
    </row>
    <row r="1005" spans="1:8" ht="15.75" customHeight="1">
      <c r="A1005" s="3" t="s">
        <v>913</v>
      </c>
      <c r="B1005" s="3" t="s">
        <v>4809</v>
      </c>
      <c r="C1005" s="3" t="s">
        <v>4364</v>
      </c>
      <c r="D1005" s="4" t="s">
        <v>4810</v>
      </c>
      <c r="E1005" s="3" t="s">
        <v>4811</v>
      </c>
      <c r="F1005" s="34" t="s">
        <v>4229</v>
      </c>
      <c r="G1005" s="6"/>
      <c r="H1005" s="3" t="s">
        <v>4230</v>
      </c>
    </row>
    <row r="1006" spans="1:8" ht="15.75" customHeight="1">
      <c r="A1006" s="3" t="s">
        <v>4812</v>
      </c>
      <c r="B1006" s="3" t="s">
        <v>4813</v>
      </c>
      <c r="C1006" s="3" t="s">
        <v>4814</v>
      </c>
      <c r="D1006" s="4" t="s">
        <v>4815</v>
      </c>
      <c r="E1006" s="3" t="s">
        <v>4816</v>
      </c>
      <c r="F1006" s="34" t="s">
        <v>4188</v>
      </c>
      <c r="G1006" s="6"/>
      <c r="H1006" s="3" t="s">
        <v>4189</v>
      </c>
    </row>
    <row r="1007" spans="1:8" ht="15.75" customHeight="1">
      <c r="A1007" s="3" t="s">
        <v>4817</v>
      </c>
      <c r="B1007" s="3" t="s">
        <v>4818</v>
      </c>
      <c r="C1007" s="3" t="s">
        <v>4357</v>
      </c>
      <c r="D1007" s="4" t="s">
        <v>4819</v>
      </c>
      <c r="E1007" s="3" t="s">
        <v>4820</v>
      </c>
      <c r="F1007" s="34" t="s">
        <v>4188</v>
      </c>
      <c r="G1007" s="6"/>
      <c r="H1007" s="3" t="s">
        <v>4189</v>
      </c>
    </row>
    <row r="1008" spans="1:8" ht="15.75" customHeight="1">
      <c r="A1008" s="3" t="s">
        <v>4821</v>
      </c>
      <c r="B1008" s="3" t="s">
        <v>3293</v>
      </c>
      <c r="C1008" s="3" t="s">
        <v>4822</v>
      </c>
      <c r="D1008" s="4" t="s">
        <v>4823</v>
      </c>
      <c r="E1008" s="3" t="s">
        <v>4824</v>
      </c>
      <c r="F1008" s="34" t="s">
        <v>4825</v>
      </c>
      <c r="G1008" s="6"/>
      <c r="H1008" s="3" t="s">
        <v>4214</v>
      </c>
    </row>
    <row r="1009" spans="1:8" ht="15.75" customHeight="1">
      <c r="A1009" s="3" t="s">
        <v>422</v>
      </c>
      <c r="B1009" s="3" t="s">
        <v>185</v>
      </c>
      <c r="C1009" s="3" t="s">
        <v>4826</v>
      </c>
      <c r="D1009" s="4" t="s">
        <v>4827</v>
      </c>
      <c r="E1009" s="3" t="s">
        <v>4828</v>
      </c>
      <c r="F1009" s="34" t="s">
        <v>4328</v>
      </c>
      <c r="G1009" s="6"/>
      <c r="H1009" s="3" t="s">
        <v>4329</v>
      </c>
    </row>
    <row r="1010" spans="1:8" ht="15.75" customHeight="1">
      <c r="A1010" s="3" t="s">
        <v>417</v>
      </c>
      <c r="B1010" s="3" t="s">
        <v>4829</v>
      </c>
      <c r="C1010" s="3" t="s">
        <v>4830</v>
      </c>
      <c r="D1010" s="4" t="s">
        <v>4831</v>
      </c>
      <c r="E1010" s="3" t="s">
        <v>4832</v>
      </c>
      <c r="F1010" s="34" t="s">
        <v>4833</v>
      </c>
      <c r="G1010" s="6"/>
      <c r="H1010" s="3" t="s">
        <v>4220</v>
      </c>
    </row>
    <row r="1011" spans="1:8" ht="15.75" customHeight="1">
      <c r="A1011" s="3" t="s">
        <v>3799</v>
      </c>
      <c r="B1011" s="3" t="s">
        <v>4834</v>
      </c>
      <c r="C1011" s="3" t="s">
        <v>2717</v>
      </c>
      <c r="D1011" s="4" t="s">
        <v>4835</v>
      </c>
      <c r="E1011" s="3" t="s">
        <v>4836</v>
      </c>
      <c r="F1011" s="3" t="s">
        <v>4438</v>
      </c>
      <c r="G1011" s="6"/>
      <c r="H1011" s="3" t="s">
        <v>4189</v>
      </c>
    </row>
    <row r="1012" spans="1:8" ht="15.75" customHeight="1">
      <c r="A1012" s="3" t="s">
        <v>4837</v>
      </c>
      <c r="B1012" s="3" t="s">
        <v>4838</v>
      </c>
      <c r="C1012" s="3" t="s">
        <v>4203</v>
      </c>
      <c r="D1012" s="4" t="s">
        <v>4839</v>
      </c>
      <c r="E1012" s="3" t="s">
        <v>4840</v>
      </c>
      <c r="F1012" s="34" t="s">
        <v>4206</v>
      </c>
      <c r="G1012" s="6"/>
      <c r="H1012" s="3" t="s">
        <v>4207</v>
      </c>
    </row>
    <row r="1013" spans="1:8" ht="15.75" customHeight="1">
      <c r="A1013" s="3" t="s">
        <v>2384</v>
      </c>
      <c r="B1013" s="3" t="s">
        <v>3062</v>
      </c>
      <c r="C1013" s="3" t="s">
        <v>4321</v>
      </c>
      <c r="D1013" s="4" t="s">
        <v>4841</v>
      </c>
      <c r="E1013" s="3" t="s">
        <v>4842</v>
      </c>
      <c r="F1013" s="34" t="s">
        <v>4843</v>
      </c>
      <c r="G1013" s="6"/>
      <c r="H1013" s="3" t="s">
        <v>4523</v>
      </c>
    </row>
    <row r="1014" spans="1:8" ht="15.75" customHeight="1">
      <c r="A1014" s="3" t="s">
        <v>4844</v>
      </c>
      <c r="B1014" s="3" t="s">
        <v>4845</v>
      </c>
      <c r="C1014" s="3" t="s">
        <v>4203</v>
      </c>
      <c r="D1014" s="4" t="s">
        <v>4846</v>
      </c>
      <c r="E1014" s="3" t="s">
        <v>4847</v>
      </c>
      <c r="F1014" s="34" t="s">
        <v>4206</v>
      </c>
      <c r="G1014" s="6"/>
      <c r="H1014" s="3" t="s">
        <v>4207</v>
      </c>
    </row>
    <row r="1015" spans="1:8" ht="15.75" customHeight="1">
      <c r="A1015" s="3" t="s">
        <v>4848</v>
      </c>
      <c r="B1015" s="3" t="s">
        <v>2721</v>
      </c>
      <c r="C1015" s="3" t="s">
        <v>229</v>
      </c>
      <c r="D1015" s="6"/>
      <c r="E1015" s="3" t="s">
        <v>4849</v>
      </c>
      <c r="F1015" s="34" t="s">
        <v>4850</v>
      </c>
      <c r="G1015" s="6"/>
      <c r="H1015" s="3" t="s">
        <v>4443</v>
      </c>
    </row>
    <row r="1016" spans="1:8" ht="15.75" customHeight="1">
      <c r="A1016" s="3" t="s">
        <v>4851</v>
      </c>
      <c r="B1016" s="3" t="s">
        <v>2458</v>
      </c>
      <c r="C1016" s="3" t="s">
        <v>4852</v>
      </c>
      <c r="D1016" s="6"/>
      <c r="E1016" s="3" t="s">
        <v>4853</v>
      </c>
      <c r="F1016" s="34" t="s">
        <v>4854</v>
      </c>
      <c r="G1016" s="6"/>
      <c r="H1016" s="3" t="s">
        <v>4200</v>
      </c>
    </row>
    <row r="1017" spans="1:8" ht="15.75" customHeight="1">
      <c r="A1017" s="3" t="s">
        <v>2318</v>
      </c>
      <c r="B1017" s="3" t="s">
        <v>1835</v>
      </c>
      <c r="C1017" s="3" t="s">
        <v>4855</v>
      </c>
      <c r="D1017" s="6"/>
      <c r="E1017" s="3" t="s">
        <v>4856</v>
      </c>
      <c r="F1017" s="34" t="s">
        <v>4857</v>
      </c>
      <c r="G1017" s="6"/>
      <c r="H1017" s="3" t="s">
        <v>4265</v>
      </c>
    </row>
    <row r="1018" spans="1:8" ht="15.75" customHeight="1">
      <c r="A1018" s="3" t="s">
        <v>1689</v>
      </c>
      <c r="B1018" s="3" t="s">
        <v>2245</v>
      </c>
      <c r="C1018" s="3" t="s">
        <v>4858</v>
      </c>
      <c r="D1018" s="4" t="s">
        <v>4859</v>
      </c>
      <c r="E1018" s="3" t="s">
        <v>4860</v>
      </c>
      <c r="F1018" s="34" t="s">
        <v>4276</v>
      </c>
      <c r="G1018" s="6"/>
      <c r="H1018" s="3" t="s">
        <v>4277</v>
      </c>
    </row>
    <row r="1019" spans="1:8" ht="15.75" customHeight="1">
      <c r="A1019" s="3" t="s">
        <v>4861</v>
      </c>
      <c r="B1019" s="3" t="s">
        <v>3400</v>
      </c>
      <c r="C1019" s="3" t="s">
        <v>4617</v>
      </c>
      <c r="D1019" s="4" t="s">
        <v>4862</v>
      </c>
      <c r="E1019" s="3" t="s">
        <v>4863</v>
      </c>
      <c r="F1019" s="34" t="s">
        <v>4182</v>
      </c>
      <c r="G1019" s="6"/>
      <c r="H1019" s="3" t="s">
        <v>4183</v>
      </c>
    </row>
    <row r="1020" spans="1:8" ht="15.75" customHeight="1">
      <c r="A1020" s="3" t="s">
        <v>4864</v>
      </c>
      <c r="B1020" s="3" t="s">
        <v>4865</v>
      </c>
      <c r="C1020" s="3" t="s">
        <v>4866</v>
      </c>
      <c r="D1020" s="4" t="s">
        <v>4867</v>
      </c>
      <c r="E1020" s="3" t="s">
        <v>4868</v>
      </c>
      <c r="F1020" s="34" t="s">
        <v>4283</v>
      </c>
      <c r="G1020" s="6"/>
      <c r="H1020" s="3" t="s">
        <v>4284</v>
      </c>
    </row>
    <row r="1021" spans="1:8" ht="15.75" customHeight="1">
      <c r="A1021" s="3" t="s">
        <v>4869</v>
      </c>
      <c r="B1021" s="3" t="s">
        <v>4870</v>
      </c>
      <c r="C1021" s="3" t="s">
        <v>229</v>
      </c>
      <c r="D1021" s="4" t="s">
        <v>4871</v>
      </c>
      <c r="E1021" s="3" t="s">
        <v>4872</v>
      </c>
      <c r="F1021" s="34" t="s">
        <v>4229</v>
      </c>
      <c r="G1021" s="6"/>
      <c r="H1021" s="3" t="s">
        <v>4230</v>
      </c>
    </row>
    <row r="1022" spans="1:8" ht="15.75" customHeight="1">
      <c r="A1022" s="3" t="s">
        <v>4873</v>
      </c>
      <c r="B1022" s="3" t="s">
        <v>4874</v>
      </c>
      <c r="C1022" s="3" t="s">
        <v>229</v>
      </c>
      <c r="D1022" s="4" t="s">
        <v>4875</v>
      </c>
      <c r="E1022" s="3" t="s">
        <v>4876</v>
      </c>
      <c r="F1022" s="34" t="s">
        <v>4244</v>
      </c>
      <c r="G1022" s="6"/>
      <c r="H1022" s="3" t="s">
        <v>4245</v>
      </c>
    </row>
    <row r="1023" spans="1:8" ht="15.75" customHeight="1">
      <c r="A1023" s="3" t="s">
        <v>4877</v>
      </c>
      <c r="B1023" s="3" t="s">
        <v>4878</v>
      </c>
      <c r="C1023" s="3" t="s">
        <v>4879</v>
      </c>
      <c r="D1023" s="6"/>
      <c r="E1023" s="3" t="s">
        <v>4880</v>
      </c>
      <c r="F1023" s="34" t="s">
        <v>4433</v>
      </c>
      <c r="G1023" s="6"/>
      <c r="H1023" s="3" t="s">
        <v>4189</v>
      </c>
    </row>
    <row r="1024" spans="1:8" ht="15.75" customHeight="1">
      <c r="A1024" s="3" t="s">
        <v>978</v>
      </c>
      <c r="B1024" s="3" t="s">
        <v>4881</v>
      </c>
      <c r="C1024" s="3" t="s">
        <v>222</v>
      </c>
      <c r="D1024" s="4" t="s">
        <v>4882</v>
      </c>
      <c r="E1024" s="3" t="s">
        <v>4883</v>
      </c>
      <c r="F1024" s="3" t="s">
        <v>4438</v>
      </c>
      <c r="G1024" s="6"/>
      <c r="H1024" s="3" t="s">
        <v>4189</v>
      </c>
    </row>
    <row r="1025" spans="1:8" ht="15.75" customHeight="1">
      <c r="A1025" s="3" t="s">
        <v>763</v>
      </c>
      <c r="B1025" s="3" t="s">
        <v>3522</v>
      </c>
      <c r="C1025" s="3" t="s">
        <v>1684</v>
      </c>
      <c r="D1025" s="4" t="s">
        <v>4884</v>
      </c>
      <c r="E1025" s="3" t="s">
        <v>4885</v>
      </c>
      <c r="F1025" s="34" t="s">
        <v>4886</v>
      </c>
      <c r="G1025" s="6"/>
      <c r="H1025" s="3" t="s">
        <v>4887</v>
      </c>
    </row>
    <row r="1026" spans="1:8" ht="15.75" customHeight="1">
      <c r="A1026" s="3" t="s">
        <v>160</v>
      </c>
      <c r="B1026" s="3" t="s">
        <v>4888</v>
      </c>
      <c r="C1026" s="3" t="s">
        <v>4889</v>
      </c>
      <c r="D1026" s="4" t="s">
        <v>4890</v>
      </c>
      <c r="E1026" s="3" t="s">
        <v>4891</v>
      </c>
      <c r="F1026" s="34" t="s">
        <v>4892</v>
      </c>
      <c r="G1026" s="6"/>
      <c r="H1026" s="3" t="s">
        <v>4893</v>
      </c>
    </row>
    <row r="1027" spans="1:8" ht="15.75" customHeight="1">
      <c r="A1027" s="3" t="s">
        <v>4894</v>
      </c>
      <c r="B1027" s="3" t="s">
        <v>4895</v>
      </c>
      <c r="C1027" s="3" t="s">
        <v>4896</v>
      </c>
      <c r="D1027" s="6"/>
      <c r="E1027" s="3" t="s">
        <v>4897</v>
      </c>
      <c r="F1027" s="35">
        <v>5.25553E+16</v>
      </c>
      <c r="G1027" s="6"/>
      <c r="H1027" s="3" t="s">
        <v>4220</v>
      </c>
    </row>
    <row r="1028" spans="1:8" ht="15.75" customHeight="1">
      <c r="A1028" s="3" t="s">
        <v>4898</v>
      </c>
      <c r="B1028" s="3" t="s">
        <v>3184</v>
      </c>
      <c r="C1028" s="3" t="s">
        <v>4290</v>
      </c>
      <c r="D1028" s="4" t="s">
        <v>4899</v>
      </c>
      <c r="E1028" s="3" t="s">
        <v>4900</v>
      </c>
      <c r="F1028" s="34" t="s">
        <v>4283</v>
      </c>
      <c r="G1028" s="6"/>
      <c r="H1028" s="3" t="s">
        <v>4284</v>
      </c>
    </row>
    <row r="1029" spans="1:8" ht="15.75" customHeight="1">
      <c r="A1029" s="3" t="s">
        <v>4901</v>
      </c>
      <c r="B1029" s="3" t="s">
        <v>4902</v>
      </c>
      <c r="C1029" s="3" t="s">
        <v>4903</v>
      </c>
      <c r="D1029" s="4" t="s">
        <v>4904</v>
      </c>
      <c r="E1029" s="3" t="s">
        <v>4905</v>
      </c>
      <c r="F1029" s="34" t="s">
        <v>4188</v>
      </c>
      <c r="G1029" s="6"/>
      <c r="H1029" s="3" t="s">
        <v>4189</v>
      </c>
    </row>
    <row r="1030" spans="1:8" ht="15.75" customHeight="1">
      <c r="A1030" s="3" t="s">
        <v>4906</v>
      </c>
      <c r="B1030" s="3" t="s">
        <v>4907</v>
      </c>
      <c r="C1030" s="3" t="s">
        <v>4908</v>
      </c>
      <c r="D1030" s="4" t="s">
        <v>4909</v>
      </c>
      <c r="E1030" s="3" t="s">
        <v>4910</v>
      </c>
      <c r="F1030" s="34" t="s">
        <v>4244</v>
      </c>
      <c r="G1030" s="6"/>
      <c r="H1030" s="3" t="s">
        <v>4245</v>
      </c>
    </row>
    <row r="1031" spans="1:8" ht="15.75" customHeight="1">
      <c r="A1031" s="3" t="s">
        <v>4911</v>
      </c>
      <c r="B1031" s="3" t="s">
        <v>4912</v>
      </c>
      <c r="C1031" s="3" t="s">
        <v>229</v>
      </c>
      <c r="D1031" s="4" t="s">
        <v>4913</v>
      </c>
      <c r="E1031" s="3" t="s">
        <v>4914</v>
      </c>
      <c r="F1031" s="34" t="s">
        <v>4915</v>
      </c>
      <c r="G1031" s="6"/>
      <c r="H1031" s="4" t="s">
        <v>4488</v>
      </c>
    </row>
    <row r="1032" spans="1:8" ht="15.75" customHeight="1">
      <c r="A1032" s="3" t="s">
        <v>4916</v>
      </c>
      <c r="B1032" s="3" t="s">
        <v>801</v>
      </c>
      <c r="C1032" s="3" t="s">
        <v>4330</v>
      </c>
      <c r="D1032" s="4" t="s">
        <v>4917</v>
      </c>
      <c r="E1032" s="3" t="s">
        <v>4918</v>
      </c>
      <c r="F1032" s="6"/>
      <c r="G1032" s="6"/>
      <c r="H1032" s="3" t="s">
        <v>4324</v>
      </c>
    </row>
    <row r="1033" spans="1:8" ht="15.75" customHeight="1">
      <c r="A1033" s="3" t="s">
        <v>4919</v>
      </c>
      <c r="B1033" s="3" t="s">
        <v>2245</v>
      </c>
      <c r="C1033" s="3" t="s">
        <v>4760</v>
      </c>
      <c r="D1033" s="4" t="s">
        <v>4920</v>
      </c>
      <c r="E1033" s="3" t="s">
        <v>4921</v>
      </c>
      <c r="F1033" s="34" t="s">
        <v>4609</v>
      </c>
      <c r="G1033" s="6"/>
      <c r="H1033" s="3" t="s">
        <v>4610</v>
      </c>
    </row>
    <row r="1034" spans="1:8" ht="15.75" customHeight="1">
      <c r="A1034" s="3" t="s">
        <v>710</v>
      </c>
      <c r="B1034" s="3" t="s">
        <v>1698</v>
      </c>
      <c r="C1034" s="3" t="s">
        <v>91</v>
      </c>
      <c r="D1034" s="4" t="s">
        <v>4922</v>
      </c>
      <c r="E1034" s="3" t="s">
        <v>4923</v>
      </c>
      <c r="F1034" s="34" t="s">
        <v>4510</v>
      </c>
      <c r="G1034" s="6"/>
      <c r="H1034" s="3" t="s">
        <v>4511</v>
      </c>
    </row>
    <row r="1035" spans="1:8" ht="15.75" customHeight="1">
      <c r="A1035" s="3" t="s">
        <v>4924</v>
      </c>
      <c r="B1035" s="3" t="s">
        <v>849</v>
      </c>
      <c r="C1035" s="3" t="s">
        <v>602</v>
      </c>
      <c r="D1035" s="4" t="s">
        <v>4925</v>
      </c>
      <c r="E1035" s="3" t="s">
        <v>4926</v>
      </c>
      <c r="F1035" s="3" t="s">
        <v>4927</v>
      </c>
      <c r="G1035" s="6"/>
      <c r="H1035" s="3" t="s">
        <v>4265</v>
      </c>
    </row>
    <row r="1036" spans="1:8" ht="15.75" customHeight="1">
      <c r="A1036" s="3" t="s">
        <v>4928</v>
      </c>
      <c r="B1036" s="3" t="s">
        <v>3641</v>
      </c>
      <c r="C1036" s="3" t="s">
        <v>4929</v>
      </c>
      <c r="D1036" s="4" t="s">
        <v>4930</v>
      </c>
      <c r="E1036" s="3" t="s">
        <v>4931</v>
      </c>
      <c r="F1036" s="34" t="s">
        <v>4182</v>
      </c>
      <c r="G1036" s="6"/>
      <c r="H1036" s="3" t="s">
        <v>4183</v>
      </c>
    </row>
    <row r="1037" spans="1:8" ht="15.75" customHeight="1">
      <c r="A1037" s="3" t="s">
        <v>4932</v>
      </c>
      <c r="B1037" s="3" t="s">
        <v>1403</v>
      </c>
      <c r="C1037" s="3" t="s">
        <v>4933</v>
      </c>
      <c r="D1037" s="4" t="s">
        <v>4934</v>
      </c>
      <c r="E1037" s="3" t="s">
        <v>4935</v>
      </c>
      <c r="F1037" s="34" t="s">
        <v>4244</v>
      </c>
      <c r="G1037" s="6"/>
      <c r="H1037" s="3" t="s">
        <v>4245</v>
      </c>
    </row>
    <row r="1038" spans="1:8" ht="15.75" customHeight="1">
      <c r="A1038" s="3" t="s">
        <v>1517</v>
      </c>
      <c r="B1038" s="3" t="s">
        <v>1030</v>
      </c>
      <c r="C1038" s="3" t="s">
        <v>4330</v>
      </c>
      <c r="D1038" s="4" t="s">
        <v>4936</v>
      </c>
      <c r="E1038" s="3" t="s">
        <v>4937</v>
      </c>
      <c r="F1038" s="34" t="s">
        <v>4255</v>
      </c>
      <c r="G1038" s="6"/>
      <c r="H1038" s="3" t="s">
        <v>4938</v>
      </c>
    </row>
    <row r="1039" spans="1:8" ht="15.75" customHeight="1">
      <c r="A1039" s="3" t="s">
        <v>812</v>
      </c>
      <c r="B1039" s="3" t="s">
        <v>4939</v>
      </c>
      <c r="C1039" s="3" t="s">
        <v>4940</v>
      </c>
      <c r="D1039" s="4" t="s">
        <v>4941</v>
      </c>
      <c r="E1039" s="3" t="s">
        <v>4942</v>
      </c>
      <c r="F1039" s="6"/>
      <c r="G1039" s="6"/>
      <c r="H1039" s="3" t="s">
        <v>4943</v>
      </c>
    </row>
    <row r="1040" spans="1:8" ht="15.75" customHeight="1">
      <c r="A1040" s="3" t="s">
        <v>4944</v>
      </c>
      <c r="B1040" s="3" t="s">
        <v>4945</v>
      </c>
      <c r="C1040" s="3" t="s">
        <v>4946</v>
      </c>
      <c r="D1040" s="4" t="s">
        <v>4947</v>
      </c>
      <c r="E1040" s="3" t="s">
        <v>4948</v>
      </c>
      <c r="F1040" s="34" t="s">
        <v>4276</v>
      </c>
      <c r="G1040" s="6"/>
      <c r="H1040" s="3" t="s">
        <v>4277</v>
      </c>
    </row>
    <row r="1041" spans="1:8" ht="15.75" customHeight="1">
      <c r="A1041" s="3" t="s">
        <v>4949</v>
      </c>
      <c r="B1041" s="3" t="s">
        <v>4950</v>
      </c>
      <c r="C1041" s="3" t="s">
        <v>4951</v>
      </c>
      <c r="D1041" s="4" t="s">
        <v>4952</v>
      </c>
      <c r="E1041" s="3" t="s">
        <v>4953</v>
      </c>
      <c r="F1041" s="34" t="s">
        <v>4229</v>
      </c>
      <c r="G1041" s="6"/>
      <c r="H1041" s="3" t="s">
        <v>4230</v>
      </c>
    </row>
    <row r="1042" spans="1:8" ht="15.75" customHeight="1">
      <c r="A1042" s="3" t="s">
        <v>4954</v>
      </c>
      <c r="B1042" s="3" t="s">
        <v>856</v>
      </c>
      <c r="C1042" s="3" t="s">
        <v>602</v>
      </c>
      <c r="D1042" s="4" t="s">
        <v>4955</v>
      </c>
      <c r="E1042" s="3" t="s">
        <v>4956</v>
      </c>
      <c r="F1042" s="34" t="s">
        <v>4206</v>
      </c>
      <c r="G1042" s="6"/>
      <c r="H1042" s="3" t="s">
        <v>4207</v>
      </c>
    </row>
    <row r="1043" spans="1:8" ht="15.75" customHeight="1">
      <c r="A1043" s="3" t="s">
        <v>4957</v>
      </c>
      <c r="B1043" s="3" t="s">
        <v>4958</v>
      </c>
      <c r="C1043" s="3" t="s">
        <v>4959</v>
      </c>
      <c r="D1043" s="4" t="s">
        <v>4960</v>
      </c>
      <c r="E1043" s="3" t="s">
        <v>4961</v>
      </c>
      <c r="F1043" s="34" t="s">
        <v>4206</v>
      </c>
      <c r="G1043" s="6"/>
      <c r="H1043" s="3" t="s">
        <v>4207</v>
      </c>
    </row>
    <row r="1044" spans="1:8" ht="15.75" customHeight="1">
      <c r="A1044" s="3" t="s">
        <v>289</v>
      </c>
      <c r="B1044" s="3" t="s">
        <v>3995</v>
      </c>
      <c r="C1044" s="3" t="s">
        <v>4330</v>
      </c>
      <c r="D1044" s="4" t="s">
        <v>4962</v>
      </c>
      <c r="E1044" s="3" t="s">
        <v>4963</v>
      </c>
      <c r="F1044" s="34" t="s">
        <v>4964</v>
      </c>
      <c r="G1044" s="6"/>
      <c r="H1044" s="3" t="s">
        <v>4965</v>
      </c>
    </row>
    <row r="1045" spans="1:8" ht="15.75" customHeight="1">
      <c r="A1045" s="3" t="s">
        <v>4966</v>
      </c>
      <c r="B1045" s="3" t="s">
        <v>935</v>
      </c>
      <c r="C1045" s="3" t="s">
        <v>4664</v>
      </c>
      <c r="D1045" s="4" t="s">
        <v>4967</v>
      </c>
      <c r="E1045" s="3" t="s">
        <v>4968</v>
      </c>
      <c r="F1045" s="34" t="s">
        <v>4969</v>
      </c>
      <c r="G1045" s="6"/>
      <c r="H1045" s="3" t="s">
        <v>4640</v>
      </c>
    </row>
    <row r="1046" spans="1:8" ht="15.75" customHeight="1">
      <c r="A1046" s="3" t="s">
        <v>2641</v>
      </c>
      <c r="B1046" s="3" t="s">
        <v>4970</v>
      </c>
      <c r="C1046" s="3" t="s">
        <v>4971</v>
      </c>
      <c r="D1046" s="4" t="s">
        <v>4972</v>
      </c>
      <c r="E1046" s="3" t="s">
        <v>4973</v>
      </c>
      <c r="F1046" s="34" t="s">
        <v>4786</v>
      </c>
      <c r="G1046" s="6"/>
      <c r="H1046" s="3" t="s">
        <v>4207</v>
      </c>
    </row>
    <row r="1047" spans="1:8" ht="15.75" customHeight="1">
      <c r="A1047" s="3" t="s">
        <v>685</v>
      </c>
      <c r="B1047" s="3" t="s">
        <v>40</v>
      </c>
      <c r="C1047" s="3" t="s">
        <v>1684</v>
      </c>
      <c r="D1047" s="4" t="s">
        <v>4974</v>
      </c>
      <c r="E1047" s="3" t="s">
        <v>4975</v>
      </c>
      <c r="F1047" s="34" t="s">
        <v>4976</v>
      </c>
      <c r="G1047" s="6"/>
      <c r="H1047" s="3" t="s">
        <v>4977</v>
      </c>
    </row>
    <row r="1048" spans="1:8" ht="15.75" customHeight="1">
      <c r="A1048" s="3" t="s">
        <v>4978</v>
      </c>
      <c r="B1048" s="3" t="s">
        <v>1491</v>
      </c>
      <c r="C1048" s="3" t="s">
        <v>4979</v>
      </c>
      <c r="D1048" s="4" t="s">
        <v>4980</v>
      </c>
      <c r="E1048" s="3" t="s">
        <v>4981</v>
      </c>
      <c r="F1048" s="34" t="s">
        <v>4982</v>
      </c>
      <c r="G1048" s="6"/>
      <c r="H1048" s="3" t="s">
        <v>4220</v>
      </c>
    </row>
    <row r="1049" spans="1:8" ht="15.75" customHeight="1">
      <c r="A1049" s="3" t="s">
        <v>58</v>
      </c>
      <c r="B1049" s="3" t="s">
        <v>849</v>
      </c>
      <c r="C1049" s="3" t="s">
        <v>4983</v>
      </c>
      <c r="D1049" s="6"/>
      <c r="E1049" s="3" t="s">
        <v>4984</v>
      </c>
      <c r="F1049" s="34" t="s">
        <v>4985</v>
      </c>
      <c r="G1049" s="6"/>
      <c r="H1049" s="3" t="s">
        <v>4177</v>
      </c>
    </row>
    <row r="1050" spans="1:8" ht="15.75" customHeight="1">
      <c r="A1050" s="3" t="s">
        <v>1222</v>
      </c>
      <c r="B1050" s="3" t="s">
        <v>3376</v>
      </c>
      <c r="C1050" s="3" t="s">
        <v>4879</v>
      </c>
      <c r="D1050" s="4" t="s">
        <v>4986</v>
      </c>
      <c r="E1050" s="3" t="s">
        <v>4987</v>
      </c>
      <c r="F1050" s="34" t="s">
        <v>4229</v>
      </c>
      <c r="G1050" s="6"/>
      <c r="H1050" s="3" t="s">
        <v>4230</v>
      </c>
    </row>
    <row r="1051" spans="1:8" ht="15.75" customHeight="1">
      <c r="A1051" s="3" t="s">
        <v>3799</v>
      </c>
      <c r="B1051" s="3" t="s">
        <v>4834</v>
      </c>
      <c r="C1051" s="3" t="s">
        <v>4988</v>
      </c>
      <c r="D1051" s="4" t="s">
        <v>4989</v>
      </c>
      <c r="E1051" s="3" t="s">
        <v>4836</v>
      </c>
      <c r="F1051" s="34" t="s">
        <v>4188</v>
      </c>
      <c r="G1051" s="6"/>
      <c r="H1051" s="3" t="s">
        <v>4189</v>
      </c>
    </row>
    <row r="1052" spans="1:8" ht="15.75" customHeight="1">
      <c r="A1052" s="3" t="s">
        <v>4990</v>
      </c>
      <c r="B1052" s="3" t="s">
        <v>4991</v>
      </c>
      <c r="C1052" s="3" t="s">
        <v>4992</v>
      </c>
      <c r="D1052" s="4" t="s">
        <v>4993</v>
      </c>
      <c r="E1052" s="3" t="s">
        <v>4994</v>
      </c>
      <c r="F1052" s="34" t="s">
        <v>4182</v>
      </c>
      <c r="G1052" s="6"/>
      <c r="H1052" s="3" t="s">
        <v>4183</v>
      </c>
    </row>
    <row r="1053" spans="1:8" ht="15.75" customHeight="1">
      <c r="A1053" s="3" t="s">
        <v>4995</v>
      </c>
      <c r="B1053" s="3" t="s">
        <v>4445</v>
      </c>
      <c r="C1053" s="3" t="s">
        <v>4996</v>
      </c>
      <c r="D1053" s="4" t="s">
        <v>4997</v>
      </c>
      <c r="E1053" s="3" t="s">
        <v>4998</v>
      </c>
      <c r="F1053" s="34" t="s">
        <v>4229</v>
      </c>
      <c r="G1053" s="6"/>
      <c r="H1053" s="3" t="s">
        <v>4230</v>
      </c>
    </row>
    <row r="1054" spans="1:8" ht="15.75" customHeight="1">
      <c r="A1054" s="3" t="s">
        <v>4999</v>
      </c>
      <c r="B1054" s="3" t="s">
        <v>5000</v>
      </c>
      <c r="C1054" s="3" t="s">
        <v>5001</v>
      </c>
      <c r="D1054" s="4" t="s">
        <v>5002</v>
      </c>
      <c r="E1054" s="3" t="s">
        <v>5003</v>
      </c>
      <c r="F1054" s="34" t="s">
        <v>4229</v>
      </c>
      <c r="G1054" s="6"/>
      <c r="H1054" s="3" t="s">
        <v>4230</v>
      </c>
    </row>
    <row r="1055" spans="1:8" ht="15.75" customHeight="1">
      <c r="A1055" s="3" t="s">
        <v>5004</v>
      </c>
      <c r="B1055" s="3" t="s">
        <v>5005</v>
      </c>
      <c r="C1055" s="3" t="s">
        <v>5006</v>
      </c>
      <c r="D1055" s="4" t="s">
        <v>5007</v>
      </c>
      <c r="E1055" s="3" t="s">
        <v>5008</v>
      </c>
      <c r="F1055" s="34" t="s">
        <v>5009</v>
      </c>
      <c r="G1055" s="6"/>
      <c r="H1055" s="3" t="s">
        <v>5010</v>
      </c>
    </row>
    <row r="1056" spans="1:8" ht="15.75" customHeight="1">
      <c r="A1056" s="3" t="s">
        <v>3650</v>
      </c>
      <c r="B1056" s="3" t="s">
        <v>5011</v>
      </c>
      <c r="C1056" s="3" t="s">
        <v>91</v>
      </c>
      <c r="D1056" s="4" t="s">
        <v>5012</v>
      </c>
      <c r="E1056" s="3" t="s">
        <v>5013</v>
      </c>
      <c r="F1056" s="34" t="s">
        <v>4229</v>
      </c>
      <c r="G1056" s="6"/>
      <c r="H1056" s="3" t="s">
        <v>4230</v>
      </c>
    </row>
    <row r="1057" spans="1:8" ht="15.75" customHeight="1">
      <c r="A1057" s="3" t="s">
        <v>5014</v>
      </c>
      <c r="B1057" s="3" t="s">
        <v>5015</v>
      </c>
      <c r="C1057" s="3" t="s">
        <v>5016</v>
      </c>
      <c r="D1057" s="4" t="s">
        <v>5017</v>
      </c>
      <c r="E1057" s="3" t="s">
        <v>5018</v>
      </c>
      <c r="F1057" s="34" t="s">
        <v>4600</v>
      </c>
      <c r="G1057" s="6"/>
      <c r="H1057" s="3" t="s">
        <v>4183</v>
      </c>
    </row>
    <row r="1058" spans="1:8" ht="15.75" customHeight="1">
      <c r="A1058" s="3" t="s">
        <v>812</v>
      </c>
      <c r="B1058" s="3" t="s">
        <v>592</v>
      </c>
      <c r="C1058" s="3" t="s">
        <v>4400</v>
      </c>
      <c r="D1058" s="4" t="s">
        <v>5019</v>
      </c>
      <c r="E1058" s="3" t="s">
        <v>5020</v>
      </c>
      <c r="F1058" s="6"/>
      <c r="G1058" s="6"/>
      <c r="H1058" s="3" t="s">
        <v>4404</v>
      </c>
    </row>
    <row r="1059" spans="1:8" ht="15.75" customHeight="1">
      <c r="A1059" s="3" t="s">
        <v>5021</v>
      </c>
      <c r="B1059" s="3" t="s">
        <v>5022</v>
      </c>
      <c r="C1059" s="3" t="s">
        <v>5023</v>
      </c>
      <c r="D1059" s="4" t="s">
        <v>5024</v>
      </c>
      <c r="E1059" s="3" t="s">
        <v>5025</v>
      </c>
      <c r="F1059" s="34" t="s">
        <v>5026</v>
      </c>
      <c r="G1059" s="6"/>
      <c r="H1059" s="3" t="s">
        <v>4177</v>
      </c>
    </row>
    <row r="1060" spans="1:8" ht="15.75" customHeight="1">
      <c r="A1060" s="3" t="s">
        <v>5027</v>
      </c>
      <c r="B1060" s="3" t="s">
        <v>5028</v>
      </c>
      <c r="C1060" s="3" t="s">
        <v>5029</v>
      </c>
      <c r="D1060" s="4" t="s">
        <v>5030</v>
      </c>
      <c r="E1060" s="3" t="s">
        <v>5031</v>
      </c>
      <c r="F1060" s="34" t="s">
        <v>4311</v>
      </c>
      <c r="G1060" s="6"/>
      <c r="H1060" s="3" t="s">
        <v>4312</v>
      </c>
    </row>
    <row r="1061" spans="1:8" ht="15.75" customHeight="1">
      <c r="A1061" s="3" t="s">
        <v>5032</v>
      </c>
      <c r="B1061" s="3" t="s">
        <v>5033</v>
      </c>
      <c r="C1061" s="3" t="s">
        <v>5034</v>
      </c>
      <c r="D1061" s="4" t="s">
        <v>5035</v>
      </c>
      <c r="E1061" s="3" t="s">
        <v>5036</v>
      </c>
      <c r="F1061" s="34" t="s">
        <v>4229</v>
      </c>
      <c r="G1061" s="6"/>
      <c r="H1061" s="3" t="s">
        <v>4230</v>
      </c>
    </row>
    <row r="1062" spans="1:8" ht="15.75" customHeight="1">
      <c r="A1062" s="3" t="s">
        <v>2931</v>
      </c>
      <c r="B1062" s="3" t="s">
        <v>5037</v>
      </c>
      <c r="C1062" s="3" t="s">
        <v>5038</v>
      </c>
      <c r="D1062" s="4" t="s">
        <v>5039</v>
      </c>
      <c r="E1062" s="3" t="s">
        <v>5040</v>
      </c>
      <c r="F1062" s="34" t="s">
        <v>4276</v>
      </c>
      <c r="G1062" s="6"/>
      <c r="H1062" s="3" t="s">
        <v>4277</v>
      </c>
    </row>
    <row r="1063" spans="1:8" ht="15.75" customHeight="1">
      <c r="A1063" s="3" t="s">
        <v>710</v>
      </c>
      <c r="B1063" s="3" t="s">
        <v>49</v>
      </c>
      <c r="C1063" s="3" t="s">
        <v>5041</v>
      </c>
      <c r="D1063" s="4" t="s">
        <v>5042</v>
      </c>
      <c r="E1063" s="3" t="s">
        <v>5043</v>
      </c>
      <c r="F1063" s="34" t="s">
        <v>4276</v>
      </c>
      <c r="G1063" s="6"/>
      <c r="H1063" s="3" t="s">
        <v>4277</v>
      </c>
    </row>
    <row r="1064" spans="1:8" ht="15.75" customHeight="1">
      <c r="A1064" s="3" t="s">
        <v>5044</v>
      </c>
      <c r="B1064" s="3" t="s">
        <v>5045</v>
      </c>
      <c r="C1064" s="3" t="s">
        <v>4364</v>
      </c>
      <c r="D1064" s="4" t="s">
        <v>5046</v>
      </c>
      <c r="E1064" s="3" t="s">
        <v>5047</v>
      </c>
      <c r="F1064" s="34" t="s">
        <v>5009</v>
      </c>
      <c r="G1064" s="6"/>
      <c r="H1064" s="3" t="s">
        <v>5010</v>
      </c>
    </row>
    <row r="1065" spans="1:8" ht="15.75" customHeight="1">
      <c r="A1065" s="3" t="s">
        <v>5048</v>
      </c>
      <c r="B1065" s="3" t="s">
        <v>5049</v>
      </c>
      <c r="C1065" s="3" t="s">
        <v>5050</v>
      </c>
      <c r="D1065" s="4" t="s">
        <v>5051</v>
      </c>
      <c r="E1065" s="3" t="s">
        <v>5052</v>
      </c>
      <c r="F1065" s="34" t="s">
        <v>4182</v>
      </c>
      <c r="G1065" s="6"/>
      <c r="H1065" s="3" t="s">
        <v>4183</v>
      </c>
    </row>
    <row r="1066" spans="1:8" ht="15.75" customHeight="1">
      <c r="A1066" s="3" t="s">
        <v>5053</v>
      </c>
      <c r="B1066" s="3" t="s">
        <v>732</v>
      </c>
      <c r="C1066" s="3" t="s">
        <v>5054</v>
      </c>
      <c r="D1066" s="4" t="s">
        <v>5055</v>
      </c>
      <c r="E1066" s="3" t="s">
        <v>5056</v>
      </c>
      <c r="F1066" s="6"/>
      <c r="G1066" s="6"/>
      <c r="H1066" s="3" t="s">
        <v>4500</v>
      </c>
    </row>
    <row r="1067" spans="1:8" ht="15.75" customHeight="1">
      <c r="A1067" s="3" t="s">
        <v>710</v>
      </c>
      <c r="B1067" s="3" t="s">
        <v>5057</v>
      </c>
      <c r="C1067" s="3" t="s">
        <v>91</v>
      </c>
      <c r="D1067" s="6"/>
      <c r="E1067" s="3" t="s">
        <v>5058</v>
      </c>
      <c r="F1067" s="35">
        <v>5255600000000000</v>
      </c>
      <c r="G1067" s="6"/>
      <c r="H1067" s="3" t="s">
        <v>4207</v>
      </c>
    </row>
    <row r="1068" spans="1:8" ht="15.75" customHeight="1">
      <c r="A1068" s="3" t="s">
        <v>5059</v>
      </c>
      <c r="B1068" s="3" t="s">
        <v>5060</v>
      </c>
      <c r="C1068" s="3" t="s">
        <v>5061</v>
      </c>
      <c r="D1068" s="4" t="s">
        <v>5062</v>
      </c>
      <c r="E1068" s="3" t="s">
        <v>5063</v>
      </c>
      <c r="F1068" s="34" t="s">
        <v>4188</v>
      </c>
      <c r="G1068" s="6"/>
      <c r="H1068" s="3" t="s">
        <v>4189</v>
      </c>
    </row>
    <row r="1069" spans="1:8" ht="15.75" customHeight="1">
      <c r="A1069" s="3" t="s">
        <v>3787</v>
      </c>
      <c r="B1069" s="3" t="s">
        <v>5064</v>
      </c>
      <c r="C1069" s="3" t="s">
        <v>5065</v>
      </c>
      <c r="D1069" s="4" t="s">
        <v>5066</v>
      </c>
      <c r="E1069" s="3" t="s">
        <v>5067</v>
      </c>
      <c r="F1069" s="34" t="s">
        <v>5009</v>
      </c>
      <c r="G1069" s="6"/>
      <c r="H1069" s="3" t="s">
        <v>5010</v>
      </c>
    </row>
    <row r="1070" spans="1:8" ht="15.75" customHeight="1">
      <c r="A1070" s="3" t="s">
        <v>5068</v>
      </c>
      <c r="B1070" s="3" t="s">
        <v>5069</v>
      </c>
      <c r="C1070" s="3" t="s">
        <v>5070</v>
      </c>
      <c r="D1070" s="6"/>
      <c r="E1070" s="3" t="s">
        <v>5071</v>
      </c>
      <c r="F1070" s="34" t="s">
        <v>4544</v>
      </c>
      <c r="G1070" s="6"/>
      <c r="H1070" s="3" t="s">
        <v>4545</v>
      </c>
    </row>
    <row r="1071" spans="1:8" ht="15.75" customHeight="1">
      <c r="A1071" s="3" t="s">
        <v>184</v>
      </c>
      <c r="B1071" s="3" t="s">
        <v>3457</v>
      </c>
      <c r="C1071" s="3" t="s">
        <v>4330</v>
      </c>
      <c r="D1071" s="6"/>
      <c r="E1071" s="3" t="s">
        <v>5072</v>
      </c>
      <c r="F1071" s="6"/>
      <c r="G1071" s="6"/>
      <c r="H1071" s="3" t="s">
        <v>5073</v>
      </c>
    </row>
    <row r="1072" spans="1:8" ht="15.75" customHeight="1">
      <c r="A1072" s="3" t="s">
        <v>4763</v>
      </c>
      <c r="B1072" s="3" t="s">
        <v>5074</v>
      </c>
      <c r="C1072" s="3" t="s">
        <v>229</v>
      </c>
      <c r="D1072" s="4" t="s">
        <v>5075</v>
      </c>
      <c r="E1072" s="3" t="s">
        <v>5076</v>
      </c>
      <c r="F1072" s="6"/>
      <c r="G1072" s="6"/>
      <c r="H1072" s="3" t="s">
        <v>5077</v>
      </c>
    </row>
    <row r="1073" spans="1:8" ht="15.75" customHeight="1">
      <c r="A1073" s="3" t="s">
        <v>4864</v>
      </c>
      <c r="B1073" s="3" t="s">
        <v>4279</v>
      </c>
      <c r="C1073" s="3" t="s">
        <v>229</v>
      </c>
      <c r="D1073" s="4" t="s">
        <v>5078</v>
      </c>
      <c r="E1073" s="3" t="s">
        <v>5079</v>
      </c>
      <c r="F1073" s="34" t="s">
        <v>4182</v>
      </c>
      <c r="G1073" s="6"/>
      <c r="H1073" s="3" t="s">
        <v>4183</v>
      </c>
    </row>
    <row r="1074" spans="1:8" ht="15.75" customHeight="1">
      <c r="A1074" s="3" t="s">
        <v>5080</v>
      </c>
      <c r="B1074" s="3" t="s">
        <v>5081</v>
      </c>
      <c r="C1074" s="3" t="s">
        <v>4364</v>
      </c>
      <c r="D1074" s="4" t="s">
        <v>5082</v>
      </c>
      <c r="E1074" s="3" t="s">
        <v>5083</v>
      </c>
      <c r="F1074" s="34" t="s">
        <v>4188</v>
      </c>
      <c r="G1074" s="6"/>
      <c r="H1074" s="3" t="s">
        <v>4189</v>
      </c>
    </row>
    <row r="1075" spans="1:8" ht="15.75" customHeight="1">
      <c r="A1075" s="3" t="s">
        <v>5084</v>
      </c>
      <c r="B1075" s="3" t="s">
        <v>5085</v>
      </c>
      <c r="C1075" s="3" t="s">
        <v>5086</v>
      </c>
      <c r="D1075" s="4" t="s">
        <v>5087</v>
      </c>
      <c r="E1075" s="3" t="s">
        <v>5088</v>
      </c>
      <c r="F1075" s="34" t="s">
        <v>4229</v>
      </c>
      <c r="G1075" s="6"/>
      <c r="H1075" s="3" t="s">
        <v>4230</v>
      </c>
    </row>
    <row r="1076" spans="1:8" ht="15.75" customHeight="1">
      <c r="A1076" s="3" t="s">
        <v>3305</v>
      </c>
      <c r="B1076" s="3" t="s">
        <v>5089</v>
      </c>
      <c r="C1076" s="3" t="s">
        <v>4727</v>
      </c>
      <c r="D1076" s="4" t="s">
        <v>5090</v>
      </c>
      <c r="E1076" s="3" t="s">
        <v>5091</v>
      </c>
      <c r="F1076" s="34" t="s">
        <v>4487</v>
      </c>
      <c r="G1076" s="6"/>
      <c r="H1076" s="4" t="s">
        <v>4488</v>
      </c>
    </row>
    <row r="1077" spans="1:8" ht="15.75" customHeight="1">
      <c r="A1077" s="3" t="s">
        <v>5092</v>
      </c>
      <c r="B1077" s="3" t="s">
        <v>5093</v>
      </c>
      <c r="C1077" s="3" t="s">
        <v>4306</v>
      </c>
      <c r="D1077" s="6"/>
      <c r="E1077" s="3" t="s">
        <v>5094</v>
      </c>
      <c r="F1077" s="34" t="s">
        <v>5095</v>
      </c>
      <c r="G1077" s="6"/>
      <c r="H1077" s="3" t="s">
        <v>4355</v>
      </c>
    </row>
    <row r="1078" spans="1:8" ht="15.75" customHeight="1">
      <c r="A1078" s="3" t="s">
        <v>710</v>
      </c>
      <c r="B1078" s="3" t="s">
        <v>3149</v>
      </c>
      <c r="C1078" s="3" t="s">
        <v>5096</v>
      </c>
      <c r="D1078" s="4" t="s">
        <v>5097</v>
      </c>
      <c r="E1078" s="3" t="s">
        <v>5098</v>
      </c>
      <c r="F1078" s="34" t="s">
        <v>5099</v>
      </c>
      <c r="G1078" s="6"/>
      <c r="H1078" s="3" t="s">
        <v>5100</v>
      </c>
    </row>
    <row r="1079" spans="1:8" ht="15.75" customHeight="1">
      <c r="A1079" s="3" t="s">
        <v>39</v>
      </c>
      <c r="B1079" s="3" t="s">
        <v>4251</v>
      </c>
      <c r="C1079" s="3" t="s">
        <v>4664</v>
      </c>
      <c r="D1079" s="4" t="s">
        <v>4253</v>
      </c>
      <c r="E1079" s="3" t="s">
        <v>4254</v>
      </c>
      <c r="F1079" s="34" t="s">
        <v>4255</v>
      </c>
      <c r="G1079" s="6"/>
      <c r="H1079" s="3" t="s">
        <v>4938</v>
      </c>
    </row>
    <row r="1080" spans="1:8" ht="15.75" customHeight="1">
      <c r="A1080" s="3" t="s">
        <v>5101</v>
      </c>
      <c r="B1080" s="6"/>
      <c r="C1080" s="3" t="s">
        <v>5102</v>
      </c>
      <c r="D1080" s="6"/>
      <c r="E1080" s="3" t="s">
        <v>5103</v>
      </c>
      <c r="F1080" s="34" t="s">
        <v>5104</v>
      </c>
      <c r="G1080" s="6"/>
      <c r="H1080" s="3" t="s">
        <v>4545</v>
      </c>
    </row>
    <row r="1081" spans="1:8" ht="15.75" customHeight="1">
      <c r="A1081" s="3" t="s">
        <v>528</v>
      </c>
      <c r="B1081" s="3" t="s">
        <v>5105</v>
      </c>
      <c r="C1081" s="3" t="s">
        <v>229</v>
      </c>
      <c r="D1081" s="4" t="s">
        <v>5106</v>
      </c>
      <c r="E1081" s="3" t="s">
        <v>5107</v>
      </c>
      <c r="F1081" s="34" t="s">
        <v>4229</v>
      </c>
      <c r="G1081" s="6"/>
      <c r="H1081" s="3" t="s">
        <v>4230</v>
      </c>
    </row>
    <row r="1082" spans="1:8" ht="15.75" customHeight="1">
      <c r="A1082" s="3" t="s">
        <v>5108</v>
      </c>
      <c r="B1082" s="3" t="s">
        <v>5109</v>
      </c>
      <c r="C1082" s="3" t="s">
        <v>5110</v>
      </c>
      <c r="D1082" s="4" t="s">
        <v>5111</v>
      </c>
      <c r="E1082" s="3" t="s">
        <v>5112</v>
      </c>
      <c r="F1082" s="34" t="s">
        <v>5113</v>
      </c>
      <c r="G1082" s="6"/>
      <c r="H1082" s="3" t="s">
        <v>5114</v>
      </c>
    </row>
    <row r="1083" spans="1:8" ht="15.75" customHeight="1">
      <c r="A1083" s="3" t="s">
        <v>5115</v>
      </c>
      <c r="B1083" s="3" t="s">
        <v>1403</v>
      </c>
      <c r="C1083" s="3" t="s">
        <v>5116</v>
      </c>
      <c r="D1083" s="4" t="s">
        <v>5117</v>
      </c>
      <c r="E1083" s="3" t="s">
        <v>5118</v>
      </c>
      <c r="F1083" s="34" t="s">
        <v>4188</v>
      </c>
      <c r="G1083" s="6"/>
      <c r="H1083" s="3" t="s">
        <v>4189</v>
      </c>
    </row>
    <row r="1084" spans="1:8" ht="15.75" customHeight="1">
      <c r="A1084" s="3" t="s">
        <v>2509</v>
      </c>
      <c r="B1084" s="3" t="s">
        <v>3457</v>
      </c>
      <c r="C1084" s="3" t="s">
        <v>4646</v>
      </c>
      <c r="D1084" s="4" t="s">
        <v>5119</v>
      </c>
      <c r="E1084" s="3" t="s">
        <v>4648</v>
      </c>
      <c r="F1084" s="34" t="s">
        <v>4276</v>
      </c>
      <c r="G1084" s="6"/>
      <c r="H1084" s="3" t="s">
        <v>4277</v>
      </c>
    </row>
    <row r="1085" spans="1:8" ht="15.75" customHeight="1">
      <c r="A1085" s="3" t="s">
        <v>4470</v>
      </c>
      <c r="B1085" s="3" t="s">
        <v>4471</v>
      </c>
      <c r="C1085" s="3" t="s">
        <v>4357</v>
      </c>
      <c r="D1085" s="4" t="s">
        <v>4473</v>
      </c>
      <c r="E1085" s="3" t="s">
        <v>4474</v>
      </c>
      <c r="F1085" s="34" t="s">
        <v>4367</v>
      </c>
      <c r="G1085" s="6"/>
      <c r="H1085" s="3" t="s">
        <v>4368</v>
      </c>
    </row>
    <row r="1086" spans="1:8" ht="15.75" customHeight="1">
      <c r="A1086" s="3" t="s">
        <v>4693</v>
      </c>
      <c r="B1086" s="3" t="s">
        <v>5120</v>
      </c>
      <c r="C1086" s="3" t="s">
        <v>3394</v>
      </c>
      <c r="D1086" s="4" t="s">
        <v>5121</v>
      </c>
      <c r="E1086" s="3" t="s">
        <v>5122</v>
      </c>
      <c r="F1086" s="34" t="s">
        <v>5123</v>
      </c>
      <c r="G1086" s="6"/>
      <c r="H1086" s="3" t="s">
        <v>5124</v>
      </c>
    </row>
    <row r="1087" spans="1:8" ht="15.75" customHeight="1">
      <c r="A1087" s="3" t="s">
        <v>5125</v>
      </c>
      <c r="B1087" s="3" t="s">
        <v>5126</v>
      </c>
      <c r="C1087" s="3" t="s">
        <v>4321</v>
      </c>
      <c r="D1087" s="6"/>
      <c r="E1087" s="3" t="s">
        <v>5127</v>
      </c>
      <c r="F1087" s="34" t="s">
        <v>5113</v>
      </c>
      <c r="G1087" s="6"/>
      <c r="H1087" s="3" t="s">
        <v>5114</v>
      </c>
    </row>
    <row r="1088" spans="1:8" ht="15.75" customHeight="1">
      <c r="A1088" s="3" t="s">
        <v>5128</v>
      </c>
      <c r="B1088" s="3" t="s">
        <v>5129</v>
      </c>
      <c r="C1088" s="3" t="s">
        <v>5130</v>
      </c>
      <c r="D1088" s="4" t="s">
        <v>5131</v>
      </c>
      <c r="E1088" s="3" t="s">
        <v>5132</v>
      </c>
      <c r="F1088" s="34" t="s">
        <v>4188</v>
      </c>
      <c r="G1088" s="6"/>
      <c r="H1088" s="3" t="s">
        <v>4189</v>
      </c>
    </row>
    <row r="1089" spans="1:8" ht="15.75" customHeight="1">
      <c r="A1089" s="3" t="s">
        <v>978</v>
      </c>
      <c r="B1089" s="3" t="s">
        <v>5133</v>
      </c>
      <c r="C1089" s="3" t="s">
        <v>5134</v>
      </c>
      <c r="D1089" s="4" t="s">
        <v>5135</v>
      </c>
      <c r="E1089" s="3" t="s">
        <v>5136</v>
      </c>
      <c r="F1089" s="34" t="s">
        <v>4182</v>
      </c>
      <c r="G1089" s="6"/>
      <c r="H1089" s="3" t="s">
        <v>4183</v>
      </c>
    </row>
    <row r="1090" spans="1:8" ht="15.75" customHeight="1">
      <c r="A1090" s="3" t="s">
        <v>5137</v>
      </c>
      <c r="B1090" s="3" t="s">
        <v>5138</v>
      </c>
      <c r="C1090" s="3" t="s">
        <v>5139</v>
      </c>
      <c r="D1090" s="4" t="s">
        <v>5140</v>
      </c>
      <c r="E1090" s="3" t="s">
        <v>5141</v>
      </c>
      <c r="F1090" s="34" t="s">
        <v>4600</v>
      </c>
      <c r="G1090" s="6"/>
      <c r="H1090" s="3" t="s">
        <v>4183</v>
      </c>
    </row>
    <row r="1091" spans="1:8" ht="15.75" customHeight="1">
      <c r="A1091" s="3" t="s">
        <v>907</v>
      </c>
      <c r="B1091" s="3" t="s">
        <v>5142</v>
      </c>
      <c r="C1091" s="3" t="s">
        <v>5143</v>
      </c>
      <c r="D1091" s="4" t="s">
        <v>5144</v>
      </c>
      <c r="E1091" s="3" t="s">
        <v>5145</v>
      </c>
      <c r="F1091" s="6"/>
      <c r="G1091" s="6"/>
      <c r="H1091" s="3" t="s">
        <v>5146</v>
      </c>
    </row>
    <row r="1092" spans="1:8" ht="15.75" customHeight="1">
      <c r="A1092" s="3" t="s">
        <v>5147</v>
      </c>
      <c r="B1092" s="3" t="s">
        <v>5148</v>
      </c>
      <c r="C1092" s="3" t="s">
        <v>229</v>
      </c>
      <c r="D1092" s="4" t="s">
        <v>5149</v>
      </c>
      <c r="E1092" s="3" t="s">
        <v>5150</v>
      </c>
      <c r="F1092" s="34" t="s">
        <v>4283</v>
      </c>
      <c r="G1092" s="6"/>
      <c r="H1092" s="3" t="s">
        <v>4284</v>
      </c>
    </row>
    <row r="1093" spans="1:8" ht="15.75" customHeight="1">
      <c r="A1093" s="3" t="s">
        <v>5151</v>
      </c>
      <c r="B1093" s="3" t="s">
        <v>5152</v>
      </c>
      <c r="C1093" s="3" t="s">
        <v>5153</v>
      </c>
      <c r="D1093" s="4" t="s">
        <v>5154</v>
      </c>
      <c r="E1093" s="3" t="s">
        <v>5155</v>
      </c>
      <c r="F1093" s="34" t="s">
        <v>4182</v>
      </c>
      <c r="G1093" s="6"/>
      <c r="H1093" s="3" t="s">
        <v>4183</v>
      </c>
    </row>
    <row r="1094" spans="1:8" ht="15.75" customHeight="1">
      <c r="A1094" s="3" t="s">
        <v>4062</v>
      </c>
      <c r="B1094" s="3" t="s">
        <v>1209</v>
      </c>
      <c r="C1094" s="3" t="s">
        <v>5156</v>
      </c>
      <c r="D1094" s="4" t="s">
        <v>5157</v>
      </c>
      <c r="E1094" s="3" t="s">
        <v>5158</v>
      </c>
      <c r="F1094" s="34" t="s">
        <v>5159</v>
      </c>
      <c r="G1094" s="6"/>
      <c r="H1094" s="3" t="s">
        <v>5160</v>
      </c>
    </row>
    <row r="1095" spans="1:8" ht="15.75" customHeight="1">
      <c r="A1095" s="3" t="s">
        <v>1044</v>
      </c>
      <c r="B1095" s="3" t="s">
        <v>8</v>
      </c>
      <c r="C1095" s="3" t="s">
        <v>4992</v>
      </c>
      <c r="D1095" s="4" t="s">
        <v>5161</v>
      </c>
      <c r="E1095" s="3" t="s">
        <v>5162</v>
      </c>
      <c r="F1095" s="34" t="s">
        <v>4182</v>
      </c>
      <c r="G1095" s="6"/>
      <c r="H1095" s="3" t="s">
        <v>4183</v>
      </c>
    </row>
    <row r="1096" spans="1:8" ht="15.75" customHeight="1">
      <c r="A1096" s="3" t="s">
        <v>4257</v>
      </c>
      <c r="B1096" s="3" t="s">
        <v>5163</v>
      </c>
      <c r="C1096" s="3" t="s">
        <v>5164</v>
      </c>
      <c r="D1096" s="4" t="s">
        <v>5165</v>
      </c>
      <c r="E1096" s="3" t="s">
        <v>5166</v>
      </c>
      <c r="F1096" s="34" t="s">
        <v>4229</v>
      </c>
      <c r="G1096" s="6"/>
      <c r="H1096" s="3" t="s">
        <v>4230</v>
      </c>
    </row>
    <row r="1097" spans="1:8" ht="15.75" customHeight="1">
      <c r="A1097" s="3" t="s">
        <v>5167</v>
      </c>
      <c r="B1097" s="3" t="s">
        <v>4279</v>
      </c>
      <c r="C1097" s="3" t="s">
        <v>5168</v>
      </c>
      <c r="D1097" s="4" t="s">
        <v>5169</v>
      </c>
      <c r="E1097" s="3" t="s">
        <v>5170</v>
      </c>
      <c r="F1097" s="34" t="s">
        <v>4283</v>
      </c>
      <c r="G1097" s="6"/>
      <c r="H1097" s="3" t="s">
        <v>4284</v>
      </c>
    </row>
    <row r="1098" spans="1:8" ht="15.75" customHeight="1">
      <c r="A1098" s="3" t="s">
        <v>3089</v>
      </c>
      <c r="B1098" s="3" t="s">
        <v>1993</v>
      </c>
      <c r="C1098" s="3" t="s">
        <v>2678</v>
      </c>
      <c r="D1098" s="4" t="s">
        <v>5171</v>
      </c>
      <c r="E1098" s="3" t="s">
        <v>5172</v>
      </c>
      <c r="F1098" s="34" t="s">
        <v>5173</v>
      </c>
      <c r="G1098" s="6"/>
      <c r="H1098" s="3" t="s">
        <v>5174</v>
      </c>
    </row>
    <row r="1099" spans="1:8" ht="15.75" customHeight="1">
      <c r="A1099" s="3" t="s">
        <v>1815</v>
      </c>
      <c r="B1099" s="3" t="s">
        <v>5175</v>
      </c>
      <c r="C1099" s="3" t="s">
        <v>5176</v>
      </c>
      <c r="D1099" s="4" t="s">
        <v>5177</v>
      </c>
      <c r="E1099" s="3" t="s">
        <v>5178</v>
      </c>
      <c r="F1099" s="3" t="s">
        <v>5179</v>
      </c>
      <c r="G1099" s="6"/>
      <c r="H1099" s="3" t="s">
        <v>5180</v>
      </c>
    </row>
    <row r="1100" spans="1:8" ht="15.75" customHeight="1">
      <c r="A1100" s="3" t="s">
        <v>413</v>
      </c>
      <c r="B1100" s="3" t="s">
        <v>5181</v>
      </c>
      <c r="C1100" s="3" t="s">
        <v>5182</v>
      </c>
      <c r="D1100" s="4" t="s">
        <v>5183</v>
      </c>
      <c r="E1100" s="3" t="s">
        <v>5184</v>
      </c>
      <c r="F1100" s="34" t="s">
        <v>5185</v>
      </c>
      <c r="G1100" s="6"/>
      <c r="H1100" s="3" t="s">
        <v>5186</v>
      </c>
    </row>
    <row r="1101" spans="1:8" ht="15.75" customHeight="1">
      <c r="A1101" s="3" t="s">
        <v>5187</v>
      </c>
      <c r="B1101" s="3" t="s">
        <v>5188</v>
      </c>
      <c r="C1101" s="3" t="s">
        <v>5189</v>
      </c>
      <c r="D1101" s="4" t="s">
        <v>5190</v>
      </c>
      <c r="E1101" s="3" t="s">
        <v>5191</v>
      </c>
      <c r="F1101" s="34" t="s">
        <v>5192</v>
      </c>
      <c r="G1101" s="6"/>
      <c r="H1101" s="3" t="s">
        <v>5193</v>
      </c>
    </row>
    <row r="1102" spans="1:8" ht="15.75" customHeight="1">
      <c r="A1102" s="3" t="s">
        <v>5194</v>
      </c>
      <c r="B1102" s="3" t="s">
        <v>5060</v>
      </c>
      <c r="C1102" s="3" t="s">
        <v>5195</v>
      </c>
      <c r="D1102" s="4" t="s">
        <v>5196</v>
      </c>
      <c r="E1102" s="3" t="s">
        <v>5197</v>
      </c>
      <c r="F1102" s="34" t="s">
        <v>5192</v>
      </c>
      <c r="G1102" s="6"/>
      <c r="H1102" s="3" t="s">
        <v>5193</v>
      </c>
    </row>
    <row r="1103" spans="1:8" ht="15.75" customHeight="1">
      <c r="A1103" s="3" t="s">
        <v>5198</v>
      </c>
      <c r="B1103" s="3" t="s">
        <v>5199</v>
      </c>
      <c r="C1103" s="3" t="s">
        <v>5200</v>
      </c>
      <c r="D1103" s="4" t="s">
        <v>5201</v>
      </c>
      <c r="E1103" s="3" t="s">
        <v>5202</v>
      </c>
      <c r="F1103" s="34" t="s">
        <v>5203</v>
      </c>
      <c r="G1103" s="6"/>
      <c r="H1103" s="3" t="s">
        <v>5204</v>
      </c>
    </row>
    <row r="1104" spans="1:8" ht="15.75" customHeight="1">
      <c r="A1104" s="3" t="s">
        <v>295</v>
      </c>
      <c r="B1104" s="3" t="s">
        <v>2654</v>
      </c>
      <c r="C1104" s="3" t="s">
        <v>5205</v>
      </c>
      <c r="D1104" s="4" t="s">
        <v>5206</v>
      </c>
      <c r="E1104" s="3" t="s">
        <v>5207</v>
      </c>
      <c r="F1104" s="34" t="s">
        <v>5208</v>
      </c>
      <c r="G1104" s="6"/>
      <c r="H1104" s="3" t="s">
        <v>5209</v>
      </c>
    </row>
    <row r="1105" spans="1:8" ht="15.75" customHeight="1">
      <c r="A1105" s="3" t="s">
        <v>5210</v>
      </c>
      <c r="B1105" s="3" t="s">
        <v>5211</v>
      </c>
      <c r="C1105" s="3" t="s">
        <v>5212</v>
      </c>
      <c r="D1105" s="4" t="s">
        <v>5213</v>
      </c>
      <c r="E1105" s="3" t="s">
        <v>5214</v>
      </c>
      <c r="F1105" s="34" t="s">
        <v>5215</v>
      </c>
      <c r="G1105" s="6"/>
      <c r="H1105" s="3" t="s">
        <v>5216</v>
      </c>
    </row>
    <row r="1106" spans="1:8" ht="15.75" customHeight="1">
      <c r="A1106" s="3" t="s">
        <v>5217</v>
      </c>
      <c r="B1106" s="3" t="s">
        <v>5218</v>
      </c>
      <c r="C1106" s="3" t="s">
        <v>1102</v>
      </c>
      <c r="D1106" s="4" t="s">
        <v>5219</v>
      </c>
      <c r="E1106" s="3" t="s">
        <v>5220</v>
      </c>
      <c r="F1106" s="34" t="s">
        <v>5192</v>
      </c>
      <c r="G1106" s="6"/>
      <c r="H1106" s="3" t="s">
        <v>5193</v>
      </c>
    </row>
    <row r="1107" spans="1:8" ht="15.75" customHeight="1">
      <c r="A1107" s="3" t="s">
        <v>5221</v>
      </c>
      <c r="B1107" s="3" t="s">
        <v>5222</v>
      </c>
      <c r="C1107" s="3" t="s">
        <v>5223</v>
      </c>
      <c r="D1107" s="4" t="s">
        <v>5224</v>
      </c>
      <c r="E1107" s="3" t="s">
        <v>5225</v>
      </c>
      <c r="F1107" s="34" t="s">
        <v>5192</v>
      </c>
      <c r="G1107" s="6"/>
      <c r="H1107" s="3" t="s">
        <v>5193</v>
      </c>
    </row>
    <row r="1108" spans="1:8" ht="15.75" customHeight="1">
      <c r="A1108" s="3" t="s">
        <v>160</v>
      </c>
      <c r="B1108" s="3" t="s">
        <v>5226</v>
      </c>
      <c r="C1108" s="3" t="s">
        <v>5227</v>
      </c>
      <c r="D1108" s="6"/>
      <c r="E1108" s="3" t="s">
        <v>5228</v>
      </c>
      <c r="F1108" s="34" t="s">
        <v>5229</v>
      </c>
      <c r="G1108" s="6"/>
      <c r="H1108" s="3" t="s">
        <v>5230</v>
      </c>
    </row>
    <row r="1109" spans="1:8" ht="15.75" customHeight="1">
      <c r="A1109" s="3" t="s">
        <v>800</v>
      </c>
      <c r="B1109" s="3" t="s">
        <v>5231</v>
      </c>
      <c r="C1109" s="3" t="s">
        <v>5232</v>
      </c>
      <c r="D1109" s="4" t="s">
        <v>5233</v>
      </c>
      <c r="E1109" s="3" t="s">
        <v>5234</v>
      </c>
      <c r="F1109" s="34" t="s">
        <v>5235</v>
      </c>
      <c r="G1109" s="6"/>
      <c r="H1109" s="3" t="s">
        <v>5236</v>
      </c>
    </row>
    <row r="1110" spans="1:8" ht="15.75" customHeight="1">
      <c r="A1110" s="3" t="s">
        <v>25</v>
      </c>
      <c r="B1110" s="3" t="s">
        <v>2654</v>
      </c>
      <c r="C1110" s="3" t="s">
        <v>91</v>
      </c>
      <c r="D1110" s="6"/>
      <c r="E1110" s="3" t="s">
        <v>5237</v>
      </c>
      <c r="F1110" s="34" t="s">
        <v>5238</v>
      </c>
      <c r="G1110" s="6"/>
      <c r="H1110" s="3" t="s">
        <v>5239</v>
      </c>
    </row>
    <row r="1111" spans="1:8" ht="15.75" customHeight="1">
      <c r="A1111" s="3" t="s">
        <v>1815</v>
      </c>
      <c r="B1111" s="3" t="s">
        <v>1277</v>
      </c>
      <c r="C1111" s="3" t="s">
        <v>5240</v>
      </c>
      <c r="D1111" s="4" t="s">
        <v>5241</v>
      </c>
      <c r="E1111" s="3" t="s">
        <v>5242</v>
      </c>
      <c r="F1111" s="6"/>
      <c r="G1111" s="6"/>
      <c r="H1111" s="3" t="s">
        <v>5243</v>
      </c>
    </row>
    <row r="1112" spans="1:8" ht="15.75" customHeight="1">
      <c r="A1112" s="3" t="s">
        <v>433</v>
      </c>
      <c r="B1112" s="3" t="s">
        <v>49</v>
      </c>
      <c r="C1112" s="3" t="s">
        <v>4896</v>
      </c>
      <c r="D1112" s="4" t="s">
        <v>5244</v>
      </c>
      <c r="E1112" s="3" t="s">
        <v>5245</v>
      </c>
      <c r="F1112" s="3" t="s">
        <v>5246</v>
      </c>
      <c r="G1112" s="6"/>
      <c r="H1112" s="3" t="s">
        <v>5247</v>
      </c>
    </row>
    <row r="1113" spans="1:8" ht="15.75" customHeight="1">
      <c r="A1113" s="3" t="s">
        <v>5248</v>
      </c>
      <c r="B1113" s="3" t="s">
        <v>5249</v>
      </c>
      <c r="C1113" s="3" t="s">
        <v>5250</v>
      </c>
      <c r="D1113" s="4" t="s">
        <v>5251</v>
      </c>
      <c r="E1113" s="3" t="s">
        <v>5252</v>
      </c>
      <c r="F1113" s="3" t="s">
        <v>5253</v>
      </c>
      <c r="G1113" s="6"/>
      <c r="H1113" s="3" t="s">
        <v>5254</v>
      </c>
    </row>
    <row r="1114" spans="1:8" ht="15.75" customHeight="1">
      <c r="A1114" s="3" t="s">
        <v>2765</v>
      </c>
      <c r="B1114" s="3" t="s">
        <v>5255</v>
      </c>
      <c r="C1114" s="3" t="s">
        <v>5256</v>
      </c>
      <c r="D1114" s="4" t="s">
        <v>5257</v>
      </c>
      <c r="E1114" s="3" t="s">
        <v>5258</v>
      </c>
      <c r="F1114" s="34" t="s">
        <v>5259</v>
      </c>
      <c r="G1114" s="6"/>
      <c r="H1114" s="3" t="s">
        <v>5260</v>
      </c>
    </row>
    <row r="1115" spans="1:8" ht="15.75" customHeight="1">
      <c r="A1115" s="3" t="s">
        <v>5261</v>
      </c>
      <c r="B1115" s="3" t="s">
        <v>5262</v>
      </c>
      <c r="C1115" s="3" t="s">
        <v>5263</v>
      </c>
      <c r="D1115" s="4" t="s">
        <v>5264</v>
      </c>
      <c r="E1115" s="3" t="s">
        <v>5265</v>
      </c>
      <c r="F1115" s="34" t="s">
        <v>5266</v>
      </c>
      <c r="G1115" s="6"/>
      <c r="H1115" s="3" t="s">
        <v>5247</v>
      </c>
    </row>
    <row r="1116" spans="1:8" ht="15.75" customHeight="1">
      <c r="A1116" s="3" t="s">
        <v>5267</v>
      </c>
      <c r="B1116" s="3" t="s">
        <v>5268</v>
      </c>
      <c r="C1116" s="3" t="s">
        <v>5269</v>
      </c>
      <c r="D1116" s="4" t="s">
        <v>5270</v>
      </c>
      <c r="E1116" s="3" t="s">
        <v>5271</v>
      </c>
      <c r="F1116" s="34" t="s">
        <v>5272</v>
      </c>
      <c r="G1116" s="6"/>
      <c r="H1116" s="3" t="s">
        <v>5273</v>
      </c>
    </row>
    <row r="1117" spans="1:8" ht="15.75" customHeight="1">
      <c r="A1117" s="3" t="s">
        <v>184</v>
      </c>
      <c r="B1117" s="3" t="s">
        <v>5274</v>
      </c>
      <c r="C1117" s="3" t="s">
        <v>5275</v>
      </c>
      <c r="D1117" s="4" t="s">
        <v>5276</v>
      </c>
      <c r="E1117" s="3" t="s">
        <v>5277</v>
      </c>
      <c r="F1117" s="34" t="s">
        <v>5215</v>
      </c>
      <c r="G1117" s="6"/>
      <c r="H1117" s="3" t="s">
        <v>5216</v>
      </c>
    </row>
    <row r="1118" spans="1:8" ht="15.75" customHeight="1">
      <c r="A1118" s="3" t="s">
        <v>517</v>
      </c>
      <c r="B1118" s="3" t="s">
        <v>204</v>
      </c>
      <c r="C1118" s="3" t="s">
        <v>5278</v>
      </c>
      <c r="D1118" s="4" t="s">
        <v>5279</v>
      </c>
      <c r="E1118" s="3" t="s">
        <v>5280</v>
      </c>
      <c r="F1118" s="6"/>
      <c r="G1118" s="6"/>
      <c r="H1118" s="3" t="s">
        <v>5281</v>
      </c>
    </row>
    <row r="1119" spans="1:8" ht="15.75" customHeight="1">
      <c r="A1119" s="3" t="s">
        <v>1835</v>
      </c>
      <c r="B1119" s="3" t="s">
        <v>55</v>
      </c>
      <c r="C1119" s="3" t="s">
        <v>5282</v>
      </c>
      <c r="D1119" s="4" t="s">
        <v>5283</v>
      </c>
      <c r="E1119" s="3" t="s">
        <v>5284</v>
      </c>
      <c r="F1119" s="34" t="s">
        <v>5192</v>
      </c>
      <c r="G1119" s="6"/>
      <c r="H1119" s="3" t="s">
        <v>5193</v>
      </c>
    </row>
    <row r="1120" spans="1:8" ht="15.75" customHeight="1">
      <c r="A1120" s="3" t="s">
        <v>5285</v>
      </c>
      <c r="B1120" s="3" t="s">
        <v>5286</v>
      </c>
      <c r="C1120" s="3" t="s">
        <v>5287</v>
      </c>
      <c r="D1120" s="4" t="s">
        <v>5288</v>
      </c>
      <c r="E1120" s="3" t="s">
        <v>5289</v>
      </c>
      <c r="F1120" s="34" t="s">
        <v>5259</v>
      </c>
      <c r="G1120" s="6"/>
      <c r="H1120" s="3" t="s">
        <v>5260</v>
      </c>
    </row>
    <row r="1121" spans="1:8" ht="15.75" customHeight="1">
      <c r="A1121" s="3" t="s">
        <v>800</v>
      </c>
      <c r="B1121" s="3" t="s">
        <v>5290</v>
      </c>
      <c r="C1121" s="3" t="s">
        <v>5291</v>
      </c>
      <c r="D1121" s="4" t="s">
        <v>5292</v>
      </c>
      <c r="E1121" s="3" t="s">
        <v>5293</v>
      </c>
      <c r="F1121" s="34" t="s">
        <v>5294</v>
      </c>
      <c r="G1121" s="6"/>
      <c r="H1121" s="3" t="s">
        <v>5295</v>
      </c>
    </row>
    <row r="1122" spans="1:8" ht="15.75" customHeight="1">
      <c r="A1122" s="3" t="s">
        <v>5296</v>
      </c>
      <c r="B1122" s="3" t="s">
        <v>5297</v>
      </c>
      <c r="C1122" s="3" t="s">
        <v>5298</v>
      </c>
      <c r="D1122" s="4" t="s">
        <v>5299</v>
      </c>
      <c r="E1122" s="3" t="s">
        <v>5300</v>
      </c>
      <c r="F1122" s="34" t="s">
        <v>5301</v>
      </c>
      <c r="G1122" s="6"/>
      <c r="H1122" s="3" t="s">
        <v>5302</v>
      </c>
    </row>
    <row r="1123" spans="1:8" ht="15.75" customHeight="1">
      <c r="A1123" s="3" t="s">
        <v>5303</v>
      </c>
      <c r="B1123" s="3" t="s">
        <v>5304</v>
      </c>
      <c r="C1123" s="3" t="s">
        <v>5305</v>
      </c>
      <c r="D1123" s="4" t="s">
        <v>5306</v>
      </c>
      <c r="E1123" s="3" t="s">
        <v>5307</v>
      </c>
      <c r="F1123" s="34" t="s">
        <v>5192</v>
      </c>
      <c r="G1123" s="6"/>
      <c r="H1123" s="3" t="s">
        <v>5193</v>
      </c>
    </row>
    <row r="1124" spans="1:8" ht="15.75" customHeight="1">
      <c r="A1124" s="3" t="s">
        <v>770</v>
      </c>
      <c r="B1124" s="3" t="s">
        <v>45</v>
      </c>
      <c r="C1124" s="3" t="s">
        <v>5308</v>
      </c>
      <c r="D1124" s="4" t="s">
        <v>5309</v>
      </c>
      <c r="E1124" s="3" t="s">
        <v>5310</v>
      </c>
      <c r="F1124" s="34" t="s">
        <v>5311</v>
      </c>
      <c r="G1124" s="6"/>
      <c r="H1124" s="3" t="s">
        <v>5312</v>
      </c>
    </row>
    <row r="1125" spans="1:8" ht="15.75" customHeight="1">
      <c r="A1125" s="3" t="s">
        <v>155</v>
      </c>
      <c r="B1125" s="3" t="s">
        <v>722</v>
      </c>
      <c r="C1125" s="3" t="s">
        <v>5313</v>
      </c>
      <c r="D1125" s="4" t="s">
        <v>5314</v>
      </c>
      <c r="E1125" s="3" t="s">
        <v>5315</v>
      </c>
      <c r="F1125" s="34" t="s">
        <v>5316</v>
      </c>
      <c r="G1125" s="6"/>
      <c r="H1125" s="3" t="s">
        <v>5317</v>
      </c>
    </row>
    <row r="1126" spans="1:8" ht="15.75" customHeight="1">
      <c r="A1126" s="3" t="s">
        <v>1465</v>
      </c>
      <c r="B1126" s="3" t="s">
        <v>5318</v>
      </c>
      <c r="C1126" s="3" t="s">
        <v>5319</v>
      </c>
      <c r="D1126" s="4" t="s">
        <v>5320</v>
      </c>
      <c r="E1126" s="3" t="s">
        <v>5321</v>
      </c>
      <c r="F1126" s="34" t="s">
        <v>5259</v>
      </c>
      <c r="G1126" s="6"/>
      <c r="H1126" s="3" t="s">
        <v>5260</v>
      </c>
    </row>
    <row r="1127" spans="1:8" ht="15.75" customHeight="1">
      <c r="A1127" s="3" t="s">
        <v>203</v>
      </c>
      <c r="B1127" s="3" t="s">
        <v>5322</v>
      </c>
      <c r="C1127" s="3" t="s">
        <v>229</v>
      </c>
      <c r="D1127" s="4" t="s">
        <v>5323</v>
      </c>
      <c r="E1127" s="3" t="s">
        <v>5324</v>
      </c>
      <c r="F1127" s="34" t="s">
        <v>5325</v>
      </c>
      <c r="G1127" s="6"/>
      <c r="H1127" s="3" t="s">
        <v>5326</v>
      </c>
    </row>
    <row r="1128" spans="1:8" ht="15.75" customHeight="1">
      <c r="A1128" s="3" t="s">
        <v>5327</v>
      </c>
      <c r="B1128" s="3" t="s">
        <v>5328</v>
      </c>
      <c r="C1128" s="3" t="s">
        <v>4664</v>
      </c>
      <c r="D1128" s="6"/>
      <c r="E1128" s="3" t="s">
        <v>5329</v>
      </c>
      <c r="F1128" s="6"/>
      <c r="G1128" s="6"/>
      <c r="H1128" s="3" t="s">
        <v>5330</v>
      </c>
    </row>
    <row r="1129" spans="1:8" ht="15.75" customHeight="1">
      <c r="A1129" s="3" t="s">
        <v>5331</v>
      </c>
      <c r="B1129" s="3" t="s">
        <v>1187</v>
      </c>
      <c r="C1129" s="3" t="s">
        <v>229</v>
      </c>
      <c r="D1129" s="6"/>
      <c r="E1129" s="3" t="s">
        <v>5332</v>
      </c>
      <c r="F1129" s="34" t="s">
        <v>5333</v>
      </c>
      <c r="G1129" s="6"/>
      <c r="H1129" s="3" t="s">
        <v>5334</v>
      </c>
    </row>
    <row r="1130" spans="1:8" ht="15.75" customHeight="1">
      <c r="A1130" s="3" t="s">
        <v>1689</v>
      </c>
      <c r="B1130" s="3" t="s">
        <v>5335</v>
      </c>
      <c r="C1130" s="3" t="s">
        <v>5336</v>
      </c>
      <c r="D1130" s="4" t="s">
        <v>5337</v>
      </c>
      <c r="E1130" s="3" t="s">
        <v>5338</v>
      </c>
      <c r="F1130" s="34" t="s">
        <v>5339</v>
      </c>
      <c r="G1130" s="6"/>
      <c r="H1130" s="3" t="s">
        <v>5340</v>
      </c>
    </row>
    <row r="1131" spans="1:8" ht="15.75" customHeight="1">
      <c r="A1131" s="3" t="s">
        <v>4944</v>
      </c>
      <c r="B1131" s="3" t="s">
        <v>1415</v>
      </c>
      <c r="C1131" s="3" t="s">
        <v>5341</v>
      </c>
      <c r="D1131" s="4" t="s">
        <v>5342</v>
      </c>
      <c r="E1131" s="3" t="s">
        <v>5343</v>
      </c>
      <c r="F1131" s="34" t="s">
        <v>5344</v>
      </c>
      <c r="G1131" s="6"/>
      <c r="H1131" s="3" t="s">
        <v>5345</v>
      </c>
    </row>
    <row r="1132" spans="1:8" ht="15.75" customHeight="1">
      <c r="A1132" s="3" t="s">
        <v>5346</v>
      </c>
      <c r="B1132" s="3" t="s">
        <v>3400</v>
      </c>
      <c r="C1132" s="3" t="s">
        <v>229</v>
      </c>
      <c r="D1132" s="4" t="s">
        <v>5347</v>
      </c>
      <c r="E1132" s="3" t="s">
        <v>5348</v>
      </c>
      <c r="F1132" s="34" t="s">
        <v>5192</v>
      </c>
      <c r="G1132" s="6"/>
      <c r="H1132" s="3" t="s">
        <v>5193</v>
      </c>
    </row>
    <row r="1133" spans="1:8" ht="15.75" customHeight="1">
      <c r="A1133" s="3" t="s">
        <v>5349</v>
      </c>
      <c r="B1133" s="3" t="s">
        <v>5350</v>
      </c>
      <c r="C1133" s="3" t="s">
        <v>2570</v>
      </c>
      <c r="D1133" s="4" t="s">
        <v>5351</v>
      </c>
      <c r="E1133" s="3" t="s">
        <v>5352</v>
      </c>
      <c r="F1133" s="34" t="s">
        <v>5192</v>
      </c>
      <c r="G1133" s="6"/>
      <c r="H1133" s="3" t="s">
        <v>5193</v>
      </c>
    </row>
    <row r="1134" spans="1:8" ht="15.75" customHeight="1">
      <c r="A1134" s="3" t="s">
        <v>667</v>
      </c>
      <c r="B1134" s="3" t="s">
        <v>185</v>
      </c>
      <c r="C1134" s="3" t="s">
        <v>229</v>
      </c>
      <c r="D1134" s="4" t="s">
        <v>5353</v>
      </c>
      <c r="E1134" s="3" t="s">
        <v>5354</v>
      </c>
      <c r="F1134" s="34" t="s">
        <v>5355</v>
      </c>
      <c r="G1134" s="6"/>
      <c r="H1134" s="3" t="s">
        <v>5356</v>
      </c>
    </row>
    <row r="1135" spans="1:8" ht="15.75" customHeight="1">
      <c r="A1135" s="3" t="s">
        <v>865</v>
      </c>
      <c r="B1135" s="3" t="s">
        <v>185</v>
      </c>
      <c r="C1135" s="3" t="s">
        <v>5357</v>
      </c>
      <c r="D1135" s="4" t="s">
        <v>5358</v>
      </c>
      <c r="E1135" s="3" t="s">
        <v>5359</v>
      </c>
      <c r="F1135" s="34" t="s">
        <v>5360</v>
      </c>
      <c r="G1135" s="6"/>
      <c r="H1135" s="3" t="s">
        <v>5361</v>
      </c>
    </row>
    <row r="1136" spans="1:8" ht="15.75" customHeight="1">
      <c r="A1136" s="3" t="s">
        <v>4362</v>
      </c>
      <c r="B1136" s="3" t="s">
        <v>1415</v>
      </c>
      <c r="C1136" s="3" t="s">
        <v>5362</v>
      </c>
      <c r="D1136" s="4" t="s">
        <v>5363</v>
      </c>
      <c r="E1136" s="3" t="s">
        <v>5364</v>
      </c>
      <c r="F1136" s="34" t="s">
        <v>5235</v>
      </c>
      <c r="G1136" s="6"/>
      <c r="H1136" s="3" t="s">
        <v>5236</v>
      </c>
    </row>
    <row r="1137" spans="1:8" ht="15.75" customHeight="1">
      <c r="A1137" s="3" t="s">
        <v>5365</v>
      </c>
      <c r="B1137" s="3" t="s">
        <v>718</v>
      </c>
      <c r="C1137" s="3" t="s">
        <v>5366</v>
      </c>
      <c r="D1137" s="4" t="s">
        <v>5367</v>
      </c>
      <c r="E1137" s="3" t="s">
        <v>5368</v>
      </c>
      <c r="F1137" s="34" t="s">
        <v>5259</v>
      </c>
      <c r="G1137" s="6"/>
      <c r="H1137" s="3" t="s">
        <v>5260</v>
      </c>
    </row>
    <row r="1138" spans="1:8" ht="15.75" customHeight="1">
      <c r="A1138" s="3" t="s">
        <v>1241</v>
      </c>
      <c r="B1138" s="3" t="s">
        <v>5369</v>
      </c>
      <c r="C1138" s="3" t="s">
        <v>5370</v>
      </c>
      <c r="D1138" s="4" t="s">
        <v>5371</v>
      </c>
      <c r="E1138" s="3" t="s">
        <v>5372</v>
      </c>
      <c r="F1138" s="34" t="s">
        <v>5215</v>
      </c>
      <c r="G1138" s="6"/>
      <c r="H1138" s="3" t="s">
        <v>5216</v>
      </c>
    </row>
    <row r="1139" spans="1:8" ht="15.75" customHeight="1">
      <c r="A1139" s="3" t="s">
        <v>5373</v>
      </c>
      <c r="B1139" s="3" t="s">
        <v>5374</v>
      </c>
      <c r="C1139" s="3" t="s">
        <v>5375</v>
      </c>
      <c r="D1139" s="4" t="s">
        <v>5376</v>
      </c>
      <c r="E1139" s="3" t="s">
        <v>5377</v>
      </c>
      <c r="F1139" s="34" t="s">
        <v>5192</v>
      </c>
      <c r="G1139" s="6"/>
      <c r="H1139" s="3" t="s">
        <v>5193</v>
      </c>
    </row>
    <row r="1140" spans="1:8" ht="15.75" customHeight="1">
      <c r="A1140" s="3" t="s">
        <v>5378</v>
      </c>
      <c r="B1140" s="3" t="s">
        <v>5379</v>
      </c>
      <c r="C1140" s="3" t="s">
        <v>5380</v>
      </c>
      <c r="D1140" s="6"/>
      <c r="E1140" s="3" t="s">
        <v>5381</v>
      </c>
      <c r="F1140" s="34" t="s">
        <v>5382</v>
      </c>
      <c r="G1140" s="6"/>
      <c r="H1140" s="3" t="s">
        <v>5383</v>
      </c>
    </row>
    <row r="1141" spans="1:8" ht="15.75" customHeight="1">
      <c r="A1141" s="3" t="s">
        <v>5384</v>
      </c>
      <c r="B1141" s="3" t="s">
        <v>883</v>
      </c>
      <c r="C1141" s="3" t="s">
        <v>4357</v>
      </c>
      <c r="D1141" s="4" t="s">
        <v>5385</v>
      </c>
      <c r="E1141" s="3" t="s">
        <v>5386</v>
      </c>
      <c r="F1141" s="34" t="s">
        <v>5387</v>
      </c>
      <c r="G1141" s="6"/>
      <c r="H1141" s="3" t="s">
        <v>5388</v>
      </c>
    </row>
    <row r="1142" spans="1:8" ht="15.75" customHeight="1">
      <c r="A1142" s="3" t="s">
        <v>5389</v>
      </c>
      <c r="B1142" s="3" t="s">
        <v>1698</v>
      </c>
      <c r="C1142" s="3" t="s">
        <v>5390</v>
      </c>
      <c r="D1142" s="4" t="s">
        <v>5391</v>
      </c>
      <c r="E1142" s="3" t="s">
        <v>5392</v>
      </c>
      <c r="F1142" s="3" t="s">
        <v>5393</v>
      </c>
      <c r="G1142" s="6"/>
      <c r="H1142" s="3" t="s">
        <v>5394</v>
      </c>
    </row>
    <row r="1143" spans="1:8" ht="15.75" customHeight="1">
      <c r="A1143" s="3" t="s">
        <v>4744</v>
      </c>
      <c r="B1143" s="3" t="s">
        <v>4745</v>
      </c>
      <c r="C1143" s="3" t="s">
        <v>4746</v>
      </c>
      <c r="D1143" s="4" t="s">
        <v>4747</v>
      </c>
      <c r="E1143" s="3" t="s">
        <v>4748</v>
      </c>
      <c r="F1143" s="34" t="s">
        <v>4749</v>
      </c>
      <c r="G1143" s="6"/>
      <c r="H1143" s="3" t="s">
        <v>4750</v>
      </c>
    </row>
    <row r="1144" spans="1:8" ht="15.75" customHeight="1">
      <c r="A1144" s="3" t="s">
        <v>5395</v>
      </c>
      <c r="B1144" s="3" t="s">
        <v>5396</v>
      </c>
      <c r="C1144" s="3" t="s">
        <v>5397</v>
      </c>
      <c r="D1144" s="4" t="s">
        <v>5398</v>
      </c>
      <c r="E1144" s="3" t="s">
        <v>5399</v>
      </c>
      <c r="F1144" s="6"/>
      <c r="G1144" s="6"/>
      <c r="H1144" s="3" t="s">
        <v>5281</v>
      </c>
    </row>
    <row r="1145" spans="1:8" ht="15.75" customHeight="1">
      <c r="A1145" s="3" t="s">
        <v>295</v>
      </c>
      <c r="B1145" s="3" t="s">
        <v>801</v>
      </c>
      <c r="C1145" s="3" t="s">
        <v>4357</v>
      </c>
      <c r="D1145" s="4" t="s">
        <v>5400</v>
      </c>
      <c r="E1145" s="3" t="s">
        <v>5401</v>
      </c>
      <c r="F1145" s="34" t="s">
        <v>5402</v>
      </c>
      <c r="G1145" s="6"/>
      <c r="H1145" s="3" t="s">
        <v>5403</v>
      </c>
    </row>
    <row r="1146" spans="1:8" ht="15.75" customHeight="1">
      <c r="A1146" s="3" t="s">
        <v>5404</v>
      </c>
      <c r="B1146" s="3" t="s">
        <v>5405</v>
      </c>
      <c r="C1146" s="3" t="s">
        <v>109</v>
      </c>
      <c r="D1146" s="6"/>
      <c r="E1146" s="3" t="s">
        <v>5406</v>
      </c>
      <c r="F1146" s="34" t="s">
        <v>5407</v>
      </c>
      <c r="G1146" s="6"/>
      <c r="H1146" s="3" t="s">
        <v>5077</v>
      </c>
    </row>
    <row r="1147" spans="1:8" ht="15.75" customHeight="1">
      <c r="A1147" s="3" t="s">
        <v>5408</v>
      </c>
      <c r="B1147" s="3" t="s">
        <v>5409</v>
      </c>
      <c r="C1147" s="3" t="s">
        <v>5410</v>
      </c>
      <c r="D1147" s="6"/>
      <c r="E1147" s="3" t="s">
        <v>5411</v>
      </c>
      <c r="F1147" s="34" t="s">
        <v>5412</v>
      </c>
      <c r="G1147" s="6"/>
      <c r="H1147" s="3" t="s">
        <v>5413</v>
      </c>
    </row>
    <row r="1148" spans="1:8" ht="15.75" customHeight="1">
      <c r="A1148" s="3" t="s">
        <v>2705</v>
      </c>
      <c r="B1148" s="3" t="s">
        <v>5414</v>
      </c>
      <c r="C1148" s="3" t="s">
        <v>4306</v>
      </c>
      <c r="D1148" s="4" t="s">
        <v>5415</v>
      </c>
      <c r="E1148" s="3" t="s">
        <v>5416</v>
      </c>
      <c r="F1148" s="34" t="s">
        <v>5192</v>
      </c>
      <c r="G1148" s="6"/>
      <c r="H1148" s="3" t="s">
        <v>5193</v>
      </c>
    </row>
    <row r="1149" spans="1:8" ht="15.75" customHeight="1">
      <c r="A1149" s="3" t="s">
        <v>3281</v>
      </c>
      <c r="B1149" s="3" t="s">
        <v>1466</v>
      </c>
      <c r="C1149" s="3" t="s">
        <v>5417</v>
      </c>
      <c r="D1149" s="4" t="s">
        <v>5418</v>
      </c>
      <c r="E1149" s="3" t="s">
        <v>5419</v>
      </c>
      <c r="F1149" s="34" t="s">
        <v>5192</v>
      </c>
      <c r="G1149" s="6"/>
      <c r="H1149" s="3" t="s">
        <v>5193</v>
      </c>
    </row>
    <row r="1150" spans="1:8" ht="15.75" customHeight="1">
      <c r="A1150" s="3" t="s">
        <v>5420</v>
      </c>
      <c r="B1150" s="3" t="s">
        <v>5421</v>
      </c>
      <c r="C1150" s="3" t="s">
        <v>5422</v>
      </c>
      <c r="D1150" s="4" t="s">
        <v>5423</v>
      </c>
      <c r="E1150" s="3" t="s">
        <v>5424</v>
      </c>
      <c r="F1150" s="34" t="s">
        <v>5192</v>
      </c>
      <c r="G1150" s="6"/>
      <c r="H1150" s="3" t="s">
        <v>5193</v>
      </c>
    </row>
    <row r="1151" spans="1:8" ht="15.75" customHeight="1">
      <c r="A1151" s="3" t="s">
        <v>929</v>
      </c>
      <c r="B1151" s="3" t="s">
        <v>5425</v>
      </c>
      <c r="C1151" s="3" t="s">
        <v>5426</v>
      </c>
      <c r="D1151" s="4" t="s">
        <v>5427</v>
      </c>
      <c r="E1151" s="3" t="s">
        <v>5428</v>
      </c>
      <c r="F1151" s="34" t="s">
        <v>5192</v>
      </c>
      <c r="G1151" s="6"/>
      <c r="H1151" s="3" t="s">
        <v>5193</v>
      </c>
    </row>
    <row r="1152" spans="1:8" ht="15.75" customHeight="1">
      <c r="A1152" s="3" t="s">
        <v>5429</v>
      </c>
      <c r="B1152" s="3" t="s">
        <v>1557</v>
      </c>
      <c r="C1152" s="3" t="s">
        <v>5430</v>
      </c>
      <c r="D1152" s="4" t="s">
        <v>5431</v>
      </c>
      <c r="E1152" s="3" t="s">
        <v>5432</v>
      </c>
      <c r="F1152" s="34" t="s">
        <v>5433</v>
      </c>
      <c r="G1152" s="6"/>
      <c r="H1152" s="3" t="s">
        <v>5434</v>
      </c>
    </row>
    <row r="1153" spans="1:8" ht="15.75" customHeight="1">
      <c r="A1153" s="3" t="s">
        <v>5435</v>
      </c>
      <c r="B1153" s="3" t="s">
        <v>5436</v>
      </c>
      <c r="C1153" s="3" t="s">
        <v>5437</v>
      </c>
      <c r="D1153" s="4" t="s">
        <v>5438</v>
      </c>
      <c r="E1153" s="3" t="s">
        <v>5439</v>
      </c>
      <c r="F1153" s="34" t="s">
        <v>5215</v>
      </c>
      <c r="G1153" s="6"/>
      <c r="H1153" s="3" t="s">
        <v>5216</v>
      </c>
    </row>
    <row r="1154" spans="1:8" ht="15.75" customHeight="1">
      <c r="A1154" s="3" t="s">
        <v>5440</v>
      </c>
      <c r="B1154" s="3" t="s">
        <v>5441</v>
      </c>
      <c r="C1154" s="3" t="s">
        <v>5282</v>
      </c>
      <c r="D1154" s="4" t="s">
        <v>5442</v>
      </c>
      <c r="E1154" s="3" t="s">
        <v>5443</v>
      </c>
      <c r="F1154" s="34" t="s">
        <v>5192</v>
      </c>
      <c r="G1154" s="6"/>
      <c r="H1154" s="3" t="s">
        <v>5193</v>
      </c>
    </row>
    <row r="1155" spans="1:8" ht="15.75" customHeight="1">
      <c r="A1155" s="3" t="s">
        <v>3236</v>
      </c>
      <c r="B1155" s="3" t="s">
        <v>5444</v>
      </c>
      <c r="C1155" s="3" t="s">
        <v>27</v>
      </c>
      <c r="D1155" s="4" t="s">
        <v>5445</v>
      </c>
      <c r="E1155" s="3" t="s">
        <v>5446</v>
      </c>
      <c r="F1155" s="34" t="s">
        <v>5235</v>
      </c>
      <c r="G1155" s="6"/>
      <c r="H1155" s="3" t="s">
        <v>5236</v>
      </c>
    </row>
    <row r="1156" spans="1:8" ht="15.75" customHeight="1">
      <c r="A1156" s="3" t="s">
        <v>5447</v>
      </c>
      <c r="B1156" s="3" t="s">
        <v>5448</v>
      </c>
      <c r="C1156" s="3" t="s">
        <v>5449</v>
      </c>
      <c r="D1156" s="4" t="s">
        <v>5450</v>
      </c>
      <c r="E1156" s="3" t="s">
        <v>5451</v>
      </c>
      <c r="F1156" s="34" t="s">
        <v>5192</v>
      </c>
      <c r="G1156" s="6"/>
      <c r="H1156" s="3" t="s">
        <v>5193</v>
      </c>
    </row>
    <row r="1157" spans="1:8" ht="15.75" customHeight="1">
      <c r="A1157" s="3" t="s">
        <v>1634</v>
      </c>
      <c r="B1157" s="3" t="s">
        <v>5452</v>
      </c>
      <c r="C1157" s="3" t="s">
        <v>5453</v>
      </c>
      <c r="D1157" s="4" t="s">
        <v>5454</v>
      </c>
      <c r="E1157" s="3" t="s">
        <v>5455</v>
      </c>
      <c r="F1157" s="34" t="s">
        <v>5215</v>
      </c>
      <c r="G1157" s="6"/>
      <c r="H1157" s="3" t="s">
        <v>5216</v>
      </c>
    </row>
    <row r="1158" spans="1:8" ht="15.75" customHeight="1">
      <c r="A1158" s="3" t="s">
        <v>5456</v>
      </c>
      <c r="B1158" s="3" t="s">
        <v>5457</v>
      </c>
      <c r="C1158" s="3" t="s">
        <v>5458</v>
      </c>
      <c r="D1158" s="4" t="s">
        <v>5459</v>
      </c>
      <c r="E1158" s="3" t="s">
        <v>5460</v>
      </c>
      <c r="F1158" s="34" t="s">
        <v>5192</v>
      </c>
      <c r="G1158" s="6"/>
      <c r="H1158" s="3" t="s">
        <v>5193</v>
      </c>
    </row>
    <row r="1159" spans="1:8" ht="15.75" customHeight="1">
      <c r="A1159" s="3" t="s">
        <v>33</v>
      </c>
      <c r="B1159" s="3" t="s">
        <v>5461</v>
      </c>
      <c r="C1159" s="3" t="s">
        <v>5462</v>
      </c>
      <c r="D1159" s="4" t="s">
        <v>5463</v>
      </c>
      <c r="E1159" s="3" t="s">
        <v>5464</v>
      </c>
      <c r="F1159" s="34" t="s">
        <v>5465</v>
      </c>
      <c r="G1159" s="6"/>
      <c r="H1159" s="3" t="s">
        <v>5466</v>
      </c>
    </row>
    <row r="1160" spans="1:8" ht="15.75" customHeight="1">
      <c r="A1160" s="3" t="s">
        <v>413</v>
      </c>
      <c r="B1160" s="3" t="s">
        <v>763</v>
      </c>
      <c r="C1160" s="3" t="s">
        <v>5467</v>
      </c>
      <c r="D1160" s="4" t="s">
        <v>5468</v>
      </c>
      <c r="E1160" s="3" t="s">
        <v>5469</v>
      </c>
      <c r="F1160" s="6"/>
      <c r="G1160" s="6"/>
      <c r="H1160" s="3" t="s">
        <v>5470</v>
      </c>
    </row>
    <row r="1161" spans="1:8" ht="15.75" customHeight="1">
      <c r="A1161" s="3" t="s">
        <v>5471</v>
      </c>
      <c r="B1161" s="3" t="s">
        <v>5472</v>
      </c>
      <c r="C1161" s="3" t="s">
        <v>2570</v>
      </c>
      <c r="D1161" s="4" t="s">
        <v>5473</v>
      </c>
      <c r="E1161" s="3" t="s">
        <v>5474</v>
      </c>
      <c r="F1161" s="34" t="s">
        <v>5192</v>
      </c>
      <c r="G1161" s="6"/>
      <c r="H1161" s="3" t="s">
        <v>5193</v>
      </c>
    </row>
    <row r="1162" spans="1:8" ht="15.75" customHeight="1">
      <c r="A1162" s="3" t="s">
        <v>5475</v>
      </c>
      <c r="B1162" s="3" t="s">
        <v>221</v>
      </c>
      <c r="C1162" s="3" t="s">
        <v>5476</v>
      </c>
      <c r="D1162" s="4" t="s">
        <v>5477</v>
      </c>
      <c r="E1162" s="3" t="s">
        <v>5478</v>
      </c>
      <c r="F1162" s="34" t="s">
        <v>5479</v>
      </c>
      <c r="G1162" s="6"/>
      <c r="H1162" s="3" t="s">
        <v>5480</v>
      </c>
    </row>
    <row r="1163" spans="1:8" ht="15.75" customHeight="1">
      <c r="A1163" s="3" t="s">
        <v>301</v>
      </c>
      <c r="B1163" s="3" t="s">
        <v>2319</v>
      </c>
      <c r="C1163" s="3" t="s">
        <v>1330</v>
      </c>
      <c r="D1163" s="6"/>
      <c r="E1163" s="3" t="s">
        <v>5481</v>
      </c>
      <c r="F1163" s="34" t="s">
        <v>4544</v>
      </c>
      <c r="G1163" s="6"/>
      <c r="H1163" s="3" t="s">
        <v>4545</v>
      </c>
    </row>
    <row r="1164" spans="1:8" ht="15.75" customHeight="1">
      <c r="A1164" s="3" t="s">
        <v>5092</v>
      </c>
      <c r="B1164" s="3" t="s">
        <v>5482</v>
      </c>
      <c r="C1164" s="3" t="s">
        <v>46</v>
      </c>
      <c r="D1164" s="4" t="s">
        <v>5483</v>
      </c>
      <c r="E1164" s="3" t="s">
        <v>5484</v>
      </c>
      <c r="F1164" s="34" t="s">
        <v>5485</v>
      </c>
      <c r="G1164" s="6"/>
      <c r="H1164" s="3" t="s">
        <v>5486</v>
      </c>
    </row>
    <row r="1165" spans="1:8" ht="15.75" customHeight="1">
      <c r="A1165" s="3" t="s">
        <v>384</v>
      </c>
      <c r="B1165" s="3" t="s">
        <v>5487</v>
      </c>
      <c r="C1165" s="3" t="s">
        <v>229</v>
      </c>
      <c r="D1165" s="6"/>
      <c r="E1165" s="3" t="s">
        <v>5488</v>
      </c>
      <c r="F1165" s="34" t="s">
        <v>5333</v>
      </c>
      <c r="G1165" s="6"/>
      <c r="H1165" s="3" t="s">
        <v>5334</v>
      </c>
    </row>
    <row r="1166" spans="1:8" ht="15.75" customHeight="1">
      <c r="A1166" s="3" t="s">
        <v>4356</v>
      </c>
      <c r="B1166" s="3" t="s">
        <v>1101</v>
      </c>
      <c r="C1166" s="3" t="s">
        <v>4357</v>
      </c>
      <c r="D1166" s="4" t="s">
        <v>4358</v>
      </c>
      <c r="E1166" s="3" t="s">
        <v>4359</v>
      </c>
      <c r="F1166" s="34" t="s">
        <v>4360</v>
      </c>
      <c r="G1166" s="6"/>
      <c r="H1166" s="3" t="s">
        <v>4361</v>
      </c>
    </row>
    <row r="1167" spans="1:8" ht="15.75" customHeight="1">
      <c r="A1167" s="3" t="s">
        <v>2463</v>
      </c>
      <c r="B1167" s="3" t="s">
        <v>5489</v>
      </c>
      <c r="C1167" s="3" t="s">
        <v>5490</v>
      </c>
      <c r="D1167" s="4" t="s">
        <v>5491</v>
      </c>
      <c r="E1167" s="3" t="s">
        <v>5492</v>
      </c>
      <c r="F1167" s="34" t="s">
        <v>5493</v>
      </c>
      <c r="G1167" s="6"/>
      <c r="H1167" s="3" t="s">
        <v>5494</v>
      </c>
    </row>
    <row r="1168" spans="1:8" ht="15.75" customHeight="1">
      <c r="A1168" s="3" t="s">
        <v>5495</v>
      </c>
      <c r="B1168" s="3" t="s">
        <v>5496</v>
      </c>
      <c r="C1168" s="3" t="s">
        <v>5497</v>
      </c>
      <c r="D1168" s="4" t="s">
        <v>5498</v>
      </c>
      <c r="E1168" s="3" t="s">
        <v>5499</v>
      </c>
      <c r="F1168" s="34" t="s">
        <v>5500</v>
      </c>
      <c r="G1168" s="6"/>
      <c r="H1168" s="3" t="s">
        <v>5501</v>
      </c>
    </row>
    <row r="1169" spans="1:8" ht="15.75" customHeight="1">
      <c r="A1169" s="3" t="s">
        <v>4954</v>
      </c>
      <c r="B1169" s="3" t="s">
        <v>5502</v>
      </c>
      <c r="C1169" s="3" t="s">
        <v>5503</v>
      </c>
      <c r="D1169" s="4" t="s">
        <v>5504</v>
      </c>
      <c r="E1169" s="3" t="s">
        <v>5505</v>
      </c>
      <c r="F1169" s="34" t="s">
        <v>5465</v>
      </c>
      <c r="G1169" s="6"/>
      <c r="H1169" s="3" t="s">
        <v>5466</v>
      </c>
    </row>
    <row r="1170" spans="1:8" ht="15.75" customHeight="1">
      <c r="A1170" s="3" t="s">
        <v>5506</v>
      </c>
      <c r="B1170" s="3" t="s">
        <v>5507</v>
      </c>
      <c r="C1170" s="3" t="s">
        <v>5508</v>
      </c>
      <c r="D1170" s="4" t="s">
        <v>5509</v>
      </c>
      <c r="E1170" s="3" t="s">
        <v>5510</v>
      </c>
      <c r="F1170" s="34" t="s">
        <v>5192</v>
      </c>
      <c r="G1170" s="6"/>
      <c r="H1170" s="3" t="s">
        <v>5193</v>
      </c>
    </row>
    <row r="1171" spans="1:8" ht="15.75" customHeight="1">
      <c r="A1171" s="3" t="s">
        <v>5511</v>
      </c>
      <c r="B1171" s="3" t="s">
        <v>5512</v>
      </c>
      <c r="C1171" s="3" t="s">
        <v>2570</v>
      </c>
      <c r="D1171" s="4" t="s">
        <v>5513</v>
      </c>
      <c r="E1171" s="3" t="s">
        <v>5514</v>
      </c>
      <c r="F1171" s="34" t="s">
        <v>5192</v>
      </c>
      <c r="G1171" s="6"/>
      <c r="H1171" s="3" t="s">
        <v>5193</v>
      </c>
    </row>
    <row r="1172" spans="1:8" ht="15.75" customHeight="1">
      <c r="A1172" s="3" t="s">
        <v>5515</v>
      </c>
      <c r="B1172" s="3" t="s">
        <v>5516</v>
      </c>
      <c r="C1172" s="3" t="s">
        <v>229</v>
      </c>
      <c r="D1172" s="4" t="s">
        <v>5517</v>
      </c>
      <c r="E1172" s="3" t="s">
        <v>5518</v>
      </c>
      <c r="F1172" s="34" t="s">
        <v>5215</v>
      </c>
      <c r="G1172" s="6"/>
      <c r="H1172" s="3" t="s">
        <v>5216</v>
      </c>
    </row>
    <row r="1173" spans="1:8" ht="15.75" customHeight="1">
      <c r="A1173" s="3" t="s">
        <v>5519</v>
      </c>
      <c r="B1173" s="6"/>
      <c r="C1173" s="3" t="s">
        <v>5520</v>
      </c>
      <c r="D1173" s="4" t="s">
        <v>5521</v>
      </c>
      <c r="E1173" s="3" t="s">
        <v>5522</v>
      </c>
      <c r="F1173" s="34" t="s">
        <v>5192</v>
      </c>
      <c r="G1173" s="6"/>
      <c r="H1173" s="3" t="s">
        <v>5193</v>
      </c>
    </row>
    <row r="1174" spans="1:8" ht="15.75" customHeight="1">
      <c r="A1174" s="3" t="s">
        <v>5523</v>
      </c>
      <c r="B1174" s="3" t="s">
        <v>5524</v>
      </c>
      <c r="C1174" s="3" t="s">
        <v>5525</v>
      </c>
      <c r="D1174" s="4" t="s">
        <v>5526</v>
      </c>
      <c r="E1174" s="3" t="s">
        <v>5527</v>
      </c>
      <c r="F1174" s="34" t="s">
        <v>5192</v>
      </c>
      <c r="G1174" s="6"/>
      <c r="H1174" s="3" t="s">
        <v>5193</v>
      </c>
    </row>
    <row r="1175" spans="1:8" ht="15.75" customHeight="1">
      <c r="A1175" s="3" t="s">
        <v>5528</v>
      </c>
      <c r="B1175" s="3" t="s">
        <v>5529</v>
      </c>
      <c r="C1175" s="3" t="s">
        <v>5530</v>
      </c>
      <c r="D1175" s="4" t="s">
        <v>5531</v>
      </c>
      <c r="E1175" s="3" t="s">
        <v>5532</v>
      </c>
      <c r="F1175" s="34" t="s">
        <v>5192</v>
      </c>
      <c r="G1175" s="6"/>
      <c r="H1175" s="3" t="s">
        <v>5193</v>
      </c>
    </row>
    <row r="1176" spans="1:8" ht="15.75" customHeight="1">
      <c r="A1176" s="3" t="s">
        <v>572</v>
      </c>
      <c r="B1176" s="3" t="s">
        <v>5533</v>
      </c>
      <c r="C1176" s="3" t="s">
        <v>5534</v>
      </c>
      <c r="D1176" s="4" t="s">
        <v>5535</v>
      </c>
      <c r="E1176" s="3" t="s">
        <v>5536</v>
      </c>
      <c r="F1176" s="34" t="s">
        <v>5238</v>
      </c>
      <c r="G1176" s="6"/>
      <c r="H1176" s="3" t="s">
        <v>5239</v>
      </c>
    </row>
    <row r="1177" spans="1:8" ht="15.75" customHeight="1">
      <c r="A1177" s="3" t="s">
        <v>5537</v>
      </c>
      <c r="B1177" s="3" t="s">
        <v>5538</v>
      </c>
      <c r="C1177" s="3" t="s">
        <v>5539</v>
      </c>
      <c r="D1177" s="4" t="s">
        <v>5540</v>
      </c>
      <c r="E1177" s="3" t="s">
        <v>5541</v>
      </c>
      <c r="F1177" s="34" t="s">
        <v>5215</v>
      </c>
      <c r="G1177" s="6"/>
      <c r="H1177" s="3" t="s">
        <v>5216</v>
      </c>
    </row>
    <row r="1178" spans="1:8" ht="15.75" customHeight="1">
      <c r="A1178" s="3" t="s">
        <v>5542</v>
      </c>
      <c r="B1178" s="3" t="s">
        <v>5543</v>
      </c>
      <c r="C1178" s="3" t="s">
        <v>5544</v>
      </c>
      <c r="D1178" s="4" t="s">
        <v>5545</v>
      </c>
      <c r="E1178" s="3" t="s">
        <v>5546</v>
      </c>
      <c r="F1178" s="34" t="s">
        <v>5192</v>
      </c>
      <c r="G1178" s="6"/>
      <c r="H1178" s="3" t="s">
        <v>5193</v>
      </c>
    </row>
    <row r="1179" spans="1:8" ht="15.75" customHeight="1">
      <c r="A1179" s="3" t="s">
        <v>58</v>
      </c>
      <c r="B1179" s="3" t="s">
        <v>2444</v>
      </c>
      <c r="C1179" s="3" t="s">
        <v>5547</v>
      </c>
      <c r="D1179" s="4" t="s">
        <v>5548</v>
      </c>
      <c r="E1179" s="3" t="s">
        <v>5549</v>
      </c>
      <c r="F1179" s="34" t="s">
        <v>5550</v>
      </c>
      <c r="G1179" s="6"/>
      <c r="H1179" s="3" t="s">
        <v>5551</v>
      </c>
    </row>
    <row r="1180" spans="1:8" ht="15.75" customHeight="1">
      <c r="A1180" s="3" t="s">
        <v>5552</v>
      </c>
      <c r="B1180" s="3" t="s">
        <v>198</v>
      </c>
      <c r="C1180" s="3" t="s">
        <v>5553</v>
      </c>
      <c r="D1180" s="4" t="s">
        <v>5554</v>
      </c>
      <c r="E1180" s="3" t="s">
        <v>5555</v>
      </c>
      <c r="F1180" s="34" t="s">
        <v>5556</v>
      </c>
      <c r="G1180" s="6"/>
      <c r="H1180" s="3" t="s">
        <v>5557</v>
      </c>
    </row>
    <row r="1181" spans="1:8" ht="15.75" customHeight="1">
      <c r="A1181" s="3" t="s">
        <v>1419</v>
      </c>
      <c r="B1181" s="3" t="s">
        <v>589</v>
      </c>
      <c r="C1181" s="3" t="s">
        <v>4727</v>
      </c>
      <c r="D1181" s="4" t="s">
        <v>5558</v>
      </c>
      <c r="E1181" s="3" t="s">
        <v>5559</v>
      </c>
      <c r="F1181" s="34" t="s">
        <v>5560</v>
      </c>
      <c r="G1181" s="6"/>
      <c r="H1181" s="3" t="s">
        <v>5561</v>
      </c>
    </row>
    <row r="1182" spans="1:8" ht="15.75" customHeight="1">
      <c r="A1182" s="3" t="s">
        <v>5562</v>
      </c>
      <c r="B1182" s="3" t="s">
        <v>363</v>
      </c>
      <c r="C1182" s="3" t="s">
        <v>5563</v>
      </c>
      <c r="D1182" s="4" t="s">
        <v>5564</v>
      </c>
      <c r="E1182" s="3" t="s">
        <v>5565</v>
      </c>
      <c r="F1182" s="6"/>
      <c r="G1182" s="6"/>
      <c r="H1182" s="3" t="s">
        <v>5180</v>
      </c>
    </row>
    <row r="1183" spans="1:8" ht="15.75" customHeight="1">
      <c r="A1183" s="3" t="s">
        <v>1286</v>
      </c>
      <c r="B1183" s="3" t="s">
        <v>5566</v>
      </c>
      <c r="C1183" s="3" t="s">
        <v>5567</v>
      </c>
      <c r="D1183" s="6"/>
      <c r="E1183" s="3" t="s">
        <v>5568</v>
      </c>
      <c r="F1183" s="34" t="s">
        <v>5569</v>
      </c>
      <c r="G1183" s="6"/>
      <c r="H1183" s="3" t="s">
        <v>5570</v>
      </c>
    </row>
    <row r="1184" spans="1:8" ht="15.75" customHeight="1">
      <c r="A1184" s="3" t="s">
        <v>295</v>
      </c>
      <c r="B1184" s="3" t="s">
        <v>1192</v>
      </c>
      <c r="C1184" s="3" t="s">
        <v>5571</v>
      </c>
      <c r="D1184" s="4" t="s">
        <v>5572</v>
      </c>
      <c r="E1184" s="3" t="s">
        <v>5573</v>
      </c>
      <c r="F1184" s="34" t="s">
        <v>5574</v>
      </c>
      <c r="G1184" s="6"/>
      <c r="H1184" s="3" t="s">
        <v>5247</v>
      </c>
    </row>
    <row r="1185" spans="1:8" ht="15.75" customHeight="1">
      <c r="A1185" s="3" t="s">
        <v>208</v>
      </c>
      <c r="B1185" s="3" t="s">
        <v>5575</v>
      </c>
      <c r="C1185" s="3" t="s">
        <v>5576</v>
      </c>
      <c r="D1185" s="4" t="s">
        <v>5577</v>
      </c>
      <c r="E1185" s="3" t="s">
        <v>5578</v>
      </c>
      <c r="F1185" s="34" t="s">
        <v>5465</v>
      </c>
      <c r="G1185" s="6"/>
      <c r="H1185" s="3" t="s">
        <v>5466</v>
      </c>
    </row>
    <row r="1186" spans="1:8" ht="15.75" customHeight="1">
      <c r="A1186" s="3" t="s">
        <v>176</v>
      </c>
      <c r="B1186" s="3" t="s">
        <v>5579</v>
      </c>
      <c r="C1186" s="3" t="s">
        <v>5580</v>
      </c>
      <c r="D1186" s="4" t="s">
        <v>5581</v>
      </c>
      <c r="E1186" s="3" t="s">
        <v>5582</v>
      </c>
      <c r="F1186" s="34" t="s">
        <v>5215</v>
      </c>
      <c r="G1186" s="6"/>
      <c r="H1186" s="3" t="s">
        <v>5216</v>
      </c>
    </row>
    <row r="1187" spans="1:8" ht="15.75" customHeight="1">
      <c r="A1187" s="3" t="s">
        <v>5583</v>
      </c>
      <c r="B1187" s="3" t="s">
        <v>5584</v>
      </c>
      <c r="C1187" s="3" t="s">
        <v>5585</v>
      </c>
      <c r="D1187" s="4" t="s">
        <v>5586</v>
      </c>
      <c r="E1187" s="3" t="s">
        <v>5587</v>
      </c>
      <c r="F1187" s="34" t="s">
        <v>5192</v>
      </c>
      <c r="G1187" s="6"/>
      <c r="H1187" s="3" t="s">
        <v>5193</v>
      </c>
    </row>
    <row r="1188" spans="1:8" ht="15.75" customHeight="1">
      <c r="A1188" s="3" t="s">
        <v>5588</v>
      </c>
      <c r="B1188" s="3" t="s">
        <v>2245</v>
      </c>
      <c r="C1188" s="3" t="s">
        <v>5589</v>
      </c>
      <c r="D1188" s="4" t="s">
        <v>5590</v>
      </c>
      <c r="E1188" s="3" t="s">
        <v>5591</v>
      </c>
      <c r="F1188" s="34" t="s">
        <v>5592</v>
      </c>
      <c r="G1188" s="6"/>
      <c r="H1188" s="3" t="s">
        <v>5593</v>
      </c>
    </row>
    <row r="1189" spans="1:8" ht="15.75" customHeight="1">
      <c r="A1189" s="3" t="s">
        <v>5594</v>
      </c>
      <c r="B1189" s="3" t="s">
        <v>5595</v>
      </c>
      <c r="C1189" s="3" t="s">
        <v>5596</v>
      </c>
      <c r="D1189" s="4" t="s">
        <v>5597</v>
      </c>
      <c r="E1189" s="3" t="s">
        <v>5598</v>
      </c>
      <c r="F1189" s="34" t="s">
        <v>5259</v>
      </c>
      <c r="G1189" s="6"/>
      <c r="H1189" s="3" t="s">
        <v>5260</v>
      </c>
    </row>
    <row r="1190" spans="1:8" ht="15.75" customHeight="1">
      <c r="A1190" s="3" t="s">
        <v>5599</v>
      </c>
      <c r="B1190" s="3" t="s">
        <v>5600</v>
      </c>
      <c r="C1190" s="3" t="s">
        <v>5601</v>
      </c>
      <c r="D1190" s="4" t="s">
        <v>5602</v>
      </c>
      <c r="E1190" s="3" t="s">
        <v>5603</v>
      </c>
      <c r="F1190" s="34" t="s">
        <v>5192</v>
      </c>
      <c r="G1190" s="6"/>
      <c r="H1190" s="3" t="s">
        <v>5193</v>
      </c>
    </row>
    <row r="1191" spans="1:8" ht="15.75" customHeight="1">
      <c r="A1191" s="3" t="s">
        <v>227</v>
      </c>
      <c r="B1191" s="3" t="s">
        <v>5604</v>
      </c>
      <c r="C1191" s="3" t="s">
        <v>5605</v>
      </c>
      <c r="D1191" s="4" t="s">
        <v>5606</v>
      </c>
      <c r="E1191" s="3" t="s">
        <v>5607</v>
      </c>
      <c r="F1191" s="34" t="s">
        <v>5192</v>
      </c>
      <c r="G1191" s="6"/>
      <c r="H1191" s="3" t="s">
        <v>5193</v>
      </c>
    </row>
    <row r="1192" spans="1:8" ht="15.75" customHeight="1">
      <c r="A1192" s="3" t="s">
        <v>5608</v>
      </c>
      <c r="B1192" s="3" t="s">
        <v>5609</v>
      </c>
      <c r="C1192" s="3" t="s">
        <v>5610</v>
      </c>
      <c r="D1192" s="4" t="s">
        <v>5611</v>
      </c>
      <c r="E1192" s="3" t="s">
        <v>5612</v>
      </c>
      <c r="F1192" s="34" t="s">
        <v>5192</v>
      </c>
      <c r="G1192" s="6"/>
      <c r="H1192" s="3" t="s">
        <v>5193</v>
      </c>
    </row>
    <row r="1193" spans="1:8" ht="15.75" customHeight="1">
      <c r="A1193" s="3" t="s">
        <v>5613</v>
      </c>
      <c r="B1193" s="3" t="s">
        <v>5614</v>
      </c>
      <c r="C1193" s="3" t="s">
        <v>5227</v>
      </c>
      <c r="D1193" s="6"/>
      <c r="E1193" s="3" t="s">
        <v>5615</v>
      </c>
      <c r="F1193" s="3" t="s">
        <v>5616</v>
      </c>
      <c r="G1193" s="6"/>
      <c r="H1193" s="3" t="s">
        <v>5617</v>
      </c>
    </row>
    <row r="1194" spans="1:8" ht="15.75" customHeight="1">
      <c r="A1194" s="3" t="s">
        <v>5618</v>
      </c>
      <c r="B1194" s="3" t="s">
        <v>5619</v>
      </c>
      <c r="C1194" s="3" t="s">
        <v>91</v>
      </c>
      <c r="D1194" s="4" t="s">
        <v>5620</v>
      </c>
      <c r="E1194" s="3" t="s">
        <v>5621</v>
      </c>
      <c r="F1194" s="34" t="s">
        <v>5622</v>
      </c>
      <c r="G1194" s="6"/>
      <c r="H1194" s="3" t="s">
        <v>5623</v>
      </c>
    </row>
    <row r="1195" spans="1:8" ht="15.75" customHeight="1">
      <c r="A1195" s="3" t="s">
        <v>1360</v>
      </c>
      <c r="B1195" s="3" t="s">
        <v>5624</v>
      </c>
      <c r="C1195" s="3" t="s">
        <v>5625</v>
      </c>
      <c r="D1195" s="6"/>
      <c r="E1195" s="3" t="s">
        <v>5626</v>
      </c>
      <c r="F1195" s="34" t="s">
        <v>5627</v>
      </c>
      <c r="G1195" s="6"/>
      <c r="H1195" s="3" t="s">
        <v>5628</v>
      </c>
    </row>
    <row r="1196" spans="1:8" ht="15.75" customHeight="1">
      <c r="A1196" s="3" t="s">
        <v>5629</v>
      </c>
      <c r="B1196" s="3" t="s">
        <v>5630</v>
      </c>
      <c r="C1196" s="3" t="s">
        <v>109</v>
      </c>
      <c r="D1196" s="6"/>
      <c r="E1196" s="3" t="s">
        <v>5631</v>
      </c>
      <c r="F1196" s="3" t="s">
        <v>5632</v>
      </c>
      <c r="G1196" s="6"/>
      <c r="H1196" s="3" t="s">
        <v>5633</v>
      </c>
    </row>
    <row r="1197" spans="1:8" ht="15.75" customHeight="1">
      <c r="A1197" s="3" t="s">
        <v>5634</v>
      </c>
      <c r="B1197" s="3" t="s">
        <v>378</v>
      </c>
      <c r="C1197" s="3" t="s">
        <v>91</v>
      </c>
      <c r="D1197" s="6"/>
      <c r="E1197" s="3" t="s">
        <v>5635</v>
      </c>
      <c r="F1197" s="3" t="s">
        <v>5246</v>
      </c>
      <c r="G1197" s="6"/>
      <c r="H1197" s="3" t="s">
        <v>5247</v>
      </c>
    </row>
    <row r="1198" spans="1:8" ht="15.75" customHeight="1">
      <c r="A1198" s="3" t="s">
        <v>4078</v>
      </c>
      <c r="B1198" s="3" t="s">
        <v>4335</v>
      </c>
      <c r="C1198" s="3" t="s">
        <v>5636</v>
      </c>
      <c r="D1198" s="4" t="s">
        <v>5637</v>
      </c>
      <c r="E1198" s="3" t="s">
        <v>5638</v>
      </c>
      <c r="F1198" s="34" t="s">
        <v>5639</v>
      </c>
      <c r="G1198" s="6"/>
      <c r="H1198" s="3" t="s">
        <v>5334</v>
      </c>
    </row>
    <row r="1199" spans="1:8" ht="15.75" customHeight="1">
      <c r="A1199" s="3" t="s">
        <v>240</v>
      </c>
      <c r="B1199" s="3" t="s">
        <v>5640</v>
      </c>
      <c r="C1199" s="3" t="s">
        <v>5641</v>
      </c>
      <c r="D1199" s="4" t="s">
        <v>5642</v>
      </c>
      <c r="E1199" s="3" t="s">
        <v>5643</v>
      </c>
      <c r="F1199" s="34" t="s">
        <v>5644</v>
      </c>
      <c r="G1199" s="6"/>
      <c r="H1199" s="3" t="s">
        <v>5645</v>
      </c>
    </row>
    <row r="1200" spans="1:8" ht="15.75" customHeight="1">
      <c r="A1200" s="3" t="s">
        <v>384</v>
      </c>
      <c r="B1200" s="3" t="s">
        <v>1569</v>
      </c>
      <c r="C1200" s="3" t="s">
        <v>5646</v>
      </c>
      <c r="D1200" s="4" t="s">
        <v>5647</v>
      </c>
      <c r="E1200" s="3" t="s">
        <v>5648</v>
      </c>
      <c r="F1200" s="6"/>
      <c r="G1200" s="6"/>
      <c r="H1200" s="3" t="s">
        <v>5649</v>
      </c>
    </row>
    <row r="1201" spans="1:8" ht="15.75" customHeight="1">
      <c r="A1201" s="3" t="s">
        <v>5650</v>
      </c>
      <c r="B1201" s="3" t="s">
        <v>5651</v>
      </c>
      <c r="C1201" s="3" t="s">
        <v>5652</v>
      </c>
      <c r="D1201" s="4" t="s">
        <v>5653</v>
      </c>
      <c r="E1201" s="3" t="s">
        <v>5654</v>
      </c>
      <c r="F1201" s="34" t="s">
        <v>5259</v>
      </c>
      <c r="G1201" s="6"/>
      <c r="H1201" s="3" t="s">
        <v>5260</v>
      </c>
    </row>
    <row r="1202" spans="1:8" ht="15.75" customHeight="1">
      <c r="A1202" s="3" t="s">
        <v>5655</v>
      </c>
      <c r="B1202" s="3" t="s">
        <v>5656</v>
      </c>
      <c r="C1202" s="3" t="s">
        <v>5657</v>
      </c>
      <c r="D1202" s="4" t="s">
        <v>5658</v>
      </c>
      <c r="E1202" s="3" t="s">
        <v>5659</v>
      </c>
      <c r="F1202" s="34" t="s">
        <v>5402</v>
      </c>
      <c r="G1202" s="6"/>
      <c r="H1202" s="3" t="s">
        <v>5403</v>
      </c>
    </row>
    <row r="1203" spans="1:8" ht="15.75" customHeight="1">
      <c r="A1203" s="3" t="s">
        <v>5660</v>
      </c>
      <c r="B1203" s="3" t="s">
        <v>3146</v>
      </c>
      <c r="C1203" s="3" t="s">
        <v>5661</v>
      </c>
      <c r="D1203" s="4" t="s">
        <v>5662</v>
      </c>
      <c r="E1203" s="3" t="s">
        <v>5663</v>
      </c>
      <c r="F1203" s="34" t="s">
        <v>5192</v>
      </c>
      <c r="G1203" s="6"/>
      <c r="H1203" s="3" t="s">
        <v>5193</v>
      </c>
    </row>
    <row r="1204" spans="1:8" ht="15.75" customHeight="1">
      <c r="A1204" s="3" t="s">
        <v>5664</v>
      </c>
      <c r="B1204" s="3" t="s">
        <v>5665</v>
      </c>
      <c r="C1204" s="3" t="s">
        <v>5417</v>
      </c>
      <c r="D1204" s="4" t="s">
        <v>5666</v>
      </c>
      <c r="E1204" s="3" t="s">
        <v>5667</v>
      </c>
      <c r="F1204" s="34" t="s">
        <v>5192</v>
      </c>
      <c r="G1204" s="6"/>
      <c r="H1204" s="3" t="s">
        <v>5193</v>
      </c>
    </row>
    <row r="1205" spans="1:8" ht="15.75" customHeight="1">
      <c r="A1205" s="3" t="s">
        <v>5668</v>
      </c>
      <c r="B1205" s="3" t="s">
        <v>3400</v>
      </c>
      <c r="C1205" s="3" t="s">
        <v>2570</v>
      </c>
      <c r="D1205" s="4" t="s">
        <v>5669</v>
      </c>
      <c r="E1205" s="3" t="s">
        <v>5670</v>
      </c>
      <c r="F1205" s="34" t="s">
        <v>5192</v>
      </c>
      <c r="G1205" s="6"/>
      <c r="H1205" s="3" t="s">
        <v>5193</v>
      </c>
    </row>
    <row r="1206" spans="1:8" ht="15.75" customHeight="1">
      <c r="A1206" s="3" t="s">
        <v>4470</v>
      </c>
      <c r="B1206" s="3" t="s">
        <v>5671</v>
      </c>
      <c r="C1206" s="3" t="s">
        <v>229</v>
      </c>
      <c r="D1206" s="4" t="s">
        <v>5672</v>
      </c>
      <c r="E1206" s="3" t="s">
        <v>5673</v>
      </c>
      <c r="F1206" s="6"/>
      <c r="G1206" s="6"/>
      <c r="H1206" s="3" t="s">
        <v>5674</v>
      </c>
    </row>
    <row r="1207" spans="1:8" ht="15.75" customHeight="1">
      <c r="A1207" s="3" t="s">
        <v>5675</v>
      </c>
      <c r="B1207" s="3" t="s">
        <v>5676</v>
      </c>
      <c r="C1207" s="3" t="s">
        <v>5677</v>
      </c>
      <c r="D1207" s="4" t="s">
        <v>5678</v>
      </c>
      <c r="E1207" s="3" t="s">
        <v>5679</v>
      </c>
      <c r="F1207" s="34" t="s">
        <v>5680</v>
      </c>
      <c r="G1207" s="6"/>
      <c r="H1207" s="3" t="s">
        <v>5681</v>
      </c>
    </row>
    <row r="1208" spans="1:8" ht="15.75" customHeight="1">
      <c r="A1208" s="3" t="s">
        <v>5682</v>
      </c>
      <c r="B1208" s="3" t="s">
        <v>5683</v>
      </c>
      <c r="C1208" s="3" t="s">
        <v>5684</v>
      </c>
      <c r="D1208" s="4" t="s">
        <v>5685</v>
      </c>
      <c r="E1208" s="3" t="s">
        <v>5686</v>
      </c>
      <c r="F1208" s="34" t="s">
        <v>5687</v>
      </c>
      <c r="G1208" s="6"/>
      <c r="H1208" s="3" t="s">
        <v>5688</v>
      </c>
    </row>
    <row r="1209" spans="1:8" ht="15.75" customHeight="1">
      <c r="A1209" s="3" t="s">
        <v>155</v>
      </c>
      <c r="B1209" s="3" t="s">
        <v>40</v>
      </c>
      <c r="C1209" s="3" t="s">
        <v>5689</v>
      </c>
      <c r="D1209" s="4" t="s">
        <v>5690</v>
      </c>
      <c r="E1209" s="3" t="s">
        <v>5691</v>
      </c>
      <c r="F1209" s="3" t="s">
        <v>5692</v>
      </c>
      <c r="G1209" s="6"/>
      <c r="H1209" s="3" t="s">
        <v>5633</v>
      </c>
    </row>
    <row r="1210" spans="1:8" ht="15.75" customHeight="1">
      <c r="A1210" s="3" t="s">
        <v>2539</v>
      </c>
      <c r="B1210" s="3" t="s">
        <v>4001</v>
      </c>
      <c r="C1210" s="3" t="s">
        <v>4306</v>
      </c>
      <c r="D1210" s="4" t="s">
        <v>5693</v>
      </c>
      <c r="E1210" s="3" t="s">
        <v>5694</v>
      </c>
      <c r="F1210" s="34" t="s">
        <v>5695</v>
      </c>
      <c r="G1210" s="6"/>
      <c r="H1210" s="3" t="s">
        <v>5696</v>
      </c>
    </row>
    <row r="1211" spans="1:8" ht="15.75" customHeight="1">
      <c r="A1211" s="3" t="s">
        <v>5697</v>
      </c>
      <c r="B1211" s="3" t="s">
        <v>221</v>
      </c>
      <c r="C1211" s="3" t="s">
        <v>4472</v>
      </c>
      <c r="D1211" s="4" t="s">
        <v>5698</v>
      </c>
      <c r="E1211" s="3" t="s">
        <v>5699</v>
      </c>
      <c r="F1211" s="34" t="s">
        <v>5700</v>
      </c>
      <c r="G1211" s="6"/>
      <c r="H1211" s="3" t="s">
        <v>5254</v>
      </c>
    </row>
    <row r="1212" spans="1:8" ht="15.75" customHeight="1">
      <c r="A1212" s="3" t="s">
        <v>5701</v>
      </c>
      <c r="B1212" s="3" t="s">
        <v>5702</v>
      </c>
      <c r="C1212" s="3" t="s">
        <v>5703</v>
      </c>
      <c r="D1212" s="4" t="s">
        <v>5704</v>
      </c>
      <c r="E1212" s="3" t="s">
        <v>5705</v>
      </c>
      <c r="F1212" s="3" t="s">
        <v>5706</v>
      </c>
      <c r="G1212" s="6"/>
      <c r="H1212" s="3" t="s">
        <v>5193</v>
      </c>
    </row>
    <row r="1213" spans="1:8" ht="15.75" customHeight="1">
      <c r="A1213" s="3" t="s">
        <v>5707</v>
      </c>
      <c r="B1213" s="3" t="s">
        <v>5708</v>
      </c>
      <c r="C1213" s="3" t="s">
        <v>1684</v>
      </c>
      <c r="D1213" s="6"/>
      <c r="E1213" s="3" t="s">
        <v>5709</v>
      </c>
      <c r="F1213" s="34" t="s">
        <v>5710</v>
      </c>
      <c r="G1213" s="6"/>
      <c r="H1213" s="3" t="s">
        <v>5711</v>
      </c>
    </row>
    <row r="1214" spans="1:8" ht="15.75" customHeight="1">
      <c r="A1214" s="3" t="s">
        <v>5712</v>
      </c>
      <c r="B1214" s="3" t="s">
        <v>5713</v>
      </c>
      <c r="C1214" s="3" t="s">
        <v>1684</v>
      </c>
      <c r="D1214" s="4" t="s">
        <v>5714</v>
      </c>
      <c r="E1214" s="3" t="s">
        <v>5715</v>
      </c>
      <c r="F1214" s="34" t="s">
        <v>5192</v>
      </c>
      <c r="G1214" s="6"/>
      <c r="H1214" s="3" t="s">
        <v>5193</v>
      </c>
    </row>
    <row r="1215" spans="1:8" ht="15.75" customHeight="1">
      <c r="A1215" s="3" t="s">
        <v>5420</v>
      </c>
      <c r="B1215" s="3" t="s">
        <v>5716</v>
      </c>
      <c r="C1215" s="3" t="s">
        <v>5717</v>
      </c>
      <c r="D1215" s="4" t="s">
        <v>5718</v>
      </c>
      <c r="E1215" s="3" t="s">
        <v>5719</v>
      </c>
      <c r="F1215" s="34" t="s">
        <v>5192</v>
      </c>
      <c r="G1215" s="6"/>
      <c r="H1215" s="3" t="s">
        <v>5193</v>
      </c>
    </row>
    <row r="1216" spans="1:8" ht="15.75" customHeight="1">
      <c r="A1216" s="3" t="s">
        <v>5720</v>
      </c>
      <c r="B1216" s="3" t="s">
        <v>5721</v>
      </c>
      <c r="C1216" s="3" t="s">
        <v>5722</v>
      </c>
      <c r="D1216" s="4" t="s">
        <v>5723</v>
      </c>
      <c r="E1216" s="3" t="s">
        <v>5724</v>
      </c>
      <c r="F1216" s="34" t="s">
        <v>5192</v>
      </c>
      <c r="G1216" s="6"/>
      <c r="H1216" s="3" t="s">
        <v>5193</v>
      </c>
    </row>
    <row r="1217" spans="1:8" ht="15.75" customHeight="1">
      <c r="A1217" s="3" t="s">
        <v>5350</v>
      </c>
      <c r="B1217" s="3" t="s">
        <v>5725</v>
      </c>
      <c r="C1217" s="3" t="s">
        <v>5726</v>
      </c>
      <c r="D1217" s="4" t="s">
        <v>5727</v>
      </c>
      <c r="E1217" s="3" t="s">
        <v>5728</v>
      </c>
      <c r="F1217" s="34" t="s">
        <v>5192</v>
      </c>
      <c r="G1217" s="6"/>
      <c r="H1217" s="3" t="s">
        <v>5193</v>
      </c>
    </row>
    <row r="1218" spans="1:8" ht="15.75" customHeight="1">
      <c r="A1218" s="3" t="s">
        <v>5729</v>
      </c>
      <c r="B1218" s="3" t="s">
        <v>5730</v>
      </c>
      <c r="C1218" s="3" t="s">
        <v>5731</v>
      </c>
      <c r="D1218" s="4" t="s">
        <v>5732</v>
      </c>
      <c r="E1218" s="3" t="s">
        <v>5733</v>
      </c>
      <c r="F1218" s="34" t="s">
        <v>5259</v>
      </c>
      <c r="G1218" s="6"/>
      <c r="H1218" s="3" t="s">
        <v>5260</v>
      </c>
    </row>
    <row r="1219" spans="1:8" ht="15.75" customHeight="1">
      <c r="A1219" s="3" t="s">
        <v>836</v>
      </c>
      <c r="B1219" s="3" t="s">
        <v>5734</v>
      </c>
      <c r="C1219" s="3" t="s">
        <v>5735</v>
      </c>
      <c r="D1219" s="4" t="s">
        <v>5736</v>
      </c>
      <c r="E1219" s="3" t="s">
        <v>5737</v>
      </c>
      <c r="F1219" s="34" t="s">
        <v>5738</v>
      </c>
      <c r="G1219" s="6"/>
      <c r="H1219" s="3" t="s">
        <v>5193</v>
      </c>
    </row>
    <row r="1220" spans="1:8" ht="15.75" customHeight="1">
      <c r="A1220" s="3" t="s">
        <v>5739</v>
      </c>
      <c r="B1220" s="3" t="s">
        <v>5740</v>
      </c>
      <c r="C1220" s="3" t="s">
        <v>5227</v>
      </c>
      <c r="D1220" s="6"/>
      <c r="E1220" s="3" t="s">
        <v>5741</v>
      </c>
      <c r="F1220" s="6"/>
      <c r="G1220" s="6"/>
      <c r="H1220" s="3" t="s">
        <v>5742</v>
      </c>
    </row>
    <row r="1221" spans="1:8" ht="15.75" customHeight="1">
      <c r="A1221" s="3" t="s">
        <v>5743</v>
      </c>
      <c r="B1221" s="3" t="s">
        <v>5744</v>
      </c>
      <c r="C1221" s="3" t="s">
        <v>5745</v>
      </c>
      <c r="D1221" s="4" t="s">
        <v>5746</v>
      </c>
      <c r="E1221" s="3" t="s">
        <v>5747</v>
      </c>
      <c r="F1221" s="34" t="s">
        <v>5259</v>
      </c>
      <c r="G1221" s="6"/>
      <c r="H1221" s="3" t="s">
        <v>5260</v>
      </c>
    </row>
    <row r="1222" spans="1:8" ht="15.75" customHeight="1">
      <c r="A1222" s="3" t="s">
        <v>1338</v>
      </c>
      <c r="B1222" s="3" t="s">
        <v>1338</v>
      </c>
      <c r="C1222" s="3" t="s">
        <v>5748</v>
      </c>
      <c r="D1222" s="4" t="s">
        <v>5749</v>
      </c>
      <c r="E1222" s="3" t="s">
        <v>5750</v>
      </c>
      <c r="F1222" s="34" t="s">
        <v>5493</v>
      </c>
      <c r="G1222" s="6"/>
      <c r="H1222" s="3" t="s">
        <v>5494</v>
      </c>
    </row>
    <row r="1223" spans="1:8" ht="15.75" customHeight="1">
      <c r="A1223" s="3" t="s">
        <v>5429</v>
      </c>
      <c r="B1223" s="3" t="s">
        <v>5751</v>
      </c>
      <c r="C1223" s="3" t="s">
        <v>4766</v>
      </c>
      <c r="D1223" s="4" t="s">
        <v>5752</v>
      </c>
      <c r="E1223" s="3" t="s">
        <v>5753</v>
      </c>
      <c r="F1223" s="34" t="s">
        <v>5754</v>
      </c>
      <c r="G1223" s="6"/>
      <c r="H1223" s="3" t="s">
        <v>5755</v>
      </c>
    </row>
    <row r="1224" spans="1:8" ht="15.75" customHeight="1">
      <c r="A1224" s="3" t="s">
        <v>985</v>
      </c>
      <c r="B1224" s="3" t="s">
        <v>5756</v>
      </c>
      <c r="C1224" s="3" t="s">
        <v>5757</v>
      </c>
      <c r="D1224" s="4" t="s">
        <v>5758</v>
      </c>
      <c r="E1224" s="3" t="s">
        <v>5759</v>
      </c>
      <c r="F1224" s="34" t="s">
        <v>5259</v>
      </c>
      <c r="G1224" s="6"/>
      <c r="H1224" s="3" t="s">
        <v>5260</v>
      </c>
    </row>
    <row r="1225" spans="1:8" ht="15.75" customHeight="1">
      <c r="A1225" s="3" t="s">
        <v>671</v>
      </c>
      <c r="B1225" s="3" t="s">
        <v>5760</v>
      </c>
      <c r="C1225" s="3" t="s">
        <v>5761</v>
      </c>
      <c r="D1225" s="4" t="s">
        <v>5762</v>
      </c>
      <c r="E1225" s="3" t="s">
        <v>5763</v>
      </c>
      <c r="F1225" s="34" t="s">
        <v>5192</v>
      </c>
      <c r="G1225" s="6"/>
      <c r="H1225" s="3" t="s">
        <v>5193</v>
      </c>
    </row>
    <row r="1226" spans="1:8" ht="15.75" customHeight="1">
      <c r="A1226" s="3" t="s">
        <v>5764</v>
      </c>
      <c r="B1226" s="3" t="s">
        <v>5765</v>
      </c>
      <c r="C1226" s="3" t="s">
        <v>5766</v>
      </c>
      <c r="D1226" s="4" t="s">
        <v>5767</v>
      </c>
      <c r="E1226" s="3" t="s">
        <v>5768</v>
      </c>
      <c r="F1226" s="34" t="s">
        <v>5738</v>
      </c>
      <c r="G1226" s="6"/>
      <c r="H1226" s="3" t="s">
        <v>5193</v>
      </c>
    </row>
    <row r="1227" spans="1:8" ht="15.75" customHeight="1">
      <c r="A1227" s="3" t="s">
        <v>5769</v>
      </c>
      <c r="B1227" s="3" t="s">
        <v>5770</v>
      </c>
      <c r="C1227" s="3" t="s">
        <v>5771</v>
      </c>
      <c r="D1227" s="4" t="s">
        <v>5772</v>
      </c>
      <c r="E1227" s="3" t="s">
        <v>5773</v>
      </c>
      <c r="F1227" s="34" t="s">
        <v>5774</v>
      </c>
      <c r="G1227" s="6"/>
      <c r="H1227" s="3" t="s">
        <v>5775</v>
      </c>
    </row>
    <row r="1228" spans="1:8" ht="15.75" customHeight="1">
      <c r="A1228" s="3" t="s">
        <v>5776</v>
      </c>
      <c r="B1228" s="3" t="s">
        <v>5777</v>
      </c>
      <c r="C1228" s="3" t="s">
        <v>1684</v>
      </c>
      <c r="D1228" s="6"/>
      <c r="E1228" s="3" t="s">
        <v>5778</v>
      </c>
      <c r="F1228" s="34" t="s">
        <v>5779</v>
      </c>
      <c r="G1228" s="6"/>
      <c r="H1228" s="3" t="s">
        <v>5780</v>
      </c>
    </row>
    <row r="1229" spans="1:8" ht="15.75" customHeight="1">
      <c r="A1229" s="3" t="s">
        <v>433</v>
      </c>
      <c r="B1229" s="3" t="s">
        <v>721</v>
      </c>
      <c r="C1229" s="3" t="s">
        <v>5781</v>
      </c>
      <c r="D1229" s="4" t="s">
        <v>5782</v>
      </c>
      <c r="E1229" s="6"/>
      <c r="F1229" s="34" t="s">
        <v>5783</v>
      </c>
      <c r="G1229" s="6"/>
      <c r="H1229" s="3" t="s">
        <v>5784</v>
      </c>
    </row>
    <row r="1230" spans="1:8" ht="15.75" customHeight="1">
      <c r="A1230" s="3" t="s">
        <v>1640</v>
      </c>
      <c r="B1230" s="3" t="s">
        <v>1466</v>
      </c>
      <c r="C1230" s="3" t="s">
        <v>5726</v>
      </c>
      <c r="D1230" s="4" t="s">
        <v>5785</v>
      </c>
      <c r="E1230" s="3" t="s">
        <v>5786</v>
      </c>
      <c r="F1230" s="34" t="s">
        <v>5192</v>
      </c>
      <c r="G1230" s="6"/>
      <c r="H1230" s="3" t="s">
        <v>5193</v>
      </c>
    </row>
    <row r="1231" spans="1:8" ht="15.75" customHeight="1">
      <c r="A1231" s="3" t="s">
        <v>5787</v>
      </c>
      <c r="B1231" s="3" t="s">
        <v>7</v>
      </c>
      <c r="C1231" s="3" t="s">
        <v>5788</v>
      </c>
      <c r="D1231" s="4" t="s">
        <v>5789</v>
      </c>
      <c r="E1231" s="3" t="s">
        <v>5790</v>
      </c>
      <c r="F1231" s="34" t="s">
        <v>5192</v>
      </c>
      <c r="G1231" s="6"/>
      <c r="H1231" s="3" t="s">
        <v>5193</v>
      </c>
    </row>
    <row r="1232" spans="1:8" ht="15.75" customHeight="1">
      <c r="A1232" s="3" t="s">
        <v>5791</v>
      </c>
      <c r="B1232" s="3" t="s">
        <v>7</v>
      </c>
      <c r="C1232" s="3" t="s">
        <v>4357</v>
      </c>
      <c r="D1232" s="4" t="s">
        <v>5792</v>
      </c>
      <c r="E1232" s="3" t="s">
        <v>5793</v>
      </c>
      <c r="F1232" s="34" t="s">
        <v>5192</v>
      </c>
      <c r="G1232" s="6"/>
      <c r="H1232" s="3" t="s">
        <v>5193</v>
      </c>
    </row>
    <row r="1233" spans="1:8" ht="15.75" customHeight="1">
      <c r="A1233" s="3" t="s">
        <v>1376</v>
      </c>
      <c r="B1233" s="3" t="s">
        <v>5794</v>
      </c>
      <c r="C1233" s="3" t="s">
        <v>5795</v>
      </c>
      <c r="D1233" s="4" t="s">
        <v>5796</v>
      </c>
      <c r="E1233" s="3" t="s">
        <v>5797</v>
      </c>
      <c r="F1233" s="34" t="s">
        <v>5215</v>
      </c>
      <c r="G1233" s="6"/>
      <c r="H1233" s="3" t="s">
        <v>5216</v>
      </c>
    </row>
    <row r="1234" spans="1:8" ht="15.75" customHeight="1">
      <c r="A1234" s="3" t="s">
        <v>536</v>
      </c>
      <c r="B1234" s="3" t="s">
        <v>5798</v>
      </c>
      <c r="C1234" s="3" t="s">
        <v>5799</v>
      </c>
      <c r="D1234" s="4" t="s">
        <v>5800</v>
      </c>
      <c r="E1234" s="3" t="s">
        <v>5801</v>
      </c>
      <c r="F1234" s="34" t="s">
        <v>5192</v>
      </c>
      <c r="G1234" s="6"/>
      <c r="H1234" s="3" t="s">
        <v>5193</v>
      </c>
    </row>
    <row r="1235" spans="1:8" ht="15.75" customHeight="1">
      <c r="A1235" s="3" t="s">
        <v>5802</v>
      </c>
      <c r="B1235" s="3" t="s">
        <v>3457</v>
      </c>
      <c r="C1235" s="3" t="s">
        <v>5803</v>
      </c>
      <c r="D1235" s="4" t="s">
        <v>5804</v>
      </c>
      <c r="E1235" s="3" t="s">
        <v>5805</v>
      </c>
      <c r="F1235" s="34" t="s">
        <v>5806</v>
      </c>
      <c r="G1235" s="6"/>
      <c r="H1235" s="3" t="s">
        <v>5742</v>
      </c>
    </row>
    <row r="1236" spans="1:8" ht="15.75" customHeight="1">
      <c r="A1236" s="3" t="s">
        <v>5807</v>
      </c>
      <c r="B1236" s="3" t="s">
        <v>5808</v>
      </c>
      <c r="C1236" s="3" t="s">
        <v>5809</v>
      </c>
      <c r="D1236" s="4" t="s">
        <v>5810</v>
      </c>
      <c r="E1236" s="3" t="s">
        <v>5811</v>
      </c>
      <c r="F1236" s="34" t="s">
        <v>5812</v>
      </c>
      <c r="G1236" s="6"/>
      <c r="H1236" s="3" t="s">
        <v>5813</v>
      </c>
    </row>
    <row r="1237" spans="1:8" ht="15.75" customHeight="1">
      <c r="A1237" s="3" t="s">
        <v>3799</v>
      </c>
      <c r="B1237" s="3" t="s">
        <v>5814</v>
      </c>
      <c r="C1237" s="3" t="s">
        <v>109</v>
      </c>
      <c r="D1237" s="4" t="s">
        <v>5815</v>
      </c>
      <c r="E1237" s="3" t="s">
        <v>5816</v>
      </c>
      <c r="F1237" s="34" t="s">
        <v>5259</v>
      </c>
      <c r="G1237" s="6"/>
      <c r="H1237" s="3" t="s">
        <v>5260</v>
      </c>
    </row>
    <row r="1238" spans="1:8" ht="15.75" customHeight="1">
      <c r="A1238" s="3" t="s">
        <v>5817</v>
      </c>
      <c r="B1238" s="3" t="s">
        <v>5818</v>
      </c>
      <c r="C1238" s="3" t="s">
        <v>5819</v>
      </c>
      <c r="D1238" s="4" t="s">
        <v>5820</v>
      </c>
      <c r="E1238" s="3" t="s">
        <v>5821</v>
      </c>
      <c r="F1238" s="34" t="s">
        <v>5259</v>
      </c>
      <c r="G1238" s="6"/>
      <c r="H1238" s="3" t="s">
        <v>5260</v>
      </c>
    </row>
    <row r="1239" spans="1:8" ht="15.75" customHeight="1">
      <c r="A1239" s="3" t="s">
        <v>1689</v>
      </c>
      <c r="B1239" s="3" t="s">
        <v>463</v>
      </c>
      <c r="C1239" s="3" t="s">
        <v>5822</v>
      </c>
      <c r="D1239" s="4" t="s">
        <v>5823</v>
      </c>
      <c r="E1239" s="3" t="s">
        <v>5824</v>
      </c>
      <c r="F1239" s="34" t="s">
        <v>5825</v>
      </c>
      <c r="G1239" s="6"/>
      <c r="H1239" s="3" t="s">
        <v>5826</v>
      </c>
    </row>
    <row r="1240" spans="1:8" ht="15.75" customHeight="1">
      <c r="A1240" s="3" t="s">
        <v>5827</v>
      </c>
      <c r="B1240" s="3" t="s">
        <v>5828</v>
      </c>
      <c r="C1240" s="3" t="s">
        <v>5829</v>
      </c>
      <c r="D1240" s="4" t="s">
        <v>5830</v>
      </c>
      <c r="E1240" s="3" t="s">
        <v>5831</v>
      </c>
      <c r="F1240" s="34" t="s">
        <v>5192</v>
      </c>
      <c r="G1240" s="6"/>
      <c r="H1240" s="3" t="s">
        <v>5193</v>
      </c>
    </row>
    <row r="1241" spans="1:8" ht="15.75" customHeight="1">
      <c r="A1241" s="3" t="s">
        <v>5832</v>
      </c>
      <c r="B1241" s="3" t="s">
        <v>5833</v>
      </c>
      <c r="C1241" s="3" t="s">
        <v>5834</v>
      </c>
      <c r="D1241" s="4" t="s">
        <v>5835</v>
      </c>
      <c r="E1241" s="3" t="s">
        <v>5836</v>
      </c>
      <c r="F1241" s="34" t="s">
        <v>5215</v>
      </c>
      <c r="G1241" s="6"/>
      <c r="H1241" s="3" t="s">
        <v>5216</v>
      </c>
    </row>
    <row r="1242" spans="1:8" ht="15.75" customHeight="1">
      <c r="A1242" s="3" t="s">
        <v>462</v>
      </c>
      <c r="B1242" s="3" t="s">
        <v>4471</v>
      </c>
      <c r="C1242" s="3" t="s">
        <v>5837</v>
      </c>
      <c r="D1242" s="4" t="s">
        <v>5838</v>
      </c>
      <c r="E1242" s="3" t="s">
        <v>5839</v>
      </c>
      <c r="F1242" s="34" t="s">
        <v>5840</v>
      </c>
      <c r="G1242" s="6"/>
      <c r="H1242" s="3" t="s">
        <v>5841</v>
      </c>
    </row>
    <row r="1243" spans="1:8" ht="15.75" customHeight="1">
      <c r="A1243" s="3" t="s">
        <v>94</v>
      </c>
      <c r="B1243" s="3" t="s">
        <v>221</v>
      </c>
      <c r="C1243" s="3" t="s">
        <v>4357</v>
      </c>
      <c r="D1243" s="4" t="s">
        <v>5842</v>
      </c>
      <c r="E1243" s="3">
        <v>6</v>
      </c>
      <c r="F1243" s="34" t="s">
        <v>5843</v>
      </c>
      <c r="G1243" s="6"/>
      <c r="H1243" s="3" t="s">
        <v>5844</v>
      </c>
    </row>
    <row r="1244" spans="1:8" ht="15.75" customHeight="1">
      <c r="A1244" s="3" t="s">
        <v>5845</v>
      </c>
      <c r="B1244" s="3" t="s">
        <v>5846</v>
      </c>
      <c r="C1244" s="3" t="s">
        <v>5677</v>
      </c>
      <c r="D1244" s="6"/>
      <c r="E1244" s="3" t="s">
        <v>5847</v>
      </c>
      <c r="F1244" s="34" t="s">
        <v>5185</v>
      </c>
      <c r="G1244" s="6"/>
      <c r="H1244" s="3" t="s">
        <v>5186</v>
      </c>
    </row>
    <row r="1245" spans="1:8" ht="15.75" customHeight="1">
      <c r="A1245" s="3" t="s">
        <v>710</v>
      </c>
      <c r="B1245" s="3" t="s">
        <v>198</v>
      </c>
      <c r="C1245" s="3" t="s">
        <v>5848</v>
      </c>
      <c r="D1245" s="4" t="s">
        <v>5849</v>
      </c>
      <c r="E1245" s="3" t="s">
        <v>5850</v>
      </c>
      <c r="F1245" s="34" t="s">
        <v>5700</v>
      </c>
      <c r="G1245" s="6"/>
      <c r="H1245" s="3" t="s">
        <v>5254</v>
      </c>
    </row>
    <row r="1246" spans="1:8" ht="15.75" customHeight="1">
      <c r="A1246" s="3" t="s">
        <v>5851</v>
      </c>
      <c r="B1246" s="3" t="s">
        <v>3267</v>
      </c>
      <c r="C1246" s="3" t="s">
        <v>5788</v>
      </c>
      <c r="D1246" s="4" t="s">
        <v>5852</v>
      </c>
      <c r="E1246" s="3" t="s">
        <v>5853</v>
      </c>
      <c r="F1246" s="34" t="s">
        <v>5192</v>
      </c>
      <c r="G1246" s="6"/>
      <c r="H1246" s="3" t="s">
        <v>5193</v>
      </c>
    </row>
    <row r="1247" spans="1:8" ht="15.75" customHeight="1">
      <c r="A1247" s="3" t="s">
        <v>5854</v>
      </c>
      <c r="B1247" s="3" t="s">
        <v>5855</v>
      </c>
      <c r="C1247" s="3" t="s">
        <v>5856</v>
      </c>
      <c r="D1247" s="4" t="s">
        <v>5857</v>
      </c>
      <c r="E1247" s="3" t="s">
        <v>5858</v>
      </c>
      <c r="F1247" s="34" t="s">
        <v>5192</v>
      </c>
      <c r="G1247" s="6"/>
      <c r="H1247" s="3" t="s">
        <v>5193</v>
      </c>
    </row>
    <row r="1248" spans="1:8" ht="15.75" customHeight="1">
      <c r="A1248" s="3" t="s">
        <v>5668</v>
      </c>
      <c r="B1248" s="3" t="s">
        <v>5859</v>
      </c>
      <c r="C1248" s="3" t="s">
        <v>5860</v>
      </c>
      <c r="D1248" s="4" t="s">
        <v>5861</v>
      </c>
      <c r="E1248" s="3" t="s">
        <v>5862</v>
      </c>
      <c r="F1248" s="34" t="s">
        <v>5259</v>
      </c>
      <c r="G1248" s="6"/>
      <c r="H1248" s="3" t="s">
        <v>5260</v>
      </c>
    </row>
    <row r="1249" spans="1:8" ht="15.75" customHeight="1">
      <c r="A1249" s="3" t="s">
        <v>5863</v>
      </c>
      <c r="B1249" s="3" t="s">
        <v>5864</v>
      </c>
      <c r="C1249" s="3" t="s">
        <v>5865</v>
      </c>
      <c r="D1249" s="4" t="s">
        <v>5866</v>
      </c>
      <c r="E1249" s="3" t="s">
        <v>5867</v>
      </c>
      <c r="F1249" s="34" t="s">
        <v>5215</v>
      </c>
      <c r="G1249" s="6"/>
      <c r="H1249" s="3" t="s">
        <v>5216</v>
      </c>
    </row>
    <row r="1250" spans="1:8" ht="15.75" customHeight="1">
      <c r="A1250" s="3" t="s">
        <v>1214</v>
      </c>
      <c r="B1250" s="3" t="s">
        <v>5868</v>
      </c>
      <c r="C1250" s="3" t="s">
        <v>5263</v>
      </c>
      <c r="D1250" s="4" t="s">
        <v>5869</v>
      </c>
      <c r="E1250" s="3" t="s">
        <v>5870</v>
      </c>
      <c r="F1250" s="34" t="s">
        <v>5812</v>
      </c>
      <c r="G1250" s="6"/>
      <c r="H1250" s="3" t="s">
        <v>5813</v>
      </c>
    </row>
    <row r="1251" spans="1:8" ht="15.75" customHeight="1">
      <c r="A1251" s="3" t="s">
        <v>5871</v>
      </c>
      <c r="B1251" s="3" t="s">
        <v>5872</v>
      </c>
      <c r="C1251" s="3" t="s">
        <v>5873</v>
      </c>
      <c r="D1251" s="4" t="s">
        <v>5874</v>
      </c>
      <c r="E1251" s="3" t="s">
        <v>5875</v>
      </c>
      <c r="F1251" s="34" t="s">
        <v>5192</v>
      </c>
      <c r="G1251" s="6"/>
      <c r="H1251" s="3" t="s">
        <v>5193</v>
      </c>
    </row>
    <row r="1252" spans="1:8" ht="15.75" customHeight="1">
      <c r="A1252" s="3" t="s">
        <v>721</v>
      </c>
      <c r="B1252" s="3" t="s">
        <v>5876</v>
      </c>
      <c r="C1252" s="3" t="s">
        <v>5877</v>
      </c>
      <c r="D1252" s="4" t="s">
        <v>5878</v>
      </c>
      <c r="E1252" s="3" t="s">
        <v>5879</v>
      </c>
      <c r="F1252" s="34" t="s">
        <v>5880</v>
      </c>
      <c r="G1252" s="6"/>
      <c r="H1252" s="3" t="s">
        <v>5881</v>
      </c>
    </row>
    <row r="1253" spans="1:8" ht="15.75" customHeight="1">
      <c r="A1253" s="3" t="s">
        <v>5882</v>
      </c>
      <c r="B1253" s="3" t="s">
        <v>5318</v>
      </c>
      <c r="C1253" s="3" t="s">
        <v>5883</v>
      </c>
      <c r="D1253" s="4" t="s">
        <v>5884</v>
      </c>
      <c r="E1253" s="3" t="s">
        <v>5885</v>
      </c>
      <c r="F1253" s="34" t="s">
        <v>5465</v>
      </c>
      <c r="G1253" s="6"/>
      <c r="H1253" s="3" t="s">
        <v>5466</v>
      </c>
    </row>
    <row r="1254" spans="1:8" ht="15.75" customHeight="1">
      <c r="A1254" s="3" t="s">
        <v>5886</v>
      </c>
      <c r="B1254" s="3" t="s">
        <v>5350</v>
      </c>
      <c r="C1254" s="3" t="s">
        <v>2570</v>
      </c>
      <c r="D1254" s="4" t="s">
        <v>5887</v>
      </c>
      <c r="E1254" s="3" t="s">
        <v>5728</v>
      </c>
      <c r="F1254" s="34" t="s">
        <v>5192</v>
      </c>
      <c r="G1254" s="6"/>
      <c r="H1254" s="3" t="s">
        <v>5193</v>
      </c>
    </row>
    <row r="1255" spans="1:8" ht="15.75" customHeight="1">
      <c r="A1255" s="3" t="s">
        <v>5888</v>
      </c>
      <c r="B1255" s="3" t="s">
        <v>59</v>
      </c>
      <c r="C1255" s="3" t="s">
        <v>4336</v>
      </c>
      <c r="D1255" s="4" t="s">
        <v>5889</v>
      </c>
      <c r="E1255" s="3" t="s">
        <v>5890</v>
      </c>
      <c r="F1255" s="34" t="s">
        <v>5891</v>
      </c>
      <c r="G1255" s="6"/>
      <c r="H1255" s="3" t="s">
        <v>5892</v>
      </c>
    </row>
    <row r="1256" spans="1:8" ht="15.75" customHeight="1">
      <c r="A1256" s="3" t="s">
        <v>5893</v>
      </c>
      <c r="B1256" s="3" t="s">
        <v>5894</v>
      </c>
      <c r="C1256" s="3" t="s">
        <v>5895</v>
      </c>
      <c r="D1256" s="4" t="s">
        <v>5896</v>
      </c>
      <c r="E1256" s="3" t="s">
        <v>5897</v>
      </c>
      <c r="F1256" s="34" t="s">
        <v>5192</v>
      </c>
      <c r="G1256" s="6"/>
      <c r="H1256" s="3" t="s">
        <v>5193</v>
      </c>
    </row>
    <row r="1257" spans="1:8" ht="15.75" customHeight="1">
      <c r="A1257" s="3" t="s">
        <v>5898</v>
      </c>
      <c r="B1257" s="3" t="s">
        <v>5899</v>
      </c>
      <c r="C1257" s="3" t="s">
        <v>5900</v>
      </c>
      <c r="D1257" s="4" t="s">
        <v>5901</v>
      </c>
      <c r="E1257" s="3" t="s">
        <v>5902</v>
      </c>
      <c r="F1257" s="34" t="s">
        <v>5192</v>
      </c>
      <c r="G1257" s="6"/>
      <c r="H1257" s="3" t="s">
        <v>5193</v>
      </c>
    </row>
    <row r="1258" spans="1:8" ht="15.75" customHeight="1">
      <c r="A1258" s="3" t="s">
        <v>721</v>
      </c>
      <c r="B1258" s="3" t="s">
        <v>394</v>
      </c>
      <c r="C1258" s="3" t="s">
        <v>162</v>
      </c>
      <c r="D1258" s="4" t="s">
        <v>5903</v>
      </c>
      <c r="E1258" s="3" t="s">
        <v>5904</v>
      </c>
      <c r="F1258" s="34" t="s">
        <v>5905</v>
      </c>
      <c r="G1258" s="6"/>
      <c r="H1258" s="3" t="s">
        <v>5906</v>
      </c>
    </row>
    <row r="1259" spans="1:8" ht="15.75" customHeight="1">
      <c r="A1259" s="3" t="s">
        <v>5907</v>
      </c>
      <c r="B1259" s="3" t="s">
        <v>5908</v>
      </c>
      <c r="C1259" s="3" t="s">
        <v>4357</v>
      </c>
      <c r="D1259" s="4" t="s">
        <v>5909</v>
      </c>
      <c r="E1259" s="3" t="s">
        <v>5910</v>
      </c>
      <c r="F1259" s="34" t="s">
        <v>5911</v>
      </c>
      <c r="G1259" s="6"/>
      <c r="H1259" s="3" t="s">
        <v>5912</v>
      </c>
    </row>
    <row r="1260" spans="1:8" ht="15.75" customHeight="1">
      <c r="A1260" s="3" t="s">
        <v>44</v>
      </c>
      <c r="B1260" s="3" t="s">
        <v>5913</v>
      </c>
      <c r="C1260" s="3" t="s">
        <v>5914</v>
      </c>
      <c r="D1260" s="4" t="s">
        <v>5915</v>
      </c>
      <c r="E1260" s="3" t="s">
        <v>5916</v>
      </c>
      <c r="F1260" s="34" t="s">
        <v>5917</v>
      </c>
      <c r="G1260" s="6"/>
      <c r="H1260" s="3" t="s">
        <v>5918</v>
      </c>
    </row>
    <row r="1261" spans="1:8" ht="15.75" customHeight="1">
      <c r="A1261" s="3" t="s">
        <v>5919</v>
      </c>
      <c r="B1261" s="3" t="s">
        <v>5920</v>
      </c>
      <c r="C1261" s="3" t="s">
        <v>5921</v>
      </c>
      <c r="D1261" s="4" t="s">
        <v>5922</v>
      </c>
      <c r="E1261" s="3" t="s">
        <v>5923</v>
      </c>
      <c r="F1261" s="34" t="s">
        <v>4749</v>
      </c>
      <c r="G1261" s="6"/>
      <c r="H1261" s="3" t="s">
        <v>4750</v>
      </c>
    </row>
    <row r="1262" spans="1:8" ht="15.75" customHeight="1">
      <c r="A1262" s="3" t="s">
        <v>5924</v>
      </c>
      <c r="B1262" s="3" t="s">
        <v>5925</v>
      </c>
      <c r="C1262" s="3" t="s">
        <v>1684</v>
      </c>
      <c r="D1262" s="4" t="s">
        <v>5926</v>
      </c>
      <c r="E1262" s="3" t="s">
        <v>5927</v>
      </c>
      <c r="F1262" s="34" t="s">
        <v>5192</v>
      </c>
      <c r="G1262" s="6"/>
      <c r="H1262" s="3" t="s">
        <v>5193</v>
      </c>
    </row>
    <row r="1263" spans="1:8" ht="15.75" customHeight="1">
      <c r="A1263" s="3" t="s">
        <v>5928</v>
      </c>
      <c r="B1263" s="3" t="s">
        <v>5929</v>
      </c>
      <c r="C1263" s="3" t="s">
        <v>5930</v>
      </c>
      <c r="D1263" s="4" t="s">
        <v>5931</v>
      </c>
      <c r="E1263" s="3" t="s">
        <v>5932</v>
      </c>
      <c r="F1263" s="34" t="s">
        <v>5192</v>
      </c>
      <c r="G1263" s="6"/>
      <c r="H1263" s="3" t="s">
        <v>5193</v>
      </c>
    </row>
    <row r="1264" spans="1:8" ht="15.75" customHeight="1">
      <c r="A1264" s="3" t="s">
        <v>5528</v>
      </c>
      <c r="B1264" s="3" t="s">
        <v>5933</v>
      </c>
      <c r="C1264" s="3" t="s">
        <v>5934</v>
      </c>
      <c r="D1264" s="4" t="s">
        <v>5935</v>
      </c>
      <c r="E1264" s="3" t="s">
        <v>5936</v>
      </c>
      <c r="F1264" s="34" t="s">
        <v>5192</v>
      </c>
      <c r="G1264" s="6"/>
      <c r="H1264" s="3" t="s">
        <v>5193</v>
      </c>
    </row>
    <row r="1265" spans="1:8" ht="15.75" customHeight="1">
      <c r="A1265" s="3" t="s">
        <v>5937</v>
      </c>
      <c r="B1265" s="3" t="s">
        <v>5938</v>
      </c>
      <c r="C1265" s="3" t="s">
        <v>4306</v>
      </c>
      <c r="D1265" s="4" t="s">
        <v>5939</v>
      </c>
      <c r="E1265" s="3" t="s">
        <v>5940</v>
      </c>
      <c r="F1265" s="34" t="s">
        <v>5192</v>
      </c>
      <c r="G1265" s="6"/>
      <c r="H1265" s="3" t="s">
        <v>5193</v>
      </c>
    </row>
    <row r="1266" spans="1:8" ht="15.75" customHeight="1">
      <c r="A1266" s="3" t="s">
        <v>1689</v>
      </c>
      <c r="B1266" s="3" t="s">
        <v>5941</v>
      </c>
      <c r="C1266" s="3" t="s">
        <v>5942</v>
      </c>
      <c r="D1266" s="4" t="s">
        <v>5943</v>
      </c>
      <c r="E1266" s="6"/>
      <c r="F1266" s="34" t="s">
        <v>5944</v>
      </c>
      <c r="G1266" s="6"/>
      <c r="H1266" s="3" t="s">
        <v>5945</v>
      </c>
    </row>
    <row r="1267" spans="1:8" ht="15.75" customHeight="1">
      <c r="A1267" s="3" t="s">
        <v>3810</v>
      </c>
      <c r="B1267" s="3" t="s">
        <v>5946</v>
      </c>
      <c r="C1267" s="3" t="s">
        <v>5947</v>
      </c>
      <c r="D1267" s="4" t="s">
        <v>5948</v>
      </c>
      <c r="E1267" s="3" t="s">
        <v>5949</v>
      </c>
      <c r="F1267" s="34" t="s">
        <v>5259</v>
      </c>
      <c r="G1267" s="6"/>
      <c r="H1267" s="3" t="s">
        <v>5260</v>
      </c>
    </row>
    <row r="1268" spans="1:8" ht="15.75" customHeight="1">
      <c r="A1268" s="3" t="s">
        <v>25</v>
      </c>
      <c r="B1268" s="3" t="s">
        <v>5950</v>
      </c>
      <c r="C1268" s="3" t="s">
        <v>5951</v>
      </c>
      <c r="D1268" s="4" t="s">
        <v>5952</v>
      </c>
      <c r="E1268" s="3" t="s">
        <v>5953</v>
      </c>
      <c r="F1268" s="34" t="s">
        <v>5192</v>
      </c>
      <c r="G1268" s="6"/>
      <c r="H1268" s="3" t="s">
        <v>5193</v>
      </c>
    </row>
    <row r="1269" spans="1:8" ht="15.75" customHeight="1">
      <c r="A1269" s="3" t="s">
        <v>5954</v>
      </c>
      <c r="B1269" s="3" t="s">
        <v>5955</v>
      </c>
      <c r="C1269" s="3" t="s">
        <v>5956</v>
      </c>
      <c r="D1269" s="4" t="s">
        <v>5957</v>
      </c>
      <c r="E1269" s="3" t="s">
        <v>5958</v>
      </c>
      <c r="F1269" s="34" t="s">
        <v>5192</v>
      </c>
      <c r="G1269" s="6"/>
      <c r="H1269" s="3" t="s">
        <v>5193</v>
      </c>
    </row>
    <row r="1270" spans="1:8" ht="15.75" customHeight="1">
      <c r="A1270" s="3" t="s">
        <v>5959</v>
      </c>
      <c r="B1270" s="3" t="s">
        <v>221</v>
      </c>
      <c r="C1270" s="3" t="s">
        <v>4357</v>
      </c>
      <c r="D1270" s="4" t="s">
        <v>5960</v>
      </c>
      <c r="E1270" s="3" t="s">
        <v>5961</v>
      </c>
      <c r="F1270" s="34" t="s">
        <v>5962</v>
      </c>
      <c r="G1270" s="6"/>
      <c r="H1270" s="3" t="s">
        <v>5963</v>
      </c>
    </row>
    <row r="1271" spans="1:8" ht="15.75" customHeight="1">
      <c r="A1271" s="3" t="s">
        <v>5964</v>
      </c>
      <c r="B1271" s="3" t="s">
        <v>2775</v>
      </c>
      <c r="C1271" s="3" t="s">
        <v>5965</v>
      </c>
      <c r="D1271" s="4" t="s">
        <v>5966</v>
      </c>
      <c r="E1271" s="3" t="s">
        <v>5967</v>
      </c>
      <c r="F1271" s="34" t="s">
        <v>5968</v>
      </c>
      <c r="G1271" s="6"/>
      <c r="H1271" s="3" t="s">
        <v>5969</v>
      </c>
    </row>
    <row r="1272" spans="1:8" ht="15.75" customHeight="1">
      <c r="A1272" s="3" t="s">
        <v>563</v>
      </c>
      <c r="B1272" s="3" t="s">
        <v>5970</v>
      </c>
      <c r="C1272" s="3" t="s">
        <v>303</v>
      </c>
      <c r="D1272" s="6"/>
      <c r="E1272" s="3" t="s">
        <v>5971</v>
      </c>
      <c r="F1272" s="3" t="s">
        <v>5246</v>
      </c>
      <c r="G1272" s="6"/>
      <c r="H1272" s="3" t="s">
        <v>5247</v>
      </c>
    </row>
    <row r="1273" spans="1:8" ht="15.75" customHeight="1">
      <c r="A1273" s="3" t="s">
        <v>5972</v>
      </c>
      <c r="B1273" s="3" t="s">
        <v>5973</v>
      </c>
      <c r="C1273" s="3" t="s">
        <v>5974</v>
      </c>
      <c r="D1273" s="4" t="s">
        <v>5975</v>
      </c>
      <c r="E1273" s="3" t="s">
        <v>5976</v>
      </c>
      <c r="F1273" s="6"/>
      <c r="G1273" s="6"/>
      <c r="H1273" s="3" t="s">
        <v>5688</v>
      </c>
    </row>
    <row r="1274" spans="1:8" ht="15.75" customHeight="1">
      <c r="A1274" s="3" t="s">
        <v>5977</v>
      </c>
      <c r="B1274" s="3" t="s">
        <v>4013</v>
      </c>
      <c r="C1274" s="3" t="s">
        <v>5978</v>
      </c>
      <c r="D1274" s="4" t="s">
        <v>5979</v>
      </c>
      <c r="E1274" s="3" t="s">
        <v>5980</v>
      </c>
      <c r="F1274" s="34" t="s">
        <v>5592</v>
      </c>
      <c r="G1274" s="6"/>
      <c r="H1274" s="3" t="s">
        <v>5593</v>
      </c>
    </row>
    <row r="1275" spans="1:8" ht="15.75" customHeight="1">
      <c r="A1275" s="3" t="s">
        <v>5981</v>
      </c>
      <c r="B1275" s="3" t="s">
        <v>5982</v>
      </c>
      <c r="C1275" s="3" t="s">
        <v>1684</v>
      </c>
      <c r="D1275" s="4" t="s">
        <v>5983</v>
      </c>
      <c r="E1275" s="3" t="s">
        <v>5984</v>
      </c>
      <c r="F1275" s="34" t="s">
        <v>5433</v>
      </c>
      <c r="G1275" s="6"/>
      <c r="H1275" s="3" t="s">
        <v>5434</v>
      </c>
    </row>
    <row r="1276" spans="1:8" ht="15.75" customHeight="1">
      <c r="A1276" s="3" t="s">
        <v>5985</v>
      </c>
      <c r="B1276" s="3" t="s">
        <v>5986</v>
      </c>
      <c r="C1276" s="3" t="s">
        <v>5726</v>
      </c>
      <c r="D1276" s="4" t="s">
        <v>5987</v>
      </c>
      <c r="E1276" s="3" t="s">
        <v>5988</v>
      </c>
      <c r="F1276" s="34" t="s">
        <v>5192</v>
      </c>
      <c r="G1276" s="6"/>
      <c r="H1276" s="3" t="s">
        <v>5193</v>
      </c>
    </row>
    <row r="1277" spans="1:8" ht="15.75" customHeight="1">
      <c r="A1277" s="3" t="s">
        <v>4932</v>
      </c>
      <c r="B1277" s="3" t="s">
        <v>5989</v>
      </c>
      <c r="C1277" s="3" t="s">
        <v>5726</v>
      </c>
      <c r="D1277" s="4" t="s">
        <v>5990</v>
      </c>
      <c r="E1277" s="3" t="s">
        <v>5991</v>
      </c>
      <c r="F1277" s="34" t="s">
        <v>5192</v>
      </c>
      <c r="G1277" s="6"/>
      <c r="H1277" s="3" t="s">
        <v>5193</v>
      </c>
    </row>
    <row r="1278" spans="1:8" ht="15.75" customHeight="1">
      <c r="A1278" s="3" t="s">
        <v>5992</v>
      </c>
      <c r="B1278" s="3" t="s">
        <v>5721</v>
      </c>
      <c r="C1278" s="3" t="s">
        <v>5722</v>
      </c>
      <c r="D1278" s="4" t="s">
        <v>5993</v>
      </c>
      <c r="E1278" s="3" t="s">
        <v>5994</v>
      </c>
      <c r="F1278" s="34" t="s">
        <v>5192</v>
      </c>
      <c r="G1278" s="6"/>
      <c r="H1278" s="3" t="s">
        <v>5193</v>
      </c>
    </row>
    <row r="1279" spans="1:8" ht="15.75" customHeight="1">
      <c r="A1279" s="3" t="s">
        <v>2292</v>
      </c>
      <c r="B1279" s="3" t="s">
        <v>5995</v>
      </c>
      <c r="C1279" s="3" t="s">
        <v>5996</v>
      </c>
      <c r="D1279" s="4" t="s">
        <v>5997</v>
      </c>
      <c r="E1279" s="3" t="s">
        <v>5998</v>
      </c>
      <c r="F1279" s="34" t="s">
        <v>5192</v>
      </c>
      <c r="G1279" s="6"/>
      <c r="H1279" s="3" t="s">
        <v>5193</v>
      </c>
    </row>
    <row r="1280" spans="1:8" ht="15.75" customHeight="1">
      <c r="A1280" s="3" t="s">
        <v>5999</v>
      </c>
      <c r="B1280" s="3" t="s">
        <v>6000</v>
      </c>
      <c r="C1280" s="3" t="s">
        <v>6001</v>
      </c>
      <c r="D1280" s="4" t="s">
        <v>6002</v>
      </c>
      <c r="E1280" s="3" t="s">
        <v>6003</v>
      </c>
      <c r="F1280" s="34" t="s">
        <v>5192</v>
      </c>
      <c r="G1280" s="6"/>
      <c r="H1280" s="3" t="s">
        <v>5193</v>
      </c>
    </row>
    <row r="1281" spans="1:8" ht="15.75" customHeight="1">
      <c r="A1281" s="3" t="s">
        <v>5608</v>
      </c>
      <c r="B1281" s="3" t="s">
        <v>6004</v>
      </c>
      <c r="C1281" s="3" t="s">
        <v>229</v>
      </c>
      <c r="D1281" s="4" t="s">
        <v>6005</v>
      </c>
      <c r="E1281" s="3" t="s">
        <v>6006</v>
      </c>
      <c r="F1281" s="34" t="s">
        <v>5192</v>
      </c>
      <c r="G1281" s="6"/>
      <c r="H1281" s="3" t="s">
        <v>5193</v>
      </c>
    </row>
    <row r="1282" spans="1:8" ht="15.75" customHeight="1">
      <c r="A1282" s="3" t="s">
        <v>6007</v>
      </c>
      <c r="B1282" s="3" t="s">
        <v>6008</v>
      </c>
      <c r="C1282" s="3" t="s">
        <v>6009</v>
      </c>
      <c r="D1282" s="4" t="s">
        <v>6010</v>
      </c>
      <c r="E1282" s="3" t="s">
        <v>6011</v>
      </c>
      <c r="F1282" s="34" t="s">
        <v>6012</v>
      </c>
      <c r="G1282" s="6"/>
      <c r="H1282" s="3" t="s">
        <v>6013</v>
      </c>
    </row>
    <row r="1283" spans="1:8" ht="15.75" customHeight="1">
      <c r="A1283" s="3" t="s">
        <v>6014</v>
      </c>
      <c r="B1283" s="3" t="s">
        <v>6015</v>
      </c>
      <c r="C1283" s="3" t="s">
        <v>6016</v>
      </c>
      <c r="D1283" s="4" t="s">
        <v>6017</v>
      </c>
      <c r="E1283" s="3" t="s">
        <v>6018</v>
      </c>
      <c r="F1283" s="34" t="s">
        <v>5465</v>
      </c>
      <c r="G1283" s="6"/>
      <c r="H1283" s="3" t="s">
        <v>5466</v>
      </c>
    </row>
    <row r="1284" spans="1:8" ht="15.75" customHeight="1">
      <c r="A1284" s="3" t="s">
        <v>973</v>
      </c>
      <c r="B1284" s="3" t="s">
        <v>6019</v>
      </c>
      <c r="C1284" s="3" t="s">
        <v>4992</v>
      </c>
      <c r="D1284" s="4" t="s">
        <v>6020</v>
      </c>
      <c r="E1284" s="3" t="s">
        <v>6021</v>
      </c>
      <c r="F1284" s="34" t="s">
        <v>5192</v>
      </c>
      <c r="G1284" s="6"/>
      <c r="H1284" s="3" t="s">
        <v>5193</v>
      </c>
    </row>
    <row r="1285" spans="1:8" ht="15.75" customHeight="1">
      <c r="A1285" s="3" t="s">
        <v>6022</v>
      </c>
      <c r="B1285" s="3" t="s">
        <v>6023</v>
      </c>
      <c r="C1285" s="3" t="s">
        <v>6024</v>
      </c>
      <c r="D1285" s="4" t="s">
        <v>6025</v>
      </c>
      <c r="E1285" s="3" t="s">
        <v>6026</v>
      </c>
      <c r="F1285" s="34" t="s">
        <v>5192</v>
      </c>
      <c r="G1285" s="6"/>
      <c r="H1285" s="3" t="s">
        <v>5193</v>
      </c>
    </row>
    <row r="1286" spans="1:8" ht="15.75" customHeight="1">
      <c r="A1286" s="3" t="s">
        <v>281</v>
      </c>
      <c r="B1286" s="3" t="s">
        <v>185</v>
      </c>
      <c r="C1286" s="3" t="s">
        <v>4792</v>
      </c>
      <c r="D1286" s="4" t="s">
        <v>4793</v>
      </c>
      <c r="E1286" s="3" t="s">
        <v>4794</v>
      </c>
      <c r="F1286" s="6"/>
      <c r="G1286" s="6"/>
      <c r="H1286" s="3" t="s">
        <v>4545</v>
      </c>
    </row>
    <row r="1287" spans="1:8" ht="15.75" customHeight="1">
      <c r="A1287" s="3" t="s">
        <v>763</v>
      </c>
      <c r="B1287" s="3" t="s">
        <v>6027</v>
      </c>
      <c r="C1287" s="3" t="s">
        <v>6028</v>
      </c>
      <c r="D1287" s="4" t="s">
        <v>6029</v>
      </c>
      <c r="E1287" s="3" t="s">
        <v>6030</v>
      </c>
      <c r="F1287" s="34" t="s">
        <v>6031</v>
      </c>
      <c r="G1287" s="6"/>
      <c r="H1287" s="3" t="s">
        <v>6032</v>
      </c>
    </row>
    <row r="1288" spans="1:8" ht="15.75" customHeight="1">
      <c r="A1288" s="3" t="s">
        <v>1157</v>
      </c>
      <c r="B1288" s="3" t="s">
        <v>290</v>
      </c>
      <c r="C1288" s="3" t="s">
        <v>6033</v>
      </c>
      <c r="D1288" s="4" t="s">
        <v>6034</v>
      </c>
      <c r="E1288" s="3" t="s">
        <v>6035</v>
      </c>
      <c r="F1288" s="34" t="s">
        <v>5215</v>
      </c>
      <c r="G1288" s="6"/>
      <c r="H1288" s="3" t="s">
        <v>5216</v>
      </c>
    </row>
    <row r="1289" spans="1:8" ht="15.75" customHeight="1">
      <c r="A1289" s="3" t="s">
        <v>6036</v>
      </c>
      <c r="B1289" s="3" t="s">
        <v>1466</v>
      </c>
      <c r="C1289" s="3" t="s">
        <v>6037</v>
      </c>
      <c r="D1289" s="4" t="s">
        <v>6038</v>
      </c>
      <c r="E1289" s="3" t="s">
        <v>6039</v>
      </c>
      <c r="F1289" s="34" t="s">
        <v>5192</v>
      </c>
      <c r="G1289" s="6"/>
      <c r="H1289" s="3" t="s">
        <v>5193</v>
      </c>
    </row>
    <row r="1290" spans="1:8" ht="15.75" customHeight="1">
      <c r="A1290" s="3" t="s">
        <v>6040</v>
      </c>
      <c r="B1290" s="3" t="s">
        <v>6041</v>
      </c>
      <c r="C1290" s="3" t="s">
        <v>6042</v>
      </c>
      <c r="D1290" s="4" t="s">
        <v>6043</v>
      </c>
      <c r="E1290" s="3" t="s">
        <v>6044</v>
      </c>
      <c r="F1290" s="34" t="s">
        <v>5192</v>
      </c>
      <c r="G1290" s="6"/>
      <c r="H1290" s="3" t="s">
        <v>5193</v>
      </c>
    </row>
    <row r="1291" spans="1:8" ht="15.75" customHeight="1">
      <c r="A1291" s="3" t="s">
        <v>6045</v>
      </c>
      <c r="B1291" s="3" t="s">
        <v>1466</v>
      </c>
      <c r="C1291" s="3" t="s">
        <v>5417</v>
      </c>
      <c r="D1291" s="4" t="s">
        <v>6046</v>
      </c>
      <c r="E1291" s="3" t="s">
        <v>6047</v>
      </c>
      <c r="F1291" s="34" t="s">
        <v>5192</v>
      </c>
      <c r="G1291" s="6"/>
      <c r="H1291" s="3" t="s">
        <v>5193</v>
      </c>
    </row>
    <row r="1292" spans="1:8" ht="15.75" customHeight="1">
      <c r="A1292" s="3" t="s">
        <v>5515</v>
      </c>
      <c r="B1292" s="3" t="s">
        <v>1372</v>
      </c>
      <c r="C1292" s="3" t="s">
        <v>6048</v>
      </c>
      <c r="D1292" s="4" t="s">
        <v>6049</v>
      </c>
      <c r="E1292" s="3" t="s">
        <v>6050</v>
      </c>
      <c r="F1292" s="34" t="s">
        <v>5235</v>
      </c>
      <c r="G1292" s="6"/>
      <c r="H1292" s="3" t="s">
        <v>5236</v>
      </c>
    </row>
    <row r="1293" spans="1:8" ht="15.75" customHeight="1">
      <c r="A1293" s="3" t="s">
        <v>5092</v>
      </c>
      <c r="B1293" s="3" t="s">
        <v>6051</v>
      </c>
      <c r="C1293" s="3" t="s">
        <v>6052</v>
      </c>
      <c r="D1293" s="4" t="s">
        <v>6053</v>
      </c>
      <c r="E1293" s="3" t="s">
        <v>6054</v>
      </c>
      <c r="F1293" s="34" t="s">
        <v>5627</v>
      </c>
      <c r="G1293" s="6"/>
      <c r="H1293" s="3" t="s">
        <v>5628</v>
      </c>
    </row>
    <row r="1294" spans="1:8" ht="15.75" customHeight="1">
      <c r="A1294" s="3" t="s">
        <v>2288</v>
      </c>
      <c r="B1294" s="3" t="s">
        <v>45</v>
      </c>
      <c r="C1294" s="3" t="s">
        <v>6055</v>
      </c>
      <c r="D1294" s="4" t="s">
        <v>6056</v>
      </c>
      <c r="E1294" s="3" t="s">
        <v>6057</v>
      </c>
      <c r="F1294" s="3" t="s">
        <v>6058</v>
      </c>
      <c r="G1294" s="6"/>
      <c r="H1294" s="3" t="s">
        <v>5247</v>
      </c>
    </row>
    <row r="1295" spans="1:8" ht="15.75" customHeight="1">
      <c r="A1295" s="3" t="s">
        <v>6059</v>
      </c>
      <c r="B1295" s="3" t="s">
        <v>151</v>
      </c>
      <c r="C1295" s="3" t="s">
        <v>1901</v>
      </c>
      <c r="D1295" s="6"/>
      <c r="E1295" s="3" t="s">
        <v>6060</v>
      </c>
      <c r="F1295" s="34" t="s">
        <v>6061</v>
      </c>
      <c r="G1295" s="6"/>
      <c r="H1295" s="3" t="s">
        <v>5326</v>
      </c>
    </row>
    <row r="1296" spans="1:8" ht="15.75" customHeight="1">
      <c r="A1296" s="3" t="s">
        <v>6062</v>
      </c>
      <c r="B1296" s="3" t="s">
        <v>6063</v>
      </c>
      <c r="C1296" s="3" t="s">
        <v>27</v>
      </c>
      <c r="D1296" s="4" t="s">
        <v>6064</v>
      </c>
      <c r="E1296" s="3" t="s">
        <v>6065</v>
      </c>
      <c r="F1296" s="34" t="s">
        <v>5192</v>
      </c>
      <c r="G1296" s="6"/>
      <c r="H1296" s="3" t="s">
        <v>5193</v>
      </c>
    </row>
    <row r="1297" spans="1:8" ht="15.75" customHeight="1">
      <c r="A1297" s="3" t="s">
        <v>2940</v>
      </c>
      <c r="B1297" s="3" t="s">
        <v>5472</v>
      </c>
      <c r="C1297" s="3" t="s">
        <v>5726</v>
      </c>
      <c r="D1297" s="4" t="s">
        <v>6066</v>
      </c>
      <c r="E1297" s="3" t="s">
        <v>6067</v>
      </c>
      <c r="F1297" s="34" t="s">
        <v>5192</v>
      </c>
      <c r="G1297" s="6"/>
      <c r="H1297" s="3" t="s">
        <v>5193</v>
      </c>
    </row>
    <row r="1298" spans="1:8" ht="15.75" customHeight="1">
      <c r="A1298" s="3" t="s">
        <v>6068</v>
      </c>
      <c r="B1298" s="3" t="s">
        <v>5989</v>
      </c>
      <c r="C1298" s="3" t="s">
        <v>5788</v>
      </c>
      <c r="D1298" s="4" t="s">
        <v>6069</v>
      </c>
      <c r="E1298" s="3" t="s">
        <v>6070</v>
      </c>
      <c r="F1298" s="34" t="s">
        <v>5192</v>
      </c>
      <c r="G1298" s="6"/>
      <c r="H1298" s="3" t="s">
        <v>5193</v>
      </c>
    </row>
    <row r="1299" spans="1:8" ht="15.75" customHeight="1">
      <c r="A1299" s="3" t="s">
        <v>6071</v>
      </c>
      <c r="B1299" s="3" t="s">
        <v>6072</v>
      </c>
      <c r="C1299" s="3" t="s">
        <v>5722</v>
      </c>
      <c r="D1299" s="4" t="s">
        <v>6073</v>
      </c>
      <c r="E1299" s="3" t="s">
        <v>6074</v>
      </c>
      <c r="F1299" s="34" t="s">
        <v>5192</v>
      </c>
      <c r="G1299" s="6"/>
      <c r="H1299" s="3" t="s">
        <v>5193</v>
      </c>
    </row>
    <row r="1300" spans="1:8" ht="15.75" customHeight="1">
      <c r="A1300" s="3" t="s">
        <v>1376</v>
      </c>
      <c r="B1300" s="3" t="s">
        <v>6075</v>
      </c>
      <c r="C1300" s="3" t="s">
        <v>6076</v>
      </c>
      <c r="D1300" s="4" t="s">
        <v>6077</v>
      </c>
      <c r="E1300" s="3" t="s">
        <v>6078</v>
      </c>
      <c r="F1300" s="34" t="s">
        <v>5215</v>
      </c>
      <c r="G1300" s="6"/>
      <c r="H1300" s="3" t="s">
        <v>5216</v>
      </c>
    </row>
    <row r="1301" spans="1:8" ht="15.75" customHeight="1">
      <c r="A1301" s="3" t="s">
        <v>69</v>
      </c>
      <c r="B1301" s="3" t="s">
        <v>6079</v>
      </c>
      <c r="C1301" s="3" t="s">
        <v>4830</v>
      </c>
      <c r="D1301" s="4" t="s">
        <v>6080</v>
      </c>
      <c r="E1301" s="3" t="s">
        <v>6081</v>
      </c>
      <c r="F1301" s="34" t="s">
        <v>5433</v>
      </c>
      <c r="G1301" s="6"/>
      <c r="H1301" s="3" t="s">
        <v>5434</v>
      </c>
    </row>
    <row r="1302" spans="1:8" ht="15.75" customHeight="1">
      <c r="A1302" s="3" t="s">
        <v>6082</v>
      </c>
      <c r="B1302" s="3" t="s">
        <v>6083</v>
      </c>
      <c r="C1302" s="3" t="s">
        <v>6084</v>
      </c>
      <c r="D1302" s="4" t="s">
        <v>6085</v>
      </c>
      <c r="E1302" s="3" t="s">
        <v>6086</v>
      </c>
      <c r="F1302" s="34" t="s">
        <v>5215</v>
      </c>
      <c r="G1302" s="6"/>
      <c r="H1302" s="3" t="s">
        <v>5216</v>
      </c>
    </row>
    <row r="1303" spans="1:8" ht="15.75" customHeight="1">
      <c r="A1303" s="3" t="s">
        <v>4684</v>
      </c>
      <c r="B1303" s="3" t="s">
        <v>6087</v>
      </c>
      <c r="C1303" s="3" t="s">
        <v>6088</v>
      </c>
      <c r="D1303" s="4" t="s">
        <v>6089</v>
      </c>
      <c r="E1303" s="3" t="s">
        <v>6090</v>
      </c>
      <c r="F1303" s="34" t="s">
        <v>5192</v>
      </c>
      <c r="G1303" s="6"/>
      <c r="H1303" s="3" t="s">
        <v>5193</v>
      </c>
    </row>
    <row r="1304" spans="1:8" ht="15.75" customHeight="1">
      <c r="A1304" s="3" t="s">
        <v>4574</v>
      </c>
      <c r="B1304" s="3" t="s">
        <v>6091</v>
      </c>
      <c r="C1304" s="3" t="s">
        <v>6092</v>
      </c>
      <c r="D1304" s="4" t="s">
        <v>6093</v>
      </c>
      <c r="E1304" s="3" t="s">
        <v>6094</v>
      </c>
      <c r="F1304" s="34" t="s">
        <v>5192</v>
      </c>
      <c r="G1304" s="6"/>
      <c r="H1304" s="3" t="s">
        <v>5193</v>
      </c>
    </row>
    <row r="1305" spans="1:8" ht="15.75" customHeight="1">
      <c r="A1305" s="3" t="s">
        <v>6095</v>
      </c>
      <c r="B1305" s="3" t="s">
        <v>6096</v>
      </c>
      <c r="C1305" s="3" t="s">
        <v>6097</v>
      </c>
      <c r="D1305" s="4" t="s">
        <v>6098</v>
      </c>
      <c r="E1305" s="3" t="s">
        <v>6099</v>
      </c>
      <c r="F1305" s="6"/>
      <c r="G1305" s="6"/>
      <c r="H1305" s="3" t="s">
        <v>6100</v>
      </c>
    </row>
    <row r="1306" spans="1:8" ht="15.75" customHeight="1">
      <c r="A1306" s="3" t="s">
        <v>1228</v>
      </c>
      <c r="B1306" s="3" t="s">
        <v>49</v>
      </c>
      <c r="C1306" s="3" t="s">
        <v>5182</v>
      </c>
      <c r="D1306" s="4" t="s">
        <v>6101</v>
      </c>
      <c r="E1306" s="3" t="s">
        <v>6102</v>
      </c>
      <c r="F1306" s="34" t="s">
        <v>5203</v>
      </c>
      <c r="G1306" s="6"/>
      <c r="H1306" s="3" t="s">
        <v>5204</v>
      </c>
    </row>
    <row r="1307" spans="1:8" ht="15.75" customHeight="1">
      <c r="A1307" s="3" t="s">
        <v>6103</v>
      </c>
      <c r="B1307" s="3" t="s">
        <v>6104</v>
      </c>
      <c r="C1307" s="3" t="s">
        <v>229</v>
      </c>
      <c r="D1307" s="4" t="s">
        <v>6105</v>
      </c>
      <c r="E1307" s="3" t="s">
        <v>6106</v>
      </c>
      <c r="F1307" s="34" t="s">
        <v>5259</v>
      </c>
      <c r="G1307" s="6"/>
      <c r="H1307" s="3" t="s">
        <v>5260</v>
      </c>
    </row>
    <row r="1308" spans="1:8" ht="15.75" customHeight="1">
      <c r="A1308" s="3" t="s">
        <v>2664</v>
      </c>
      <c r="B1308" s="3" t="s">
        <v>6107</v>
      </c>
      <c r="C1308" s="3" t="s">
        <v>140</v>
      </c>
      <c r="D1308" s="4" t="s">
        <v>6108</v>
      </c>
      <c r="E1308" s="3" t="s">
        <v>6109</v>
      </c>
      <c r="F1308" s="6"/>
      <c r="G1308" s="6"/>
      <c r="H1308" s="3" t="s">
        <v>5281</v>
      </c>
    </row>
    <row r="1309" spans="1:8" ht="15.75" customHeight="1">
      <c r="A1309" s="3" t="s">
        <v>6110</v>
      </c>
      <c r="B1309" s="6"/>
      <c r="C1309" s="3" t="s">
        <v>1684</v>
      </c>
      <c r="D1309" s="6"/>
      <c r="E1309" s="3" t="s">
        <v>6111</v>
      </c>
      <c r="F1309" s="34" t="s">
        <v>6112</v>
      </c>
      <c r="G1309" s="6"/>
      <c r="H1309" s="3" t="s">
        <v>6110</v>
      </c>
    </row>
    <row r="1310" spans="1:8" ht="15.75" customHeight="1">
      <c r="A1310" s="3" t="s">
        <v>6113</v>
      </c>
      <c r="B1310" s="3" t="s">
        <v>6114</v>
      </c>
      <c r="C1310" s="3" t="s">
        <v>6115</v>
      </c>
      <c r="D1310" s="4" t="s">
        <v>6116</v>
      </c>
      <c r="E1310" s="3" t="s">
        <v>6117</v>
      </c>
      <c r="F1310" s="34" t="s">
        <v>5700</v>
      </c>
      <c r="G1310" s="6"/>
      <c r="H1310" s="3" t="s">
        <v>5254</v>
      </c>
    </row>
    <row r="1311" spans="1:8" ht="15.75" customHeight="1">
      <c r="A1311" s="3" t="s">
        <v>3494</v>
      </c>
      <c r="B1311" s="3" t="s">
        <v>6118</v>
      </c>
      <c r="C1311" s="3" t="s">
        <v>6119</v>
      </c>
      <c r="D1311" s="4" t="s">
        <v>6120</v>
      </c>
      <c r="E1311" s="3" t="s">
        <v>6121</v>
      </c>
      <c r="F1311" s="34" t="s">
        <v>5465</v>
      </c>
      <c r="G1311" s="6"/>
      <c r="H1311" s="3" t="s">
        <v>5466</v>
      </c>
    </row>
    <row r="1312" spans="1:8" ht="15.75" customHeight="1">
      <c r="A1312" s="3" t="s">
        <v>6122</v>
      </c>
      <c r="B1312" s="3" t="s">
        <v>6123</v>
      </c>
      <c r="C1312" s="3" t="s">
        <v>5580</v>
      </c>
      <c r="D1312" s="4" t="s">
        <v>6124</v>
      </c>
      <c r="E1312" s="3" t="s">
        <v>6125</v>
      </c>
      <c r="F1312" s="34" t="s">
        <v>5192</v>
      </c>
      <c r="G1312" s="6"/>
      <c r="H1312" s="3" t="s">
        <v>5193</v>
      </c>
    </row>
    <row r="1313" spans="1:8" ht="15.75" customHeight="1">
      <c r="A1313" s="3" t="s">
        <v>6126</v>
      </c>
      <c r="B1313" s="3" t="s">
        <v>6127</v>
      </c>
      <c r="C1313" s="3" t="s">
        <v>6128</v>
      </c>
      <c r="D1313" s="4" t="s">
        <v>6129</v>
      </c>
      <c r="E1313" s="3" t="s">
        <v>6130</v>
      </c>
      <c r="F1313" s="34" t="s">
        <v>5192</v>
      </c>
      <c r="G1313" s="6"/>
      <c r="H1313" s="3" t="s">
        <v>5193</v>
      </c>
    </row>
    <row r="1314" spans="1:8" ht="15.75" customHeight="1">
      <c r="A1314" s="3" t="s">
        <v>6131</v>
      </c>
      <c r="B1314" s="3" t="s">
        <v>6132</v>
      </c>
      <c r="C1314" s="3" t="s">
        <v>2570</v>
      </c>
      <c r="D1314" s="4" t="s">
        <v>6133</v>
      </c>
      <c r="E1314" s="3" t="s">
        <v>6134</v>
      </c>
      <c r="F1314" s="34" t="s">
        <v>5192</v>
      </c>
      <c r="G1314" s="6"/>
      <c r="H1314" s="3" t="s">
        <v>5193</v>
      </c>
    </row>
    <row r="1315" spans="1:8" ht="15.75" customHeight="1">
      <c r="A1315" s="3" t="s">
        <v>1058</v>
      </c>
      <c r="B1315" s="3" t="s">
        <v>6135</v>
      </c>
      <c r="C1315" s="3" t="s">
        <v>6136</v>
      </c>
      <c r="D1315" s="4" t="s">
        <v>6137</v>
      </c>
      <c r="E1315" s="3" t="s">
        <v>6138</v>
      </c>
      <c r="F1315" s="34" t="s">
        <v>5259</v>
      </c>
      <c r="G1315" s="6"/>
      <c r="H1315" s="3" t="s">
        <v>5260</v>
      </c>
    </row>
    <row r="1316" spans="1:8" ht="15.75" customHeight="1">
      <c r="A1316" s="3" t="s">
        <v>2955</v>
      </c>
      <c r="B1316" s="3" t="s">
        <v>6139</v>
      </c>
      <c r="C1316" s="3" t="s">
        <v>6140</v>
      </c>
      <c r="D1316" s="4" t="s">
        <v>6141</v>
      </c>
      <c r="E1316" s="3" t="s">
        <v>6142</v>
      </c>
      <c r="F1316" s="34" t="s">
        <v>5259</v>
      </c>
      <c r="G1316" s="6"/>
      <c r="H1316" s="3" t="s">
        <v>5260</v>
      </c>
    </row>
    <row r="1317" spans="1:8" ht="15.75" customHeight="1">
      <c r="A1317" s="3" t="s">
        <v>6143</v>
      </c>
      <c r="B1317" s="3" t="s">
        <v>6144</v>
      </c>
      <c r="C1317" s="3" t="s">
        <v>6145</v>
      </c>
      <c r="D1317" s="4" t="s">
        <v>6146</v>
      </c>
      <c r="E1317" s="3" t="s">
        <v>6147</v>
      </c>
      <c r="F1317" s="34" t="s">
        <v>5192</v>
      </c>
      <c r="G1317" s="6"/>
      <c r="H1317" s="3" t="s">
        <v>5193</v>
      </c>
    </row>
    <row r="1318" spans="1:8" ht="15.75" customHeight="1">
      <c r="A1318" s="3" t="s">
        <v>1689</v>
      </c>
      <c r="B1318" s="3" t="s">
        <v>59</v>
      </c>
      <c r="C1318" s="3" t="s">
        <v>6148</v>
      </c>
      <c r="D1318" s="4" t="s">
        <v>6149</v>
      </c>
      <c r="E1318" s="3" t="s">
        <v>6150</v>
      </c>
      <c r="F1318" s="34" t="s">
        <v>5700</v>
      </c>
      <c r="G1318" s="6"/>
      <c r="H1318" s="3" t="s">
        <v>5254</v>
      </c>
    </row>
    <row r="1319" spans="1:8" ht="15.75" customHeight="1">
      <c r="A1319" s="3" t="s">
        <v>6151</v>
      </c>
      <c r="B1319" s="3" t="s">
        <v>6152</v>
      </c>
      <c r="C1319" s="3" t="s">
        <v>6153</v>
      </c>
      <c r="D1319" s="4" t="s">
        <v>6154</v>
      </c>
      <c r="E1319" s="3" t="s">
        <v>6155</v>
      </c>
      <c r="F1319" s="34" t="s">
        <v>5192</v>
      </c>
      <c r="G1319" s="6"/>
      <c r="H1319" s="3" t="s">
        <v>5193</v>
      </c>
    </row>
    <row r="1320" spans="1:8" ht="15.75" customHeight="1">
      <c r="A1320" s="3" t="s">
        <v>39</v>
      </c>
      <c r="B1320" s="3" t="s">
        <v>1557</v>
      </c>
      <c r="C1320" s="3" t="s">
        <v>1684</v>
      </c>
      <c r="D1320" s="4" t="s">
        <v>6156</v>
      </c>
      <c r="E1320" s="3" t="s">
        <v>6157</v>
      </c>
      <c r="F1320" s="6"/>
      <c r="G1320" s="6"/>
      <c r="H1320" s="3" t="s">
        <v>6158</v>
      </c>
    </row>
    <row r="1321" spans="1:8" ht="15.75" customHeight="1">
      <c r="A1321" s="3" t="s">
        <v>6159</v>
      </c>
      <c r="B1321" s="3" t="s">
        <v>5721</v>
      </c>
      <c r="C1321" s="3" t="s">
        <v>5722</v>
      </c>
      <c r="D1321" s="4" t="s">
        <v>6160</v>
      </c>
      <c r="E1321" s="3" t="s">
        <v>6161</v>
      </c>
      <c r="F1321" s="34" t="s">
        <v>5192</v>
      </c>
      <c r="G1321" s="6"/>
      <c r="H1321" s="3" t="s">
        <v>5193</v>
      </c>
    </row>
    <row r="1322" spans="1:8" ht="15.75" customHeight="1">
      <c r="A1322" s="3" t="s">
        <v>1233</v>
      </c>
      <c r="B1322" s="3" t="s">
        <v>20</v>
      </c>
      <c r="C1322" s="3" t="s">
        <v>229</v>
      </c>
      <c r="D1322" s="4" t="s">
        <v>6162</v>
      </c>
      <c r="E1322" s="6"/>
      <c r="F1322" s="34" t="s">
        <v>5272</v>
      </c>
      <c r="G1322" s="6"/>
      <c r="H1322" s="3" t="s">
        <v>5273</v>
      </c>
    </row>
    <row r="1323" spans="1:8" ht="15.75" customHeight="1">
      <c r="A1323" s="3" t="s">
        <v>6163</v>
      </c>
      <c r="B1323" s="3" t="s">
        <v>6164</v>
      </c>
      <c r="C1323" s="3" t="s">
        <v>6165</v>
      </c>
      <c r="D1323" s="4" t="s">
        <v>6166</v>
      </c>
      <c r="E1323" s="3" t="s">
        <v>6167</v>
      </c>
      <c r="F1323" s="34" t="s">
        <v>5215</v>
      </c>
      <c r="G1323" s="6"/>
      <c r="H1323" s="3" t="s">
        <v>5216</v>
      </c>
    </row>
    <row r="1324" spans="1:8" ht="15.75" customHeight="1">
      <c r="A1324" s="3" t="s">
        <v>3399</v>
      </c>
      <c r="B1324" s="3" t="s">
        <v>6168</v>
      </c>
      <c r="C1324" s="3" t="s">
        <v>6169</v>
      </c>
      <c r="D1324" s="4" t="s">
        <v>6170</v>
      </c>
      <c r="E1324" s="3" t="s">
        <v>6171</v>
      </c>
      <c r="F1324" s="34" t="s">
        <v>5301</v>
      </c>
      <c r="G1324" s="6"/>
      <c r="H1324" s="3" t="s">
        <v>5302</v>
      </c>
    </row>
    <row r="1325" spans="1:8" ht="15.75" customHeight="1">
      <c r="A1325" s="3" t="s">
        <v>367</v>
      </c>
      <c r="B1325" s="3" t="s">
        <v>221</v>
      </c>
      <c r="C1325" s="3" t="s">
        <v>6172</v>
      </c>
      <c r="D1325" s="4" t="s">
        <v>6173</v>
      </c>
      <c r="E1325" s="3" t="s">
        <v>6174</v>
      </c>
      <c r="F1325" s="34" t="s">
        <v>5301</v>
      </c>
      <c r="G1325" s="6"/>
      <c r="H1325" s="3" t="s">
        <v>5302</v>
      </c>
    </row>
    <row r="1326" spans="1:8" ht="15.75" customHeight="1">
      <c r="A1326" s="3" t="s">
        <v>4162</v>
      </c>
      <c r="B1326" s="3" t="s">
        <v>5721</v>
      </c>
      <c r="C1326" s="3" t="s">
        <v>5232</v>
      </c>
      <c r="D1326" s="4" t="s">
        <v>6175</v>
      </c>
      <c r="E1326" s="3" t="s">
        <v>6176</v>
      </c>
      <c r="F1326" s="6"/>
      <c r="G1326" s="6"/>
      <c r="H1326" s="3" t="s">
        <v>6177</v>
      </c>
    </row>
    <row r="1327" spans="1:8" ht="15.75" customHeight="1">
      <c r="A1327" s="3" t="s">
        <v>6178</v>
      </c>
      <c r="B1327" s="3" t="s">
        <v>6179</v>
      </c>
      <c r="C1327" s="3" t="s">
        <v>6180</v>
      </c>
      <c r="D1327" s="4" t="s">
        <v>6181</v>
      </c>
      <c r="E1327" s="3" t="s">
        <v>6182</v>
      </c>
      <c r="F1327" s="34" t="s">
        <v>5192</v>
      </c>
      <c r="G1327" s="6"/>
      <c r="H1327" s="3" t="s">
        <v>5193</v>
      </c>
    </row>
    <row r="1328" spans="1:8" ht="15.75" customHeight="1">
      <c r="A1328" s="3" t="s">
        <v>6183</v>
      </c>
      <c r="B1328" s="3" t="s">
        <v>6184</v>
      </c>
      <c r="C1328" s="3" t="s">
        <v>6185</v>
      </c>
      <c r="D1328" s="4" t="s">
        <v>6186</v>
      </c>
      <c r="E1328" s="3" t="s">
        <v>6187</v>
      </c>
      <c r="F1328" s="34" t="s">
        <v>5192</v>
      </c>
      <c r="G1328" s="6"/>
      <c r="H1328" s="3" t="s">
        <v>5193</v>
      </c>
    </row>
    <row r="1329" spans="1:8" ht="15.75" customHeight="1">
      <c r="A1329" s="3" t="s">
        <v>563</v>
      </c>
      <c r="B1329" s="3" t="s">
        <v>5941</v>
      </c>
      <c r="C1329" s="3" t="s">
        <v>6188</v>
      </c>
      <c r="D1329" s="4" t="s">
        <v>6189</v>
      </c>
      <c r="E1329" s="3" t="s">
        <v>6190</v>
      </c>
      <c r="F1329" s="34" t="s">
        <v>5592</v>
      </c>
      <c r="G1329" s="6"/>
      <c r="H1329" s="3" t="s">
        <v>5593</v>
      </c>
    </row>
    <row r="1330" spans="1:8" ht="15.75" customHeight="1">
      <c r="A1330" s="3" t="s">
        <v>962</v>
      </c>
      <c r="B1330" s="3" t="s">
        <v>45</v>
      </c>
      <c r="C1330" s="3" t="s">
        <v>6191</v>
      </c>
      <c r="D1330" s="4" t="s">
        <v>6192</v>
      </c>
      <c r="E1330" s="3" t="s">
        <v>6193</v>
      </c>
      <c r="F1330" s="34" t="s">
        <v>5192</v>
      </c>
      <c r="G1330" s="6"/>
      <c r="H1330" s="3" t="s">
        <v>5193</v>
      </c>
    </row>
    <row r="1331" spans="1:8" ht="15.75" customHeight="1">
      <c r="A1331" s="3" t="s">
        <v>6194</v>
      </c>
      <c r="B1331" s="3" t="s">
        <v>6195</v>
      </c>
      <c r="C1331" s="3" t="s">
        <v>4306</v>
      </c>
      <c r="D1331" s="4" t="s">
        <v>6196</v>
      </c>
      <c r="E1331" s="3" t="s">
        <v>6197</v>
      </c>
      <c r="F1331" s="34" t="s">
        <v>6198</v>
      </c>
      <c r="G1331" s="6"/>
      <c r="H1331" s="3" t="s">
        <v>6199</v>
      </c>
    </row>
    <row r="1332" spans="1:8" ht="15.75" customHeight="1">
      <c r="A1332" s="3" t="s">
        <v>1209</v>
      </c>
      <c r="B1332" s="3" t="s">
        <v>151</v>
      </c>
      <c r="C1332" s="3" t="s">
        <v>2717</v>
      </c>
      <c r="D1332" s="4" t="s">
        <v>6200</v>
      </c>
      <c r="E1332" s="3" t="s">
        <v>6201</v>
      </c>
      <c r="F1332" s="34" t="s">
        <v>6202</v>
      </c>
      <c r="G1332" s="6"/>
      <c r="H1332" s="3" t="s">
        <v>6203</v>
      </c>
    </row>
    <row r="1333" spans="1:8" ht="15.75" customHeight="1">
      <c r="A1333" s="3" t="s">
        <v>394</v>
      </c>
      <c r="B1333" s="3" t="s">
        <v>6204</v>
      </c>
      <c r="C1333" s="3" t="s">
        <v>6205</v>
      </c>
      <c r="D1333" s="4" t="s">
        <v>6206</v>
      </c>
      <c r="E1333" s="3" t="s">
        <v>6207</v>
      </c>
      <c r="F1333" s="34" t="s">
        <v>6208</v>
      </c>
      <c r="G1333" s="6"/>
      <c r="H1333" s="3" t="s">
        <v>6209</v>
      </c>
    </row>
    <row r="1334" spans="1:8" ht="15.75" customHeight="1">
      <c r="A1334" s="3" t="s">
        <v>6210</v>
      </c>
      <c r="B1334" s="3" t="s">
        <v>6211</v>
      </c>
      <c r="C1334" s="3" t="s">
        <v>1684</v>
      </c>
      <c r="D1334" s="6"/>
      <c r="E1334" s="3" t="s">
        <v>6212</v>
      </c>
      <c r="F1334" s="34" t="s">
        <v>6213</v>
      </c>
      <c r="G1334" s="6"/>
      <c r="H1334" s="3" t="s">
        <v>6214</v>
      </c>
    </row>
    <row r="1335" spans="1:8" ht="15.75" customHeight="1">
      <c r="A1335" s="3" t="s">
        <v>6215</v>
      </c>
      <c r="B1335" s="3" t="s">
        <v>6216</v>
      </c>
      <c r="C1335" s="3" t="s">
        <v>6217</v>
      </c>
      <c r="D1335" s="4" t="s">
        <v>6218</v>
      </c>
      <c r="E1335" s="3" t="s">
        <v>6219</v>
      </c>
      <c r="F1335" s="34" t="s">
        <v>4749</v>
      </c>
      <c r="G1335" s="6"/>
      <c r="H1335" s="3" t="s">
        <v>4750</v>
      </c>
    </row>
    <row r="1336" spans="1:8" ht="15.75" customHeight="1">
      <c r="A1336" s="3" t="s">
        <v>6220</v>
      </c>
      <c r="B1336" s="3" t="s">
        <v>6221</v>
      </c>
      <c r="C1336" s="3" t="s">
        <v>6222</v>
      </c>
      <c r="D1336" s="4" t="s">
        <v>6223</v>
      </c>
      <c r="E1336" s="3" t="s">
        <v>6224</v>
      </c>
      <c r="F1336" s="34" t="s">
        <v>5192</v>
      </c>
      <c r="G1336" s="6"/>
      <c r="H1336" s="3" t="s">
        <v>5193</v>
      </c>
    </row>
    <row r="1337" spans="1:8" ht="15.75" customHeight="1">
      <c r="A1337" s="3" t="s">
        <v>1729</v>
      </c>
      <c r="B1337" s="3" t="s">
        <v>4571</v>
      </c>
      <c r="C1337" s="3" t="s">
        <v>6225</v>
      </c>
      <c r="D1337" s="4" t="s">
        <v>6226</v>
      </c>
      <c r="E1337" s="3" t="s">
        <v>6227</v>
      </c>
      <c r="F1337" s="34" t="s">
        <v>6228</v>
      </c>
      <c r="G1337" s="6"/>
      <c r="H1337" s="3" t="s">
        <v>6229</v>
      </c>
    </row>
    <row r="1338" spans="1:8" ht="15.75" customHeight="1">
      <c r="A1338" s="3" t="s">
        <v>184</v>
      </c>
      <c r="B1338" s="3" t="s">
        <v>6230</v>
      </c>
      <c r="C1338" s="3" t="s">
        <v>6231</v>
      </c>
      <c r="D1338" s="4" t="s">
        <v>6232</v>
      </c>
      <c r="E1338" s="3" t="s">
        <v>6233</v>
      </c>
      <c r="F1338" s="34" t="s">
        <v>5192</v>
      </c>
      <c r="G1338" s="6"/>
      <c r="H1338" s="3" t="s">
        <v>5193</v>
      </c>
    </row>
    <row r="1339" spans="1:8" ht="15.75" customHeight="1">
      <c r="A1339" s="3" t="s">
        <v>6234</v>
      </c>
      <c r="B1339" s="3" t="s">
        <v>6235</v>
      </c>
      <c r="C1339" s="3" t="s">
        <v>4538</v>
      </c>
      <c r="D1339" s="4" t="s">
        <v>6236</v>
      </c>
      <c r="E1339" s="3" t="s">
        <v>6237</v>
      </c>
      <c r="F1339" s="34" t="s">
        <v>5192</v>
      </c>
      <c r="G1339" s="6"/>
      <c r="H1339" s="3" t="s">
        <v>5193</v>
      </c>
    </row>
    <row r="1340" spans="1:8" ht="15.75" customHeight="1">
      <c r="A1340" s="3" t="s">
        <v>6238</v>
      </c>
      <c r="B1340" s="3" t="s">
        <v>1811</v>
      </c>
      <c r="C1340" s="3" t="s">
        <v>1684</v>
      </c>
      <c r="D1340" s="4" t="s">
        <v>6239</v>
      </c>
      <c r="E1340" s="3" t="s">
        <v>6240</v>
      </c>
      <c r="F1340" s="34" t="s">
        <v>6241</v>
      </c>
      <c r="G1340" s="6"/>
      <c r="H1340" s="3" t="s">
        <v>6242</v>
      </c>
    </row>
    <row r="1341" spans="1:8" ht="15.75" customHeight="1">
      <c r="A1341" s="3" t="s">
        <v>6243</v>
      </c>
      <c r="B1341" s="3" t="s">
        <v>1698</v>
      </c>
      <c r="C1341" s="3" t="s">
        <v>6244</v>
      </c>
      <c r="D1341" s="4" t="s">
        <v>6245</v>
      </c>
      <c r="E1341" s="3" t="s">
        <v>6246</v>
      </c>
      <c r="F1341" s="34" t="s">
        <v>6247</v>
      </c>
      <c r="G1341" s="6"/>
      <c r="H1341" s="3" t="s">
        <v>6248</v>
      </c>
    </row>
    <row r="1342" spans="1:8" ht="15.75" customHeight="1">
      <c r="A1342" s="3" t="s">
        <v>6249</v>
      </c>
      <c r="B1342" s="3" t="s">
        <v>6250</v>
      </c>
      <c r="C1342" s="3" t="s">
        <v>6251</v>
      </c>
      <c r="D1342" s="4" t="s">
        <v>6252</v>
      </c>
      <c r="E1342" s="3" t="s">
        <v>6253</v>
      </c>
      <c r="F1342" s="34" t="s">
        <v>5192</v>
      </c>
      <c r="G1342" s="6"/>
      <c r="H1342" s="3" t="s">
        <v>5193</v>
      </c>
    </row>
    <row r="1343" spans="1:8" ht="15.75" customHeight="1">
      <c r="A1343" s="3" t="s">
        <v>6254</v>
      </c>
      <c r="B1343" s="3" t="s">
        <v>6255</v>
      </c>
      <c r="C1343" s="3" t="s">
        <v>6256</v>
      </c>
      <c r="D1343" s="4" t="s">
        <v>6257</v>
      </c>
      <c r="E1343" s="3" t="s">
        <v>6258</v>
      </c>
      <c r="F1343" s="34" t="s">
        <v>5192</v>
      </c>
      <c r="G1343" s="6"/>
      <c r="H1343" s="3" t="s">
        <v>5193</v>
      </c>
    </row>
    <row r="1344" spans="1:8" ht="15.75" customHeight="1">
      <c r="A1344" s="3" t="s">
        <v>6259</v>
      </c>
      <c r="B1344" s="3" t="s">
        <v>1431</v>
      </c>
      <c r="C1344" s="3" t="s">
        <v>6260</v>
      </c>
      <c r="D1344" s="4" t="s">
        <v>6261</v>
      </c>
      <c r="E1344" s="3" t="s">
        <v>6262</v>
      </c>
      <c r="F1344" s="6"/>
      <c r="G1344" s="6"/>
      <c r="H1344" s="3" t="s">
        <v>5204</v>
      </c>
    </row>
    <row r="1345" spans="1:8" ht="15.75" customHeight="1">
      <c r="A1345" s="3" t="s">
        <v>572</v>
      </c>
      <c r="B1345" s="3" t="s">
        <v>3457</v>
      </c>
      <c r="C1345" s="3" t="s">
        <v>6263</v>
      </c>
      <c r="D1345" s="4" t="s">
        <v>6264</v>
      </c>
      <c r="E1345" s="3" t="s">
        <v>6265</v>
      </c>
      <c r="F1345" s="34" t="s">
        <v>6266</v>
      </c>
      <c r="G1345" s="6"/>
      <c r="H1345" s="3" t="s">
        <v>6267</v>
      </c>
    </row>
    <row r="1346" spans="1:8" ht="15.75" customHeight="1">
      <c r="A1346" s="3" t="s">
        <v>6268</v>
      </c>
      <c r="B1346" s="3" t="s">
        <v>6269</v>
      </c>
      <c r="C1346" s="3" t="s">
        <v>6270</v>
      </c>
      <c r="D1346" s="6"/>
      <c r="E1346" s="3" t="s">
        <v>6271</v>
      </c>
      <c r="F1346" s="34" t="s">
        <v>6272</v>
      </c>
      <c r="G1346" s="6"/>
      <c r="H1346" s="3" t="s">
        <v>6273</v>
      </c>
    </row>
    <row r="1347" spans="1:8" ht="15.75" customHeight="1">
      <c r="A1347" s="3" t="s">
        <v>6274</v>
      </c>
      <c r="B1347" s="3" t="s">
        <v>592</v>
      </c>
      <c r="C1347" s="3" t="s">
        <v>6048</v>
      </c>
      <c r="D1347" s="4" t="s">
        <v>6275</v>
      </c>
      <c r="E1347" s="3" t="s">
        <v>6276</v>
      </c>
      <c r="F1347" s="34" t="s">
        <v>5360</v>
      </c>
      <c r="G1347" s="6"/>
      <c r="H1347" s="3" t="s">
        <v>5361</v>
      </c>
    </row>
    <row r="1348" spans="1:8" ht="15.75" customHeight="1">
      <c r="A1348" s="3" t="s">
        <v>2463</v>
      </c>
      <c r="B1348" s="3" t="s">
        <v>6277</v>
      </c>
      <c r="C1348" s="3" t="s">
        <v>5054</v>
      </c>
      <c r="D1348" s="4" t="s">
        <v>6278</v>
      </c>
      <c r="E1348" s="3" t="s">
        <v>6279</v>
      </c>
      <c r="F1348" s="34" t="s">
        <v>5825</v>
      </c>
      <c r="G1348" s="6"/>
      <c r="H1348" s="3" t="s">
        <v>5826</v>
      </c>
    </row>
    <row r="1349" spans="1:8" ht="15.75" customHeight="1">
      <c r="A1349" s="3" t="s">
        <v>1517</v>
      </c>
      <c r="B1349" s="3" t="s">
        <v>221</v>
      </c>
      <c r="C1349" s="3" t="s">
        <v>1684</v>
      </c>
      <c r="D1349" s="4" t="s">
        <v>6280</v>
      </c>
      <c r="E1349" s="3" t="s">
        <v>6281</v>
      </c>
      <c r="F1349" s="34" t="s">
        <v>5203</v>
      </c>
      <c r="G1349" s="6"/>
      <c r="H1349" s="3" t="s">
        <v>5204</v>
      </c>
    </row>
    <row r="1350" spans="1:8" ht="15.75" customHeight="1">
      <c r="A1350" s="3" t="s">
        <v>1044</v>
      </c>
      <c r="B1350" s="3" t="s">
        <v>6282</v>
      </c>
      <c r="C1350" s="3" t="s">
        <v>85</v>
      </c>
      <c r="D1350" s="4" t="s">
        <v>6283</v>
      </c>
      <c r="E1350" s="3" t="s">
        <v>6284</v>
      </c>
      <c r="F1350" s="34" t="s">
        <v>5192</v>
      </c>
      <c r="G1350" s="6"/>
      <c r="H1350" s="3" t="s">
        <v>5193</v>
      </c>
    </row>
    <row r="1351" spans="1:8" ht="15.75" customHeight="1">
      <c r="A1351" s="3" t="s">
        <v>6285</v>
      </c>
      <c r="B1351" s="3" t="s">
        <v>6286</v>
      </c>
      <c r="C1351" s="3" t="s">
        <v>6287</v>
      </c>
      <c r="D1351" s="4" t="s">
        <v>6288</v>
      </c>
      <c r="E1351" s="3" t="s">
        <v>6289</v>
      </c>
      <c r="F1351" s="34" t="s">
        <v>5192</v>
      </c>
      <c r="G1351" s="6"/>
      <c r="H1351" s="3" t="s">
        <v>5193</v>
      </c>
    </row>
    <row r="1352" spans="1:8" ht="15.75" customHeight="1">
      <c r="A1352" s="3" t="s">
        <v>6290</v>
      </c>
      <c r="B1352" s="3" t="s">
        <v>6291</v>
      </c>
      <c r="C1352" s="3" t="s">
        <v>162</v>
      </c>
      <c r="D1352" s="4" t="s">
        <v>6292</v>
      </c>
      <c r="E1352" s="3" t="s">
        <v>6293</v>
      </c>
      <c r="F1352" s="34" t="s">
        <v>5192</v>
      </c>
      <c r="G1352" s="6"/>
      <c r="H1352" s="3" t="s">
        <v>5193</v>
      </c>
    </row>
    <row r="1353" spans="1:8" ht="15.75" customHeight="1">
      <c r="A1353" s="3" t="s">
        <v>5954</v>
      </c>
      <c r="B1353" s="3" t="s">
        <v>6294</v>
      </c>
      <c r="C1353" s="3" t="s">
        <v>6145</v>
      </c>
      <c r="D1353" s="4" t="s">
        <v>6295</v>
      </c>
      <c r="E1353" s="3" t="s">
        <v>6296</v>
      </c>
      <c r="F1353" s="34" t="s">
        <v>5192</v>
      </c>
      <c r="G1353" s="6"/>
      <c r="H1353" s="3" t="s">
        <v>5193</v>
      </c>
    </row>
    <row r="1354" spans="1:8" ht="15.75" customHeight="1">
      <c r="A1354" s="3" t="s">
        <v>1557</v>
      </c>
      <c r="B1354" s="3" t="s">
        <v>6297</v>
      </c>
      <c r="C1354" s="3" t="s">
        <v>229</v>
      </c>
      <c r="D1354" s="4" t="s">
        <v>6298</v>
      </c>
      <c r="E1354" s="3" t="s">
        <v>6299</v>
      </c>
      <c r="F1354" s="34" t="s">
        <v>5192</v>
      </c>
      <c r="G1354" s="6"/>
      <c r="H1354" s="3" t="s">
        <v>5193</v>
      </c>
    </row>
    <row r="1355" spans="1:8" ht="15.75" customHeight="1">
      <c r="A1355" s="3" t="s">
        <v>6300</v>
      </c>
      <c r="B1355" s="3" t="s">
        <v>5350</v>
      </c>
      <c r="C1355" s="3" t="s">
        <v>2570</v>
      </c>
      <c r="D1355" s="4" t="s">
        <v>6301</v>
      </c>
      <c r="E1355" s="3" t="s">
        <v>6302</v>
      </c>
      <c r="F1355" s="34" t="s">
        <v>5192</v>
      </c>
      <c r="G1355" s="6"/>
      <c r="H1355" s="3" t="s">
        <v>5193</v>
      </c>
    </row>
    <row r="1356" spans="1:8" ht="15.75" customHeight="1">
      <c r="A1356" s="3" t="s">
        <v>5764</v>
      </c>
      <c r="B1356" s="3" t="s">
        <v>5721</v>
      </c>
      <c r="C1356" s="3" t="s">
        <v>5722</v>
      </c>
      <c r="D1356" s="4" t="s">
        <v>6303</v>
      </c>
      <c r="E1356" s="3" t="s">
        <v>6304</v>
      </c>
      <c r="F1356" s="34" t="s">
        <v>5192</v>
      </c>
      <c r="G1356" s="6"/>
      <c r="H1356" s="3" t="s">
        <v>5193</v>
      </c>
    </row>
    <row r="1357" spans="1:8" ht="15.75" customHeight="1">
      <c r="A1357" s="3" t="s">
        <v>6305</v>
      </c>
      <c r="B1357" s="3" t="s">
        <v>6306</v>
      </c>
      <c r="C1357" s="3" t="s">
        <v>6307</v>
      </c>
      <c r="D1357" s="4" t="s">
        <v>6308</v>
      </c>
      <c r="E1357" s="3" t="s">
        <v>6309</v>
      </c>
      <c r="F1357" s="34" t="s">
        <v>5192</v>
      </c>
      <c r="G1357" s="6"/>
      <c r="H1357" s="3" t="s">
        <v>5193</v>
      </c>
    </row>
    <row r="1358" spans="1:8" ht="15.75" customHeight="1">
      <c r="A1358" s="3" t="s">
        <v>422</v>
      </c>
      <c r="B1358" s="3" t="s">
        <v>2245</v>
      </c>
      <c r="C1358" s="3" t="s">
        <v>6310</v>
      </c>
      <c r="D1358" s="4" t="s">
        <v>6311</v>
      </c>
      <c r="E1358" s="3" t="s">
        <v>6312</v>
      </c>
      <c r="F1358" s="6"/>
      <c r="G1358" s="6"/>
      <c r="H1358" s="3" t="s">
        <v>5209</v>
      </c>
    </row>
    <row r="1359" spans="1:8" ht="15.75" customHeight="1">
      <c r="A1359" s="3" t="s">
        <v>6313</v>
      </c>
      <c r="B1359" s="3" t="s">
        <v>6314</v>
      </c>
      <c r="C1359" s="3" t="s">
        <v>5227</v>
      </c>
      <c r="D1359" s="6"/>
      <c r="E1359" s="3" t="s">
        <v>6315</v>
      </c>
      <c r="F1359" s="34" t="s">
        <v>6316</v>
      </c>
      <c r="G1359" s="6"/>
      <c r="H1359" s="3" t="s">
        <v>6317</v>
      </c>
    </row>
    <row r="1360" spans="1:8" ht="15.75" customHeight="1">
      <c r="A1360" s="3" t="s">
        <v>6318</v>
      </c>
      <c r="B1360" s="3" t="s">
        <v>221</v>
      </c>
      <c r="C1360" s="3" t="s">
        <v>6319</v>
      </c>
      <c r="D1360" s="4" t="s">
        <v>6320</v>
      </c>
      <c r="E1360" s="3" t="s">
        <v>6321</v>
      </c>
      <c r="F1360" s="6"/>
      <c r="G1360" s="6"/>
      <c r="H1360" s="3" t="s">
        <v>6322</v>
      </c>
    </row>
    <row r="1361" spans="1:8" ht="15.75" customHeight="1">
      <c r="A1361" s="3" t="s">
        <v>14</v>
      </c>
      <c r="B1361" s="3" t="s">
        <v>2251</v>
      </c>
      <c r="C1361" s="3" t="s">
        <v>229</v>
      </c>
      <c r="D1361" s="4" t="s">
        <v>6323</v>
      </c>
      <c r="E1361" s="3" t="s">
        <v>6324</v>
      </c>
      <c r="F1361" s="34" t="s">
        <v>5500</v>
      </c>
      <c r="G1361" s="6"/>
      <c r="H1361" s="3" t="s">
        <v>5501</v>
      </c>
    </row>
    <row r="1362" spans="1:8" ht="15.75" customHeight="1">
      <c r="A1362" s="3" t="s">
        <v>14</v>
      </c>
      <c r="B1362" s="3" t="s">
        <v>2023</v>
      </c>
      <c r="C1362" s="3" t="s">
        <v>6325</v>
      </c>
      <c r="D1362" s="4" t="s">
        <v>6326</v>
      </c>
      <c r="E1362" s="3" t="s">
        <v>6327</v>
      </c>
      <c r="F1362" s="34" t="s">
        <v>5272</v>
      </c>
      <c r="G1362" s="6"/>
      <c r="H1362" s="3" t="s">
        <v>5273</v>
      </c>
    </row>
    <row r="1363" spans="1:8" ht="15.75" customHeight="1">
      <c r="A1363" s="3" t="s">
        <v>6328</v>
      </c>
      <c r="B1363" s="3" t="s">
        <v>6329</v>
      </c>
      <c r="C1363" s="3" t="s">
        <v>6330</v>
      </c>
      <c r="D1363" s="6"/>
      <c r="E1363" s="3" t="s">
        <v>6331</v>
      </c>
      <c r="F1363" s="34" t="s">
        <v>6332</v>
      </c>
      <c r="G1363" s="6"/>
      <c r="H1363" s="3" t="s">
        <v>6333</v>
      </c>
    </row>
    <row r="1364" spans="1:8" ht="15.75" customHeight="1">
      <c r="A1364" s="3" t="s">
        <v>1676</v>
      </c>
      <c r="B1364" s="3" t="s">
        <v>6334</v>
      </c>
      <c r="C1364" s="3" t="s">
        <v>27</v>
      </c>
      <c r="D1364" s="4" t="s">
        <v>6335</v>
      </c>
      <c r="E1364" s="3" t="s">
        <v>6336</v>
      </c>
      <c r="F1364" s="34" t="s">
        <v>5294</v>
      </c>
      <c r="G1364" s="6"/>
      <c r="H1364" s="3" t="s">
        <v>5295</v>
      </c>
    </row>
    <row r="1365" spans="1:8" ht="15.75" customHeight="1">
      <c r="A1365" s="3" t="s">
        <v>6337</v>
      </c>
      <c r="B1365" s="3" t="s">
        <v>6338</v>
      </c>
      <c r="C1365" s="3" t="s">
        <v>6339</v>
      </c>
      <c r="D1365" s="4" t="s">
        <v>6340</v>
      </c>
      <c r="E1365" s="3" t="s">
        <v>6341</v>
      </c>
      <c r="F1365" s="34" t="s">
        <v>4749</v>
      </c>
      <c r="G1365" s="6"/>
      <c r="H1365" s="3" t="s">
        <v>4750</v>
      </c>
    </row>
    <row r="1366" spans="1:8" ht="15.75" customHeight="1">
      <c r="A1366" s="3" t="s">
        <v>2509</v>
      </c>
      <c r="B1366" s="3" t="s">
        <v>5899</v>
      </c>
      <c r="C1366" s="3" t="s">
        <v>6342</v>
      </c>
      <c r="D1366" s="4" t="s">
        <v>6343</v>
      </c>
      <c r="E1366" s="3" t="s">
        <v>6344</v>
      </c>
      <c r="F1366" s="34" t="s">
        <v>6345</v>
      </c>
      <c r="G1366" s="6"/>
      <c r="H1366" s="3" t="s">
        <v>6346</v>
      </c>
    </row>
    <row r="1367" spans="1:8" ht="15.75" customHeight="1">
      <c r="A1367" s="3" t="s">
        <v>6347</v>
      </c>
      <c r="B1367" s="3" t="s">
        <v>3376</v>
      </c>
      <c r="C1367" s="3" t="s">
        <v>4879</v>
      </c>
      <c r="D1367" s="4" t="s">
        <v>6348</v>
      </c>
      <c r="E1367" s="3" t="s">
        <v>6349</v>
      </c>
      <c r="F1367" s="34" t="s">
        <v>5465</v>
      </c>
      <c r="G1367" s="6"/>
      <c r="H1367" s="3" t="s">
        <v>5466</v>
      </c>
    </row>
    <row r="1368" spans="1:8" ht="15.75" customHeight="1">
      <c r="A1368" s="3" t="s">
        <v>6350</v>
      </c>
      <c r="B1368" s="3" t="s">
        <v>6351</v>
      </c>
      <c r="C1368" s="3" t="s">
        <v>6352</v>
      </c>
      <c r="D1368" s="4" t="s">
        <v>6353</v>
      </c>
      <c r="E1368" s="3" t="s">
        <v>6354</v>
      </c>
      <c r="F1368" s="34" t="s">
        <v>5192</v>
      </c>
      <c r="G1368" s="6"/>
      <c r="H1368" s="3" t="s">
        <v>5193</v>
      </c>
    </row>
    <row r="1369" spans="1:8" ht="15.75" customHeight="1">
      <c r="A1369" s="3" t="s">
        <v>422</v>
      </c>
      <c r="B1369" s="3" t="s">
        <v>6355</v>
      </c>
      <c r="C1369" s="3" t="s">
        <v>6356</v>
      </c>
      <c r="D1369" s="4" t="s">
        <v>6357</v>
      </c>
      <c r="E1369" s="3" t="s">
        <v>6358</v>
      </c>
      <c r="F1369" s="34" t="s">
        <v>5203</v>
      </c>
      <c r="G1369" s="6"/>
      <c r="H1369" s="3" t="s">
        <v>5204</v>
      </c>
    </row>
    <row r="1370" spans="1:8" ht="15.75" customHeight="1">
      <c r="A1370" s="3" t="s">
        <v>6359</v>
      </c>
      <c r="B1370" s="3" t="s">
        <v>6360</v>
      </c>
      <c r="C1370" s="3" t="s">
        <v>6361</v>
      </c>
      <c r="D1370" s="4" t="s">
        <v>6362</v>
      </c>
      <c r="E1370" s="3" t="s">
        <v>6363</v>
      </c>
      <c r="F1370" s="34" t="s">
        <v>5215</v>
      </c>
      <c r="G1370" s="6"/>
      <c r="H1370" s="3" t="s">
        <v>5216</v>
      </c>
    </row>
    <row r="1371" spans="1:8" ht="15.75" customHeight="1">
      <c r="A1371" s="3" t="s">
        <v>6364</v>
      </c>
      <c r="B1371" s="3" t="s">
        <v>6365</v>
      </c>
      <c r="C1371" s="3" t="s">
        <v>1416</v>
      </c>
      <c r="D1371" s="4" t="s">
        <v>6366</v>
      </c>
      <c r="E1371" s="3" t="s">
        <v>6367</v>
      </c>
      <c r="F1371" s="34" t="s">
        <v>5192</v>
      </c>
      <c r="G1371" s="6"/>
      <c r="H1371" s="3" t="s">
        <v>5193</v>
      </c>
    </row>
    <row r="1372" spans="1:8" ht="15.75" customHeight="1">
      <c r="A1372" s="3" t="s">
        <v>517</v>
      </c>
      <c r="B1372" s="3" t="s">
        <v>6368</v>
      </c>
      <c r="C1372" s="3" t="s">
        <v>5282</v>
      </c>
      <c r="D1372" s="4" t="s">
        <v>6369</v>
      </c>
      <c r="E1372" s="3" t="s">
        <v>6370</v>
      </c>
      <c r="F1372" s="34" t="s">
        <v>5192</v>
      </c>
      <c r="G1372" s="6"/>
      <c r="H1372" s="3" t="s">
        <v>5193</v>
      </c>
    </row>
    <row r="1373" spans="1:8" ht="15.75" customHeight="1">
      <c r="A1373" s="3" t="s">
        <v>955</v>
      </c>
      <c r="B1373" s="3" t="s">
        <v>1408</v>
      </c>
      <c r="C1373" s="3" t="s">
        <v>5503</v>
      </c>
      <c r="D1373" s="4" t="s">
        <v>6371</v>
      </c>
      <c r="E1373" s="3" t="s">
        <v>6372</v>
      </c>
      <c r="F1373" s="34" t="s">
        <v>5465</v>
      </c>
      <c r="G1373" s="6"/>
      <c r="H1373" s="3" t="s">
        <v>5466</v>
      </c>
    </row>
    <row r="1374" spans="1:8" ht="15.75" customHeight="1">
      <c r="A1374" s="3" t="s">
        <v>2705</v>
      </c>
      <c r="B1374" s="3" t="s">
        <v>5414</v>
      </c>
      <c r="C1374" s="3" t="s">
        <v>6373</v>
      </c>
      <c r="D1374" s="4" t="s">
        <v>6374</v>
      </c>
      <c r="E1374" s="3" t="s">
        <v>5416</v>
      </c>
      <c r="F1374" s="34" t="s">
        <v>5192</v>
      </c>
      <c r="G1374" s="6"/>
      <c r="H1374" s="3" t="s">
        <v>5193</v>
      </c>
    </row>
    <row r="1375" spans="1:8" ht="15.75" customHeight="1">
      <c r="A1375" s="3" t="s">
        <v>6375</v>
      </c>
      <c r="B1375" s="6"/>
      <c r="C1375" s="3" t="s">
        <v>1684</v>
      </c>
      <c r="D1375" s="6"/>
      <c r="E1375" s="3" t="s">
        <v>6376</v>
      </c>
      <c r="F1375" s="34" t="s">
        <v>6377</v>
      </c>
      <c r="G1375" s="6"/>
      <c r="H1375" s="3" t="s">
        <v>5388</v>
      </c>
    </row>
    <row r="1376" spans="1:8" ht="15.75" customHeight="1">
      <c r="A1376" s="3" t="s">
        <v>1988</v>
      </c>
      <c r="B1376" s="3" t="s">
        <v>59</v>
      </c>
      <c r="C1376" s="3" t="s">
        <v>6378</v>
      </c>
      <c r="D1376" s="4" t="s">
        <v>6379</v>
      </c>
      <c r="E1376" s="3" t="s">
        <v>6380</v>
      </c>
      <c r="F1376" s="34" t="s">
        <v>6381</v>
      </c>
      <c r="G1376" s="6"/>
      <c r="H1376" s="3" t="s">
        <v>5969</v>
      </c>
    </row>
    <row r="1377" spans="1:8" ht="15.75" customHeight="1">
      <c r="A1377" s="3" t="s">
        <v>6382</v>
      </c>
      <c r="B1377" s="3" t="s">
        <v>185</v>
      </c>
      <c r="C1377" s="3" t="s">
        <v>6383</v>
      </c>
      <c r="D1377" s="4" t="s">
        <v>6384</v>
      </c>
      <c r="E1377" s="3" t="s">
        <v>6385</v>
      </c>
      <c r="F1377" s="6"/>
      <c r="G1377" s="6"/>
      <c r="H1377" s="3" t="s">
        <v>5645</v>
      </c>
    </row>
    <row r="1378" spans="1:8" ht="15.75" customHeight="1">
      <c r="A1378" s="3" t="s">
        <v>6386</v>
      </c>
      <c r="B1378" s="3" t="s">
        <v>6387</v>
      </c>
      <c r="C1378" s="3" t="s">
        <v>6048</v>
      </c>
      <c r="D1378" s="4" t="s">
        <v>6388</v>
      </c>
      <c r="E1378" s="3" t="s">
        <v>6389</v>
      </c>
      <c r="F1378" s="34" t="s">
        <v>6390</v>
      </c>
      <c r="G1378" s="6"/>
      <c r="H1378" s="3" t="s">
        <v>6391</v>
      </c>
    </row>
    <row r="1379" spans="1:8" ht="15.75" customHeight="1">
      <c r="A1379" s="3" t="s">
        <v>5101</v>
      </c>
      <c r="B1379" s="6"/>
      <c r="C1379" s="3" t="s">
        <v>5102</v>
      </c>
      <c r="D1379" s="6"/>
      <c r="E1379" s="3" t="s">
        <v>5103</v>
      </c>
      <c r="F1379" s="34" t="s">
        <v>5104</v>
      </c>
      <c r="G1379" s="6"/>
      <c r="H1379" s="3" t="s">
        <v>4545</v>
      </c>
    </row>
    <row r="1380" spans="1:8" ht="15.75" customHeight="1">
      <c r="A1380" s="3" t="s">
        <v>6392</v>
      </c>
      <c r="B1380" s="3" t="s">
        <v>6393</v>
      </c>
      <c r="C1380" s="3" t="s">
        <v>6394</v>
      </c>
      <c r="D1380" s="4" t="s">
        <v>6395</v>
      </c>
      <c r="E1380" s="3" t="s">
        <v>6396</v>
      </c>
      <c r="F1380" s="34" t="s">
        <v>5215</v>
      </c>
      <c r="G1380" s="6"/>
      <c r="H1380" s="3" t="s">
        <v>5216</v>
      </c>
    </row>
    <row r="1381" spans="1:8" ht="15.75" customHeight="1">
      <c r="A1381" s="3" t="s">
        <v>1276</v>
      </c>
      <c r="B1381" s="3" t="s">
        <v>6397</v>
      </c>
      <c r="C1381" s="3" t="s">
        <v>6398</v>
      </c>
      <c r="D1381" s="4" t="s">
        <v>6399</v>
      </c>
      <c r="E1381" s="3" t="s">
        <v>6400</v>
      </c>
      <c r="F1381" s="34" t="s">
        <v>5360</v>
      </c>
      <c r="G1381" s="6"/>
      <c r="H1381" s="3" t="s">
        <v>5361</v>
      </c>
    </row>
    <row r="1382" spans="1:8" ht="15.75" customHeight="1">
      <c r="A1382" s="3" t="s">
        <v>6401</v>
      </c>
      <c r="B1382" s="3" t="s">
        <v>5472</v>
      </c>
      <c r="C1382" s="3" t="s">
        <v>2570</v>
      </c>
      <c r="D1382" s="4" t="s">
        <v>6402</v>
      </c>
      <c r="E1382" s="3" t="s">
        <v>5474</v>
      </c>
      <c r="F1382" s="34" t="s">
        <v>5192</v>
      </c>
      <c r="G1382" s="6"/>
      <c r="H1382" s="3" t="s">
        <v>5193</v>
      </c>
    </row>
    <row r="1383" spans="1:8" ht="15.75" customHeight="1">
      <c r="A1383" s="3" t="s">
        <v>6022</v>
      </c>
      <c r="B1383" s="3" t="s">
        <v>6403</v>
      </c>
      <c r="C1383" s="3" t="s">
        <v>6404</v>
      </c>
      <c r="D1383" s="4" t="s">
        <v>6405</v>
      </c>
      <c r="E1383" s="3" t="s">
        <v>6406</v>
      </c>
      <c r="F1383" s="34" t="s">
        <v>5192</v>
      </c>
      <c r="G1383" s="6"/>
      <c r="H1383" s="3" t="s">
        <v>5193</v>
      </c>
    </row>
    <row r="1384" spans="1:8" ht="15.75" customHeight="1">
      <c r="A1384" s="3" t="s">
        <v>44</v>
      </c>
      <c r="B1384" s="3" t="s">
        <v>6407</v>
      </c>
      <c r="C1384" s="3" t="s">
        <v>6408</v>
      </c>
      <c r="D1384" s="4" t="s">
        <v>6409</v>
      </c>
      <c r="E1384" s="3" t="s">
        <v>6410</v>
      </c>
      <c r="F1384" s="34" t="s">
        <v>5301</v>
      </c>
      <c r="G1384" s="6"/>
      <c r="H1384" s="3" t="s">
        <v>5302</v>
      </c>
    </row>
    <row r="1385" spans="1:8" ht="15.75" customHeight="1">
      <c r="A1385" s="3" t="s">
        <v>6411</v>
      </c>
      <c r="B1385" s="3" t="s">
        <v>849</v>
      </c>
      <c r="C1385" s="3" t="s">
        <v>91</v>
      </c>
      <c r="D1385" s="6"/>
      <c r="E1385" s="3" t="s">
        <v>6412</v>
      </c>
      <c r="F1385" s="6"/>
      <c r="G1385" s="6"/>
      <c r="H1385" s="3" t="s">
        <v>6413</v>
      </c>
    </row>
    <row r="1386" spans="1:8" ht="15.75" customHeight="1">
      <c r="A1386" s="3" t="s">
        <v>2027</v>
      </c>
      <c r="B1386" s="3" t="s">
        <v>805</v>
      </c>
      <c r="C1386" s="3" t="s">
        <v>6414</v>
      </c>
      <c r="D1386" s="4" t="s">
        <v>6415</v>
      </c>
      <c r="E1386" s="3" t="s">
        <v>6416</v>
      </c>
      <c r="F1386" s="34" t="s">
        <v>5700</v>
      </c>
      <c r="G1386" s="6"/>
      <c r="H1386" s="3" t="s">
        <v>5254</v>
      </c>
    </row>
    <row r="1387" spans="1:8" ht="15.75" customHeight="1">
      <c r="A1387" s="3" t="s">
        <v>1689</v>
      </c>
      <c r="B1387" s="3" t="s">
        <v>6417</v>
      </c>
      <c r="C1387" s="3" t="s">
        <v>6418</v>
      </c>
      <c r="D1387" s="4" t="s">
        <v>6419</v>
      </c>
      <c r="E1387" s="3" t="s">
        <v>6150</v>
      </c>
      <c r="F1387" s="34" t="s">
        <v>5700</v>
      </c>
      <c r="G1387" s="6"/>
      <c r="H1387" s="3" t="s">
        <v>5254</v>
      </c>
    </row>
    <row r="1388" spans="1:8" ht="15.75" customHeight="1">
      <c r="A1388" s="3" t="s">
        <v>171</v>
      </c>
      <c r="B1388" s="3" t="s">
        <v>6420</v>
      </c>
      <c r="C1388" s="3" t="s">
        <v>6421</v>
      </c>
      <c r="D1388" s="4" t="s">
        <v>6422</v>
      </c>
      <c r="E1388" s="3" t="s">
        <v>6423</v>
      </c>
      <c r="F1388" s="34" t="s">
        <v>5192</v>
      </c>
      <c r="G1388" s="6"/>
      <c r="H1388" s="3" t="s">
        <v>5193</v>
      </c>
    </row>
    <row r="1389" spans="1:8" ht="15.75" customHeight="1">
      <c r="A1389" s="3" t="s">
        <v>6424</v>
      </c>
      <c r="B1389" s="3" t="s">
        <v>6425</v>
      </c>
      <c r="C1389" s="3" t="s">
        <v>6426</v>
      </c>
      <c r="D1389" s="4" t="s">
        <v>6427</v>
      </c>
      <c r="E1389" s="3" t="s">
        <v>6428</v>
      </c>
      <c r="F1389" s="34" t="s">
        <v>5215</v>
      </c>
      <c r="G1389" s="6"/>
      <c r="H1389" s="3" t="s">
        <v>5216</v>
      </c>
    </row>
    <row r="1390" spans="1:8" ht="15.75" customHeight="1">
      <c r="A1390" s="3" t="s">
        <v>39</v>
      </c>
      <c r="B1390" s="3" t="s">
        <v>1557</v>
      </c>
      <c r="C1390" s="3" t="s">
        <v>5275</v>
      </c>
      <c r="D1390" s="4" t="s">
        <v>6429</v>
      </c>
      <c r="E1390" s="3" t="s">
        <v>6430</v>
      </c>
      <c r="F1390" s="34" t="s">
        <v>5754</v>
      </c>
      <c r="G1390" s="6"/>
      <c r="H1390" s="3" t="s">
        <v>5755</v>
      </c>
    </row>
    <row r="1391" spans="1:8" ht="15.75" customHeight="1">
      <c r="A1391" s="3" t="s">
        <v>6431</v>
      </c>
      <c r="B1391" s="3" t="s">
        <v>6432</v>
      </c>
      <c r="C1391" s="3" t="s">
        <v>6433</v>
      </c>
      <c r="D1391" s="4" t="s">
        <v>6434</v>
      </c>
      <c r="E1391" s="3" t="s">
        <v>6435</v>
      </c>
      <c r="F1391" s="34" t="s">
        <v>5173</v>
      </c>
      <c r="G1391" s="6"/>
      <c r="H1391" s="3" t="s">
        <v>5174</v>
      </c>
    </row>
    <row r="1392" spans="1:8" ht="15.75" customHeight="1">
      <c r="A1392" s="3" t="s">
        <v>563</v>
      </c>
      <c r="B1392" s="3" t="s">
        <v>6436</v>
      </c>
      <c r="C1392" s="3" t="s">
        <v>6437</v>
      </c>
      <c r="D1392" s="4" t="s">
        <v>6438</v>
      </c>
      <c r="E1392" s="3" t="s">
        <v>6439</v>
      </c>
      <c r="F1392" s="34" t="s">
        <v>6440</v>
      </c>
      <c r="G1392" s="6"/>
      <c r="H1392" s="3" t="s">
        <v>6441</v>
      </c>
    </row>
    <row r="1393" spans="1:8" ht="15.75" customHeight="1">
      <c r="A1393" s="3" t="s">
        <v>6442</v>
      </c>
      <c r="B1393" s="3" t="s">
        <v>6443</v>
      </c>
      <c r="C1393" s="3" t="s">
        <v>229</v>
      </c>
      <c r="D1393" s="4" t="s">
        <v>6444</v>
      </c>
      <c r="E1393" s="3" t="s">
        <v>6445</v>
      </c>
      <c r="F1393" s="34" t="s">
        <v>5192</v>
      </c>
      <c r="G1393" s="6"/>
      <c r="H1393" s="3" t="s">
        <v>5193</v>
      </c>
    </row>
    <row r="1394" spans="1:8" ht="15.75" customHeight="1">
      <c r="A1394" s="3" t="s">
        <v>6446</v>
      </c>
      <c r="B1394" s="3" t="s">
        <v>6447</v>
      </c>
      <c r="C1394" s="3" t="s">
        <v>2570</v>
      </c>
      <c r="D1394" s="4" t="s">
        <v>6448</v>
      </c>
      <c r="E1394" s="3" t="s">
        <v>6449</v>
      </c>
      <c r="F1394" s="34" t="s">
        <v>5192</v>
      </c>
      <c r="G1394" s="6"/>
      <c r="H1394" s="3" t="s">
        <v>5193</v>
      </c>
    </row>
    <row r="1395" spans="1:8" ht="15.75" customHeight="1">
      <c r="A1395" s="3" t="s">
        <v>6450</v>
      </c>
      <c r="B1395" s="3" t="s">
        <v>6451</v>
      </c>
      <c r="C1395" s="3" t="s">
        <v>4080</v>
      </c>
      <c r="D1395" s="4" t="s">
        <v>6452</v>
      </c>
      <c r="E1395" s="3" t="s">
        <v>6453</v>
      </c>
      <c r="F1395" s="34" t="s">
        <v>5465</v>
      </c>
      <c r="G1395" s="6"/>
      <c r="H1395" s="3" t="s">
        <v>5466</v>
      </c>
    </row>
    <row r="1396" spans="1:8" ht="15.75" customHeight="1">
      <c r="A1396" s="3" t="s">
        <v>301</v>
      </c>
      <c r="B1396" s="3" t="s">
        <v>221</v>
      </c>
      <c r="C1396" s="3" t="s">
        <v>6454</v>
      </c>
      <c r="D1396" s="4" t="s">
        <v>6455</v>
      </c>
      <c r="E1396" s="3" t="s">
        <v>6456</v>
      </c>
      <c r="F1396" s="34" t="s">
        <v>5891</v>
      </c>
      <c r="G1396" s="6"/>
      <c r="H1396" s="3" t="s">
        <v>5892</v>
      </c>
    </row>
    <row r="1397" spans="1:8" ht="15.75" customHeight="1">
      <c r="A1397" s="3" t="s">
        <v>6457</v>
      </c>
      <c r="B1397" s="3" t="s">
        <v>6458</v>
      </c>
      <c r="C1397" s="3" t="s">
        <v>5731</v>
      </c>
      <c r="D1397" s="6"/>
      <c r="E1397" s="3" t="s">
        <v>6459</v>
      </c>
      <c r="F1397" s="6"/>
      <c r="G1397" s="6"/>
      <c r="H1397" s="3" t="s">
        <v>5688</v>
      </c>
    </row>
    <row r="1398" spans="1:8" ht="15.75" customHeight="1">
      <c r="A1398" s="3" t="s">
        <v>6460</v>
      </c>
      <c r="B1398" s="3" t="s">
        <v>6461</v>
      </c>
      <c r="C1398" s="3" t="s">
        <v>6462</v>
      </c>
      <c r="D1398" s="4" t="s">
        <v>6463</v>
      </c>
      <c r="E1398" s="3" t="s">
        <v>6464</v>
      </c>
      <c r="F1398" s="34" t="s">
        <v>5192</v>
      </c>
      <c r="G1398" s="6"/>
      <c r="H1398" s="3" t="s">
        <v>5193</v>
      </c>
    </row>
    <row r="1399" spans="1:8" ht="15.75" customHeight="1">
      <c r="A1399" s="3" t="s">
        <v>770</v>
      </c>
      <c r="B1399" s="3" t="s">
        <v>2245</v>
      </c>
      <c r="C1399" s="3" t="s">
        <v>6465</v>
      </c>
      <c r="D1399" s="4" t="s">
        <v>6466</v>
      </c>
      <c r="E1399" s="3" t="s">
        <v>6467</v>
      </c>
      <c r="F1399" s="34" t="s">
        <v>6468</v>
      </c>
      <c r="G1399" s="6"/>
      <c r="H1399" s="3" t="s">
        <v>6469</v>
      </c>
    </row>
    <row r="1400" spans="1:8" ht="15.75" customHeight="1">
      <c r="A1400" s="3" t="s">
        <v>5068</v>
      </c>
      <c r="B1400" s="3" t="s">
        <v>5069</v>
      </c>
      <c r="C1400" s="3" t="s">
        <v>5070</v>
      </c>
      <c r="D1400" s="6"/>
      <c r="E1400" s="3" t="s">
        <v>5071</v>
      </c>
      <c r="F1400" s="34" t="s">
        <v>4544</v>
      </c>
      <c r="G1400" s="6"/>
      <c r="H1400" s="3" t="s">
        <v>4545</v>
      </c>
    </row>
    <row r="1401" spans="1:8" ht="15.75" customHeight="1">
      <c r="A1401" s="3" t="s">
        <v>6470</v>
      </c>
      <c r="B1401" s="3" t="s">
        <v>6471</v>
      </c>
      <c r="C1401" s="3" t="s">
        <v>303</v>
      </c>
      <c r="D1401" s="4" t="s">
        <v>6472</v>
      </c>
      <c r="E1401" s="3" t="s">
        <v>6473</v>
      </c>
      <c r="F1401" s="34" t="s">
        <v>6474</v>
      </c>
      <c r="G1401" s="6"/>
      <c r="H1401" s="3" t="s">
        <v>5247</v>
      </c>
    </row>
    <row r="1402" spans="1:8" ht="15.75" customHeight="1">
      <c r="A1402" s="3" t="s">
        <v>4763</v>
      </c>
      <c r="B1402" s="3" t="s">
        <v>5074</v>
      </c>
      <c r="C1402" s="3" t="s">
        <v>229</v>
      </c>
      <c r="D1402" s="4" t="s">
        <v>5075</v>
      </c>
      <c r="E1402" s="3" t="s">
        <v>5076</v>
      </c>
      <c r="F1402" s="6"/>
      <c r="G1402" s="6"/>
      <c r="H1402" s="3" t="s">
        <v>5077</v>
      </c>
    </row>
    <row r="1403" spans="1:8" ht="15.75" customHeight="1">
      <c r="A1403" s="3" t="s">
        <v>563</v>
      </c>
      <c r="B1403" s="3" t="s">
        <v>3457</v>
      </c>
      <c r="C1403" s="3" t="s">
        <v>1684</v>
      </c>
      <c r="D1403" s="4" t="s">
        <v>6475</v>
      </c>
      <c r="E1403" s="3" t="s">
        <v>6476</v>
      </c>
      <c r="F1403" s="34" t="s">
        <v>6477</v>
      </c>
      <c r="G1403" s="6"/>
      <c r="H1403" s="3" t="s">
        <v>6478</v>
      </c>
    </row>
    <row r="1404" spans="1:8" ht="15.75" customHeight="1">
      <c r="A1404" s="3" t="s">
        <v>6479</v>
      </c>
      <c r="B1404" s="3" t="s">
        <v>6480</v>
      </c>
      <c r="C1404" s="3" t="s">
        <v>691</v>
      </c>
      <c r="D1404" s="4" t="s">
        <v>6481</v>
      </c>
      <c r="E1404" s="3" t="s">
        <v>6482</v>
      </c>
      <c r="F1404" s="34" t="s">
        <v>5738</v>
      </c>
      <c r="G1404" s="6"/>
      <c r="H1404" s="3" t="s">
        <v>5193</v>
      </c>
    </row>
    <row r="1405" spans="1:8" ht="15.75" customHeight="1">
      <c r="A1405" s="3" t="s">
        <v>6483</v>
      </c>
      <c r="B1405" s="3" t="s">
        <v>3915</v>
      </c>
      <c r="C1405" s="3" t="s">
        <v>6484</v>
      </c>
      <c r="D1405" s="6"/>
      <c r="E1405" s="3" t="s">
        <v>6485</v>
      </c>
      <c r="F1405" s="3" t="s">
        <v>6486</v>
      </c>
      <c r="G1405" s="6"/>
      <c r="H1405" s="3" t="s">
        <v>5881</v>
      </c>
    </row>
    <row r="1406" spans="1:8" ht="15.75" customHeight="1">
      <c r="A1406" s="3" t="s">
        <v>155</v>
      </c>
      <c r="B1406" s="3" t="s">
        <v>718</v>
      </c>
      <c r="C1406" s="3" t="s">
        <v>1684</v>
      </c>
      <c r="D1406" s="6"/>
      <c r="E1406" s="3" t="s">
        <v>6487</v>
      </c>
      <c r="F1406" s="34" t="s">
        <v>5360</v>
      </c>
      <c r="G1406" s="6"/>
      <c r="H1406" s="3" t="s">
        <v>5361</v>
      </c>
    </row>
    <row r="1407" spans="1:8" ht="15.75" customHeight="1">
      <c r="A1407" s="3" t="s">
        <v>5080</v>
      </c>
      <c r="B1407" s="3" t="s">
        <v>6488</v>
      </c>
      <c r="C1407" s="3" t="s">
        <v>3723</v>
      </c>
      <c r="D1407" s="4" t="s">
        <v>6489</v>
      </c>
      <c r="E1407" s="3" t="s">
        <v>6490</v>
      </c>
      <c r="F1407" s="34" t="s">
        <v>5192</v>
      </c>
      <c r="G1407" s="6"/>
      <c r="H1407" s="3" t="s">
        <v>5193</v>
      </c>
    </row>
    <row r="1408" spans="1:8" ht="15.75" customHeight="1">
      <c r="A1408" s="3" t="s">
        <v>2428</v>
      </c>
      <c r="B1408" s="3" t="s">
        <v>4314</v>
      </c>
      <c r="C1408" s="3" t="s">
        <v>6491</v>
      </c>
      <c r="D1408" s="4" t="s">
        <v>6492</v>
      </c>
      <c r="E1408" s="3" t="s">
        <v>6493</v>
      </c>
      <c r="F1408" s="34" t="s">
        <v>5192</v>
      </c>
      <c r="G1408" s="6"/>
      <c r="H1408" s="3" t="s">
        <v>5193</v>
      </c>
    </row>
    <row r="1409" spans="1:8" ht="15.75" customHeight="1">
      <c r="A1409" s="3" t="s">
        <v>6494</v>
      </c>
      <c r="B1409" s="3" t="s">
        <v>5489</v>
      </c>
      <c r="C1409" s="3" t="s">
        <v>6495</v>
      </c>
      <c r="D1409" s="4" t="s">
        <v>6496</v>
      </c>
      <c r="E1409" s="3" t="s">
        <v>6497</v>
      </c>
      <c r="F1409" s="34" t="s">
        <v>5592</v>
      </c>
      <c r="G1409" s="6"/>
      <c r="H1409" s="3" t="s">
        <v>5593</v>
      </c>
    </row>
    <row r="1410" spans="1:8" ht="15.75" customHeight="1">
      <c r="A1410" s="3" t="s">
        <v>6498</v>
      </c>
      <c r="B1410" s="3" t="s">
        <v>6499</v>
      </c>
      <c r="C1410" s="3" t="s">
        <v>229</v>
      </c>
      <c r="D1410" s="4" t="s">
        <v>6500</v>
      </c>
      <c r="E1410" s="3" t="s">
        <v>6501</v>
      </c>
      <c r="F1410" s="34" t="s">
        <v>5192</v>
      </c>
      <c r="G1410" s="6"/>
      <c r="H1410" s="3" t="s">
        <v>5193</v>
      </c>
    </row>
    <row r="1411" spans="1:8" ht="15.75" customHeight="1">
      <c r="A1411" s="3" t="s">
        <v>6502</v>
      </c>
      <c r="B1411" s="3" t="s">
        <v>3726</v>
      </c>
      <c r="C1411" s="3" t="s">
        <v>6503</v>
      </c>
      <c r="D1411" s="4" t="s">
        <v>6504</v>
      </c>
      <c r="E1411" s="3" t="s">
        <v>6505</v>
      </c>
      <c r="F1411" s="34" t="s">
        <v>5192</v>
      </c>
      <c r="G1411" s="6"/>
      <c r="H1411" s="3" t="s">
        <v>5193</v>
      </c>
    </row>
    <row r="1412" spans="1:8" ht="15.75" customHeight="1">
      <c r="A1412" s="3" t="s">
        <v>6506</v>
      </c>
      <c r="B1412" s="3" t="s">
        <v>6507</v>
      </c>
      <c r="C1412" s="3" t="s">
        <v>2570</v>
      </c>
      <c r="D1412" s="4" t="s">
        <v>6508</v>
      </c>
      <c r="E1412" s="3" t="s">
        <v>6509</v>
      </c>
      <c r="F1412" s="34" t="s">
        <v>5192</v>
      </c>
      <c r="G1412" s="6"/>
      <c r="H1412" s="3" t="s">
        <v>5193</v>
      </c>
    </row>
    <row r="1413" spans="1:8" ht="15.75" customHeight="1">
      <c r="A1413" s="3" t="s">
        <v>6510</v>
      </c>
      <c r="B1413" s="3" t="s">
        <v>6511</v>
      </c>
      <c r="C1413" s="3" t="s">
        <v>4300</v>
      </c>
      <c r="D1413" s="4" t="s">
        <v>6512</v>
      </c>
      <c r="E1413" s="3" t="s">
        <v>6513</v>
      </c>
      <c r="F1413" s="6"/>
      <c r="G1413" s="6"/>
      <c r="H1413" s="3" t="s">
        <v>5394</v>
      </c>
    </row>
    <row r="1414" spans="1:8" ht="15.75" customHeight="1">
      <c r="A1414" s="3" t="s">
        <v>6514</v>
      </c>
      <c r="B1414" s="3" t="s">
        <v>6515</v>
      </c>
      <c r="C1414" s="3" t="s">
        <v>6516</v>
      </c>
      <c r="D1414" s="4" t="s">
        <v>6517</v>
      </c>
      <c r="E1414" s="3" t="s">
        <v>6518</v>
      </c>
      <c r="F1414" s="34" t="s">
        <v>5192</v>
      </c>
      <c r="G1414" s="6"/>
      <c r="H1414" s="3" t="s">
        <v>5193</v>
      </c>
    </row>
    <row r="1415" spans="1:8" ht="15.75" customHeight="1">
      <c r="A1415" s="3" t="s">
        <v>69</v>
      </c>
      <c r="B1415" s="3" t="s">
        <v>6519</v>
      </c>
      <c r="C1415" s="3" t="s">
        <v>303</v>
      </c>
      <c r="D1415" s="6"/>
      <c r="E1415" s="3" t="s">
        <v>6520</v>
      </c>
      <c r="F1415" s="6"/>
      <c r="G1415" s="6"/>
      <c r="H1415" s="3" t="s">
        <v>6521</v>
      </c>
    </row>
    <row r="1416" spans="1:8" ht="15.75" customHeight="1">
      <c r="A1416" s="3" t="s">
        <v>6522</v>
      </c>
      <c r="B1416" s="3" t="s">
        <v>4912</v>
      </c>
      <c r="C1416" s="3" t="s">
        <v>2717</v>
      </c>
      <c r="D1416" s="6"/>
      <c r="E1416" s="3" t="s">
        <v>6523</v>
      </c>
      <c r="F1416" s="6"/>
      <c r="G1416" s="6"/>
      <c r="H1416" s="3" t="s">
        <v>6524</v>
      </c>
    </row>
    <row r="1417" spans="1:8" ht="15.75" customHeight="1">
      <c r="A1417" s="3" t="s">
        <v>4774</v>
      </c>
      <c r="B1417" s="3" t="s">
        <v>49</v>
      </c>
      <c r="C1417" s="3" t="s">
        <v>46</v>
      </c>
      <c r="D1417" s="4" t="s">
        <v>6525</v>
      </c>
      <c r="E1417" s="3" t="s">
        <v>6526</v>
      </c>
      <c r="F1417" s="34" t="s">
        <v>6527</v>
      </c>
      <c r="G1417" s="6"/>
      <c r="H1417" s="3" t="s">
        <v>6528</v>
      </c>
    </row>
    <row r="1418" spans="1:8" ht="15.75" customHeight="1">
      <c r="A1418" s="3" t="s">
        <v>2463</v>
      </c>
      <c r="B1418" s="3" t="s">
        <v>1420</v>
      </c>
      <c r="C1418" s="3" t="s">
        <v>4766</v>
      </c>
      <c r="D1418" s="4" t="s">
        <v>6529</v>
      </c>
      <c r="E1418" s="3" t="s">
        <v>6530</v>
      </c>
      <c r="F1418" s="34" t="s">
        <v>6531</v>
      </c>
      <c r="G1418" s="6"/>
      <c r="H1418" s="3" t="s">
        <v>6532</v>
      </c>
    </row>
    <row r="1419" spans="1:8" ht="15.75" customHeight="1">
      <c r="A1419" s="3" t="s">
        <v>1419</v>
      </c>
      <c r="B1419" s="3" t="s">
        <v>589</v>
      </c>
      <c r="C1419" s="3" t="s">
        <v>4889</v>
      </c>
      <c r="D1419" s="6"/>
      <c r="E1419" s="3" t="s">
        <v>6533</v>
      </c>
      <c r="F1419" s="34" t="s">
        <v>5560</v>
      </c>
      <c r="G1419" s="6"/>
      <c r="H1419" s="3" t="s">
        <v>5561</v>
      </c>
    </row>
    <row r="1420" spans="1:8" ht="15.75" customHeight="1">
      <c r="A1420" s="3" t="s">
        <v>6534</v>
      </c>
      <c r="B1420" s="3" t="s">
        <v>6535</v>
      </c>
      <c r="C1420" s="3" t="s">
        <v>6536</v>
      </c>
      <c r="D1420" s="4" t="s">
        <v>6537</v>
      </c>
      <c r="E1420" s="3" t="s">
        <v>6538</v>
      </c>
      <c r="F1420" s="34" t="s">
        <v>4749</v>
      </c>
      <c r="G1420" s="6"/>
      <c r="H1420" s="3" t="s">
        <v>4750</v>
      </c>
    </row>
    <row r="1421" spans="1:8" ht="15.75" customHeight="1">
      <c r="A1421" s="3" t="s">
        <v>6539</v>
      </c>
      <c r="B1421" s="3" t="s">
        <v>6540</v>
      </c>
      <c r="C1421" s="3" t="s">
        <v>6541</v>
      </c>
      <c r="D1421" s="4" t="s">
        <v>6542</v>
      </c>
      <c r="E1421" s="3" t="s">
        <v>6543</v>
      </c>
      <c r="F1421" s="34" t="s">
        <v>5192</v>
      </c>
      <c r="G1421" s="6"/>
      <c r="H1421" s="3" t="s">
        <v>5193</v>
      </c>
    </row>
    <row r="1422" spans="1:8" ht="15.75" customHeight="1">
      <c r="A1422" s="3" t="s">
        <v>3747</v>
      </c>
      <c r="B1422" s="3" t="s">
        <v>6544</v>
      </c>
      <c r="C1422" s="3" t="s">
        <v>6545</v>
      </c>
      <c r="D1422" s="4" t="s">
        <v>6546</v>
      </c>
      <c r="E1422" s="3" t="s">
        <v>6547</v>
      </c>
      <c r="F1422" s="34" t="s">
        <v>5192</v>
      </c>
      <c r="G1422" s="6"/>
      <c r="H1422" s="3" t="s">
        <v>5193</v>
      </c>
    </row>
    <row r="1423" spans="1:8" ht="15.75" customHeight="1">
      <c r="A1423" s="3" t="s">
        <v>6548</v>
      </c>
      <c r="B1423" s="3" t="s">
        <v>6549</v>
      </c>
      <c r="C1423" s="3" t="s">
        <v>6550</v>
      </c>
      <c r="D1423" s="4" t="s">
        <v>6551</v>
      </c>
      <c r="E1423" s="3" t="s">
        <v>6552</v>
      </c>
      <c r="F1423" s="34" t="s">
        <v>5215</v>
      </c>
      <c r="G1423" s="6"/>
      <c r="H1423" s="3" t="s">
        <v>5216</v>
      </c>
    </row>
    <row r="1424" spans="1:8" ht="15.75" customHeight="1">
      <c r="A1424" s="3" t="s">
        <v>203</v>
      </c>
      <c r="B1424" s="3" t="s">
        <v>3146</v>
      </c>
      <c r="C1424" s="3" t="s">
        <v>4664</v>
      </c>
      <c r="D1424" s="6"/>
      <c r="E1424" s="3" t="s">
        <v>6553</v>
      </c>
      <c r="F1424" s="6"/>
      <c r="G1424" s="6"/>
      <c r="H1424" s="3" t="s">
        <v>5330</v>
      </c>
    </row>
    <row r="1425" spans="1:8" ht="15.75" customHeight="1">
      <c r="A1425" s="3" t="s">
        <v>1689</v>
      </c>
      <c r="B1425" s="3" t="s">
        <v>849</v>
      </c>
      <c r="C1425" s="3" t="s">
        <v>6554</v>
      </c>
      <c r="D1425" s="4" t="s">
        <v>6555</v>
      </c>
      <c r="E1425" s="3" t="s">
        <v>6556</v>
      </c>
      <c r="F1425" s="34" t="s">
        <v>6332</v>
      </c>
      <c r="G1425" s="6"/>
      <c r="H1425" s="3" t="s">
        <v>6333</v>
      </c>
    </row>
    <row r="1426" spans="1:8" ht="15.75" customHeight="1">
      <c r="A1426" s="3" t="s">
        <v>6557</v>
      </c>
      <c r="B1426" s="3" t="s">
        <v>6558</v>
      </c>
      <c r="C1426" s="3" t="s">
        <v>6559</v>
      </c>
      <c r="D1426" s="4" t="s">
        <v>6560</v>
      </c>
      <c r="E1426" s="3" t="s">
        <v>6561</v>
      </c>
      <c r="F1426" s="34" t="s">
        <v>5192</v>
      </c>
      <c r="G1426" s="6"/>
      <c r="H1426" s="3" t="s">
        <v>5193</v>
      </c>
    </row>
    <row r="1427" spans="1:8" ht="15.75" customHeight="1">
      <c r="A1427" s="3" t="s">
        <v>6562</v>
      </c>
      <c r="B1427" s="3" t="s">
        <v>2224</v>
      </c>
      <c r="C1427" s="3" t="s">
        <v>5503</v>
      </c>
      <c r="D1427" s="4" t="s">
        <v>6563</v>
      </c>
      <c r="E1427" s="3" t="s">
        <v>6564</v>
      </c>
      <c r="F1427" s="34" t="s">
        <v>5465</v>
      </c>
      <c r="G1427" s="6"/>
      <c r="H1427" s="3" t="s">
        <v>5466</v>
      </c>
    </row>
    <row r="1428" spans="1:8" ht="15.75" customHeight="1">
      <c r="A1428" s="3" t="s">
        <v>1663</v>
      </c>
      <c r="B1428" s="3" t="s">
        <v>6565</v>
      </c>
      <c r="C1428" s="3" t="s">
        <v>6566</v>
      </c>
      <c r="D1428" s="4" t="s">
        <v>6567</v>
      </c>
      <c r="E1428" s="3" t="s">
        <v>6568</v>
      </c>
      <c r="F1428" s="34" t="s">
        <v>5203</v>
      </c>
      <c r="G1428" s="6"/>
      <c r="H1428" s="3" t="s">
        <v>5204</v>
      </c>
    </row>
    <row r="1429" spans="1:8" ht="15.75" customHeight="1">
      <c r="A1429" s="3" t="s">
        <v>160</v>
      </c>
      <c r="B1429" s="3" t="s">
        <v>45</v>
      </c>
      <c r="C1429" s="3" t="s">
        <v>4321</v>
      </c>
      <c r="D1429" s="4" t="s">
        <v>6569</v>
      </c>
      <c r="E1429" s="3" t="s">
        <v>6570</v>
      </c>
      <c r="F1429" s="34" t="s">
        <v>6468</v>
      </c>
      <c r="G1429" s="6"/>
      <c r="H1429" s="3" t="s">
        <v>6469</v>
      </c>
    </row>
    <row r="1430" spans="1:8" ht="15.75" customHeight="1">
      <c r="A1430" s="3" t="s">
        <v>1733</v>
      </c>
      <c r="B1430" s="3" t="s">
        <v>6571</v>
      </c>
      <c r="C1430" s="3" t="s">
        <v>6572</v>
      </c>
      <c r="D1430" s="4" t="s">
        <v>6573</v>
      </c>
      <c r="E1430" s="3" t="s">
        <v>6574</v>
      </c>
      <c r="F1430" s="34" t="s">
        <v>5311</v>
      </c>
      <c r="G1430" s="6"/>
      <c r="H1430" s="3" t="s">
        <v>5312</v>
      </c>
    </row>
    <row r="1431" spans="1:8" ht="15.75" customHeight="1">
      <c r="A1431" s="3" t="s">
        <v>6575</v>
      </c>
      <c r="B1431" s="3" t="s">
        <v>6576</v>
      </c>
      <c r="C1431" s="3" t="s">
        <v>6172</v>
      </c>
      <c r="D1431" s="4" t="s">
        <v>6577</v>
      </c>
      <c r="E1431" s="3" t="s">
        <v>6578</v>
      </c>
      <c r="F1431" s="6"/>
      <c r="G1431" s="6"/>
      <c r="H1431" s="3" t="s">
        <v>5688</v>
      </c>
    </row>
    <row r="1432" spans="1:8" ht="15.75" customHeight="1">
      <c r="A1432" s="3" t="s">
        <v>6579</v>
      </c>
      <c r="B1432" s="3" t="s">
        <v>6580</v>
      </c>
      <c r="C1432" s="3" t="s">
        <v>4357</v>
      </c>
      <c r="D1432" s="4" t="s">
        <v>6581</v>
      </c>
      <c r="E1432" s="3" t="s">
        <v>6582</v>
      </c>
      <c r="F1432" s="34" t="s">
        <v>6583</v>
      </c>
      <c r="G1432" s="6"/>
      <c r="H1432" s="3" t="s">
        <v>5236</v>
      </c>
    </row>
    <row r="1433" spans="1:8" ht="15.75" customHeight="1">
      <c r="A1433" s="3" t="s">
        <v>6584</v>
      </c>
      <c r="B1433" s="3" t="s">
        <v>6585</v>
      </c>
      <c r="C1433" s="3" t="s">
        <v>91</v>
      </c>
      <c r="D1433" s="4" t="s">
        <v>6586</v>
      </c>
      <c r="E1433" s="3" t="s">
        <v>6587</v>
      </c>
      <c r="F1433" s="34" t="s">
        <v>6588</v>
      </c>
      <c r="G1433" s="6"/>
      <c r="H1433" s="3" t="s">
        <v>6589</v>
      </c>
    </row>
    <row r="1434" spans="1:8" ht="15.75" customHeight="1">
      <c r="A1434" s="3" t="s">
        <v>39</v>
      </c>
      <c r="B1434" s="3" t="s">
        <v>1557</v>
      </c>
      <c r="C1434" s="3" t="s">
        <v>4203</v>
      </c>
      <c r="D1434" s="4" t="s">
        <v>6590</v>
      </c>
      <c r="E1434" s="3" t="s">
        <v>6591</v>
      </c>
      <c r="F1434" s="34" t="s">
        <v>6592</v>
      </c>
      <c r="G1434" s="6"/>
      <c r="H1434" s="3" t="s">
        <v>6593</v>
      </c>
    </row>
    <row r="1435" spans="1:8" ht="15.75" customHeight="1">
      <c r="A1435" s="3" t="s">
        <v>75</v>
      </c>
      <c r="B1435" s="3" t="s">
        <v>2023</v>
      </c>
      <c r="C1435" s="3" t="s">
        <v>109</v>
      </c>
      <c r="D1435" s="4" t="s">
        <v>6594</v>
      </c>
      <c r="E1435" s="3" t="s">
        <v>6595</v>
      </c>
      <c r="F1435" s="34" t="s">
        <v>6596</v>
      </c>
      <c r="G1435" s="6"/>
      <c r="H1435" s="3" t="s">
        <v>6597</v>
      </c>
    </row>
    <row r="1436" spans="1:8" ht="15.75" customHeight="1">
      <c r="A1436" s="3" t="s">
        <v>6598</v>
      </c>
      <c r="B1436" s="6"/>
      <c r="C1436" s="3" t="s">
        <v>4321</v>
      </c>
      <c r="D1436" s="6"/>
      <c r="E1436" s="3" t="s">
        <v>6599</v>
      </c>
      <c r="F1436" s="34" t="s">
        <v>6600</v>
      </c>
      <c r="G1436" s="6"/>
      <c r="H1436" s="3" t="s">
        <v>6598</v>
      </c>
    </row>
    <row r="1437" spans="1:8" ht="15.75" customHeight="1">
      <c r="A1437" s="3" t="s">
        <v>6601</v>
      </c>
      <c r="B1437" s="3" t="s">
        <v>6602</v>
      </c>
      <c r="C1437" s="3" t="s">
        <v>6603</v>
      </c>
      <c r="D1437" s="4" t="s">
        <v>6604</v>
      </c>
      <c r="E1437" s="3" t="s">
        <v>6605</v>
      </c>
      <c r="F1437" s="34" t="s">
        <v>6606</v>
      </c>
      <c r="G1437" s="6"/>
      <c r="H1437" s="3" t="s">
        <v>6607</v>
      </c>
    </row>
    <row r="1438" spans="1:8" ht="15.75" customHeight="1">
      <c r="A1438" s="3" t="s">
        <v>6608</v>
      </c>
      <c r="B1438" s="3" t="s">
        <v>6609</v>
      </c>
      <c r="C1438" s="3" t="s">
        <v>6610</v>
      </c>
      <c r="D1438" s="4" t="s">
        <v>6611</v>
      </c>
      <c r="E1438" s="3" t="s">
        <v>6612</v>
      </c>
      <c r="F1438" s="34" t="s">
        <v>4749</v>
      </c>
      <c r="G1438" s="6"/>
      <c r="H1438" s="3" t="s">
        <v>4750</v>
      </c>
    </row>
    <row r="1439" spans="1:8" ht="15.75" customHeight="1">
      <c r="A1439" s="3" t="s">
        <v>6613</v>
      </c>
      <c r="B1439" s="3" t="s">
        <v>5543</v>
      </c>
      <c r="C1439" s="3" t="s">
        <v>229</v>
      </c>
      <c r="D1439" s="4" t="s">
        <v>6614</v>
      </c>
      <c r="E1439" s="3" t="s">
        <v>6615</v>
      </c>
      <c r="F1439" s="34" t="s">
        <v>5465</v>
      </c>
      <c r="G1439" s="6"/>
      <c r="H1439" s="3" t="s">
        <v>5466</v>
      </c>
    </row>
    <row r="1440" spans="1:8" ht="15.75" customHeight="1">
      <c r="A1440" s="3" t="s">
        <v>3399</v>
      </c>
      <c r="B1440" s="3" t="s">
        <v>5350</v>
      </c>
      <c r="C1440" s="3" t="s">
        <v>2570</v>
      </c>
      <c r="D1440" s="4" t="s">
        <v>6616</v>
      </c>
      <c r="E1440" s="3" t="s">
        <v>5728</v>
      </c>
      <c r="F1440" s="34" t="s">
        <v>5192</v>
      </c>
      <c r="G1440" s="6"/>
      <c r="H1440" s="3" t="s">
        <v>5193</v>
      </c>
    </row>
    <row r="1441" spans="1:8" ht="15.75" customHeight="1">
      <c r="A1441" s="3" t="s">
        <v>6617</v>
      </c>
      <c r="B1441" s="3" t="s">
        <v>6618</v>
      </c>
      <c r="C1441" s="3" t="s">
        <v>6619</v>
      </c>
      <c r="D1441" s="4" t="s">
        <v>6620</v>
      </c>
      <c r="E1441" s="3" t="s">
        <v>6621</v>
      </c>
      <c r="F1441" s="34" t="s">
        <v>5215</v>
      </c>
      <c r="G1441" s="6"/>
      <c r="H1441" s="3" t="s">
        <v>5216</v>
      </c>
    </row>
    <row r="1442" spans="1:8" ht="15.75" customHeight="1">
      <c r="A1442" s="3" t="s">
        <v>559</v>
      </c>
      <c r="B1442" s="3" t="s">
        <v>6622</v>
      </c>
      <c r="C1442" s="3" t="s">
        <v>691</v>
      </c>
      <c r="D1442" s="4" t="s">
        <v>6623</v>
      </c>
      <c r="E1442" s="3" t="s">
        <v>6624</v>
      </c>
      <c r="F1442" s="34" t="s">
        <v>5203</v>
      </c>
      <c r="G1442" s="6"/>
      <c r="H1442" s="3" t="s">
        <v>5204</v>
      </c>
    </row>
    <row r="1443" spans="1:8" ht="15.75" customHeight="1">
      <c r="A1443" s="3" t="s">
        <v>6625</v>
      </c>
      <c r="B1443" s="3" t="s">
        <v>319</v>
      </c>
      <c r="C1443" s="3" t="s">
        <v>2570</v>
      </c>
      <c r="D1443" s="4" t="s">
        <v>6626</v>
      </c>
      <c r="E1443" s="3" t="s">
        <v>6627</v>
      </c>
      <c r="F1443" s="34" t="s">
        <v>5192</v>
      </c>
      <c r="G1443" s="6"/>
      <c r="H1443" s="3" t="s">
        <v>5193</v>
      </c>
    </row>
    <row r="1444" spans="1:8" ht="15.75" customHeight="1">
      <c r="A1444" s="3" t="s">
        <v>6628</v>
      </c>
      <c r="B1444" s="3" t="s">
        <v>6629</v>
      </c>
      <c r="C1444" s="3" t="s">
        <v>6630</v>
      </c>
      <c r="D1444" s="4" t="s">
        <v>6631</v>
      </c>
      <c r="E1444" s="3" t="s">
        <v>6632</v>
      </c>
      <c r="F1444" s="34" t="s">
        <v>5259</v>
      </c>
      <c r="G1444" s="6"/>
      <c r="H1444" s="3" t="s">
        <v>5260</v>
      </c>
    </row>
    <row r="1445" spans="1:8" ht="15.75" customHeight="1">
      <c r="A1445" s="3" t="s">
        <v>3392</v>
      </c>
      <c r="B1445" s="3" t="s">
        <v>3267</v>
      </c>
      <c r="C1445" s="3" t="s">
        <v>162</v>
      </c>
      <c r="D1445" s="4" t="s">
        <v>6633</v>
      </c>
      <c r="E1445" s="3" t="s">
        <v>6634</v>
      </c>
      <c r="F1445" s="34" t="s">
        <v>5192</v>
      </c>
      <c r="G1445" s="6"/>
      <c r="H1445" s="3" t="s">
        <v>5193</v>
      </c>
    </row>
    <row r="1446" spans="1:8" ht="15.75" customHeight="1">
      <c r="A1446" s="3" t="s">
        <v>721</v>
      </c>
      <c r="B1446" s="3" t="s">
        <v>849</v>
      </c>
      <c r="C1446" s="3" t="s">
        <v>6635</v>
      </c>
      <c r="D1446" s="4" t="s">
        <v>6636</v>
      </c>
      <c r="E1446" s="3" t="s">
        <v>6637</v>
      </c>
      <c r="F1446" s="34" t="s">
        <v>6638</v>
      </c>
      <c r="G1446" s="6"/>
      <c r="H1446" s="3" t="s">
        <v>6639</v>
      </c>
    </row>
    <row r="1447" spans="1:8" ht="15.75" customHeight="1">
      <c r="A1447" s="3" t="s">
        <v>6640</v>
      </c>
      <c r="B1447" s="3" t="s">
        <v>6641</v>
      </c>
      <c r="C1447" s="3" t="s">
        <v>6642</v>
      </c>
      <c r="D1447" s="4" t="s">
        <v>6643</v>
      </c>
      <c r="E1447" s="3" t="s">
        <v>6644</v>
      </c>
      <c r="F1447" s="34" t="s">
        <v>5192</v>
      </c>
      <c r="G1447" s="6"/>
      <c r="H1447" s="3" t="s">
        <v>5193</v>
      </c>
    </row>
    <row r="1448" spans="1:8" ht="15.75" customHeight="1">
      <c r="A1448" s="3" t="s">
        <v>3747</v>
      </c>
      <c r="B1448" s="3" t="s">
        <v>6645</v>
      </c>
      <c r="C1448" s="3" t="s">
        <v>6646</v>
      </c>
      <c r="D1448" s="4" t="s">
        <v>6647</v>
      </c>
      <c r="E1448" s="3" t="s">
        <v>6547</v>
      </c>
      <c r="F1448" s="34" t="s">
        <v>5192</v>
      </c>
      <c r="G1448" s="6"/>
      <c r="H1448" s="3" t="s">
        <v>5193</v>
      </c>
    </row>
    <row r="1449" spans="1:8" ht="15.75" customHeight="1">
      <c r="A1449" s="3" t="s">
        <v>6648</v>
      </c>
      <c r="B1449" s="3" t="s">
        <v>6649</v>
      </c>
      <c r="C1449" s="3" t="s">
        <v>6650</v>
      </c>
      <c r="D1449" s="4" t="s">
        <v>6651</v>
      </c>
      <c r="E1449" s="3" t="s">
        <v>6652</v>
      </c>
      <c r="F1449" s="6"/>
      <c r="G1449" s="6"/>
      <c r="H1449" s="3" t="s">
        <v>5688</v>
      </c>
    </row>
    <row r="1450" spans="1:8" ht="15.75" customHeight="1">
      <c r="A1450" s="3" t="s">
        <v>907</v>
      </c>
      <c r="B1450" s="3" t="s">
        <v>5142</v>
      </c>
      <c r="C1450" s="3" t="s">
        <v>5143</v>
      </c>
      <c r="D1450" s="4" t="s">
        <v>5144</v>
      </c>
      <c r="E1450" s="3" t="s">
        <v>5145</v>
      </c>
      <c r="F1450" s="6"/>
      <c r="G1450" s="6"/>
      <c r="H1450" s="3" t="s">
        <v>5146</v>
      </c>
    </row>
    <row r="1451" spans="1:8" ht="15.75" customHeight="1">
      <c r="A1451" s="3" t="s">
        <v>6653</v>
      </c>
      <c r="B1451" s="3" t="s">
        <v>479</v>
      </c>
      <c r="C1451" s="3" t="s">
        <v>6654</v>
      </c>
      <c r="D1451" s="4" t="s">
        <v>6655</v>
      </c>
      <c r="E1451" s="3" t="s">
        <v>6656</v>
      </c>
      <c r="F1451" s="6"/>
      <c r="G1451" s="6"/>
      <c r="H1451" s="3" t="s">
        <v>4545</v>
      </c>
    </row>
    <row r="1452" spans="1:8" ht="15.75" customHeight="1">
      <c r="A1452" s="3" t="s">
        <v>6657</v>
      </c>
      <c r="B1452" s="3" t="s">
        <v>722</v>
      </c>
      <c r="C1452" s="3" t="s">
        <v>4357</v>
      </c>
      <c r="D1452" s="6"/>
      <c r="E1452" s="3" t="s">
        <v>6658</v>
      </c>
      <c r="F1452" s="6"/>
      <c r="G1452" s="6"/>
      <c r="H1452" s="3" t="s">
        <v>6199</v>
      </c>
    </row>
    <row r="1453" spans="1:8" ht="15.75" customHeight="1">
      <c r="A1453" s="3" t="s">
        <v>6659</v>
      </c>
      <c r="B1453" s="3" t="s">
        <v>6660</v>
      </c>
      <c r="C1453" s="3" t="s">
        <v>4357</v>
      </c>
      <c r="D1453" s="4" t="s">
        <v>6661</v>
      </c>
      <c r="E1453" s="3" t="s">
        <v>6662</v>
      </c>
      <c r="F1453" s="34" t="s">
        <v>6012</v>
      </c>
      <c r="G1453" s="6"/>
      <c r="H1453" s="3" t="s">
        <v>6013</v>
      </c>
    </row>
    <row r="1454" spans="1:8" ht="15.75" customHeight="1">
      <c r="A1454" s="3" t="s">
        <v>6036</v>
      </c>
      <c r="B1454" s="3" t="s">
        <v>6663</v>
      </c>
      <c r="C1454" s="3" t="s">
        <v>6664</v>
      </c>
      <c r="D1454" s="4" t="s">
        <v>6665</v>
      </c>
      <c r="E1454" s="3" t="s">
        <v>6666</v>
      </c>
      <c r="F1454" s="34" t="s">
        <v>5192</v>
      </c>
      <c r="G1454" s="6"/>
      <c r="H1454" s="3" t="s">
        <v>5193</v>
      </c>
    </row>
    <row r="1455" spans="1:8" ht="15.75" customHeight="1">
      <c r="A1455" s="3" t="s">
        <v>6667</v>
      </c>
      <c r="B1455" s="3" t="s">
        <v>6668</v>
      </c>
      <c r="C1455" s="3" t="s">
        <v>6669</v>
      </c>
      <c r="D1455" s="4" t="s">
        <v>6670</v>
      </c>
      <c r="E1455" s="3" t="s">
        <v>6671</v>
      </c>
      <c r="F1455" s="34" t="s">
        <v>5192</v>
      </c>
      <c r="G1455" s="6"/>
      <c r="H1455" s="3" t="s">
        <v>5193</v>
      </c>
    </row>
    <row r="1456" spans="1:8" ht="15.75" customHeight="1">
      <c r="A1456" s="3" t="s">
        <v>1148</v>
      </c>
      <c r="B1456" s="3" t="s">
        <v>6672</v>
      </c>
      <c r="C1456" s="3" t="s">
        <v>6673</v>
      </c>
      <c r="D1456" s="4" t="s">
        <v>6674</v>
      </c>
      <c r="E1456" s="3" t="s">
        <v>6675</v>
      </c>
      <c r="F1456" s="34" t="s">
        <v>5192</v>
      </c>
      <c r="G1456" s="6"/>
      <c r="H1456" s="3" t="s">
        <v>5193</v>
      </c>
    </row>
    <row r="1457" spans="1:8" ht="15.75" customHeight="1">
      <c r="A1457" s="3" t="s">
        <v>6676</v>
      </c>
      <c r="B1457" s="3" t="s">
        <v>6677</v>
      </c>
      <c r="C1457" s="3" t="s">
        <v>6678</v>
      </c>
      <c r="D1457" s="4" t="s">
        <v>6679</v>
      </c>
      <c r="E1457" s="3" t="s">
        <v>6680</v>
      </c>
      <c r="F1457" s="34" t="s">
        <v>5192</v>
      </c>
      <c r="G1457" s="6"/>
      <c r="H1457" s="3" t="s">
        <v>5193</v>
      </c>
    </row>
    <row r="1458" spans="1:8" ht="15.75" customHeight="1">
      <c r="A1458" s="3" t="s">
        <v>4722</v>
      </c>
      <c r="B1458" s="3" t="s">
        <v>5472</v>
      </c>
      <c r="C1458" s="3" t="s">
        <v>2570</v>
      </c>
      <c r="D1458" s="4" t="s">
        <v>6681</v>
      </c>
      <c r="E1458" s="3" t="s">
        <v>6682</v>
      </c>
      <c r="F1458" s="34" t="s">
        <v>5192</v>
      </c>
      <c r="G1458" s="6"/>
      <c r="H1458" s="3" t="s">
        <v>5193</v>
      </c>
    </row>
    <row r="1459" spans="1:8" ht="15.75" customHeight="1">
      <c r="A1459" s="3" t="s">
        <v>3298</v>
      </c>
      <c r="B1459" s="3" t="s">
        <v>6683</v>
      </c>
      <c r="C1459" s="3" t="s">
        <v>6684</v>
      </c>
      <c r="D1459" s="4" t="s">
        <v>6685</v>
      </c>
      <c r="E1459" s="3" t="s">
        <v>6686</v>
      </c>
      <c r="F1459" s="34" t="s">
        <v>5215</v>
      </c>
      <c r="G1459" s="6"/>
      <c r="H1459" s="3" t="s">
        <v>5216</v>
      </c>
    </row>
    <row r="1460" spans="1:8" ht="15.75" customHeight="1">
      <c r="A1460" s="3" t="s">
        <v>1397</v>
      </c>
      <c r="B1460" s="3" t="s">
        <v>5175</v>
      </c>
      <c r="C1460" s="3" t="s">
        <v>6687</v>
      </c>
      <c r="D1460" s="4" t="s">
        <v>6688</v>
      </c>
      <c r="E1460" s="3" t="s">
        <v>6689</v>
      </c>
      <c r="F1460" s="34" t="s">
        <v>6690</v>
      </c>
      <c r="G1460" s="6"/>
      <c r="H1460" s="3" t="s">
        <v>6691</v>
      </c>
    </row>
    <row r="1461" spans="1:8" ht="15.75" customHeight="1">
      <c r="A1461" s="3" t="s">
        <v>800</v>
      </c>
      <c r="B1461" s="3" t="s">
        <v>4001</v>
      </c>
      <c r="C1461" s="3" t="s">
        <v>4357</v>
      </c>
      <c r="D1461" s="4" t="s">
        <v>6692</v>
      </c>
      <c r="E1461" s="3" t="s">
        <v>6693</v>
      </c>
      <c r="F1461" s="34" t="s">
        <v>6694</v>
      </c>
      <c r="G1461" s="6"/>
      <c r="H1461" s="3" t="s">
        <v>5633</v>
      </c>
    </row>
    <row r="1462" spans="1:8" ht="15.75" customHeight="1">
      <c r="A1462" s="3" t="s">
        <v>1192</v>
      </c>
      <c r="B1462" s="3" t="s">
        <v>2149</v>
      </c>
      <c r="C1462" s="3" t="s">
        <v>4541</v>
      </c>
      <c r="D1462" s="4" t="s">
        <v>4542</v>
      </c>
      <c r="E1462" s="3" t="s">
        <v>4543</v>
      </c>
      <c r="F1462" s="34" t="s">
        <v>4544</v>
      </c>
      <c r="G1462" s="6"/>
      <c r="H1462" s="3" t="s">
        <v>4545</v>
      </c>
    </row>
    <row r="1463" spans="1:8" ht="15.75" customHeight="1">
      <c r="A1463" s="3" t="s">
        <v>39</v>
      </c>
      <c r="B1463" s="3" t="s">
        <v>6695</v>
      </c>
      <c r="C1463" s="3" t="s">
        <v>4664</v>
      </c>
      <c r="D1463" s="4" t="s">
        <v>6696</v>
      </c>
      <c r="E1463" s="3" t="s">
        <v>6697</v>
      </c>
      <c r="F1463" s="34" t="s">
        <v>6698</v>
      </c>
      <c r="G1463" s="6"/>
      <c r="H1463" s="3" t="s">
        <v>6699</v>
      </c>
    </row>
    <row r="1464" spans="1:8" ht="15.75" customHeight="1">
      <c r="A1464" s="3" t="s">
        <v>6700</v>
      </c>
      <c r="B1464" s="3" t="s">
        <v>6701</v>
      </c>
      <c r="C1464" s="3" t="s">
        <v>6702</v>
      </c>
      <c r="D1464" s="4" t="s">
        <v>6703</v>
      </c>
      <c r="E1464" s="3" t="s">
        <v>6704</v>
      </c>
      <c r="F1464" s="34" t="s">
        <v>6705</v>
      </c>
      <c r="G1464" s="6"/>
      <c r="H1464" s="3" t="s">
        <v>6706</v>
      </c>
    </row>
    <row r="1465" spans="1:8" ht="15.75" customHeight="1">
      <c r="A1465" s="3" t="s">
        <v>6707</v>
      </c>
      <c r="B1465" s="6"/>
      <c r="C1465" s="3" t="s">
        <v>1684</v>
      </c>
      <c r="D1465" s="6"/>
      <c r="E1465" s="3" t="s">
        <v>6708</v>
      </c>
      <c r="F1465" s="6"/>
      <c r="G1465" s="6"/>
      <c r="H1465" s="3" t="s">
        <v>6707</v>
      </c>
    </row>
    <row r="1466" spans="1:8" ht="15.75" customHeight="1">
      <c r="A1466" s="3" t="s">
        <v>789</v>
      </c>
      <c r="B1466" s="3" t="s">
        <v>6709</v>
      </c>
      <c r="C1466" s="3" t="s">
        <v>6710</v>
      </c>
      <c r="D1466" s="4" t="s">
        <v>6711</v>
      </c>
      <c r="E1466" s="3" t="s">
        <v>6712</v>
      </c>
      <c r="F1466" s="34" t="s">
        <v>6332</v>
      </c>
      <c r="G1466" s="6"/>
      <c r="H1466" s="3" t="s">
        <v>6333</v>
      </c>
    </row>
    <row r="1467" spans="1:8" ht="15.75" customHeight="1">
      <c r="A1467" s="3" t="s">
        <v>704</v>
      </c>
      <c r="B1467" s="3" t="s">
        <v>6713</v>
      </c>
      <c r="C1467" s="3" t="s">
        <v>91</v>
      </c>
      <c r="D1467" s="4" t="s">
        <v>6714</v>
      </c>
      <c r="E1467" s="3" t="s">
        <v>6715</v>
      </c>
      <c r="F1467" s="34" t="s">
        <v>6716</v>
      </c>
      <c r="G1467" s="6"/>
      <c r="H1467" s="3" t="s">
        <v>6717</v>
      </c>
    </row>
    <row r="1468" spans="1:8" ht="15.75" customHeight="1">
      <c r="A1468" s="3" t="s">
        <v>6718</v>
      </c>
      <c r="B1468" s="3" t="s">
        <v>6719</v>
      </c>
      <c r="C1468" s="3" t="s">
        <v>6720</v>
      </c>
      <c r="D1468" s="6"/>
      <c r="E1468" s="3" t="s">
        <v>6721</v>
      </c>
      <c r="F1468" s="6"/>
      <c r="G1468" s="6"/>
      <c r="H1468" s="3" t="s">
        <v>5696</v>
      </c>
    </row>
    <row r="1469" spans="1:8" ht="15.75" customHeight="1">
      <c r="A1469" s="3" t="s">
        <v>2318</v>
      </c>
      <c r="B1469" s="3" t="s">
        <v>2319</v>
      </c>
      <c r="C1469" s="3" t="s">
        <v>2320</v>
      </c>
      <c r="D1469" s="4" t="s">
        <v>6722</v>
      </c>
      <c r="E1469" s="3" t="s">
        <v>2322</v>
      </c>
      <c r="F1469" s="34" t="s">
        <v>6723</v>
      </c>
      <c r="G1469" s="6"/>
      <c r="H1469" s="3" t="s">
        <v>6724</v>
      </c>
    </row>
    <row r="1470" spans="1:8" ht="15.75" customHeight="1">
      <c r="A1470" s="3" t="s">
        <v>6725</v>
      </c>
      <c r="B1470" s="3" t="s">
        <v>490</v>
      </c>
      <c r="C1470" s="3" t="s">
        <v>6726</v>
      </c>
      <c r="D1470" s="6"/>
      <c r="E1470" s="3" t="s">
        <v>6727</v>
      </c>
      <c r="F1470" s="3" t="s">
        <v>6728</v>
      </c>
      <c r="G1470" s="6"/>
      <c r="H1470" s="3" t="s">
        <v>6729</v>
      </c>
    </row>
    <row r="1471" spans="1:8" ht="15.75" customHeight="1">
      <c r="A1471" s="3" t="s">
        <v>6730</v>
      </c>
      <c r="B1471" s="3" t="s">
        <v>6731</v>
      </c>
      <c r="C1471" s="3" t="s">
        <v>6732</v>
      </c>
      <c r="D1471" s="4" t="s">
        <v>6733</v>
      </c>
      <c r="E1471" s="3" t="s">
        <v>6734</v>
      </c>
      <c r="F1471" s="34" t="s">
        <v>5192</v>
      </c>
      <c r="G1471" s="6"/>
      <c r="H1471" s="3" t="s">
        <v>5193</v>
      </c>
    </row>
    <row r="1472" spans="1:8" ht="15.75" customHeight="1">
      <c r="A1472" s="3" t="s">
        <v>6118</v>
      </c>
      <c r="B1472" s="3" t="s">
        <v>6735</v>
      </c>
      <c r="C1472" s="3" t="s">
        <v>1314</v>
      </c>
      <c r="D1472" s="4" t="s">
        <v>6736</v>
      </c>
      <c r="E1472" s="3" t="s">
        <v>6737</v>
      </c>
      <c r="F1472" s="34" t="s">
        <v>5465</v>
      </c>
      <c r="G1472" s="6"/>
      <c r="H1472" s="3" t="s">
        <v>5466</v>
      </c>
    </row>
    <row r="1473" spans="1:8" ht="15.75" customHeight="1">
      <c r="A1473" s="3" t="s">
        <v>1768</v>
      </c>
      <c r="B1473" s="3" t="s">
        <v>463</v>
      </c>
      <c r="C1473" s="3" t="s">
        <v>229</v>
      </c>
      <c r="D1473" s="4" t="s">
        <v>6738</v>
      </c>
      <c r="E1473" s="3" t="s">
        <v>6739</v>
      </c>
      <c r="F1473" s="6"/>
      <c r="G1473" s="6"/>
      <c r="H1473" s="3" t="s">
        <v>6267</v>
      </c>
    </row>
    <row r="1474" spans="1:8" ht="15.75" customHeight="1">
      <c r="A1474" s="3" t="s">
        <v>5080</v>
      </c>
      <c r="B1474" s="3" t="s">
        <v>6740</v>
      </c>
      <c r="C1474" s="3" t="s">
        <v>6741</v>
      </c>
      <c r="D1474" s="4" t="s">
        <v>6742</v>
      </c>
      <c r="E1474" s="3" t="s">
        <v>6743</v>
      </c>
      <c r="F1474" s="34" t="s">
        <v>5259</v>
      </c>
      <c r="G1474" s="6"/>
      <c r="H1474" s="3" t="s">
        <v>5260</v>
      </c>
    </row>
    <row r="1475" spans="1:8" ht="15.75" customHeight="1">
      <c r="A1475" s="3" t="s">
        <v>6744</v>
      </c>
      <c r="B1475" s="3" t="s">
        <v>6745</v>
      </c>
      <c r="C1475" s="3" t="s">
        <v>1102</v>
      </c>
      <c r="D1475" s="4" t="s">
        <v>6746</v>
      </c>
      <c r="E1475" s="3" t="s">
        <v>6747</v>
      </c>
      <c r="F1475" s="34" t="s">
        <v>5192</v>
      </c>
      <c r="G1475" s="6"/>
      <c r="H1475" s="3" t="s">
        <v>5193</v>
      </c>
    </row>
    <row r="1476" spans="1:8" ht="15.75" customHeight="1">
      <c r="A1476" s="3" t="s">
        <v>1465</v>
      </c>
      <c r="B1476" s="3" t="s">
        <v>6748</v>
      </c>
      <c r="C1476" s="3" t="s">
        <v>6024</v>
      </c>
      <c r="D1476" s="4" t="s">
        <v>6749</v>
      </c>
      <c r="E1476" s="3" t="s">
        <v>6750</v>
      </c>
      <c r="F1476" s="34" t="s">
        <v>5192</v>
      </c>
      <c r="G1476" s="6"/>
      <c r="H1476" s="3" t="s">
        <v>5193</v>
      </c>
    </row>
    <row r="1477" spans="1:8" ht="15.75" customHeight="1">
      <c r="A1477" s="3" t="s">
        <v>2463</v>
      </c>
      <c r="B1477" s="3" t="s">
        <v>6277</v>
      </c>
      <c r="C1477" s="3" t="s">
        <v>6751</v>
      </c>
      <c r="D1477" s="4" t="s">
        <v>6278</v>
      </c>
      <c r="E1477" s="3" t="s">
        <v>6752</v>
      </c>
      <c r="F1477" s="34" t="s">
        <v>6753</v>
      </c>
      <c r="G1477" s="6"/>
      <c r="H1477" s="3" t="s">
        <v>6754</v>
      </c>
    </row>
    <row r="1478" spans="1:8" ht="15.75" customHeight="1">
      <c r="A1478" s="3" t="s">
        <v>462</v>
      </c>
      <c r="B1478" s="3" t="s">
        <v>6755</v>
      </c>
      <c r="C1478" s="3" t="s">
        <v>5771</v>
      </c>
      <c r="D1478" s="4" t="s">
        <v>6756</v>
      </c>
      <c r="E1478" s="3" t="s">
        <v>6757</v>
      </c>
      <c r="F1478" s="6"/>
      <c r="G1478" s="6"/>
      <c r="H1478" s="3" t="s">
        <v>4545</v>
      </c>
    </row>
    <row r="1479" spans="1:8" ht="15.75" customHeight="1">
      <c r="A1479" s="3" t="s">
        <v>2162</v>
      </c>
      <c r="B1479" s="3" t="s">
        <v>5941</v>
      </c>
      <c r="C1479" s="3" t="s">
        <v>5641</v>
      </c>
      <c r="D1479" s="4" t="s">
        <v>6758</v>
      </c>
      <c r="E1479" s="3" t="s">
        <v>6759</v>
      </c>
      <c r="F1479" s="6"/>
      <c r="G1479" s="6"/>
      <c r="H1479" s="3" t="s">
        <v>6760</v>
      </c>
    </row>
    <row r="1480" spans="1:8" ht="15.75" customHeight="1">
      <c r="A1480" s="3" t="s">
        <v>6761</v>
      </c>
      <c r="B1480" s="3" t="s">
        <v>6762</v>
      </c>
      <c r="C1480" s="3" t="s">
        <v>6763</v>
      </c>
      <c r="D1480" s="4" t="s">
        <v>6764</v>
      </c>
      <c r="E1480" s="3" t="s">
        <v>6765</v>
      </c>
      <c r="F1480" s="6"/>
      <c r="G1480" s="6"/>
      <c r="H1480" s="3" t="s">
        <v>6766</v>
      </c>
    </row>
    <row r="1481" spans="1:8" ht="15.75" customHeight="1">
      <c r="A1481" s="3" t="s">
        <v>5350</v>
      </c>
      <c r="B1481" s="3" t="s">
        <v>3399</v>
      </c>
      <c r="C1481" s="3" t="s">
        <v>5788</v>
      </c>
      <c r="D1481" s="4" t="s">
        <v>6767</v>
      </c>
      <c r="E1481" s="3" t="s">
        <v>5728</v>
      </c>
      <c r="F1481" s="34" t="s">
        <v>5192</v>
      </c>
      <c r="G1481" s="6"/>
      <c r="H1481" s="3" t="s">
        <v>5193</v>
      </c>
    </row>
    <row r="1482" spans="1:8" ht="15.75" customHeight="1">
      <c r="A1482" s="3" t="s">
        <v>14</v>
      </c>
      <c r="B1482" s="3" t="s">
        <v>6768</v>
      </c>
      <c r="C1482" s="3" t="s">
        <v>6769</v>
      </c>
      <c r="D1482" s="4" t="s">
        <v>6770</v>
      </c>
      <c r="E1482" s="3" t="s">
        <v>6771</v>
      </c>
      <c r="F1482" s="34" t="s">
        <v>5592</v>
      </c>
      <c r="G1482" s="6"/>
      <c r="H1482" s="3" t="s">
        <v>5593</v>
      </c>
    </row>
    <row r="1483" spans="1:8" ht="15.75" customHeight="1">
      <c r="A1483" s="3" t="s">
        <v>2513</v>
      </c>
      <c r="B1483" s="3" t="s">
        <v>6772</v>
      </c>
      <c r="C1483" s="3" t="s">
        <v>6773</v>
      </c>
      <c r="D1483" s="4" t="s">
        <v>6774</v>
      </c>
      <c r="E1483" s="3" t="s">
        <v>6775</v>
      </c>
      <c r="F1483" s="34" t="s">
        <v>5500</v>
      </c>
      <c r="G1483" s="6"/>
      <c r="H1483" s="3" t="s">
        <v>5501</v>
      </c>
    </row>
    <row r="1484" spans="1:8" ht="15.75" customHeight="1">
      <c r="A1484" s="3" t="s">
        <v>6776</v>
      </c>
      <c r="B1484" s="3" t="s">
        <v>5472</v>
      </c>
      <c r="C1484" s="3" t="s">
        <v>2570</v>
      </c>
      <c r="D1484" s="4" t="s">
        <v>6777</v>
      </c>
      <c r="E1484" s="3" t="s">
        <v>5474</v>
      </c>
      <c r="F1484" s="34" t="s">
        <v>5192</v>
      </c>
      <c r="G1484" s="6"/>
      <c r="H1484" s="3" t="s">
        <v>5193</v>
      </c>
    </row>
    <row r="1485" spans="1:8" ht="15.75" customHeight="1">
      <c r="A1485" s="3" t="s">
        <v>873</v>
      </c>
      <c r="B1485" s="3" t="s">
        <v>3261</v>
      </c>
      <c r="C1485" s="3" t="s">
        <v>4357</v>
      </c>
      <c r="D1485" s="4" t="s">
        <v>6778</v>
      </c>
      <c r="E1485" s="3" t="s">
        <v>6779</v>
      </c>
      <c r="F1485" s="34" t="s">
        <v>6780</v>
      </c>
      <c r="G1485" s="6"/>
      <c r="H1485" s="3" t="s">
        <v>6781</v>
      </c>
    </row>
    <row r="1486" spans="1:8" ht="15.75" customHeight="1">
      <c r="A1486" s="3" t="s">
        <v>6782</v>
      </c>
      <c r="B1486" s="3" t="s">
        <v>1466</v>
      </c>
      <c r="C1486" s="3" t="s">
        <v>5417</v>
      </c>
      <c r="D1486" s="4" t="s">
        <v>6783</v>
      </c>
      <c r="E1486" s="3" t="s">
        <v>6784</v>
      </c>
      <c r="F1486" s="34" t="s">
        <v>5192</v>
      </c>
      <c r="G1486" s="6"/>
      <c r="H1486" s="3" t="s">
        <v>5193</v>
      </c>
    </row>
    <row r="1487" spans="1:8" ht="15.75" customHeight="1">
      <c r="A1487" s="3" t="s">
        <v>6785</v>
      </c>
      <c r="B1487" s="3" t="s">
        <v>3267</v>
      </c>
      <c r="C1487" s="3" t="s">
        <v>2570</v>
      </c>
      <c r="D1487" s="4" t="s">
        <v>6786</v>
      </c>
      <c r="E1487" s="3" t="s">
        <v>6634</v>
      </c>
      <c r="F1487" s="34" t="s">
        <v>5192</v>
      </c>
      <c r="G1487" s="6"/>
      <c r="H1487" s="3" t="s">
        <v>5193</v>
      </c>
    </row>
    <row r="1488" spans="1:8" ht="15.75" customHeight="1">
      <c r="A1488" s="3" t="s">
        <v>4168</v>
      </c>
      <c r="B1488" s="3" t="s">
        <v>6787</v>
      </c>
      <c r="C1488" s="3" t="s">
        <v>4336</v>
      </c>
      <c r="D1488" s="4" t="s">
        <v>6788</v>
      </c>
      <c r="E1488" s="3" t="s">
        <v>6789</v>
      </c>
      <c r="F1488" s="34" t="s">
        <v>6723</v>
      </c>
      <c r="G1488" s="6"/>
      <c r="H1488" s="3" t="s">
        <v>5633</v>
      </c>
    </row>
    <row r="1489" spans="1:8" ht="15.75" customHeight="1">
      <c r="A1489" s="3" t="s">
        <v>6608</v>
      </c>
      <c r="B1489" s="3" t="s">
        <v>6790</v>
      </c>
      <c r="C1489" s="3" t="s">
        <v>6251</v>
      </c>
      <c r="D1489" s="4" t="s">
        <v>6791</v>
      </c>
      <c r="E1489" s="3" t="s">
        <v>6792</v>
      </c>
      <c r="F1489" s="34" t="s">
        <v>5192</v>
      </c>
      <c r="G1489" s="6"/>
      <c r="H1489" s="3" t="s">
        <v>5193</v>
      </c>
    </row>
    <row r="1490" spans="1:8" ht="15.75" customHeight="1">
      <c r="A1490" s="3" t="s">
        <v>6793</v>
      </c>
      <c r="B1490" s="3" t="s">
        <v>5702</v>
      </c>
      <c r="C1490" s="3" t="s">
        <v>4364</v>
      </c>
      <c r="D1490" s="4" t="s">
        <v>6794</v>
      </c>
      <c r="E1490" s="3" t="s">
        <v>6795</v>
      </c>
      <c r="F1490" s="34" t="s">
        <v>5192</v>
      </c>
      <c r="G1490" s="6"/>
      <c r="H1490" s="3" t="s">
        <v>5193</v>
      </c>
    </row>
    <row r="1491" spans="1:8" ht="15.75" customHeight="1">
      <c r="A1491" s="3" t="s">
        <v>6796</v>
      </c>
      <c r="B1491" s="3" t="s">
        <v>6797</v>
      </c>
      <c r="C1491" s="3" t="s">
        <v>6798</v>
      </c>
      <c r="D1491" s="4" t="s">
        <v>6799</v>
      </c>
      <c r="E1491" s="3" t="s">
        <v>6800</v>
      </c>
      <c r="F1491" s="34" t="s">
        <v>5192</v>
      </c>
      <c r="G1491" s="6"/>
      <c r="H1491" s="3" t="s">
        <v>5193</v>
      </c>
    </row>
    <row r="1492" spans="1:8" ht="15.75" customHeight="1">
      <c r="A1492" s="3" t="s">
        <v>1286</v>
      </c>
      <c r="B1492" s="3" t="s">
        <v>6801</v>
      </c>
      <c r="C1492" s="3" t="s">
        <v>1684</v>
      </c>
      <c r="D1492" s="4" t="s">
        <v>6802</v>
      </c>
      <c r="E1492" s="3" t="s">
        <v>6803</v>
      </c>
      <c r="F1492" s="6"/>
      <c r="G1492" s="6"/>
      <c r="H1492" s="3" t="s">
        <v>6158</v>
      </c>
    </row>
    <row r="1493" spans="1:8" ht="15.75" customHeight="1">
      <c r="A1493" s="3" t="s">
        <v>2318</v>
      </c>
      <c r="B1493" s="3" t="s">
        <v>2319</v>
      </c>
      <c r="C1493" s="3" t="s">
        <v>2320</v>
      </c>
      <c r="D1493" s="4" t="s">
        <v>6722</v>
      </c>
      <c r="E1493" s="3" t="s">
        <v>6804</v>
      </c>
      <c r="F1493" s="34" t="s">
        <v>6723</v>
      </c>
      <c r="G1493" s="6"/>
      <c r="H1493" s="3" t="s">
        <v>5633</v>
      </c>
    </row>
    <row r="1494" spans="1:8" ht="15.75" customHeight="1">
      <c r="A1494" s="3" t="s">
        <v>1768</v>
      </c>
      <c r="B1494" s="3" t="s">
        <v>3149</v>
      </c>
      <c r="C1494" s="3" t="s">
        <v>6805</v>
      </c>
      <c r="D1494" s="6"/>
      <c r="E1494" s="3" t="s">
        <v>6806</v>
      </c>
      <c r="F1494" s="34" t="s">
        <v>5825</v>
      </c>
      <c r="G1494" s="6"/>
      <c r="H1494" s="3" t="s">
        <v>6754</v>
      </c>
    </row>
    <row r="1495" spans="1:8" ht="15.75" customHeight="1">
      <c r="A1495" s="3" t="s">
        <v>1530</v>
      </c>
      <c r="B1495" s="3" t="s">
        <v>718</v>
      </c>
      <c r="C1495" s="3" t="s">
        <v>5553</v>
      </c>
      <c r="D1495" s="6"/>
      <c r="E1495" s="3" t="s">
        <v>6807</v>
      </c>
      <c r="F1495" s="3" t="s">
        <v>6808</v>
      </c>
      <c r="G1495" s="6"/>
      <c r="H1495" s="3" t="s">
        <v>5633</v>
      </c>
    </row>
    <row r="1496" spans="1:8" ht="15.75" customHeight="1">
      <c r="A1496" s="3" t="s">
        <v>413</v>
      </c>
      <c r="B1496" s="3" t="s">
        <v>6809</v>
      </c>
      <c r="C1496" s="3" t="s">
        <v>303</v>
      </c>
      <c r="D1496" s="4" t="s">
        <v>6810</v>
      </c>
      <c r="E1496" s="3" t="s">
        <v>6811</v>
      </c>
      <c r="F1496" s="3" t="s">
        <v>5246</v>
      </c>
      <c r="G1496" s="6"/>
      <c r="H1496" s="3" t="s">
        <v>5247</v>
      </c>
    </row>
    <row r="1497" spans="1:8" ht="15.75" customHeight="1">
      <c r="A1497" s="3" t="s">
        <v>4444</v>
      </c>
      <c r="B1497" s="3" t="s">
        <v>629</v>
      </c>
      <c r="C1497" s="3" t="s">
        <v>6812</v>
      </c>
      <c r="D1497" s="4" t="s">
        <v>6813</v>
      </c>
      <c r="E1497" s="3" t="s">
        <v>6814</v>
      </c>
      <c r="F1497" s="34" t="s">
        <v>6815</v>
      </c>
      <c r="G1497" s="6"/>
      <c r="H1497" s="3" t="s">
        <v>5784</v>
      </c>
    </row>
    <row r="1498" spans="1:8" ht="15.75" customHeight="1">
      <c r="A1498" s="3" t="s">
        <v>160</v>
      </c>
      <c r="B1498" s="3" t="s">
        <v>4888</v>
      </c>
      <c r="C1498" s="3" t="s">
        <v>4889</v>
      </c>
      <c r="D1498" s="4" t="s">
        <v>4890</v>
      </c>
      <c r="E1498" s="3" t="s">
        <v>4891</v>
      </c>
      <c r="F1498" s="34" t="s">
        <v>4892</v>
      </c>
      <c r="G1498" s="6"/>
      <c r="H1498" s="3" t="s">
        <v>4893</v>
      </c>
    </row>
    <row r="1499" spans="1:8" ht="15.75" customHeight="1">
      <c r="A1499" s="3" t="s">
        <v>2943</v>
      </c>
      <c r="B1499" s="3" t="s">
        <v>1569</v>
      </c>
      <c r="C1499" s="3" t="s">
        <v>5641</v>
      </c>
      <c r="D1499" s="4" t="s">
        <v>6816</v>
      </c>
      <c r="E1499" s="3" t="s">
        <v>6817</v>
      </c>
      <c r="F1499" s="34" t="s">
        <v>5311</v>
      </c>
      <c r="G1499" s="6"/>
      <c r="H1499" s="3" t="s">
        <v>5312</v>
      </c>
    </row>
    <row r="1500" spans="1:8" ht="15.75" customHeight="1">
      <c r="A1500" s="3" t="s">
        <v>227</v>
      </c>
      <c r="B1500" s="3" t="s">
        <v>6072</v>
      </c>
      <c r="C1500" s="3" t="s">
        <v>5722</v>
      </c>
      <c r="D1500" s="4" t="s">
        <v>6818</v>
      </c>
      <c r="E1500" s="3" t="s">
        <v>6819</v>
      </c>
      <c r="F1500" s="34" t="s">
        <v>5192</v>
      </c>
      <c r="G1500" s="6"/>
      <c r="H1500" s="3" t="s">
        <v>5193</v>
      </c>
    </row>
    <row r="1501" spans="1:8" ht="15.75" customHeight="1">
      <c r="A1501" s="3" t="s">
        <v>2641</v>
      </c>
      <c r="B1501" s="3" t="s">
        <v>6820</v>
      </c>
      <c r="C1501" s="3" t="s">
        <v>6821</v>
      </c>
      <c r="D1501" s="4" t="s">
        <v>6822</v>
      </c>
      <c r="E1501" s="3" t="s">
        <v>6823</v>
      </c>
      <c r="F1501" s="6"/>
      <c r="G1501" s="6"/>
      <c r="H1501" s="3" t="s">
        <v>6824</v>
      </c>
    </row>
    <row r="1502" spans="1:8" ht="15.75" customHeight="1">
      <c r="A1502" s="3" t="s">
        <v>3709</v>
      </c>
      <c r="B1502" s="3" t="s">
        <v>6825</v>
      </c>
      <c r="C1502" s="3" t="s">
        <v>6826</v>
      </c>
      <c r="D1502" s="4" t="s">
        <v>6827</v>
      </c>
      <c r="E1502" s="3" t="s">
        <v>6828</v>
      </c>
      <c r="F1502" s="34" t="s">
        <v>5192</v>
      </c>
      <c r="G1502" s="6"/>
      <c r="H1502" s="3" t="s">
        <v>5193</v>
      </c>
    </row>
    <row r="1503" spans="1:8" ht="15.75" customHeight="1">
      <c r="A1503" s="3" t="s">
        <v>6829</v>
      </c>
      <c r="B1503" s="3" t="s">
        <v>5060</v>
      </c>
      <c r="C1503" s="3" t="s">
        <v>91</v>
      </c>
      <c r="D1503" s="4" t="s">
        <v>6830</v>
      </c>
      <c r="E1503" s="3" t="s">
        <v>6831</v>
      </c>
      <c r="F1503" s="34" t="s">
        <v>5192</v>
      </c>
      <c r="G1503" s="6"/>
      <c r="H1503" s="3" t="s">
        <v>5193</v>
      </c>
    </row>
    <row r="1504" spans="1:8" ht="15.75" customHeight="1">
      <c r="A1504" s="3" t="s">
        <v>6328</v>
      </c>
      <c r="B1504" s="3" t="s">
        <v>6832</v>
      </c>
      <c r="C1504" s="3" t="s">
        <v>6330</v>
      </c>
      <c r="D1504" s="4" t="s">
        <v>6833</v>
      </c>
      <c r="E1504" s="3" t="s">
        <v>6834</v>
      </c>
      <c r="F1504" s="3" t="s">
        <v>6835</v>
      </c>
      <c r="G1504" s="6"/>
      <c r="H1504" s="3" t="s">
        <v>6333</v>
      </c>
    </row>
    <row r="1505" spans="1:8" ht="15.75" customHeight="1">
      <c r="A1505" s="3" t="s">
        <v>913</v>
      </c>
      <c r="B1505" s="3" t="s">
        <v>185</v>
      </c>
      <c r="C1505" s="3" t="s">
        <v>5641</v>
      </c>
      <c r="D1505" s="4" t="s">
        <v>6836</v>
      </c>
      <c r="E1505" s="3" t="s">
        <v>6837</v>
      </c>
      <c r="F1505" s="6"/>
      <c r="G1505" s="6"/>
      <c r="H1505" s="3" t="s">
        <v>6838</v>
      </c>
    </row>
    <row r="1506" spans="1:8" ht="15.75" customHeight="1">
      <c r="A1506" s="3" t="s">
        <v>1684</v>
      </c>
      <c r="B1506" s="3" t="s">
        <v>6839</v>
      </c>
      <c r="C1506" s="3" t="s">
        <v>4364</v>
      </c>
      <c r="D1506" s="4" t="s">
        <v>6840</v>
      </c>
      <c r="E1506" s="3" t="s">
        <v>6841</v>
      </c>
      <c r="F1506" s="34" t="s">
        <v>6842</v>
      </c>
      <c r="G1506" s="6"/>
      <c r="H1506" s="3" t="s">
        <v>6843</v>
      </c>
    </row>
    <row r="1507" spans="1:8" ht="15.75" customHeight="1">
      <c r="A1507" s="3" t="s">
        <v>919</v>
      </c>
      <c r="B1507" s="3" t="s">
        <v>6844</v>
      </c>
      <c r="C1507" s="3" t="s">
        <v>5641</v>
      </c>
      <c r="D1507" s="4" t="s">
        <v>6845</v>
      </c>
      <c r="E1507" s="3" t="s">
        <v>6846</v>
      </c>
      <c r="F1507" s="34" t="s">
        <v>5479</v>
      </c>
      <c r="G1507" s="6"/>
      <c r="H1507" s="3" t="s">
        <v>5480</v>
      </c>
    </row>
    <row r="1508" spans="1:8" ht="15.75" customHeight="1">
      <c r="A1508" s="3" t="s">
        <v>6847</v>
      </c>
      <c r="B1508" s="6"/>
      <c r="C1508" s="3" t="s">
        <v>6848</v>
      </c>
      <c r="D1508" s="4" t="s">
        <v>6849</v>
      </c>
      <c r="E1508" s="3" t="s">
        <v>6850</v>
      </c>
      <c r="F1508" s="34" t="s">
        <v>5192</v>
      </c>
      <c r="G1508" s="6"/>
      <c r="H1508" s="3" t="s">
        <v>5193</v>
      </c>
    </row>
    <row r="1509" spans="1:8" ht="15.75" customHeight="1">
      <c r="A1509" s="3" t="s">
        <v>6851</v>
      </c>
      <c r="B1509" s="3" t="s">
        <v>2245</v>
      </c>
      <c r="C1509" s="3" t="s">
        <v>696</v>
      </c>
      <c r="D1509" s="4" t="s">
        <v>6852</v>
      </c>
      <c r="E1509" s="3" t="s">
        <v>6853</v>
      </c>
      <c r="F1509" s="34" t="s">
        <v>5402</v>
      </c>
      <c r="G1509" s="6"/>
      <c r="H1509" s="3" t="s">
        <v>5403</v>
      </c>
    </row>
    <row r="1510" spans="1:8" ht="15.75" customHeight="1">
      <c r="A1510" s="3" t="s">
        <v>6854</v>
      </c>
      <c r="B1510" s="3" t="s">
        <v>1698</v>
      </c>
      <c r="C1510" s="3" t="s">
        <v>2570</v>
      </c>
      <c r="D1510" s="4" t="s">
        <v>6855</v>
      </c>
      <c r="E1510" s="3" t="s">
        <v>6856</v>
      </c>
      <c r="F1510" s="34" t="s">
        <v>5192</v>
      </c>
      <c r="G1510" s="6"/>
      <c r="H1510" s="3" t="s">
        <v>5193</v>
      </c>
    </row>
    <row r="1511" spans="1:8" ht="15.75" customHeight="1">
      <c r="A1511" s="3" t="s">
        <v>6857</v>
      </c>
      <c r="B1511" s="3" t="s">
        <v>6858</v>
      </c>
      <c r="C1511" s="3" t="s">
        <v>6859</v>
      </c>
      <c r="D1511" s="4" t="s">
        <v>6860</v>
      </c>
      <c r="E1511" s="3" t="s">
        <v>6861</v>
      </c>
      <c r="F1511" s="34" t="s">
        <v>5259</v>
      </c>
      <c r="G1511" s="6"/>
      <c r="H1511" s="3" t="s">
        <v>5260</v>
      </c>
    </row>
    <row r="1512" spans="1:8" ht="15.75" customHeight="1">
      <c r="A1512" s="3" t="s">
        <v>6862</v>
      </c>
      <c r="B1512" s="3" t="s">
        <v>6863</v>
      </c>
      <c r="C1512" s="3" t="s">
        <v>6864</v>
      </c>
      <c r="D1512" s="4" t="s">
        <v>6865</v>
      </c>
      <c r="E1512" s="3" t="s">
        <v>6866</v>
      </c>
      <c r="F1512" s="34" t="s">
        <v>6723</v>
      </c>
      <c r="G1512" s="6"/>
      <c r="H1512" s="3" t="s">
        <v>5633</v>
      </c>
    </row>
    <row r="1513" spans="1:8" ht="15.75" customHeight="1">
      <c r="A1513" s="3" t="s">
        <v>2428</v>
      </c>
      <c r="B1513" s="3" t="s">
        <v>5472</v>
      </c>
      <c r="C1513" s="3" t="s">
        <v>5788</v>
      </c>
      <c r="D1513" s="4" t="s">
        <v>6867</v>
      </c>
      <c r="E1513" s="3" t="s">
        <v>6067</v>
      </c>
      <c r="F1513" s="34" t="s">
        <v>5192</v>
      </c>
      <c r="G1513" s="6"/>
      <c r="H1513" s="3" t="s">
        <v>5193</v>
      </c>
    </row>
    <row r="1514" spans="1:8" ht="15.75" customHeight="1">
      <c r="A1514" s="3" t="s">
        <v>6868</v>
      </c>
      <c r="B1514" s="3" t="s">
        <v>6869</v>
      </c>
      <c r="C1514" s="3" t="s">
        <v>5263</v>
      </c>
      <c r="D1514" s="4" t="s">
        <v>6870</v>
      </c>
      <c r="E1514" s="3" t="s">
        <v>6871</v>
      </c>
      <c r="F1514" s="34" t="s">
        <v>6872</v>
      </c>
      <c r="G1514" s="6"/>
      <c r="H1514" s="3" t="s">
        <v>6873</v>
      </c>
    </row>
    <row r="1515" spans="1:8" ht="15.75" customHeight="1">
      <c r="A1515" s="3" t="s">
        <v>6874</v>
      </c>
      <c r="B1515" s="3" t="s">
        <v>6875</v>
      </c>
      <c r="C1515" s="3" t="s">
        <v>4357</v>
      </c>
      <c r="D1515" s="4" t="s">
        <v>6876</v>
      </c>
      <c r="E1515" s="3" t="s">
        <v>6877</v>
      </c>
      <c r="F1515" s="34" t="s">
        <v>5192</v>
      </c>
      <c r="G1515" s="6"/>
      <c r="H1515" s="3" t="s">
        <v>5193</v>
      </c>
    </row>
    <row r="1516" spans="1:8" ht="15.75" customHeight="1">
      <c r="A1516" s="3" t="s">
        <v>710</v>
      </c>
      <c r="B1516" s="3" t="s">
        <v>3146</v>
      </c>
      <c r="C1516" s="3" t="s">
        <v>229</v>
      </c>
      <c r="D1516" s="4" t="s">
        <v>6878</v>
      </c>
      <c r="E1516" s="3" t="s">
        <v>6879</v>
      </c>
      <c r="F1516" s="3" t="s">
        <v>6880</v>
      </c>
      <c r="G1516" s="6"/>
      <c r="H1516" s="3" t="s">
        <v>6881</v>
      </c>
    </row>
    <row r="1517" spans="1:8" ht="15.75" customHeight="1">
      <c r="A1517" s="3" t="s">
        <v>289</v>
      </c>
      <c r="B1517" s="3" t="s">
        <v>6882</v>
      </c>
      <c r="C1517" s="3" t="s">
        <v>109</v>
      </c>
      <c r="D1517" s="4" t="s">
        <v>6883</v>
      </c>
      <c r="E1517" s="3" t="s">
        <v>6884</v>
      </c>
      <c r="F1517" s="34" t="s">
        <v>6885</v>
      </c>
      <c r="G1517" s="6"/>
      <c r="H1517" s="3" t="s">
        <v>6886</v>
      </c>
    </row>
    <row r="1518" spans="1:8" ht="15.75" customHeight="1">
      <c r="A1518" s="3" t="s">
        <v>1768</v>
      </c>
      <c r="B1518" s="3" t="s">
        <v>6887</v>
      </c>
      <c r="C1518" s="3" t="s">
        <v>6888</v>
      </c>
      <c r="D1518" s="4" t="s">
        <v>6889</v>
      </c>
      <c r="E1518" s="3" t="s">
        <v>6890</v>
      </c>
      <c r="F1518" s="6"/>
      <c r="G1518" s="6"/>
      <c r="H1518" s="3" t="s">
        <v>6891</v>
      </c>
    </row>
    <row r="1519" spans="1:8" ht="15.75" customHeight="1">
      <c r="A1519" s="3" t="s">
        <v>6892</v>
      </c>
      <c r="B1519" s="3" t="s">
        <v>468</v>
      </c>
      <c r="C1519" s="3" t="s">
        <v>6893</v>
      </c>
      <c r="D1519" s="4" t="s">
        <v>6894</v>
      </c>
      <c r="E1519" s="3" t="s">
        <v>6895</v>
      </c>
      <c r="F1519" s="34" t="s">
        <v>6896</v>
      </c>
      <c r="G1519" s="6"/>
      <c r="H1519" s="3" t="s">
        <v>6897</v>
      </c>
    </row>
    <row r="1520" spans="1:8" ht="15.75" customHeight="1">
      <c r="A1520" s="3" t="s">
        <v>100</v>
      </c>
      <c r="B1520" s="3" t="s">
        <v>4471</v>
      </c>
      <c r="C1520" s="3" t="s">
        <v>4357</v>
      </c>
      <c r="D1520" s="4" t="s">
        <v>6898</v>
      </c>
      <c r="E1520" s="3" t="s">
        <v>6899</v>
      </c>
      <c r="F1520" s="34" t="s">
        <v>6900</v>
      </c>
      <c r="G1520" s="6"/>
      <c r="H1520" s="3" t="s">
        <v>6901</v>
      </c>
    </row>
    <row r="1521" spans="1:8" ht="15.75" customHeight="1">
      <c r="A1521" s="3" t="s">
        <v>1884</v>
      </c>
      <c r="B1521" s="3" t="s">
        <v>20</v>
      </c>
      <c r="C1521" s="3" t="s">
        <v>91</v>
      </c>
      <c r="D1521" s="4" t="s">
        <v>6902</v>
      </c>
      <c r="E1521" s="3" t="s">
        <v>6903</v>
      </c>
      <c r="F1521" s="34" t="s">
        <v>6904</v>
      </c>
      <c r="G1521" s="6"/>
      <c r="H1521" s="3" t="s">
        <v>6905</v>
      </c>
    </row>
    <row r="1522" spans="1:8" ht="15.75" customHeight="1">
      <c r="A1522" s="3" t="s">
        <v>667</v>
      </c>
      <c r="B1522" s="3" t="s">
        <v>6906</v>
      </c>
      <c r="C1522" s="3" t="s">
        <v>91</v>
      </c>
      <c r="D1522" s="4" t="s">
        <v>6907</v>
      </c>
      <c r="E1522" s="3" t="s">
        <v>6908</v>
      </c>
      <c r="F1522" s="34" t="s">
        <v>6909</v>
      </c>
      <c r="G1522" s="6"/>
      <c r="H1522" s="3" t="s">
        <v>6910</v>
      </c>
    </row>
    <row r="1523" spans="1:8" ht="15.75" customHeight="1">
      <c r="A1523" s="3" t="s">
        <v>39</v>
      </c>
      <c r="B1523" s="3" t="s">
        <v>1789</v>
      </c>
      <c r="C1523" s="3" t="s">
        <v>6911</v>
      </c>
      <c r="D1523" s="6"/>
      <c r="E1523" s="3" t="s">
        <v>6912</v>
      </c>
      <c r="F1523" s="34" t="s">
        <v>6913</v>
      </c>
      <c r="G1523" s="6"/>
      <c r="H1523" s="3" t="s">
        <v>6914</v>
      </c>
    </row>
    <row r="1524" spans="1:8" ht="15.75" customHeight="1">
      <c r="A1524" s="3" t="s">
        <v>5776</v>
      </c>
      <c r="B1524" s="3" t="s">
        <v>5777</v>
      </c>
      <c r="C1524" s="3" t="s">
        <v>1684</v>
      </c>
      <c r="D1524" s="6"/>
      <c r="E1524" s="3" t="s">
        <v>5778</v>
      </c>
      <c r="F1524" s="34" t="s">
        <v>5779</v>
      </c>
      <c r="G1524" s="6"/>
      <c r="H1524" s="3" t="s">
        <v>5780</v>
      </c>
    </row>
    <row r="1525" spans="1:8" ht="15.75" customHeight="1">
      <c r="A1525" s="3" t="s">
        <v>1175</v>
      </c>
      <c r="B1525" s="3" t="s">
        <v>6915</v>
      </c>
      <c r="C1525" s="3" t="s">
        <v>6916</v>
      </c>
      <c r="D1525" s="4" t="s">
        <v>6917</v>
      </c>
      <c r="E1525" s="3" t="s">
        <v>6918</v>
      </c>
      <c r="F1525" s="3" t="s">
        <v>6919</v>
      </c>
      <c r="G1525" s="6"/>
      <c r="H1525" s="3" t="s">
        <v>6920</v>
      </c>
    </row>
    <row r="1526" spans="1:8" ht="15.75" customHeight="1">
      <c r="A1526" s="3" t="s">
        <v>1157</v>
      </c>
      <c r="B1526" s="3" t="s">
        <v>4299</v>
      </c>
      <c r="C1526" s="3" t="s">
        <v>5553</v>
      </c>
      <c r="D1526" s="4" t="s">
        <v>6921</v>
      </c>
      <c r="E1526" s="3" t="s">
        <v>6922</v>
      </c>
      <c r="F1526" s="6"/>
      <c r="G1526" s="6"/>
      <c r="H1526" s="3" t="s">
        <v>6923</v>
      </c>
    </row>
    <row r="1527" spans="1:8" ht="15.75" customHeight="1">
      <c r="A1527" s="3" t="s">
        <v>295</v>
      </c>
      <c r="B1527" s="3" t="s">
        <v>6924</v>
      </c>
      <c r="C1527" s="3" t="s">
        <v>46</v>
      </c>
      <c r="D1527" s="4" t="s">
        <v>6925</v>
      </c>
      <c r="E1527" s="3" t="s">
        <v>6926</v>
      </c>
      <c r="F1527" s="34" t="s">
        <v>6927</v>
      </c>
      <c r="G1527" s="6"/>
      <c r="H1527" s="3" t="s">
        <v>6928</v>
      </c>
    </row>
    <row r="1528" spans="1:8" ht="15.75" customHeight="1">
      <c r="A1528" s="3" t="s">
        <v>94</v>
      </c>
      <c r="B1528" s="3" t="s">
        <v>6929</v>
      </c>
      <c r="C1528" s="3" t="s">
        <v>1416</v>
      </c>
      <c r="D1528" s="4" t="s">
        <v>6930</v>
      </c>
      <c r="E1528" s="3" t="s">
        <v>6931</v>
      </c>
      <c r="F1528" s="6"/>
      <c r="G1528" s="6"/>
      <c r="H1528" s="3" t="s">
        <v>6932</v>
      </c>
    </row>
    <row r="1529" spans="1:8" ht="15.75" customHeight="1">
      <c r="A1529" s="3" t="s">
        <v>5552</v>
      </c>
      <c r="B1529" s="3" t="s">
        <v>198</v>
      </c>
      <c r="C1529" s="3" t="s">
        <v>5553</v>
      </c>
      <c r="D1529" s="4" t="s">
        <v>5554</v>
      </c>
      <c r="E1529" s="3" t="s">
        <v>5555</v>
      </c>
      <c r="F1529" s="34" t="s">
        <v>5556</v>
      </c>
      <c r="G1529" s="6"/>
      <c r="H1529" s="3" t="s">
        <v>5557</v>
      </c>
    </row>
    <row r="1530" spans="1:8" ht="15.75" customHeight="1">
      <c r="A1530" s="3" t="s">
        <v>6933</v>
      </c>
      <c r="B1530" s="3" t="s">
        <v>221</v>
      </c>
      <c r="C1530" s="3" t="s">
        <v>6934</v>
      </c>
      <c r="D1530" s="4" t="s">
        <v>6935</v>
      </c>
      <c r="E1530" s="3" t="s">
        <v>6936</v>
      </c>
      <c r="F1530" s="34" t="s">
        <v>6937</v>
      </c>
      <c r="G1530" s="6"/>
      <c r="H1530" s="3" t="s">
        <v>6938</v>
      </c>
    </row>
    <row r="1531" spans="1:8" ht="15.75" customHeight="1">
      <c r="A1531" s="3" t="s">
        <v>295</v>
      </c>
      <c r="B1531" s="3" t="s">
        <v>1192</v>
      </c>
      <c r="C1531" s="3" t="s">
        <v>5571</v>
      </c>
      <c r="D1531" s="4" t="s">
        <v>5572</v>
      </c>
      <c r="E1531" s="3" t="s">
        <v>5573</v>
      </c>
      <c r="F1531" s="34" t="s">
        <v>5574</v>
      </c>
      <c r="G1531" s="6"/>
      <c r="H1531" s="3" t="s">
        <v>5247</v>
      </c>
    </row>
    <row r="1532" spans="1:8" ht="15.75" customHeight="1">
      <c r="A1532" s="3" t="s">
        <v>2520</v>
      </c>
      <c r="B1532" s="3" t="s">
        <v>185</v>
      </c>
      <c r="C1532" s="3" t="s">
        <v>6048</v>
      </c>
      <c r="D1532" s="4" t="s">
        <v>6939</v>
      </c>
      <c r="E1532" s="3" t="s">
        <v>6940</v>
      </c>
      <c r="F1532" s="6"/>
      <c r="G1532" s="6"/>
      <c r="H1532" s="3" t="s">
        <v>6941</v>
      </c>
    </row>
    <row r="1533" spans="1:8" ht="15.75" customHeight="1">
      <c r="A1533" s="3" t="s">
        <v>6259</v>
      </c>
      <c r="B1533" s="3" t="s">
        <v>40</v>
      </c>
      <c r="C1533" s="3" t="s">
        <v>4664</v>
      </c>
      <c r="D1533" s="4" t="s">
        <v>6942</v>
      </c>
      <c r="E1533" s="3" t="s">
        <v>6943</v>
      </c>
      <c r="F1533" s="34" t="s">
        <v>6944</v>
      </c>
      <c r="G1533" s="6"/>
      <c r="H1533" s="3" t="s">
        <v>6945</v>
      </c>
    </row>
    <row r="1534" spans="1:8" ht="15.75" customHeight="1">
      <c r="A1534" s="3" t="s">
        <v>6946</v>
      </c>
      <c r="B1534" s="3" t="s">
        <v>6947</v>
      </c>
      <c r="C1534" s="3" t="s">
        <v>222</v>
      </c>
      <c r="D1534" s="6"/>
      <c r="E1534" s="3" t="s">
        <v>6948</v>
      </c>
      <c r="F1534" s="34" t="s">
        <v>6949</v>
      </c>
      <c r="G1534" s="6"/>
      <c r="H1534" s="3" t="s">
        <v>6950</v>
      </c>
    </row>
    <row r="1535" spans="1:8" ht="15.75" customHeight="1">
      <c r="A1535" s="3" t="s">
        <v>6951</v>
      </c>
      <c r="B1535" s="3" t="s">
        <v>6952</v>
      </c>
      <c r="C1535" s="3" t="s">
        <v>229</v>
      </c>
      <c r="D1535" s="4" t="s">
        <v>6953</v>
      </c>
      <c r="E1535" s="3" t="s">
        <v>6954</v>
      </c>
      <c r="F1535" s="34" t="s">
        <v>6955</v>
      </c>
      <c r="G1535" s="6"/>
      <c r="H1535" s="3" t="s">
        <v>6956</v>
      </c>
    </row>
    <row r="1536" spans="1:8" ht="15.75" customHeight="1">
      <c r="A1536" s="3" t="s">
        <v>413</v>
      </c>
      <c r="B1536" s="3" t="s">
        <v>385</v>
      </c>
      <c r="C1536" s="3" t="s">
        <v>6957</v>
      </c>
      <c r="D1536" s="4" t="s">
        <v>6958</v>
      </c>
      <c r="E1536" s="3" t="s">
        <v>6959</v>
      </c>
      <c r="F1536" s="34" t="s">
        <v>6960</v>
      </c>
      <c r="G1536" s="6"/>
      <c r="H1536" s="3" t="s">
        <v>6961</v>
      </c>
    </row>
    <row r="1537" spans="1:8" ht="15.75" customHeight="1">
      <c r="A1537" s="3" t="s">
        <v>433</v>
      </c>
      <c r="B1537" s="3" t="s">
        <v>801</v>
      </c>
      <c r="C1537" s="3" t="s">
        <v>6962</v>
      </c>
      <c r="D1537" s="4" t="s">
        <v>6963</v>
      </c>
      <c r="E1537" s="3" t="s">
        <v>6964</v>
      </c>
      <c r="F1537" s="34" t="s">
        <v>6965</v>
      </c>
      <c r="G1537" s="6"/>
      <c r="H1537" s="3" t="s">
        <v>6966</v>
      </c>
    </row>
    <row r="1538" spans="1:8" ht="15.75" customHeight="1">
      <c r="A1538" s="3" t="s">
        <v>6653</v>
      </c>
      <c r="B1538" s="3" t="s">
        <v>59</v>
      </c>
      <c r="C1538" s="3" t="s">
        <v>4796</v>
      </c>
      <c r="D1538" s="4" t="s">
        <v>6967</v>
      </c>
      <c r="E1538" s="3" t="s">
        <v>6968</v>
      </c>
      <c r="F1538" s="3" t="s">
        <v>6969</v>
      </c>
      <c r="G1538" s="6"/>
      <c r="H1538" s="3" t="s">
        <v>6970</v>
      </c>
    </row>
    <row r="1539" spans="1:8" ht="15.75" customHeight="1">
      <c r="A1539" s="3" t="s">
        <v>2384</v>
      </c>
      <c r="B1539" s="3" t="s">
        <v>6971</v>
      </c>
      <c r="C1539" s="3" t="s">
        <v>5641</v>
      </c>
      <c r="D1539" s="4" t="s">
        <v>6972</v>
      </c>
      <c r="E1539" s="3" t="s">
        <v>6973</v>
      </c>
      <c r="F1539" s="34" t="s">
        <v>6974</v>
      </c>
      <c r="G1539" s="6"/>
      <c r="H1539" s="3" t="s">
        <v>6975</v>
      </c>
    </row>
    <row r="1540" spans="1:8" ht="15.75" customHeight="1">
      <c r="A1540" s="3" t="s">
        <v>301</v>
      </c>
      <c r="B1540" s="3" t="s">
        <v>185</v>
      </c>
      <c r="C1540" s="3" t="s">
        <v>4699</v>
      </c>
      <c r="D1540" s="4" t="s">
        <v>6976</v>
      </c>
      <c r="E1540" s="3" t="s">
        <v>6977</v>
      </c>
      <c r="F1540" s="34" t="s">
        <v>6913</v>
      </c>
      <c r="G1540" s="6"/>
      <c r="H1540" s="3" t="s">
        <v>6914</v>
      </c>
    </row>
    <row r="1541" spans="1:8" ht="15.75" customHeight="1">
      <c r="A1541" s="3" t="s">
        <v>563</v>
      </c>
      <c r="B1541" s="3" t="s">
        <v>5970</v>
      </c>
      <c r="C1541" s="3" t="s">
        <v>303</v>
      </c>
      <c r="D1541" s="6"/>
      <c r="E1541" s="3" t="s">
        <v>5971</v>
      </c>
      <c r="F1541" s="3" t="s">
        <v>5246</v>
      </c>
      <c r="G1541" s="6"/>
      <c r="H1541" s="3" t="s">
        <v>5247</v>
      </c>
    </row>
    <row r="1542" spans="1:8" ht="15.75" customHeight="1">
      <c r="A1542" s="3" t="s">
        <v>3206</v>
      </c>
      <c r="B1542" s="3" t="s">
        <v>45</v>
      </c>
      <c r="C1542" s="3" t="s">
        <v>6048</v>
      </c>
      <c r="D1542" s="4" t="s">
        <v>6978</v>
      </c>
      <c r="E1542" s="3" t="s">
        <v>6979</v>
      </c>
      <c r="F1542" s="6"/>
      <c r="G1542" s="6"/>
      <c r="H1542" s="3" t="s">
        <v>6980</v>
      </c>
    </row>
    <row r="1543" spans="1:8" ht="15.75" customHeight="1">
      <c r="A1543" s="3" t="s">
        <v>763</v>
      </c>
      <c r="B1543" s="3" t="s">
        <v>1277</v>
      </c>
      <c r="C1543" s="3" t="s">
        <v>6981</v>
      </c>
      <c r="D1543" s="4" t="s">
        <v>6982</v>
      </c>
      <c r="E1543" s="3" t="s">
        <v>6983</v>
      </c>
      <c r="F1543" s="34" t="s">
        <v>6913</v>
      </c>
      <c r="G1543" s="6"/>
      <c r="H1543" s="3" t="s">
        <v>6914</v>
      </c>
    </row>
    <row r="1544" spans="1:8" ht="15.75" customHeight="1">
      <c r="A1544" s="3" t="s">
        <v>433</v>
      </c>
      <c r="B1544" s="3" t="s">
        <v>49</v>
      </c>
      <c r="C1544" s="3" t="s">
        <v>4896</v>
      </c>
      <c r="D1544" s="4" t="s">
        <v>5244</v>
      </c>
      <c r="E1544" s="3" t="s">
        <v>5245</v>
      </c>
      <c r="F1544" s="3" t="s">
        <v>5246</v>
      </c>
      <c r="G1544" s="6"/>
      <c r="H1544" s="3" t="s">
        <v>5247</v>
      </c>
    </row>
    <row r="1545" spans="1:8" ht="15.75" customHeight="1">
      <c r="A1545" s="3" t="s">
        <v>5261</v>
      </c>
      <c r="B1545" s="3" t="s">
        <v>5262</v>
      </c>
      <c r="C1545" s="3" t="s">
        <v>5263</v>
      </c>
      <c r="D1545" s="4" t="s">
        <v>5264</v>
      </c>
      <c r="E1545" s="3" t="s">
        <v>5265</v>
      </c>
      <c r="F1545" s="34" t="s">
        <v>5266</v>
      </c>
      <c r="G1545" s="6"/>
      <c r="H1545" s="3" t="s">
        <v>5247</v>
      </c>
    </row>
    <row r="1546" spans="1:8" ht="15.75" customHeight="1">
      <c r="A1546" s="3" t="s">
        <v>6984</v>
      </c>
      <c r="B1546" s="3" t="s">
        <v>6985</v>
      </c>
      <c r="C1546" s="3" t="s">
        <v>6986</v>
      </c>
      <c r="D1546" s="6"/>
      <c r="E1546" s="3" t="s">
        <v>6987</v>
      </c>
      <c r="F1546" s="6"/>
      <c r="G1546" s="6"/>
      <c r="H1546" s="3" t="s">
        <v>6938</v>
      </c>
    </row>
    <row r="1547" spans="1:8" ht="15.75" customHeight="1">
      <c r="A1547" s="3" t="s">
        <v>1689</v>
      </c>
      <c r="B1547" s="3" t="s">
        <v>6988</v>
      </c>
      <c r="C1547" s="3" t="s">
        <v>6989</v>
      </c>
      <c r="D1547" s="6"/>
      <c r="E1547" s="3" t="s">
        <v>6990</v>
      </c>
      <c r="F1547" s="34" t="s">
        <v>6991</v>
      </c>
      <c r="G1547" s="6"/>
      <c r="H1547" s="3" t="s">
        <v>6992</v>
      </c>
    </row>
    <row r="1548" spans="1:8" ht="15.75" customHeight="1">
      <c r="A1548" s="3" t="s">
        <v>6993</v>
      </c>
      <c r="B1548" s="3" t="s">
        <v>6994</v>
      </c>
      <c r="C1548" s="3" t="s">
        <v>5263</v>
      </c>
      <c r="D1548" s="4" t="s">
        <v>6995</v>
      </c>
      <c r="E1548" s="3" t="s">
        <v>6996</v>
      </c>
      <c r="F1548" s="34" t="s">
        <v>6997</v>
      </c>
      <c r="G1548" s="6"/>
      <c r="H1548" s="3" t="s">
        <v>6998</v>
      </c>
    </row>
    <row r="1549" spans="1:8" ht="15.75" customHeight="1">
      <c r="A1549" s="3" t="s">
        <v>6999</v>
      </c>
      <c r="B1549" s="3" t="s">
        <v>3517</v>
      </c>
      <c r="C1549" s="3" t="s">
        <v>7000</v>
      </c>
      <c r="D1549" s="4" t="s">
        <v>7001</v>
      </c>
      <c r="E1549" s="3" t="s">
        <v>7002</v>
      </c>
      <c r="F1549" s="6"/>
      <c r="G1549" s="6"/>
      <c r="H1549" s="3" t="s">
        <v>7003</v>
      </c>
    </row>
    <row r="1550" spans="1:8" ht="15.75" customHeight="1">
      <c r="A1550" s="3" t="s">
        <v>7004</v>
      </c>
      <c r="B1550" s="3" t="s">
        <v>582</v>
      </c>
      <c r="C1550" s="3" t="s">
        <v>7005</v>
      </c>
      <c r="D1550" s="4" t="s">
        <v>7006</v>
      </c>
      <c r="E1550" s="3" t="s">
        <v>7007</v>
      </c>
      <c r="F1550" s="34" t="s">
        <v>7008</v>
      </c>
      <c r="G1550" s="6"/>
      <c r="H1550" s="3" t="s">
        <v>7009</v>
      </c>
    </row>
    <row r="1551" spans="1:8" ht="15.75" customHeight="1">
      <c r="A1551" s="3" t="s">
        <v>7010</v>
      </c>
      <c r="B1551" s="3" t="s">
        <v>49</v>
      </c>
      <c r="C1551" s="3" t="s">
        <v>229</v>
      </c>
      <c r="D1551" s="6"/>
      <c r="E1551" s="3" t="s">
        <v>7011</v>
      </c>
      <c r="F1551" s="34" t="s">
        <v>6991</v>
      </c>
      <c r="G1551" s="6"/>
      <c r="H1551" s="3" t="s">
        <v>6992</v>
      </c>
    </row>
    <row r="1552" spans="1:8" ht="15.75" customHeight="1">
      <c r="A1552" s="3" t="s">
        <v>7012</v>
      </c>
      <c r="B1552" s="3" t="s">
        <v>5226</v>
      </c>
      <c r="C1552" s="3" t="s">
        <v>6028</v>
      </c>
      <c r="D1552" s="4" t="s">
        <v>7013</v>
      </c>
      <c r="E1552" s="3" t="s">
        <v>7014</v>
      </c>
      <c r="F1552" s="6"/>
      <c r="G1552" s="6"/>
      <c r="H1552" s="3" t="s">
        <v>7015</v>
      </c>
    </row>
    <row r="1553" spans="1:8" ht="15.75" customHeight="1">
      <c r="A1553" s="3" t="s">
        <v>2288</v>
      </c>
      <c r="B1553" s="3" t="s">
        <v>45</v>
      </c>
      <c r="C1553" s="3" t="s">
        <v>6055</v>
      </c>
      <c r="D1553" s="4" t="s">
        <v>6056</v>
      </c>
      <c r="E1553" s="3" t="s">
        <v>6057</v>
      </c>
      <c r="F1553" s="3" t="s">
        <v>6058</v>
      </c>
      <c r="G1553" s="6"/>
      <c r="H1553" s="3" t="s">
        <v>5247</v>
      </c>
    </row>
    <row r="1554" spans="1:8" ht="15.75" customHeight="1">
      <c r="A1554" s="3" t="s">
        <v>4374</v>
      </c>
      <c r="B1554" s="3" t="s">
        <v>221</v>
      </c>
      <c r="C1554" s="3" t="s">
        <v>5677</v>
      </c>
      <c r="D1554" s="4" t="s">
        <v>7016</v>
      </c>
      <c r="E1554" s="3" t="s">
        <v>7017</v>
      </c>
      <c r="F1554" s="34" t="s">
        <v>6896</v>
      </c>
      <c r="G1554" s="6"/>
      <c r="H1554" s="3" t="s">
        <v>6897</v>
      </c>
    </row>
    <row r="1555" spans="1:8" ht="15.75" customHeight="1">
      <c r="A1555" s="3" t="s">
        <v>165</v>
      </c>
      <c r="B1555" s="3" t="s">
        <v>7018</v>
      </c>
      <c r="C1555" s="3" t="s">
        <v>5263</v>
      </c>
      <c r="D1555" s="4" t="s">
        <v>7019</v>
      </c>
      <c r="E1555" s="3" t="s">
        <v>7020</v>
      </c>
      <c r="F1555" s="34" t="s">
        <v>7021</v>
      </c>
      <c r="G1555" s="6"/>
      <c r="H1555" s="3" t="s">
        <v>7022</v>
      </c>
    </row>
    <row r="1556" spans="1:8" ht="15.75" customHeight="1">
      <c r="A1556" s="3" t="s">
        <v>7023</v>
      </c>
      <c r="B1556" s="3" t="s">
        <v>59</v>
      </c>
      <c r="C1556" s="3" t="s">
        <v>7024</v>
      </c>
      <c r="D1556" s="4" t="s">
        <v>7025</v>
      </c>
      <c r="E1556" s="3" t="s">
        <v>7026</v>
      </c>
      <c r="F1556" s="34" t="s">
        <v>7027</v>
      </c>
      <c r="G1556" s="6"/>
      <c r="H1556" s="3" t="s">
        <v>7028</v>
      </c>
    </row>
    <row r="1557" spans="1:8" ht="15.75" customHeight="1">
      <c r="A1557" s="3" t="s">
        <v>7029</v>
      </c>
      <c r="B1557" s="3" t="s">
        <v>7030</v>
      </c>
      <c r="C1557" s="3" t="s">
        <v>6172</v>
      </c>
      <c r="D1557" s="6"/>
      <c r="E1557" s="3" t="s">
        <v>7031</v>
      </c>
      <c r="F1557" s="6"/>
      <c r="G1557" s="6"/>
      <c r="H1557" s="3" t="s">
        <v>7032</v>
      </c>
    </row>
    <row r="1558" spans="1:8" ht="15.75" customHeight="1">
      <c r="A1558" s="3" t="s">
        <v>5845</v>
      </c>
      <c r="B1558" s="3" t="s">
        <v>3915</v>
      </c>
      <c r="C1558" s="3" t="s">
        <v>7033</v>
      </c>
      <c r="D1558" s="6"/>
      <c r="E1558" s="3" t="s">
        <v>7034</v>
      </c>
      <c r="F1558" s="34" t="s">
        <v>7035</v>
      </c>
      <c r="G1558" s="6"/>
      <c r="H1558" s="3" t="s">
        <v>7036</v>
      </c>
    </row>
    <row r="1559" spans="1:8" ht="15.75" customHeight="1">
      <c r="A1559" s="3" t="s">
        <v>7037</v>
      </c>
      <c r="B1559" s="3" t="s">
        <v>59</v>
      </c>
      <c r="C1559" s="3" t="s">
        <v>7038</v>
      </c>
      <c r="D1559" s="4" t="s">
        <v>7039</v>
      </c>
      <c r="E1559" s="3" t="s">
        <v>7040</v>
      </c>
      <c r="F1559" s="3" t="s">
        <v>7041</v>
      </c>
      <c r="G1559" s="6"/>
      <c r="H1559" s="3" t="s">
        <v>7042</v>
      </c>
    </row>
    <row r="1560" spans="1:8" ht="15.75" customHeight="1">
      <c r="A1560" s="3" t="s">
        <v>7043</v>
      </c>
      <c r="B1560" s="3" t="s">
        <v>7044</v>
      </c>
      <c r="C1560" s="3" t="s">
        <v>7045</v>
      </c>
      <c r="D1560" s="4" t="s">
        <v>7046</v>
      </c>
      <c r="E1560" s="3" t="s">
        <v>7047</v>
      </c>
      <c r="F1560" s="34" t="s">
        <v>6955</v>
      </c>
      <c r="G1560" s="6"/>
      <c r="H1560" s="3" t="s">
        <v>6956</v>
      </c>
    </row>
    <row r="1561" spans="1:8" ht="15.75" customHeight="1">
      <c r="A1561" s="3" t="s">
        <v>4101</v>
      </c>
      <c r="B1561" s="3" t="s">
        <v>956</v>
      </c>
      <c r="C1561" s="3" t="s">
        <v>5275</v>
      </c>
      <c r="D1561" s="4" t="s">
        <v>7048</v>
      </c>
      <c r="E1561" s="3" t="s">
        <v>7049</v>
      </c>
      <c r="F1561" s="6"/>
      <c r="G1561" s="6"/>
      <c r="H1561" s="3" t="s">
        <v>7050</v>
      </c>
    </row>
    <row r="1562" spans="1:8" ht="15.75" customHeight="1">
      <c r="A1562" s="3" t="s">
        <v>5542</v>
      </c>
      <c r="B1562" s="3" t="s">
        <v>7051</v>
      </c>
      <c r="C1562" s="3" t="s">
        <v>7052</v>
      </c>
      <c r="D1562" s="4" t="s">
        <v>7053</v>
      </c>
      <c r="E1562" s="3" t="s">
        <v>7054</v>
      </c>
      <c r="F1562" s="6"/>
      <c r="G1562" s="6"/>
      <c r="H1562" s="3" t="s">
        <v>7055</v>
      </c>
    </row>
    <row r="1563" spans="1:8" ht="15.75" customHeight="1">
      <c r="A1563" s="3" t="s">
        <v>913</v>
      </c>
      <c r="B1563" s="3" t="s">
        <v>7056</v>
      </c>
      <c r="C1563" s="3" t="s">
        <v>7057</v>
      </c>
      <c r="D1563" s="4" t="s">
        <v>7058</v>
      </c>
      <c r="E1563" s="3" t="s">
        <v>7059</v>
      </c>
      <c r="F1563" s="6"/>
      <c r="G1563" s="6"/>
      <c r="H1563" s="3" t="s">
        <v>7060</v>
      </c>
    </row>
    <row r="1564" spans="1:8" ht="15.75" customHeight="1">
      <c r="A1564" s="3" t="s">
        <v>1180</v>
      </c>
      <c r="B1564" s="3" t="s">
        <v>3098</v>
      </c>
      <c r="C1564" s="3" t="s">
        <v>5641</v>
      </c>
      <c r="D1564" s="4" t="s">
        <v>7061</v>
      </c>
      <c r="E1564" s="3" t="s">
        <v>7062</v>
      </c>
      <c r="F1564" s="34" t="s">
        <v>7063</v>
      </c>
      <c r="G1564" s="6"/>
      <c r="H1564" s="3" t="s">
        <v>7064</v>
      </c>
    </row>
    <row r="1565" spans="1:8" ht="15.75" customHeight="1">
      <c r="A1565" s="3" t="s">
        <v>7065</v>
      </c>
      <c r="B1565" s="3" t="s">
        <v>4912</v>
      </c>
      <c r="C1565" s="3" t="s">
        <v>1684</v>
      </c>
      <c r="D1565" s="4" t="s">
        <v>7066</v>
      </c>
      <c r="E1565" s="3" t="s">
        <v>7067</v>
      </c>
      <c r="F1565" s="6"/>
      <c r="G1565" s="6"/>
      <c r="H1565" s="3" t="s">
        <v>6881</v>
      </c>
    </row>
    <row r="1566" spans="1:8" ht="15.75" customHeight="1">
      <c r="A1566" s="3" t="s">
        <v>7068</v>
      </c>
      <c r="B1566" s="3" t="s">
        <v>59</v>
      </c>
      <c r="C1566" s="3" t="s">
        <v>5240</v>
      </c>
      <c r="D1566" s="4" t="s">
        <v>7069</v>
      </c>
      <c r="E1566" s="3" t="s">
        <v>7070</v>
      </c>
      <c r="F1566" s="34" t="s">
        <v>7071</v>
      </c>
      <c r="G1566" s="6"/>
      <c r="H1566" s="3" t="s">
        <v>7072</v>
      </c>
    </row>
    <row r="1567" spans="1:8" ht="15.75" customHeight="1">
      <c r="A1567" s="3" t="s">
        <v>1241</v>
      </c>
      <c r="B1567" s="3" t="s">
        <v>1789</v>
      </c>
      <c r="C1567" s="3" t="s">
        <v>7073</v>
      </c>
      <c r="D1567" s="4" t="s">
        <v>7074</v>
      </c>
      <c r="E1567" s="3" t="s">
        <v>1792</v>
      </c>
      <c r="F1567" s="6"/>
      <c r="G1567" s="6"/>
      <c r="H1567" s="3" t="s">
        <v>7075</v>
      </c>
    </row>
    <row r="1568" spans="1:8" ht="15.75" customHeight="1">
      <c r="A1568" s="3" t="s">
        <v>3236</v>
      </c>
      <c r="B1568" s="3" t="s">
        <v>6204</v>
      </c>
      <c r="C1568" s="3" t="s">
        <v>109</v>
      </c>
      <c r="D1568" s="6"/>
      <c r="E1568" s="3" t="s">
        <v>7076</v>
      </c>
      <c r="F1568" s="34" t="s">
        <v>7077</v>
      </c>
      <c r="G1568" s="6"/>
      <c r="H1568" s="3" t="s">
        <v>7078</v>
      </c>
    </row>
    <row r="1569" spans="1:8" ht="15.75" customHeight="1">
      <c r="A1569" s="3" t="s">
        <v>3664</v>
      </c>
      <c r="B1569" s="3" t="s">
        <v>1794</v>
      </c>
      <c r="C1569" s="3" t="s">
        <v>46</v>
      </c>
      <c r="D1569" s="4" t="s">
        <v>7079</v>
      </c>
      <c r="E1569" s="3" t="s">
        <v>7080</v>
      </c>
      <c r="F1569" s="6"/>
      <c r="G1569" s="6"/>
      <c r="H1569" s="3" t="s">
        <v>7081</v>
      </c>
    </row>
    <row r="1570" spans="1:8" ht="15.75" customHeight="1">
      <c r="A1570" s="3" t="s">
        <v>7082</v>
      </c>
      <c r="B1570" s="3" t="s">
        <v>7083</v>
      </c>
      <c r="C1570" s="3" t="s">
        <v>7084</v>
      </c>
      <c r="D1570" s="4" t="s">
        <v>7085</v>
      </c>
      <c r="E1570" s="3" t="s">
        <v>7086</v>
      </c>
      <c r="F1570" s="34" t="s">
        <v>7087</v>
      </c>
      <c r="G1570" s="6"/>
      <c r="H1570" s="3" t="s">
        <v>7088</v>
      </c>
    </row>
    <row r="1571" spans="1:8" ht="15.75" customHeight="1">
      <c r="A1571" s="3" t="s">
        <v>3251</v>
      </c>
      <c r="B1571" s="3" t="s">
        <v>3058</v>
      </c>
      <c r="C1571" s="3" t="s">
        <v>7089</v>
      </c>
      <c r="D1571" s="4" t="s">
        <v>7090</v>
      </c>
      <c r="E1571" s="3" t="s">
        <v>7091</v>
      </c>
      <c r="F1571" s="34" t="s">
        <v>7092</v>
      </c>
      <c r="G1571" s="6"/>
      <c r="H1571" s="3" t="s">
        <v>7093</v>
      </c>
    </row>
    <row r="1572" spans="1:8" ht="15.75" customHeight="1">
      <c r="A1572" s="3" t="s">
        <v>132</v>
      </c>
      <c r="B1572" s="3" t="s">
        <v>7094</v>
      </c>
      <c r="C1572" s="3" t="s">
        <v>4357</v>
      </c>
      <c r="D1572" s="4" t="s">
        <v>7095</v>
      </c>
      <c r="E1572" s="3" t="s">
        <v>7096</v>
      </c>
      <c r="F1572" s="3" t="s">
        <v>7097</v>
      </c>
      <c r="G1572" s="6"/>
      <c r="H1572" s="3" t="s">
        <v>7098</v>
      </c>
    </row>
    <row r="1573" spans="1:8" ht="15.75" customHeight="1">
      <c r="A1573" s="3" t="s">
        <v>6579</v>
      </c>
      <c r="B1573" s="3" t="s">
        <v>7099</v>
      </c>
      <c r="C1573" s="3" t="s">
        <v>7100</v>
      </c>
      <c r="D1573" s="4" t="s">
        <v>7101</v>
      </c>
      <c r="E1573" s="3" t="s">
        <v>7102</v>
      </c>
      <c r="F1573" s="6"/>
      <c r="G1573" s="6"/>
      <c r="H1573" s="3" t="s">
        <v>7103</v>
      </c>
    </row>
    <row r="1574" spans="1:8" ht="15.75" customHeight="1">
      <c r="A1574" s="3" t="s">
        <v>7104</v>
      </c>
      <c r="B1574" s="3" t="s">
        <v>7105</v>
      </c>
      <c r="C1574" s="3" t="s">
        <v>7106</v>
      </c>
      <c r="D1574" s="4" t="s">
        <v>7107</v>
      </c>
      <c r="E1574" s="3" t="s">
        <v>7108</v>
      </c>
      <c r="F1574" s="34" t="s">
        <v>7109</v>
      </c>
      <c r="G1574" s="6"/>
      <c r="H1574" s="3" t="s">
        <v>6975</v>
      </c>
    </row>
    <row r="1575" spans="1:8" ht="15.75" customHeight="1">
      <c r="A1575" s="3" t="s">
        <v>1019</v>
      </c>
      <c r="B1575" s="6"/>
      <c r="C1575" s="3" t="s">
        <v>7110</v>
      </c>
      <c r="D1575" s="6"/>
      <c r="E1575" s="3" t="s">
        <v>7111</v>
      </c>
      <c r="F1575" s="6"/>
      <c r="G1575" s="6"/>
      <c r="H1575" s="3" t="s">
        <v>7112</v>
      </c>
    </row>
    <row r="1576" spans="1:8" ht="15.75" customHeight="1">
      <c r="A1576" s="3" t="s">
        <v>7113</v>
      </c>
      <c r="B1576" s="3" t="s">
        <v>7114</v>
      </c>
      <c r="C1576" s="3" t="s">
        <v>7115</v>
      </c>
      <c r="D1576" s="4" t="s">
        <v>7116</v>
      </c>
      <c r="E1576" s="3" t="s">
        <v>7117</v>
      </c>
      <c r="F1576" s="34" t="s">
        <v>7118</v>
      </c>
      <c r="G1576" s="6"/>
      <c r="H1576" s="3" t="s">
        <v>7119</v>
      </c>
    </row>
    <row r="1577" spans="1:8" ht="15.75" customHeight="1">
      <c r="A1577" s="3" t="s">
        <v>1988</v>
      </c>
      <c r="B1577" s="3" t="s">
        <v>2654</v>
      </c>
      <c r="C1577" s="3" t="s">
        <v>7120</v>
      </c>
      <c r="D1577" s="4" t="s">
        <v>7121</v>
      </c>
      <c r="E1577" s="3" t="s">
        <v>7122</v>
      </c>
      <c r="F1577" s="34" t="s">
        <v>7123</v>
      </c>
      <c r="G1577" s="6"/>
      <c r="H1577" s="3" t="s">
        <v>7124</v>
      </c>
    </row>
    <row r="1578" spans="1:8" ht="15.75" customHeight="1">
      <c r="A1578" s="3" t="s">
        <v>14</v>
      </c>
      <c r="B1578" s="3" t="s">
        <v>7125</v>
      </c>
      <c r="C1578" s="3" t="s">
        <v>7126</v>
      </c>
      <c r="D1578" s="4" t="s">
        <v>7127</v>
      </c>
      <c r="E1578" s="3" t="s">
        <v>7128</v>
      </c>
      <c r="F1578" s="34" t="s">
        <v>6913</v>
      </c>
      <c r="G1578" s="6"/>
      <c r="H1578" s="3" t="s">
        <v>6914</v>
      </c>
    </row>
    <row r="1579" spans="1:8" ht="15.75" customHeight="1">
      <c r="A1579" s="3" t="s">
        <v>1530</v>
      </c>
      <c r="B1579" s="3" t="s">
        <v>2775</v>
      </c>
      <c r="C1579" s="3" t="s">
        <v>7129</v>
      </c>
      <c r="D1579" s="6"/>
      <c r="E1579" s="3" t="s">
        <v>7130</v>
      </c>
      <c r="F1579" s="3" t="s">
        <v>7131</v>
      </c>
      <c r="G1579" s="6"/>
      <c r="H1579" s="3" t="s">
        <v>7132</v>
      </c>
    </row>
    <row r="1580" spans="1:8" ht="15.75" customHeight="1">
      <c r="A1580" s="3" t="s">
        <v>1286</v>
      </c>
      <c r="B1580" s="3" t="s">
        <v>7133</v>
      </c>
      <c r="C1580" s="3" t="s">
        <v>7134</v>
      </c>
      <c r="D1580" s="4" t="s">
        <v>7135</v>
      </c>
      <c r="E1580" s="3" t="s">
        <v>7136</v>
      </c>
      <c r="F1580" s="34" t="s">
        <v>7137</v>
      </c>
      <c r="G1580" s="6"/>
      <c r="H1580" s="3" t="s">
        <v>7060</v>
      </c>
    </row>
    <row r="1581" spans="1:8" ht="15.75" customHeight="1">
      <c r="A1581" s="3" t="s">
        <v>1348</v>
      </c>
      <c r="B1581" s="3" t="s">
        <v>7138</v>
      </c>
      <c r="C1581" s="3" t="s">
        <v>5263</v>
      </c>
      <c r="D1581" s="4" t="s">
        <v>7139</v>
      </c>
      <c r="E1581" s="3" t="s">
        <v>7140</v>
      </c>
      <c r="F1581" s="34" t="s">
        <v>7141</v>
      </c>
      <c r="G1581" s="6"/>
      <c r="H1581" s="3" t="s">
        <v>7142</v>
      </c>
    </row>
    <row r="1582" spans="1:8" ht="15.75" customHeight="1">
      <c r="A1582" s="3" t="s">
        <v>417</v>
      </c>
      <c r="B1582" s="3" t="s">
        <v>6436</v>
      </c>
      <c r="C1582" s="3" t="s">
        <v>5182</v>
      </c>
      <c r="D1582" s="4" t="s">
        <v>7143</v>
      </c>
      <c r="E1582" s="3" t="s">
        <v>7144</v>
      </c>
      <c r="F1582" s="34" t="s">
        <v>7145</v>
      </c>
      <c r="G1582" s="6"/>
      <c r="H1582" s="3" t="s">
        <v>7119</v>
      </c>
    </row>
    <row r="1583" spans="1:8" ht="15.75" customHeight="1">
      <c r="A1583" s="3" t="s">
        <v>7146</v>
      </c>
      <c r="B1583" s="3" t="s">
        <v>185</v>
      </c>
      <c r="C1583" s="3" t="s">
        <v>4699</v>
      </c>
      <c r="D1583" s="4" t="s">
        <v>7147</v>
      </c>
      <c r="E1583" s="3" t="s">
        <v>7148</v>
      </c>
      <c r="F1583" s="3" t="s">
        <v>7149</v>
      </c>
      <c r="G1583" s="6"/>
      <c r="H1583" s="3" t="s">
        <v>7150</v>
      </c>
    </row>
    <row r="1584" spans="1:8" ht="15.75" customHeight="1">
      <c r="A1584" s="3" t="s">
        <v>155</v>
      </c>
      <c r="B1584" s="3" t="s">
        <v>7151</v>
      </c>
      <c r="C1584" s="3" t="s">
        <v>7152</v>
      </c>
      <c r="D1584" s="4" t="s">
        <v>7153</v>
      </c>
      <c r="E1584" s="3" t="s">
        <v>7154</v>
      </c>
      <c r="F1584" s="34" t="s">
        <v>7155</v>
      </c>
      <c r="G1584" s="6"/>
      <c r="H1584" s="3" t="s">
        <v>7156</v>
      </c>
    </row>
    <row r="1585" spans="1:8" ht="15.75" customHeight="1">
      <c r="A1585" s="3" t="s">
        <v>5770</v>
      </c>
      <c r="B1585" s="3" t="s">
        <v>1789</v>
      </c>
      <c r="C1585" s="3" t="s">
        <v>3629</v>
      </c>
      <c r="D1585" s="4" t="s">
        <v>7157</v>
      </c>
      <c r="E1585" s="3" t="s">
        <v>7158</v>
      </c>
      <c r="F1585" s="6"/>
      <c r="G1585" s="6"/>
      <c r="H1585" s="3" t="s">
        <v>7159</v>
      </c>
    </row>
    <row r="1586" spans="1:8" ht="15.75" customHeight="1">
      <c r="A1586" s="3" t="s">
        <v>302</v>
      </c>
      <c r="B1586" s="3" t="s">
        <v>7160</v>
      </c>
      <c r="C1586" s="3" t="s">
        <v>5263</v>
      </c>
      <c r="D1586" s="4" t="s">
        <v>7161</v>
      </c>
      <c r="E1586" s="3" t="s">
        <v>7162</v>
      </c>
      <c r="F1586" s="34" t="s">
        <v>7163</v>
      </c>
      <c r="G1586" s="6"/>
      <c r="H1586" s="3" t="s">
        <v>7164</v>
      </c>
    </row>
    <row r="1587" spans="1:8" ht="15.75" customHeight="1">
      <c r="A1587" s="3" t="s">
        <v>7165</v>
      </c>
      <c r="B1587" s="3" t="s">
        <v>7166</v>
      </c>
      <c r="C1587" s="3" t="s">
        <v>7167</v>
      </c>
      <c r="D1587" s="4" t="s">
        <v>7168</v>
      </c>
      <c r="E1587" s="3" t="s">
        <v>7169</v>
      </c>
      <c r="F1587" s="34" t="s">
        <v>7170</v>
      </c>
      <c r="G1587" s="6"/>
      <c r="H1587" s="3" t="s">
        <v>7171</v>
      </c>
    </row>
    <row r="1588" spans="1:8" ht="15.75" customHeight="1">
      <c r="A1588" s="3" t="s">
        <v>5613</v>
      </c>
      <c r="B1588" s="3" t="s">
        <v>5614</v>
      </c>
      <c r="C1588" s="3" t="s">
        <v>5227</v>
      </c>
      <c r="D1588" s="6"/>
      <c r="E1588" s="3" t="s">
        <v>5615</v>
      </c>
      <c r="F1588" s="3" t="s">
        <v>5616</v>
      </c>
      <c r="G1588" s="6"/>
      <c r="H1588" s="3" t="s">
        <v>5617</v>
      </c>
    </row>
    <row r="1589" spans="1:8" ht="15.75" customHeight="1">
      <c r="A1589" s="3" t="s">
        <v>789</v>
      </c>
      <c r="B1589" s="3" t="s">
        <v>45</v>
      </c>
      <c r="C1589" s="3" t="s">
        <v>7172</v>
      </c>
      <c r="D1589" s="6"/>
      <c r="E1589" s="3" t="s">
        <v>7173</v>
      </c>
      <c r="F1589" s="34" t="s">
        <v>6913</v>
      </c>
      <c r="G1589" s="6"/>
      <c r="H1589" s="3" t="s">
        <v>6914</v>
      </c>
    </row>
    <row r="1590" spans="1:8" ht="15.75" customHeight="1">
      <c r="A1590" s="3" t="s">
        <v>7174</v>
      </c>
      <c r="B1590" s="3" t="s">
        <v>2245</v>
      </c>
      <c r="C1590" s="3" t="s">
        <v>7175</v>
      </c>
      <c r="D1590" s="4" t="s">
        <v>7176</v>
      </c>
      <c r="E1590" s="3" t="s">
        <v>7177</v>
      </c>
      <c r="F1590" s="34" t="s">
        <v>6913</v>
      </c>
      <c r="G1590" s="6"/>
      <c r="H1590" s="3" t="s">
        <v>6914</v>
      </c>
    </row>
    <row r="1591" spans="1:8" ht="15.75" customHeight="1">
      <c r="A1591" s="3" t="s">
        <v>4168</v>
      </c>
      <c r="B1591" s="3" t="s">
        <v>1698</v>
      </c>
      <c r="C1591" s="3" t="s">
        <v>5182</v>
      </c>
      <c r="D1591" s="4" t="s">
        <v>7178</v>
      </c>
      <c r="E1591" s="3" t="s">
        <v>7179</v>
      </c>
      <c r="F1591" s="34" t="s">
        <v>6965</v>
      </c>
      <c r="G1591" s="6"/>
      <c r="H1591" s="3" t="s">
        <v>6966</v>
      </c>
    </row>
    <row r="1592" spans="1:8" ht="15.75" customHeight="1">
      <c r="A1592" s="3" t="s">
        <v>5634</v>
      </c>
      <c r="B1592" s="3" t="s">
        <v>378</v>
      </c>
      <c r="C1592" s="3" t="s">
        <v>91</v>
      </c>
      <c r="D1592" s="6"/>
      <c r="E1592" s="3" t="s">
        <v>5635</v>
      </c>
      <c r="F1592" s="3" t="s">
        <v>5246</v>
      </c>
      <c r="G1592" s="6"/>
      <c r="H1592" s="3" t="s">
        <v>5247</v>
      </c>
    </row>
    <row r="1593" spans="1:8" ht="15.75" customHeight="1">
      <c r="A1593" s="3" t="s">
        <v>2357</v>
      </c>
      <c r="B1593" s="3" t="s">
        <v>7180</v>
      </c>
      <c r="C1593" s="3" t="s">
        <v>4664</v>
      </c>
      <c r="D1593" s="4" t="s">
        <v>7181</v>
      </c>
      <c r="E1593" s="3" t="s">
        <v>7182</v>
      </c>
      <c r="F1593" s="6"/>
      <c r="G1593" s="6"/>
      <c r="H1593" s="3" t="s">
        <v>7183</v>
      </c>
    </row>
    <row r="1594" spans="1:8" ht="15.75" customHeight="1">
      <c r="A1594" s="3" t="s">
        <v>2804</v>
      </c>
      <c r="B1594" s="3" t="s">
        <v>943</v>
      </c>
      <c r="C1594" s="3" t="s">
        <v>7110</v>
      </c>
      <c r="D1594" s="6"/>
      <c r="E1594" s="3" t="s">
        <v>7184</v>
      </c>
      <c r="F1594" s="3" t="s">
        <v>7185</v>
      </c>
      <c r="G1594" s="6"/>
      <c r="H1594" s="3" t="s">
        <v>7186</v>
      </c>
    </row>
    <row r="1595" spans="1:8" ht="15.75" customHeight="1">
      <c r="A1595" s="3" t="s">
        <v>1228</v>
      </c>
      <c r="B1595" s="3" t="s">
        <v>45</v>
      </c>
      <c r="C1595" s="3" t="s">
        <v>7187</v>
      </c>
      <c r="D1595" s="4" t="s">
        <v>7188</v>
      </c>
      <c r="E1595" s="3" t="s">
        <v>7189</v>
      </c>
      <c r="F1595" s="6"/>
      <c r="G1595" s="6"/>
      <c r="H1595" s="3" t="s">
        <v>7190</v>
      </c>
    </row>
    <row r="1596" spans="1:8" ht="15.75" customHeight="1">
      <c r="A1596" s="3" t="s">
        <v>14</v>
      </c>
      <c r="B1596" s="3" t="s">
        <v>1192</v>
      </c>
      <c r="C1596" s="3" t="s">
        <v>7191</v>
      </c>
      <c r="D1596" s="4" t="s">
        <v>7192</v>
      </c>
      <c r="E1596" s="3" t="s">
        <v>7193</v>
      </c>
      <c r="F1596" s="6"/>
      <c r="G1596" s="6"/>
      <c r="H1596" s="3" t="s">
        <v>7194</v>
      </c>
    </row>
    <row r="1597" spans="1:8" ht="15.75" customHeight="1">
      <c r="A1597" s="3" t="s">
        <v>7195</v>
      </c>
      <c r="B1597" s="3" t="s">
        <v>7196</v>
      </c>
      <c r="C1597" s="3" t="s">
        <v>7197</v>
      </c>
      <c r="D1597" s="4" t="s">
        <v>7198</v>
      </c>
      <c r="E1597" s="3" t="s">
        <v>7199</v>
      </c>
      <c r="F1597" s="6"/>
      <c r="G1597" s="6"/>
      <c r="H1597" s="3" t="s">
        <v>7055</v>
      </c>
    </row>
    <row r="1598" spans="1:8" ht="15.75" customHeight="1">
      <c r="A1598" s="3" t="s">
        <v>1517</v>
      </c>
      <c r="B1598" s="3" t="s">
        <v>7200</v>
      </c>
      <c r="C1598" s="3" t="s">
        <v>6191</v>
      </c>
      <c r="D1598" s="4" t="s">
        <v>7201</v>
      </c>
      <c r="E1598" s="3" t="s">
        <v>7202</v>
      </c>
      <c r="F1598" s="6"/>
      <c r="G1598" s="6"/>
      <c r="H1598" s="3" t="s">
        <v>7132</v>
      </c>
    </row>
    <row r="1599" spans="1:8" ht="15.75" customHeight="1">
      <c r="A1599" s="3" t="s">
        <v>301</v>
      </c>
      <c r="B1599" s="3" t="s">
        <v>865</v>
      </c>
      <c r="C1599" s="3" t="s">
        <v>7203</v>
      </c>
      <c r="D1599" s="4" t="s">
        <v>7204</v>
      </c>
      <c r="E1599" s="3" t="s">
        <v>7205</v>
      </c>
      <c r="F1599" s="34" t="s">
        <v>7206</v>
      </c>
      <c r="G1599" s="6"/>
      <c r="H1599" s="3" t="s">
        <v>7207</v>
      </c>
    </row>
    <row r="1600" spans="1:8" ht="15.75" customHeight="1">
      <c r="A1600" s="3" t="s">
        <v>138</v>
      </c>
      <c r="B1600" s="3" t="s">
        <v>6862</v>
      </c>
      <c r="C1600" s="3" t="s">
        <v>4364</v>
      </c>
      <c r="D1600" s="4" t="s">
        <v>7208</v>
      </c>
      <c r="E1600" s="3" t="s">
        <v>7209</v>
      </c>
      <c r="F1600" s="34" t="s">
        <v>7210</v>
      </c>
      <c r="G1600" s="6"/>
      <c r="H1600" s="3" t="s">
        <v>7211</v>
      </c>
    </row>
    <row r="1601" spans="1:8" ht="15.75" customHeight="1">
      <c r="A1601" s="3" t="s">
        <v>7212</v>
      </c>
      <c r="B1601" s="3" t="s">
        <v>3261</v>
      </c>
      <c r="C1601" s="3" t="s">
        <v>7213</v>
      </c>
      <c r="D1601" s="4" t="s">
        <v>7214</v>
      </c>
      <c r="E1601" s="3" t="s">
        <v>7215</v>
      </c>
      <c r="F1601" s="6"/>
      <c r="G1601" s="6"/>
      <c r="H1601" s="3" t="s">
        <v>7216</v>
      </c>
    </row>
    <row r="1602" spans="1:8" ht="15.75" customHeight="1">
      <c r="A1602" s="3" t="s">
        <v>422</v>
      </c>
      <c r="B1602" s="3" t="s">
        <v>7217</v>
      </c>
      <c r="C1602" s="3" t="s">
        <v>27</v>
      </c>
      <c r="D1602" s="4" t="s">
        <v>7218</v>
      </c>
      <c r="E1602" s="3" t="s">
        <v>7219</v>
      </c>
      <c r="F1602" s="6"/>
      <c r="G1602" s="6"/>
      <c r="H1602" s="3" t="s">
        <v>7220</v>
      </c>
    </row>
    <row r="1603" spans="1:8" ht="15.75" customHeight="1">
      <c r="A1603" s="3" t="s">
        <v>7221</v>
      </c>
      <c r="B1603" s="3" t="s">
        <v>7222</v>
      </c>
      <c r="C1603" s="3" t="s">
        <v>7223</v>
      </c>
      <c r="D1603" s="6"/>
      <c r="E1603" s="3" t="s">
        <v>7224</v>
      </c>
      <c r="F1603" s="34" t="s">
        <v>7225</v>
      </c>
      <c r="G1603" s="6"/>
      <c r="H1603" s="3" t="s">
        <v>7226</v>
      </c>
    </row>
    <row r="1604" spans="1:8" ht="15.75" customHeight="1">
      <c r="A1604" s="3" t="s">
        <v>1397</v>
      </c>
      <c r="B1604" s="3" t="s">
        <v>5175</v>
      </c>
      <c r="C1604" s="3" t="s">
        <v>6687</v>
      </c>
      <c r="D1604" s="4" t="s">
        <v>6688</v>
      </c>
      <c r="E1604" s="3" t="s">
        <v>6689</v>
      </c>
      <c r="F1604" s="34" t="s">
        <v>6690</v>
      </c>
      <c r="G1604" s="6"/>
      <c r="H1604" s="3" t="s">
        <v>6691</v>
      </c>
    </row>
    <row r="1605" spans="1:8" ht="15.75" customHeight="1">
      <c r="A1605" s="3" t="s">
        <v>240</v>
      </c>
      <c r="B1605" s="3" t="s">
        <v>198</v>
      </c>
      <c r="C1605" s="3" t="s">
        <v>5771</v>
      </c>
      <c r="D1605" s="4" t="s">
        <v>7227</v>
      </c>
      <c r="E1605" s="3" t="s">
        <v>7228</v>
      </c>
      <c r="F1605" s="34" t="s">
        <v>7229</v>
      </c>
      <c r="G1605" s="6"/>
      <c r="H1605" s="3" t="s">
        <v>7230</v>
      </c>
    </row>
    <row r="1606" spans="1:8" ht="15.75" customHeight="1">
      <c r="A1606" s="3" t="s">
        <v>7231</v>
      </c>
      <c r="B1606" s="3" t="s">
        <v>7232</v>
      </c>
      <c r="C1606" s="3" t="s">
        <v>7233</v>
      </c>
      <c r="D1606" s="4" t="s">
        <v>7234</v>
      </c>
      <c r="E1606" s="3" t="s">
        <v>7235</v>
      </c>
      <c r="F1606" s="34" t="s">
        <v>7236</v>
      </c>
      <c r="G1606" s="6"/>
      <c r="H1606" s="3" t="s">
        <v>7237</v>
      </c>
    </row>
    <row r="1607" spans="1:8" ht="15.75" customHeight="1">
      <c r="A1607" s="3" t="s">
        <v>1501</v>
      </c>
      <c r="B1607" s="3" t="s">
        <v>7238</v>
      </c>
      <c r="C1607" s="3" t="s">
        <v>4830</v>
      </c>
      <c r="D1607" s="4" t="s">
        <v>7239</v>
      </c>
      <c r="E1607" s="3" t="s">
        <v>7240</v>
      </c>
      <c r="F1607" s="34" t="s">
        <v>7123</v>
      </c>
      <c r="G1607" s="6"/>
      <c r="H1607" s="3" t="s">
        <v>7124</v>
      </c>
    </row>
    <row r="1608" spans="1:8" ht="15.75" customHeight="1">
      <c r="A1608" s="3" t="s">
        <v>1019</v>
      </c>
      <c r="B1608" s="3" t="s">
        <v>7241</v>
      </c>
      <c r="C1608" s="3" t="s">
        <v>7242</v>
      </c>
      <c r="D1608" s="4" t="s">
        <v>7243</v>
      </c>
      <c r="E1608" s="3" t="s">
        <v>7244</v>
      </c>
      <c r="F1608" s="34" t="s">
        <v>7245</v>
      </c>
      <c r="G1608" s="6"/>
      <c r="H1608" s="3" t="s">
        <v>7246</v>
      </c>
    </row>
    <row r="1609" spans="1:8" ht="15.75" customHeight="1">
      <c r="A1609" s="3" t="s">
        <v>7247</v>
      </c>
      <c r="B1609" s="3" t="s">
        <v>3728</v>
      </c>
      <c r="C1609" s="3" t="s">
        <v>6028</v>
      </c>
      <c r="D1609" s="4" t="s">
        <v>7248</v>
      </c>
      <c r="E1609" s="3" t="s">
        <v>7249</v>
      </c>
      <c r="F1609" s="34" t="s">
        <v>7123</v>
      </c>
      <c r="G1609" s="6"/>
      <c r="H1609" s="3" t="s">
        <v>7124</v>
      </c>
    </row>
    <row r="1610" spans="1:8" ht="15.75" customHeight="1">
      <c r="A1610" s="3" t="s">
        <v>7250</v>
      </c>
      <c r="B1610" s="3" t="s">
        <v>2944</v>
      </c>
      <c r="C1610" s="3" t="s">
        <v>7251</v>
      </c>
      <c r="D1610" s="4" t="s">
        <v>7252</v>
      </c>
      <c r="E1610" s="3" t="s">
        <v>7253</v>
      </c>
      <c r="F1610" s="34" t="s">
        <v>7254</v>
      </c>
      <c r="G1610" s="6"/>
      <c r="H1610" s="3" t="s">
        <v>7255</v>
      </c>
    </row>
    <row r="1611" spans="1:8" ht="15.75" customHeight="1">
      <c r="A1611" s="3" t="s">
        <v>763</v>
      </c>
      <c r="B1611" s="3" t="s">
        <v>7256</v>
      </c>
      <c r="C1611" s="3" t="s">
        <v>7257</v>
      </c>
      <c r="D1611" s="4" t="s">
        <v>7258</v>
      </c>
      <c r="E1611" s="3" t="s">
        <v>7259</v>
      </c>
      <c r="F1611" s="34" t="s">
        <v>7260</v>
      </c>
      <c r="G1611" s="6"/>
      <c r="H1611" s="3" t="s">
        <v>7088</v>
      </c>
    </row>
    <row r="1612" spans="1:8" ht="15.75" customHeight="1">
      <c r="A1612" s="3" t="s">
        <v>789</v>
      </c>
      <c r="B1612" s="3" t="s">
        <v>7261</v>
      </c>
      <c r="C1612" s="3" t="s">
        <v>6934</v>
      </c>
      <c r="D1612" s="4" t="s">
        <v>7262</v>
      </c>
      <c r="E1612" s="3" t="s">
        <v>7263</v>
      </c>
      <c r="F1612" s="34" t="s">
        <v>7264</v>
      </c>
      <c r="G1612" s="6"/>
      <c r="H1612" s="3" t="s">
        <v>7265</v>
      </c>
    </row>
    <row r="1613" spans="1:8" ht="15.75" customHeight="1">
      <c r="A1613" s="3" t="s">
        <v>301</v>
      </c>
      <c r="B1613" s="3" t="s">
        <v>6397</v>
      </c>
      <c r="C1613" s="3" t="s">
        <v>7266</v>
      </c>
      <c r="D1613" s="4" t="s">
        <v>7267</v>
      </c>
      <c r="E1613" s="3" t="s">
        <v>7268</v>
      </c>
      <c r="F1613" s="34" t="s">
        <v>7269</v>
      </c>
      <c r="G1613" s="6"/>
      <c r="H1613" s="3" t="s">
        <v>6923</v>
      </c>
    </row>
    <row r="1614" spans="1:8" ht="15.75" customHeight="1">
      <c r="A1614" s="3" t="s">
        <v>2664</v>
      </c>
      <c r="B1614" s="3" t="s">
        <v>764</v>
      </c>
      <c r="C1614" s="3" t="s">
        <v>2401</v>
      </c>
      <c r="D1614" s="6"/>
      <c r="E1614" s="3" t="s">
        <v>7270</v>
      </c>
      <c r="F1614" s="34" t="s">
        <v>7271</v>
      </c>
      <c r="G1614" s="6"/>
      <c r="H1614" s="3" t="s">
        <v>7272</v>
      </c>
    </row>
    <row r="1615" spans="1:8" ht="15.75" customHeight="1">
      <c r="A1615" s="3" t="s">
        <v>1209</v>
      </c>
      <c r="B1615" s="3" t="s">
        <v>151</v>
      </c>
      <c r="C1615" s="3" t="s">
        <v>2717</v>
      </c>
      <c r="D1615" s="4" t="s">
        <v>6200</v>
      </c>
      <c r="E1615" s="3" t="s">
        <v>6201</v>
      </c>
      <c r="F1615" s="34" t="s">
        <v>6202</v>
      </c>
      <c r="G1615" s="6"/>
      <c r="H1615" s="3" t="s">
        <v>6203</v>
      </c>
    </row>
    <row r="1616" spans="1:8" ht="15.75" customHeight="1">
      <c r="A1616" s="3" t="s">
        <v>800</v>
      </c>
      <c r="B1616" s="3" t="s">
        <v>7273</v>
      </c>
      <c r="C1616" s="3" t="s">
        <v>7274</v>
      </c>
      <c r="D1616" s="4" t="s">
        <v>7275</v>
      </c>
      <c r="E1616" s="3" t="s">
        <v>7276</v>
      </c>
      <c r="F1616" s="34" t="s">
        <v>7277</v>
      </c>
      <c r="G1616" s="6"/>
      <c r="H1616" s="3" t="s">
        <v>7278</v>
      </c>
    </row>
    <row r="1617" spans="1:8" ht="15.75" customHeight="1">
      <c r="A1617" s="3" t="s">
        <v>1419</v>
      </c>
      <c r="B1617" s="3" t="s">
        <v>3068</v>
      </c>
      <c r="C1617" s="3" t="s">
        <v>7279</v>
      </c>
      <c r="D1617" s="4" t="s">
        <v>7280</v>
      </c>
      <c r="E1617" s="3" t="s">
        <v>7281</v>
      </c>
      <c r="F1617" s="34" t="s">
        <v>7282</v>
      </c>
      <c r="G1617" s="6"/>
      <c r="H1617" s="3" t="s">
        <v>7283</v>
      </c>
    </row>
    <row r="1618" spans="1:8" ht="15.75" customHeight="1">
      <c r="A1618" s="3" t="s">
        <v>595</v>
      </c>
      <c r="B1618" s="3" t="s">
        <v>7284</v>
      </c>
      <c r="C1618" s="3" t="s">
        <v>7285</v>
      </c>
      <c r="D1618" s="4" t="s">
        <v>7286</v>
      </c>
      <c r="E1618" s="3" t="s">
        <v>7287</v>
      </c>
      <c r="F1618" s="34" t="s">
        <v>7288</v>
      </c>
      <c r="G1618" s="6"/>
      <c r="H1618" s="3" t="s">
        <v>7289</v>
      </c>
    </row>
    <row r="1619" spans="1:8" ht="15.75" customHeight="1">
      <c r="A1619" s="3" t="s">
        <v>7290</v>
      </c>
      <c r="B1619" s="3" t="s">
        <v>6540</v>
      </c>
      <c r="C1619" s="3" t="s">
        <v>7291</v>
      </c>
      <c r="D1619" s="4" t="s">
        <v>7292</v>
      </c>
      <c r="E1619" s="3" t="s">
        <v>7293</v>
      </c>
      <c r="F1619" s="34" t="s">
        <v>7294</v>
      </c>
      <c r="G1619" s="6"/>
      <c r="H1619" s="3" t="s">
        <v>7295</v>
      </c>
    </row>
    <row r="1620" spans="1:8" ht="15.75" customHeight="1">
      <c r="A1620" s="3" t="s">
        <v>2162</v>
      </c>
      <c r="B1620" s="3" t="s">
        <v>7296</v>
      </c>
      <c r="C1620" s="3" t="s">
        <v>7297</v>
      </c>
      <c r="D1620" s="4" t="s">
        <v>7298</v>
      </c>
      <c r="E1620" s="3" t="s">
        <v>7299</v>
      </c>
      <c r="F1620" s="34" t="s">
        <v>6974</v>
      </c>
      <c r="G1620" s="6"/>
      <c r="H1620" s="3" t="s">
        <v>7300</v>
      </c>
    </row>
    <row r="1621" spans="1:8" ht="15.75" customHeight="1">
      <c r="A1621" s="3" t="s">
        <v>710</v>
      </c>
      <c r="B1621" s="3" t="s">
        <v>7301</v>
      </c>
      <c r="C1621" s="3" t="s">
        <v>303</v>
      </c>
      <c r="D1621" s="6"/>
      <c r="E1621" s="3" t="s">
        <v>7302</v>
      </c>
      <c r="F1621" s="3" t="s">
        <v>7303</v>
      </c>
      <c r="G1621" s="6"/>
      <c r="H1621" s="3" t="s">
        <v>7304</v>
      </c>
    </row>
    <row r="1622" spans="1:8" ht="15.75" customHeight="1">
      <c r="A1622" s="3" t="s">
        <v>763</v>
      </c>
      <c r="B1622" s="3" t="s">
        <v>7305</v>
      </c>
      <c r="C1622" s="3" t="s">
        <v>7306</v>
      </c>
      <c r="D1622" s="4" t="s">
        <v>7307</v>
      </c>
      <c r="E1622" s="3" t="s">
        <v>7308</v>
      </c>
      <c r="F1622" s="6"/>
      <c r="G1622" s="6"/>
      <c r="H1622" s="3" t="s">
        <v>7309</v>
      </c>
    </row>
    <row r="1623" spans="1:8" ht="15.75" customHeight="1">
      <c r="A1623" s="3" t="s">
        <v>69</v>
      </c>
      <c r="B1623" s="3" t="s">
        <v>1277</v>
      </c>
      <c r="C1623" s="3" t="s">
        <v>7310</v>
      </c>
      <c r="D1623" s="4" t="s">
        <v>7311</v>
      </c>
      <c r="E1623" s="3" t="s">
        <v>7312</v>
      </c>
      <c r="F1623" s="34" t="s">
        <v>7313</v>
      </c>
      <c r="G1623" s="6"/>
      <c r="H1623" s="3" t="s">
        <v>7314</v>
      </c>
    </row>
    <row r="1624" spans="1:8" ht="15.75" customHeight="1">
      <c r="A1624" s="3" t="s">
        <v>1517</v>
      </c>
      <c r="B1624" s="3" t="s">
        <v>7200</v>
      </c>
      <c r="C1624" s="3" t="s">
        <v>6191</v>
      </c>
      <c r="D1624" s="4" t="s">
        <v>7315</v>
      </c>
      <c r="E1624" s="3" t="s">
        <v>7202</v>
      </c>
      <c r="F1624" s="6"/>
      <c r="G1624" s="6"/>
      <c r="H1624" s="3" t="s">
        <v>7132</v>
      </c>
    </row>
    <row r="1625" spans="1:8" ht="15.75" customHeight="1">
      <c r="A1625" s="3" t="s">
        <v>184</v>
      </c>
      <c r="B1625" s="3" t="s">
        <v>7316</v>
      </c>
      <c r="C1625" s="3" t="s">
        <v>4364</v>
      </c>
      <c r="D1625" s="4" t="s">
        <v>7317</v>
      </c>
      <c r="E1625" s="3" t="s">
        <v>7318</v>
      </c>
      <c r="F1625" s="34" t="s">
        <v>7210</v>
      </c>
      <c r="G1625" s="6"/>
      <c r="H1625" s="3" t="s">
        <v>7211</v>
      </c>
    </row>
    <row r="1626" spans="1:8" ht="15.75" customHeight="1">
      <c r="A1626" s="3" t="s">
        <v>6243</v>
      </c>
      <c r="B1626" s="3" t="s">
        <v>6869</v>
      </c>
      <c r="C1626" s="3" t="s">
        <v>1684</v>
      </c>
      <c r="D1626" s="4" t="s">
        <v>7319</v>
      </c>
      <c r="E1626" s="3" t="s">
        <v>7320</v>
      </c>
      <c r="F1626" s="34" t="s">
        <v>7321</v>
      </c>
      <c r="G1626" s="6"/>
      <c r="H1626" s="3" t="s">
        <v>7322</v>
      </c>
    </row>
    <row r="1627" spans="1:8" ht="15.75" customHeight="1">
      <c r="A1627" s="3" t="s">
        <v>2257</v>
      </c>
      <c r="B1627" s="3" t="s">
        <v>7323</v>
      </c>
      <c r="C1627" s="3" t="s">
        <v>7324</v>
      </c>
      <c r="D1627" s="4" t="s">
        <v>7325</v>
      </c>
      <c r="E1627" s="3" t="s">
        <v>7326</v>
      </c>
      <c r="F1627" s="6"/>
      <c r="G1627" s="6"/>
      <c r="H1627" s="3" t="s">
        <v>6881</v>
      </c>
    </row>
    <row r="1628" spans="1:8" ht="15.75" customHeight="1">
      <c r="A1628" s="3" t="s">
        <v>2539</v>
      </c>
      <c r="B1628" s="3" t="s">
        <v>4001</v>
      </c>
      <c r="C1628" s="3" t="s">
        <v>4699</v>
      </c>
      <c r="D1628" s="4" t="s">
        <v>7327</v>
      </c>
      <c r="E1628" s="3" t="s">
        <v>7328</v>
      </c>
      <c r="F1628" s="3" t="s">
        <v>7149</v>
      </c>
      <c r="G1628" s="6"/>
      <c r="H1628" s="3" t="s">
        <v>7329</v>
      </c>
    </row>
    <row r="1629" spans="1:8" ht="15.75" customHeight="1">
      <c r="A1629" s="3" t="s">
        <v>7330</v>
      </c>
      <c r="B1629" s="3" t="s">
        <v>7331</v>
      </c>
      <c r="C1629" s="3" t="s">
        <v>5275</v>
      </c>
      <c r="D1629" s="4" t="s">
        <v>7332</v>
      </c>
      <c r="E1629" s="6"/>
      <c r="F1629" s="34" t="s">
        <v>7333</v>
      </c>
      <c r="G1629" s="6"/>
      <c r="H1629" s="3" t="s">
        <v>7334</v>
      </c>
    </row>
    <row r="1630" spans="1:8" ht="15.75" customHeight="1">
      <c r="A1630" s="3" t="s">
        <v>7335</v>
      </c>
      <c r="B1630" s="3" t="s">
        <v>185</v>
      </c>
      <c r="C1630" s="3" t="s">
        <v>7336</v>
      </c>
      <c r="D1630" s="4" t="s">
        <v>7337</v>
      </c>
      <c r="E1630" s="3" t="s">
        <v>7338</v>
      </c>
      <c r="F1630" s="6"/>
      <c r="G1630" s="6"/>
      <c r="H1630" s="3" t="s">
        <v>7339</v>
      </c>
    </row>
    <row r="1631" spans="1:8" ht="15.75" customHeight="1">
      <c r="A1631" s="3" t="s">
        <v>1397</v>
      </c>
      <c r="B1631" s="3" t="s">
        <v>3149</v>
      </c>
      <c r="C1631" s="3" t="s">
        <v>5263</v>
      </c>
      <c r="D1631" s="4" t="s">
        <v>7340</v>
      </c>
      <c r="E1631" s="3" t="s">
        <v>7341</v>
      </c>
      <c r="F1631" s="34" t="s">
        <v>7342</v>
      </c>
      <c r="G1631" s="6"/>
      <c r="H1631" s="3" t="s">
        <v>7343</v>
      </c>
    </row>
    <row r="1632" spans="1:8" ht="15.75" customHeight="1">
      <c r="A1632" s="3" t="s">
        <v>721</v>
      </c>
      <c r="B1632" s="3" t="s">
        <v>198</v>
      </c>
      <c r="C1632" s="3" t="s">
        <v>7344</v>
      </c>
      <c r="D1632" s="4" t="s">
        <v>7345</v>
      </c>
      <c r="E1632" s="3" t="s">
        <v>7346</v>
      </c>
      <c r="F1632" s="6"/>
      <c r="G1632" s="6"/>
      <c r="H1632" s="3" t="s">
        <v>6992</v>
      </c>
    </row>
    <row r="1633" spans="1:8" ht="15.75" customHeight="1">
      <c r="A1633" s="3" t="s">
        <v>667</v>
      </c>
      <c r="B1633" s="3" t="s">
        <v>277</v>
      </c>
      <c r="C1633" s="3" t="s">
        <v>7347</v>
      </c>
      <c r="D1633" s="4" t="s">
        <v>7348</v>
      </c>
      <c r="E1633" s="3" t="s">
        <v>7349</v>
      </c>
      <c r="F1633" s="6"/>
      <c r="G1633" s="6"/>
      <c r="H1633" s="3" t="s">
        <v>7350</v>
      </c>
    </row>
    <row r="1634" spans="1:8" ht="15.75" customHeight="1">
      <c r="A1634" s="3" t="s">
        <v>289</v>
      </c>
      <c r="B1634" s="3" t="s">
        <v>198</v>
      </c>
      <c r="C1634" s="3" t="s">
        <v>5263</v>
      </c>
      <c r="D1634" s="4" t="s">
        <v>7351</v>
      </c>
      <c r="E1634" s="3" t="s">
        <v>7352</v>
      </c>
      <c r="F1634" s="34" t="s">
        <v>7353</v>
      </c>
      <c r="G1634" s="6"/>
      <c r="H1634" s="3" t="s">
        <v>7354</v>
      </c>
    </row>
    <row r="1635" spans="1:8" ht="15.75" customHeight="1">
      <c r="A1635" s="3" t="s">
        <v>7355</v>
      </c>
      <c r="B1635" s="3" t="s">
        <v>7356</v>
      </c>
      <c r="C1635" s="3" t="s">
        <v>7357</v>
      </c>
      <c r="D1635" s="4" t="s">
        <v>7358</v>
      </c>
      <c r="E1635" s="3" t="s">
        <v>7359</v>
      </c>
      <c r="F1635" s="34" t="s">
        <v>7282</v>
      </c>
      <c r="G1635" s="6"/>
      <c r="H1635" s="3" t="s">
        <v>7283</v>
      </c>
    </row>
    <row r="1636" spans="1:8" ht="15.75" customHeight="1">
      <c r="A1636" s="3" t="s">
        <v>155</v>
      </c>
      <c r="B1636" s="3" t="s">
        <v>1101</v>
      </c>
      <c r="C1636" s="3" t="s">
        <v>7360</v>
      </c>
      <c r="D1636" s="6"/>
      <c r="E1636" s="3" t="s">
        <v>7361</v>
      </c>
      <c r="F1636" s="3" t="s">
        <v>7362</v>
      </c>
      <c r="G1636" s="6"/>
      <c r="H1636" s="3" t="s">
        <v>6920</v>
      </c>
    </row>
    <row r="1637" spans="1:8" ht="15.75" customHeight="1">
      <c r="A1637" s="3" t="s">
        <v>710</v>
      </c>
      <c r="B1637" s="3" t="s">
        <v>3149</v>
      </c>
      <c r="C1637" s="3" t="s">
        <v>5096</v>
      </c>
      <c r="D1637" s="4" t="s">
        <v>5097</v>
      </c>
      <c r="E1637" s="3" t="s">
        <v>5098</v>
      </c>
      <c r="F1637" s="34" t="s">
        <v>5099</v>
      </c>
      <c r="G1637" s="6"/>
      <c r="H1637" s="3" t="s">
        <v>5100</v>
      </c>
    </row>
    <row r="1638" spans="1:8" ht="15.75" customHeight="1">
      <c r="A1638" s="3" t="s">
        <v>907</v>
      </c>
      <c r="B1638" s="3" t="s">
        <v>7125</v>
      </c>
      <c r="C1638" s="3" t="s">
        <v>7363</v>
      </c>
      <c r="D1638" s="4" t="s">
        <v>7364</v>
      </c>
      <c r="E1638" s="3" t="s">
        <v>7365</v>
      </c>
      <c r="F1638" s="34" t="s">
        <v>6913</v>
      </c>
      <c r="G1638" s="6"/>
      <c r="H1638" s="3" t="s">
        <v>6914</v>
      </c>
    </row>
    <row r="1639" spans="1:8" ht="15.75" customHeight="1">
      <c r="A1639" s="3" t="s">
        <v>5108</v>
      </c>
      <c r="B1639" s="3" t="s">
        <v>1698</v>
      </c>
      <c r="C1639" s="3" t="s">
        <v>7366</v>
      </c>
      <c r="D1639" s="4" t="s">
        <v>7367</v>
      </c>
      <c r="E1639" s="3" t="s">
        <v>7368</v>
      </c>
      <c r="F1639" s="3" t="s">
        <v>7369</v>
      </c>
      <c r="G1639" s="6"/>
      <c r="H1639" s="3" t="s">
        <v>7093</v>
      </c>
    </row>
    <row r="1640" spans="1:8" ht="15.75" customHeight="1">
      <c r="A1640" s="3" t="s">
        <v>7370</v>
      </c>
      <c r="B1640" s="3" t="s">
        <v>7371</v>
      </c>
      <c r="C1640" s="3" t="s">
        <v>5641</v>
      </c>
      <c r="D1640" s="4" t="s">
        <v>7372</v>
      </c>
      <c r="E1640" s="3" t="s">
        <v>7373</v>
      </c>
      <c r="F1640" s="34" t="s">
        <v>7374</v>
      </c>
      <c r="G1640" s="6"/>
      <c r="H1640" s="3" t="s">
        <v>7375</v>
      </c>
    </row>
    <row r="1641" spans="1:8" ht="15.75" customHeight="1">
      <c r="A1641" s="3" t="s">
        <v>4470</v>
      </c>
      <c r="B1641" s="3" t="s">
        <v>7376</v>
      </c>
      <c r="C1641" s="3" t="s">
        <v>5263</v>
      </c>
      <c r="D1641" s="4" t="s">
        <v>7377</v>
      </c>
      <c r="E1641" s="3" t="s">
        <v>7378</v>
      </c>
      <c r="F1641" s="34" t="s">
        <v>7379</v>
      </c>
      <c r="G1641" s="6"/>
      <c r="H1641" s="3" t="s">
        <v>7380</v>
      </c>
    </row>
    <row r="1642" spans="1:8" ht="15.75" customHeight="1">
      <c r="A1642" s="3" t="s">
        <v>517</v>
      </c>
      <c r="B1642" s="3" t="s">
        <v>7381</v>
      </c>
      <c r="C1642" s="3" t="s">
        <v>7382</v>
      </c>
      <c r="D1642" s="4" t="s">
        <v>7383</v>
      </c>
      <c r="E1642" s="3" t="s">
        <v>7384</v>
      </c>
      <c r="F1642" s="34" t="s">
        <v>7245</v>
      </c>
      <c r="G1642" s="6"/>
      <c r="H1642" s="3" t="s">
        <v>7246</v>
      </c>
    </row>
    <row r="1643" spans="1:8" ht="15.75" customHeight="1">
      <c r="A1643" s="3" t="s">
        <v>371</v>
      </c>
      <c r="B1643" s="3" t="s">
        <v>1491</v>
      </c>
      <c r="C1643" s="3" t="s">
        <v>7385</v>
      </c>
      <c r="D1643" s="4" t="s">
        <v>7386</v>
      </c>
      <c r="E1643" s="3" t="s">
        <v>7387</v>
      </c>
      <c r="F1643" s="6"/>
      <c r="G1643" s="6"/>
      <c r="H1643" s="3" t="s">
        <v>7156</v>
      </c>
    </row>
    <row r="1644" spans="1:8" ht="15.75" customHeight="1">
      <c r="A1644" s="3" t="s">
        <v>7388</v>
      </c>
      <c r="B1644" s="3" t="s">
        <v>4216</v>
      </c>
      <c r="C1644" s="3" t="s">
        <v>7389</v>
      </c>
      <c r="D1644" s="4" t="s">
        <v>7390</v>
      </c>
      <c r="E1644" s="3" t="s">
        <v>7391</v>
      </c>
      <c r="F1644" s="6"/>
      <c r="G1644" s="6"/>
      <c r="H1644" s="3" t="s">
        <v>7350</v>
      </c>
    </row>
    <row r="1645" spans="1:8" ht="15.75" customHeight="1">
      <c r="A1645" s="3" t="s">
        <v>800</v>
      </c>
      <c r="B1645" s="3" t="s">
        <v>7160</v>
      </c>
      <c r="C1645" s="3" t="s">
        <v>4290</v>
      </c>
      <c r="D1645" s="4" t="s">
        <v>7392</v>
      </c>
      <c r="E1645" s="3" t="s">
        <v>7393</v>
      </c>
      <c r="F1645" s="6"/>
      <c r="G1645" s="6"/>
      <c r="H1645" s="3" t="s">
        <v>7394</v>
      </c>
    </row>
    <row r="1646" spans="1:8" ht="15.75" customHeight="1">
      <c r="A1646" s="3" t="s">
        <v>5802</v>
      </c>
      <c r="B1646" s="3" t="s">
        <v>3448</v>
      </c>
      <c r="C1646" s="3" t="s">
        <v>7395</v>
      </c>
      <c r="D1646" s="4" t="s">
        <v>7396</v>
      </c>
      <c r="E1646" s="3" t="s">
        <v>7397</v>
      </c>
      <c r="F1646" s="34" t="s">
        <v>7398</v>
      </c>
      <c r="G1646" s="6"/>
      <c r="H1646" s="3" t="s">
        <v>7399</v>
      </c>
    </row>
    <row r="1647" spans="1:8" ht="15.75" customHeight="1">
      <c r="A1647" s="3" t="s">
        <v>572</v>
      </c>
      <c r="B1647" s="3" t="s">
        <v>4299</v>
      </c>
      <c r="C1647" s="3" t="s">
        <v>5291</v>
      </c>
      <c r="D1647" s="4" t="s">
        <v>7400</v>
      </c>
      <c r="E1647" s="3" t="s">
        <v>7401</v>
      </c>
      <c r="F1647" s="6"/>
      <c r="G1647" s="6"/>
      <c r="H1647" s="3" t="s">
        <v>7402</v>
      </c>
    </row>
    <row r="1648" spans="1:8" ht="15.75" customHeight="1">
      <c r="A1648" s="3" t="s">
        <v>2705</v>
      </c>
      <c r="B1648" s="3" t="s">
        <v>7403</v>
      </c>
      <c r="C1648" s="3" t="s">
        <v>1684</v>
      </c>
      <c r="D1648" s="4" t="s">
        <v>7404</v>
      </c>
      <c r="E1648" s="3" t="s">
        <v>7405</v>
      </c>
      <c r="F1648" s="34" t="s">
        <v>7406</v>
      </c>
      <c r="G1648" s="6"/>
      <c r="H1648" s="3" t="s">
        <v>7407</v>
      </c>
    </row>
    <row r="1649" spans="1:8" ht="15.75" customHeight="1">
      <c r="A1649" s="3" t="s">
        <v>308</v>
      </c>
      <c r="B1649" s="3" t="s">
        <v>277</v>
      </c>
      <c r="C1649" s="3" t="s">
        <v>1684</v>
      </c>
      <c r="D1649" s="4" t="s">
        <v>7408</v>
      </c>
      <c r="E1649" s="3" t="s">
        <v>7409</v>
      </c>
      <c r="F1649" s="34" t="s">
        <v>7410</v>
      </c>
      <c r="G1649" s="6"/>
      <c r="H1649" s="3" t="s">
        <v>7411</v>
      </c>
    </row>
    <row r="1650" spans="1:8" ht="15.75" customHeight="1">
      <c r="A1650" s="3" t="s">
        <v>394</v>
      </c>
      <c r="B1650" s="3" t="s">
        <v>1387</v>
      </c>
      <c r="C1650" s="3" t="s">
        <v>7412</v>
      </c>
      <c r="D1650" s="4" t="s">
        <v>7413</v>
      </c>
      <c r="E1650" s="3" t="s">
        <v>7414</v>
      </c>
      <c r="F1650" s="34" t="s">
        <v>7415</v>
      </c>
      <c r="G1650" s="6"/>
      <c r="H1650" s="3" t="s">
        <v>7055</v>
      </c>
    </row>
    <row r="1651" spans="1:8" ht="15.75" customHeight="1">
      <c r="A1651" s="3" t="s">
        <v>2051</v>
      </c>
      <c r="B1651" s="3" t="s">
        <v>221</v>
      </c>
      <c r="C1651" s="3" t="s">
        <v>7416</v>
      </c>
      <c r="D1651" s="4" t="s">
        <v>7417</v>
      </c>
      <c r="E1651" s="3" t="s">
        <v>7418</v>
      </c>
      <c r="F1651" s="34" t="s">
        <v>7419</v>
      </c>
      <c r="G1651" s="6"/>
      <c r="H1651" s="3" t="s">
        <v>7420</v>
      </c>
    </row>
    <row r="1652" spans="1:8" ht="15.75" customHeight="1">
      <c r="A1652" s="3" t="s">
        <v>4168</v>
      </c>
      <c r="B1652" s="3" t="s">
        <v>7421</v>
      </c>
      <c r="C1652" s="3" t="s">
        <v>7422</v>
      </c>
      <c r="D1652" s="4" t="s">
        <v>7423</v>
      </c>
      <c r="E1652" s="3" t="s">
        <v>7424</v>
      </c>
      <c r="F1652" s="34" t="s">
        <v>7425</v>
      </c>
      <c r="G1652" s="6"/>
      <c r="H1652" s="3" t="s">
        <v>7426</v>
      </c>
    </row>
    <row r="1653" spans="1:8" ht="15.75" customHeight="1">
      <c r="A1653" s="3" t="s">
        <v>2705</v>
      </c>
      <c r="B1653" s="3" t="s">
        <v>7427</v>
      </c>
      <c r="C1653" s="3" t="s">
        <v>7428</v>
      </c>
      <c r="D1653" s="4" t="s">
        <v>7429</v>
      </c>
      <c r="E1653" s="3" t="s">
        <v>7430</v>
      </c>
      <c r="F1653" s="34" t="s">
        <v>7210</v>
      </c>
      <c r="G1653" s="6"/>
      <c r="H1653" s="3" t="s">
        <v>7211</v>
      </c>
    </row>
    <row r="1654" spans="1:8" ht="15.75" customHeight="1">
      <c r="A1654" s="3" t="s">
        <v>4190</v>
      </c>
      <c r="B1654" s="3" t="s">
        <v>2751</v>
      </c>
      <c r="C1654" s="3" t="s">
        <v>4357</v>
      </c>
      <c r="D1654" s="4" t="s">
        <v>7431</v>
      </c>
      <c r="E1654" s="3" t="s">
        <v>7432</v>
      </c>
      <c r="F1654" s="34" t="s">
        <v>7433</v>
      </c>
      <c r="G1654" s="6"/>
      <c r="H1654" s="3" t="s">
        <v>7434</v>
      </c>
    </row>
    <row r="1655" spans="1:8" ht="15.75" customHeight="1">
      <c r="A1655" s="3" t="s">
        <v>165</v>
      </c>
      <c r="B1655" s="3" t="s">
        <v>7435</v>
      </c>
      <c r="C1655" s="3" t="s">
        <v>7436</v>
      </c>
      <c r="D1655" s="6"/>
      <c r="E1655" s="3" t="s">
        <v>7437</v>
      </c>
      <c r="F1655" s="35">
        <v>5.21555E+17</v>
      </c>
      <c r="G1655" s="6"/>
      <c r="H1655" s="3" t="s">
        <v>7438</v>
      </c>
    </row>
    <row r="1656" spans="1:8" ht="15.75" customHeight="1">
      <c r="A1656" s="3" t="s">
        <v>2027</v>
      </c>
      <c r="B1656" s="3" t="s">
        <v>7439</v>
      </c>
      <c r="C1656" s="3" t="s">
        <v>7440</v>
      </c>
      <c r="D1656" s="4" t="s">
        <v>7441</v>
      </c>
      <c r="E1656" s="3" t="s">
        <v>7442</v>
      </c>
      <c r="F1656" s="34" t="s">
        <v>7163</v>
      </c>
      <c r="G1656" s="6"/>
      <c r="H1656" s="3" t="s">
        <v>7164</v>
      </c>
    </row>
    <row r="1657" spans="1:8" ht="15.75" customHeight="1">
      <c r="A1657" s="3" t="s">
        <v>2674</v>
      </c>
      <c r="B1657" s="3" t="s">
        <v>6787</v>
      </c>
      <c r="C1657" s="3" t="s">
        <v>7443</v>
      </c>
      <c r="D1657" s="4" t="s">
        <v>7444</v>
      </c>
      <c r="E1657" s="3" t="s">
        <v>7445</v>
      </c>
      <c r="F1657" s="6"/>
      <c r="G1657" s="6"/>
      <c r="H1657" s="3" t="s">
        <v>6881</v>
      </c>
    </row>
    <row r="1658" spans="1:8" ht="15.75" customHeight="1">
      <c r="A1658" s="3" t="s">
        <v>710</v>
      </c>
      <c r="B1658" s="3" t="s">
        <v>7446</v>
      </c>
      <c r="C1658" s="3" t="s">
        <v>7447</v>
      </c>
      <c r="D1658" s="4" t="s">
        <v>7448</v>
      </c>
      <c r="E1658" s="3" t="s">
        <v>7449</v>
      </c>
      <c r="F1658" s="34" t="s">
        <v>7077</v>
      </c>
      <c r="G1658" s="6"/>
      <c r="H1658" s="3" t="s">
        <v>7078</v>
      </c>
    </row>
    <row r="1659" spans="1:8" ht="15.75" customHeight="1">
      <c r="A1659" s="3" t="s">
        <v>7450</v>
      </c>
      <c r="B1659" s="3" t="s">
        <v>7451</v>
      </c>
      <c r="C1659" s="3" t="s">
        <v>7452</v>
      </c>
      <c r="D1659" s="4" t="s">
        <v>7453</v>
      </c>
      <c r="E1659" s="3" t="s">
        <v>7454</v>
      </c>
      <c r="F1659" s="34" t="s">
        <v>7455</v>
      </c>
      <c r="G1659" s="6"/>
      <c r="H1659" s="3" t="s">
        <v>7456</v>
      </c>
    </row>
    <row r="1660" spans="1:8" ht="15.75" customHeight="1">
      <c r="A1660" s="3" t="s">
        <v>7457</v>
      </c>
      <c r="B1660" s="3" t="s">
        <v>1949</v>
      </c>
      <c r="C1660" s="3" t="s">
        <v>7089</v>
      </c>
      <c r="D1660" s="4" t="s">
        <v>7458</v>
      </c>
      <c r="E1660" s="3" t="s">
        <v>7459</v>
      </c>
      <c r="F1660" s="6"/>
      <c r="G1660" s="6"/>
      <c r="H1660" s="3" t="s">
        <v>7460</v>
      </c>
    </row>
    <row r="1661" spans="1:8" ht="15.75" customHeight="1">
      <c r="A1661" s="3" t="s">
        <v>7461</v>
      </c>
      <c r="B1661" s="3" t="s">
        <v>7462</v>
      </c>
      <c r="C1661" s="3" t="s">
        <v>4300</v>
      </c>
      <c r="D1661" s="4" t="s">
        <v>7463</v>
      </c>
      <c r="E1661" s="3" t="s">
        <v>7464</v>
      </c>
      <c r="F1661" s="34" t="s">
        <v>6927</v>
      </c>
      <c r="G1661" s="6"/>
      <c r="H1661" s="3" t="s">
        <v>6928</v>
      </c>
    </row>
    <row r="1662" spans="1:8" ht="15.75" customHeight="1">
      <c r="A1662" s="3" t="s">
        <v>7465</v>
      </c>
      <c r="B1662" s="3" t="s">
        <v>801</v>
      </c>
      <c r="C1662" s="3" t="s">
        <v>691</v>
      </c>
      <c r="D1662" s="4" t="s">
        <v>7466</v>
      </c>
      <c r="E1662" s="3" t="s">
        <v>7467</v>
      </c>
      <c r="F1662" s="34" t="s">
        <v>7468</v>
      </c>
      <c r="G1662" s="6"/>
      <c r="H1662" s="3" t="s">
        <v>7469</v>
      </c>
    </row>
    <row r="1663" spans="1:8" ht="15.75" customHeight="1">
      <c r="A1663" s="3" t="s">
        <v>6641</v>
      </c>
      <c r="B1663" s="3" t="s">
        <v>7470</v>
      </c>
      <c r="C1663" s="3" t="s">
        <v>691</v>
      </c>
      <c r="D1663" s="4" t="s">
        <v>7471</v>
      </c>
      <c r="E1663" s="3" t="s">
        <v>7472</v>
      </c>
      <c r="F1663" s="34" t="s">
        <v>7473</v>
      </c>
      <c r="G1663" s="6"/>
      <c r="H1663" s="3" t="s">
        <v>7474</v>
      </c>
    </row>
    <row r="1664" spans="1:8" ht="15.75" customHeight="1">
      <c r="A1664" s="3" t="s">
        <v>7475</v>
      </c>
      <c r="B1664" s="3" t="s">
        <v>2947</v>
      </c>
      <c r="C1664" s="3" t="s">
        <v>1684</v>
      </c>
      <c r="D1664" s="4" t="s">
        <v>7476</v>
      </c>
      <c r="E1664" s="3" t="s">
        <v>7477</v>
      </c>
      <c r="F1664" s="6"/>
      <c r="G1664" s="6"/>
      <c r="H1664" s="3" t="s">
        <v>7478</v>
      </c>
    </row>
    <row r="1665" spans="1:8" ht="15.75" customHeight="1">
      <c r="A1665" s="3" t="s">
        <v>7479</v>
      </c>
      <c r="B1665" s="3" t="s">
        <v>7480</v>
      </c>
      <c r="C1665" s="3" t="s">
        <v>7481</v>
      </c>
      <c r="D1665" s="4" t="s">
        <v>7482</v>
      </c>
      <c r="E1665" s="3" t="s">
        <v>7483</v>
      </c>
      <c r="F1665" s="3" t="s">
        <v>7484</v>
      </c>
      <c r="G1665" s="6"/>
      <c r="H1665" s="3" t="s">
        <v>7485</v>
      </c>
    </row>
    <row r="1666" spans="1:8" ht="15.75" customHeight="1">
      <c r="A1666" s="3" t="s">
        <v>301</v>
      </c>
      <c r="B1666" s="3" t="s">
        <v>185</v>
      </c>
      <c r="C1666" s="3" t="s">
        <v>4699</v>
      </c>
      <c r="D1666" s="6"/>
      <c r="E1666" s="3" t="s">
        <v>7486</v>
      </c>
      <c r="F1666" s="34" t="s">
        <v>6913</v>
      </c>
      <c r="G1666" s="6"/>
      <c r="H1666" s="3" t="s">
        <v>6914</v>
      </c>
    </row>
    <row r="1667" spans="1:8" ht="15.75" customHeight="1">
      <c r="A1667" s="3" t="s">
        <v>1214</v>
      </c>
      <c r="B1667" s="3" t="s">
        <v>2150</v>
      </c>
      <c r="C1667" s="3" t="s">
        <v>5263</v>
      </c>
      <c r="D1667" s="4" t="s">
        <v>7487</v>
      </c>
      <c r="E1667" s="3" t="s">
        <v>7488</v>
      </c>
      <c r="F1667" s="34" t="s">
        <v>7155</v>
      </c>
      <c r="G1667" s="6"/>
      <c r="H1667" s="3" t="s">
        <v>7156</v>
      </c>
    </row>
    <row r="1668" spans="1:8" ht="15.75" customHeight="1">
      <c r="A1668" s="3" t="s">
        <v>7489</v>
      </c>
      <c r="B1668" s="3" t="s">
        <v>7490</v>
      </c>
      <c r="C1668" s="3" t="s">
        <v>5380</v>
      </c>
      <c r="D1668" s="6"/>
      <c r="E1668" s="3" t="s">
        <v>7491</v>
      </c>
      <c r="F1668" s="3" t="s">
        <v>7492</v>
      </c>
      <c r="G1668" s="6"/>
      <c r="H1668" s="3" t="s">
        <v>7493</v>
      </c>
    </row>
    <row r="1669" spans="1:8" ht="15.75" customHeight="1">
      <c r="A1669" s="3" t="s">
        <v>413</v>
      </c>
      <c r="B1669" s="3" t="s">
        <v>6809</v>
      </c>
      <c r="C1669" s="3" t="s">
        <v>303</v>
      </c>
      <c r="D1669" s="4" t="s">
        <v>6810</v>
      </c>
      <c r="E1669" s="3" t="s">
        <v>6811</v>
      </c>
      <c r="F1669" s="3" t="s">
        <v>5246</v>
      </c>
      <c r="G1669" s="6"/>
      <c r="H1669" s="3" t="s">
        <v>5247</v>
      </c>
    </row>
    <row r="1670" spans="1:8" ht="15.75" customHeight="1">
      <c r="A1670" s="3" t="s">
        <v>600</v>
      </c>
      <c r="B1670" s="3" t="s">
        <v>7494</v>
      </c>
      <c r="C1670" s="3" t="s">
        <v>229</v>
      </c>
      <c r="D1670" s="4" t="s">
        <v>7495</v>
      </c>
      <c r="E1670" s="3" t="s">
        <v>7496</v>
      </c>
      <c r="F1670" s="3" t="s">
        <v>7497</v>
      </c>
      <c r="G1670" s="6"/>
      <c r="H1670" s="3" t="s">
        <v>7498</v>
      </c>
    </row>
    <row r="1671" spans="1:8" ht="15.75" customHeight="1">
      <c r="A1671" s="3" t="s">
        <v>160</v>
      </c>
      <c r="B1671" s="3" t="s">
        <v>4970</v>
      </c>
      <c r="C1671" s="3" t="s">
        <v>229</v>
      </c>
      <c r="D1671" s="4" t="s">
        <v>7499</v>
      </c>
      <c r="E1671" s="3" t="s">
        <v>7500</v>
      </c>
      <c r="F1671" s="6"/>
      <c r="G1671" s="6"/>
      <c r="H1671" s="3" t="s">
        <v>7501</v>
      </c>
    </row>
    <row r="1672" spans="1:8" ht="15.75" customHeight="1">
      <c r="A1672" s="3" t="s">
        <v>184</v>
      </c>
      <c r="B1672" s="3" t="s">
        <v>333</v>
      </c>
      <c r="C1672" s="3" t="s">
        <v>5182</v>
      </c>
      <c r="D1672" s="4" t="s">
        <v>7502</v>
      </c>
      <c r="E1672" s="3" t="s">
        <v>7503</v>
      </c>
      <c r="F1672" s="34" t="s">
        <v>7504</v>
      </c>
      <c r="G1672" s="6"/>
      <c r="H1672" s="3" t="s">
        <v>7505</v>
      </c>
    </row>
    <row r="1673" spans="1:8" ht="15.75" customHeight="1">
      <c r="A1673" s="3" t="s">
        <v>2289</v>
      </c>
      <c r="B1673" s="3" t="s">
        <v>7506</v>
      </c>
      <c r="C1673" s="3" t="s">
        <v>303</v>
      </c>
      <c r="D1673" s="4" t="s">
        <v>7507</v>
      </c>
      <c r="E1673" s="3" t="s">
        <v>7508</v>
      </c>
      <c r="F1673" s="34" t="s">
        <v>7509</v>
      </c>
      <c r="G1673" s="6"/>
      <c r="H1673" s="3" t="s">
        <v>7510</v>
      </c>
    </row>
    <row r="1674" spans="1:8" ht="15.75" customHeight="1">
      <c r="A1674" s="3" t="s">
        <v>7511</v>
      </c>
      <c r="B1674" s="3" t="s">
        <v>7512</v>
      </c>
      <c r="C1674" s="3" t="s">
        <v>7513</v>
      </c>
      <c r="D1674" s="4" t="s">
        <v>7514</v>
      </c>
      <c r="E1674" s="3" t="s">
        <v>7515</v>
      </c>
      <c r="F1674" s="34" t="s">
        <v>7516</v>
      </c>
      <c r="G1674" s="6"/>
      <c r="H1674" s="3" t="s">
        <v>7517</v>
      </c>
    </row>
    <row r="1675" spans="1:8" ht="15.75" customHeight="1">
      <c r="A1675" s="3" t="s">
        <v>1517</v>
      </c>
      <c r="B1675" s="3" t="s">
        <v>5543</v>
      </c>
      <c r="C1675" s="3" t="s">
        <v>5822</v>
      </c>
      <c r="D1675" s="4" t="s">
        <v>7518</v>
      </c>
      <c r="E1675" s="3" t="s">
        <v>7519</v>
      </c>
      <c r="F1675" s="6"/>
      <c r="G1675" s="6"/>
      <c r="H1675" s="3" t="s">
        <v>7520</v>
      </c>
    </row>
    <row r="1676" spans="1:8" ht="15.75" customHeight="1">
      <c r="A1676" s="3" t="s">
        <v>1541</v>
      </c>
      <c r="B1676" s="3" t="s">
        <v>7521</v>
      </c>
      <c r="C1676" s="3" t="s">
        <v>7522</v>
      </c>
      <c r="D1676" s="4" t="s">
        <v>7523</v>
      </c>
      <c r="E1676" s="3" t="s">
        <v>7524</v>
      </c>
      <c r="F1676" s="34" t="s">
        <v>7236</v>
      </c>
      <c r="G1676" s="6"/>
      <c r="H1676" s="3" t="s">
        <v>7237</v>
      </c>
    </row>
    <row r="1677" spans="1:8" ht="15.75" customHeight="1">
      <c r="A1677" s="3" t="s">
        <v>6470</v>
      </c>
      <c r="B1677" s="3" t="s">
        <v>6471</v>
      </c>
      <c r="C1677" s="3" t="s">
        <v>303</v>
      </c>
      <c r="D1677" s="4" t="s">
        <v>6472</v>
      </c>
      <c r="E1677" s="3" t="s">
        <v>6473</v>
      </c>
      <c r="F1677" s="34" t="s">
        <v>6474</v>
      </c>
      <c r="G1677" s="6"/>
      <c r="H1677" s="3" t="s">
        <v>5247</v>
      </c>
    </row>
    <row r="1678" spans="1:8" ht="15.75" customHeight="1">
      <c r="A1678" s="3" t="s">
        <v>517</v>
      </c>
      <c r="B1678" s="3" t="s">
        <v>7525</v>
      </c>
      <c r="C1678" s="3" t="s">
        <v>1684</v>
      </c>
      <c r="D1678" s="6"/>
      <c r="E1678" s="3" t="s">
        <v>7526</v>
      </c>
      <c r="F1678" s="34" t="s">
        <v>7527</v>
      </c>
      <c r="G1678" s="6"/>
      <c r="H1678" s="3" t="s">
        <v>7528</v>
      </c>
    </row>
    <row r="1679" spans="1:8" ht="15.75" customHeight="1">
      <c r="A1679" s="3" t="s">
        <v>1019</v>
      </c>
      <c r="B1679" s="3" t="s">
        <v>629</v>
      </c>
      <c r="C1679" s="3" t="s">
        <v>7529</v>
      </c>
      <c r="D1679" s="4" t="s">
        <v>7530</v>
      </c>
      <c r="E1679" s="3" t="s">
        <v>7531</v>
      </c>
      <c r="F1679" s="34" t="s">
        <v>7532</v>
      </c>
      <c r="G1679" s="6"/>
      <c r="H1679" s="3" t="s">
        <v>7533</v>
      </c>
    </row>
    <row r="1680" spans="1:8" ht="15.75" customHeight="1">
      <c r="A1680" s="3" t="s">
        <v>2664</v>
      </c>
      <c r="B1680" s="3" t="s">
        <v>7534</v>
      </c>
      <c r="C1680" s="3" t="s">
        <v>4203</v>
      </c>
      <c r="D1680" s="4" t="s">
        <v>7535</v>
      </c>
      <c r="E1680" s="3" t="s">
        <v>7536</v>
      </c>
      <c r="F1680" s="6"/>
      <c r="G1680" s="6"/>
      <c r="H1680" s="3" t="s">
        <v>7537</v>
      </c>
    </row>
    <row r="1681" spans="1:8" ht="15.75" customHeight="1">
      <c r="A1681" s="3" t="s">
        <v>1501</v>
      </c>
      <c r="B1681" s="3" t="s">
        <v>45</v>
      </c>
      <c r="C1681" s="3" t="s">
        <v>5269</v>
      </c>
      <c r="D1681" s="4" t="s">
        <v>7538</v>
      </c>
      <c r="E1681" s="3" t="s">
        <v>7539</v>
      </c>
      <c r="F1681" s="34" t="s">
        <v>7123</v>
      </c>
      <c r="G1681" s="6"/>
      <c r="H1681" s="3" t="s">
        <v>7124</v>
      </c>
    </row>
    <row r="1682" spans="1:8" ht="15.75" customHeight="1">
      <c r="A1682" s="3" t="s">
        <v>171</v>
      </c>
      <c r="B1682" s="3" t="s">
        <v>1129</v>
      </c>
      <c r="C1682" s="3" t="s">
        <v>7540</v>
      </c>
      <c r="D1682" s="4" t="s">
        <v>7541</v>
      </c>
      <c r="E1682" s="3" t="s">
        <v>7542</v>
      </c>
      <c r="F1682" s="34" t="s">
        <v>7543</v>
      </c>
      <c r="G1682" s="6"/>
      <c r="H1682" s="3" t="s">
        <v>7544</v>
      </c>
    </row>
    <row r="1683" spans="1:8" ht="15.75" customHeight="1">
      <c r="A1683" s="3" t="s">
        <v>656</v>
      </c>
      <c r="B1683" s="3" t="s">
        <v>7545</v>
      </c>
      <c r="C1683" s="3" t="s">
        <v>2327</v>
      </c>
      <c r="D1683" s="4" t="s">
        <v>7546</v>
      </c>
      <c r="E1683" s="3" t="s">
        <v>7547</v>
      </c>
      <c r="F1683" s="34" t="s">
        <v>7548</v>
      </c>
      <c r="G1683" s="6"/>
      <c r="H1683" s="3" t="s">
        <v>7549</v>
      </c>
    </row>
    <row r="1684" spans="1:8" ht="15.75" customHeight="1">
      <c r="A1684" s="3" t="s">
        <v>7550</v>
      </c>
      <c r="B1684" s="3" t="s">
        <v>6334</v>
      </c>
      <c r="C1684" s="3" t="s">
        <v>7551</v>
      </c>
      <c r="D1684" s="4" t="s">
        <v>7552</v>
      </c>
      <c r="E1684" s="3" t="s">
        <v>7553</v>
      </c>
      <c r="F1684" s="34" t="s">
        <v>7554</v>
      </c>
      <c r="G1684" s="6"/>
      <c r="H1684" s="3" t="s">
        <v>7555</v>
      </c>
    </row>
    <row r="1685" spans="1:8" ht="15.75" customHeight="1">
      <c r="A1685" s="3" t="s">
        <v>3236</v>
      </c>
      <c r="B1685" s="3" t="s">
        <v>49</v>
      </c>
      <c r="C1685" s="3" t="s">
        <v>7556</v>
      </c>
      <c r="D1685" s="4" t="s">
        <v>7557</v>
      </c>
      <c r="E1685" s="3" t="s">
        <v>7558</v>
      </c>
      <c r="F1685" s="34" t="s">
        <v>7559</v>
      </c>
      <c r="G1685" s="6"/>
      <c r="H1685" s="3" t="s">
        <v>7560</v>
      </c>
    </row>
    <row r="1686" spans="1:8" ht="15.75" customHeight="1">
      <c r="A1686" s="3" t="s">
        <v>7561</v>
      </c>
      <c r="B1686" s="3" t="s">
        <v>5941</v>
      </c>
      <c r="C1686" s="3" t="s">
        <v>7562</v>
      </c>
      <c r="D1686" s="4" t="s">
        <v>7563</v>
      </c>
      <c r="E1686" s="3" t="s">
        <v>7564</v>
      </c>
      <c r="F1686" s="34" t="s">
        <v>7565</v>
      </c>
      <c r="G1686" s="6"/>
      <c r="H1686" s="3" t="s">
        <v>7566</v>
      </c>
    </row>
    <row r="1687" spans="1:8" ht="15.75" customHeight="1">
      <c r="A1687" s="3" t="s">
        <v>75</v>
      </c>
      <c r="B1687" s="3" t="s">
        <v>7567</v>
      </c>
      <c r="C1687" s="3" t="s">
        <v>7568</v>
      </c>
      <c r="D1687" s="4" t="s">
        <v>7569</v>
      </c>
      <c r="E1687" s="3" t="s">
        <v>7570</v>
      </c>
      <c r="F1687" s="3" t="s">
        <v>7571</v>
      </c>
      <c r="G1687" s="6"/>
      <c r="H1687" s="3" t="s">
        <v>7572</v>
      </c>
    </row>
    <row r="1688" spans="1:8" ht="15.75" customHeight="1">
      <c r="A1688" s="3" t="s">
        <v>7573</v>
      </c>
      <c r="B1688" s="3" t="s">
        <v>7574</v>
      </c>
      <c r="C1688" s="3" t="s">
        <v>7575</v>
      </c>
      <c r="D1688" s="4" t="s">
        <v>7576</v>
      </c>
      <c r="E1688" s="3" t="s">
        <v>7577</v>
      </c>
      <c r="F1688" s="34" t="s">
        <v>7578</v>
      </c>
      <c r="G1688" s="6"/>
      <c r="H1688" s="3" t="s">
        <v>7579</v>
      </c>
    </row>
    <row r="1689" spans="1:8" ht="15.75" customHeight="1">
      <c r="A1689" s="3" t="s">
        <v>3947</v>
      </c>
      <c r="B1689" s="3" t="s">
        <v>7580</v>
      </c>
      <c r="C1689" s="3" t="s">
        <v>7581</v>
      </c>
      <c r="D1689" s="4" t="s">
        <v>7582</v>
      </c>
      <c r="E1689" s="6"/>
      <c r="F1689" s="34" t="s">
        <v>7583</v>
      </c>
      <c r="G1689" s="6"/>
      <c r="H1689" s="3" t="s">
        <v>7584</v>
      </c>
    </row>
    <row r="1690" spans="1:8" ht="15.75" customHeight="1">
      <c r="A1690" s="3" t="s">
        <v>7585</v>
      </c>
      <c r="B1690" s="3" t="s">
        <v>7586</v>
      </c>
      <c r="C1690" s="3" t="s">
        <v>7587</v>
      </c>
      <c r="D1690" s="4" t="s">
        <v>7588</v>
      </c>
      <c r="E1690" s="3" t="s">
        <v>7589</v>
      </c>
      <c r="F1690" s="34" t="s">
        <v>7590</v>
      </c>
      <c r="G1690" s="6"/>
      <c r="H1690" s="3" t="s">
        <v>7591</v>
      </c>
    </row>
    <row r="1691" spans="1:8" ht="15.75" customHeight="1">
      <c r="A1691" s="3" t="s">
        <v>384</v>
      </c>
      <c r="B1691" s="3" t="s">
        <v>7592</v>
      </c>
      <c r="C1691" s="3" t="s">
        <v>6033</v>
      </c>
      <c r="D1691" s="4" t="s">
        <v>7593</v>
      </c>
      <c r="E1691" s="3" t="s">
        <v>7594</v>
      </c>
      <c r="F1691" s="34" t="s">
        <v>7595</v>
      </c>
      <c r="G1691" s="6"/>
      <c r="H1691" s="3" t="s">
        <v>7596</v>
      </c>
    </row>
    <row r="1692" spans="1:8" ht="15.75" customHeight="1">
      <c r="A1692" s="3" t="s">
        <v>394</v>
      </c>
      <c r="B1692" s="3" t="s">
        <v>45</v>
      </c>
      <c r="C1692" s="3" t="s">
        <v>1684</v>
      </c>
      <c r="D1692" s="4" t="s">
        <v>7597</v>
      </c>
      <c r="E1692" s="3" t="s">
        <v>7598</v>
      </c>
      <c r="F1692" s="34" t="s">
        <v>7071</v>
      </c>
      <c r="G1692" s="6"/>
      <c r="H1692" s="3" t="s">
        <v>7599</v>
      </c>
    </row>
    <row r="1693" spans="1:8" ht="15.75" customHeight="1">
      <c r="A1693" s="3" t="s">
        <v>7068</v>
      </c>
      <c r="B1693" s="3" t="s">
        <v>59</v>
      </c>
      <c r="C1693" s="3" t="s">
        <v>5240</v>
      </c>
      <c r="D1693" s="4" t="s">
        <v>7069</v>
      </c>
      <c r="E1693" s="3" t="s">
        <v>7070</v>
      </c>
      <c r="F1693" s="34" t="s">
        <v>7600</v>
      </c>
      <c r="G1693" s="6"/>
      <c r="H1693" s="3" t="s">
        <v>7072</v>
      </c>
    </row>
    <row r="1694" spans="1:8" ht="15.75" customHeight="1">
      <c r="A1694" s="3" t="s">
        <v>7082</v>
      </c>
      <c r="B1694" s="3" t="s">
        <v>7601</v>
      </c>
      <c r="C1694" s="3" t="s">
        <v>7602</v>
      </c>
      <c r="D1694" s="4" t="s">
        <v>7603</v>
      </c>
      <c r="E1694" s="3" t="s">
        <v>7604</v>
      </c>
      <c r="F1694" s="34" t="s">
        <v>7605</v>
      </c>
      <c r="G1694" s="6"/>
      <c r="H1694" s="3" t="s">
        <v>7591</v>
      </c>
    </row>
    <row r="1695" spans="1:8" ht="15.75" customHeight="1">
      <c r="A1695" s="3" t="s">
        <v>1689</v>
      </c>
      <c r="B1695" s="3" t="s">
        <v>6432</v>
      </c>
      <c r="C1695" s="3" t="s">
        <v>7606</v>
      </c>
      <c r="D1695" s="4" t="s">
        <v>7607</v>
      </c>
      <c r="E1695" s="3" t="s">
        <v>7608</v>
      </c>
      <c r="F1695" s="34" t="s">
        <v>7609</v>
      </c>
      <c r="G1695" s="6"/>
      <c r="H1695" s="3" t="s">
        <v>7610</v>
      </c>
    </row>
    <row r="1696" spans="1:8" ht="15.75" customHeight="1">
      <c r="A1696" s="3" t="s">
        <v>7611</v>
      </c>
      <c r="B1696" s="3" t="s">
        <v>5941</v>
      </c>
      <c r="C1696" s="3" t="s">
        <v>691</v>
      </c>
      <c r="D1696" s="4" t="s">
        <v>7612</v>
      </c>
      <c r="E1696" s="3" t="s">
        <v>7613</v>
      </c>
      <c r="F1696" s="6"/>
      <c r="G1696" s="6"/>
      <c r="H1696" s="3" t="s">
        <v>7614</v>
      </c>
    </row>
    <row r="1697" spans="1:8" ht="15.75" customHeight="1">
      <c r="A1697" s="3" t="s">
        <v>44</v>
      </c>
      <c r="B1697" s="3" t="s">
        <v>1372</v>
      </c>
      <c r="C1697" s="3" t="s">
        <v>5263</v>
      </c>
      <c r="D1697" s="4" t="s">
        <v>7615</v>
      </c>
      <c r="E1697" s="3" t="s">
        <v>7616</v>
      </c>
      <c r="F1697" s="34" t="s">
        <v>7617</v>
      </c>
      <c r="G1697" s="6"/>
      <c r="H1697" s="3" t="s">
        <v>7618</v>
      </c>
    </row>
    <row r="1698" spans="1:8" ht="15.75" customHeight="1">
      <c r="A1698" s="3" t="s">
        <v>1175</v>
      </c>
      <c r="B1698" s="3" t="s">
        <v>1698</v>
      </c>
      <c r="C1698" s="3" t="s">
        <v>1684</v>
      </c>
      <c r="D1698" s="4" t="s">
        <v>7619</v>
      </c>
      <c r="E1698" s="3" t="s">
        <v>7620</v>
      </c>
      <c r="F1698" s="34" t="s">
        <v>7583</v>
      </c>
      <c r="G1698" s="6"/>
      <c r="H1698" s="3" t="s">
        <v>7621</v>
      </c>
    </row>
    <row r="1699" spans="1:8" ht="15.75" customHeight="1">
      <c r="A1699" s="3" t="s">
        <v>7622</v>
      </c>
      <c r="B1699" s="3" t="s">
        <v>7623</v>
      </c>
      <c r="C1699" s="3" t="s">
        <v>7624</v>
      </c>
      <c r="D1699" s="4" t="s">
        <v>7625</v>
      </c>
      <c r="E1699" s="3" t="s">
        <v>7626</v>
      </c>
      <c r="F1699" s="6"/>
      <c r="G1699" s="6"/>
      <c r="H1699" s="3" t="s">
        <v>7591</v>
      </c>
    </row>
    <row r="1700" spans="1:8" ht="15.75" customHeight="1">
      <c r="A1700" s="3" t="s">
        <v>3041</v>
      </c>
      <c r="B1700" s="3" t="s">
        <v>2245</v>
      </c>
      <c r="C1700" s="3" t="s">
        <v>5269</v>
      </c>
      <c r="D1700" s="4" t="s">
        <v>7627</v>
      </c>
      <c r="E1700" s="3" t="s">
        <v>7628</v>
      </c>
      <c r="F1700" s="34" t="s">
        <v>7629</v>
      </c>
      <c r="G1700" s="6"/>
      <c r="H1700" s="3" t="s">
        <v>7630</v>
      </c>
    </row>
    <row r="1701" spans="1:8" ht="15.75" customHeight="1">
      <c r="A1701" s="3" t="s">
        <v>7631</v>
      </c>
      <c r="B1701" s="3" t="s">
        <v>7632</v>
      </c>
      <c r="C1701" s="3" t="s">
        <v>6495</v>
      </c>
      <c r="D1701" s="4" t="s">
        <v>7633</v>
      </c>
      <c r="E1701" s="3" t="s">
        <v>7634</v>
      </c>
      <c r="F1701" s="34" t="s">
        <v>7635</v>
      </c>
      <c r="G1701" s="6"/>
      <c r="H1701" s="3" t="s">
        <v>7636</v>
      </c>
    </row>
    <row r="1702" spans="1:8" ht="15.75" customHeight="1">
      <c r="A1702" s="3" t="s">
        <v>2931</v>
      </c>
      <c r="B1702" s="3" t="s">
        <v>185</v>
      </c>
      <c r="C1702" s="3" t="s">
        <v>229</v>
      </c>
      <c r="D1702" s="4" t="s">
        <v>7637</v>
      </c>
      <c r="E1702" s="3" t="s">
        <v>7638</v>
      </c>
      <c r="F1702" s="34" t="s">
        <v>7639</v>
      </c>
      <c r="G1702" s="6"/>
      <c r="H1702" s="3" t="s">
        <v>7640</v>
      </c>
    </row>
    <row r="1703" spans="1:8" ht="15.75" customHeight="1">
      <c r="A1703" s="3" t="s">
        <v>7641</v>
      </c>
      <c r="B1703" s="3" t="s">
        <v>2991</v>
      </c>
      <c r="C1703" s="3" t="s">
        <v>229</v>
      </c>
      <c r="D1703" s="6"/>
      <c r="E1703" s="3" t="s">
        <v>7642</v>
      </c>
      <c r="F1703" s="34" t="s">
        <v>7643</v>
      </c>
      <c r="G1703" s="6"/>
      <c r="H1703" s="3" t="s">
        <v>7644</v>
      </c>
    </row>
    <row r="1704" spans="1:8" ht="15.75" customHeight="1">
      <c r="A1704" s="3" t="s">
        <v>1615</v>
      </c>
      <c r="B1704" s="3" t="s">
        <v>2659</v>
      </c>
      <c r="C1704" s="3" t="s">
        <v>5263</v>
      </c>
      <c r="D1704" s="4" t="s">
        <v>7645</v>
      </c>
      <c r="E1704" s="3" t="s">
        <v>7646</v>
      </c>
      <c r="F1704" s="3" t="s">
        <v>7571</v>
      </c>
      <c r="G1704" s="6"/>
      <c r="H1704" s="3" t="s">
        <v>7647</v>
      </c>
    </row>
    <row r="1705" spans="1:8" ht="15.75" customHeight="1">
      <c r="A1705" s="3" t="s">
        <v>1157</v>
      </c>
      <c r="B1705" s="3" t="s">
        <v>7648</v>
      </c>
      <c r="C1705" s="3" t="s">
        <v>4446</v>
      </c>
      <c r="D1705" s="4" t="s">
        <v>7649</v>
      </c>
      <c r="E1705" s="3" t="s">
        <v>7650</v>
      </c>
      <c r="F1705" s="6"/>
      <c r="G1705" s="6"/>
      <c r="H1705" s="3" t="s">
        <v>7579</v>
      </c>
    </row>
    <row r="1706" spans="1:8" ht="15.75" customHeight="1">
      <c r="A1706" s="3" t="s">
        <v>5327</v>
      </c>
      <c r="B1706" s="3" t="s">
        <v>1372</v>
      </c>
      <c r="C1706" s="3" t="s">
        <v>5263</v>
      </c>
      <c r="D1706" s="4" t="s">
        <v>7651</v>
      </c>
      <c r="E1706" s="3" t="s">
        <v>7652</v>
      </c>
      <c r="F1706" s="34" t="s">
        <v>7653</v>
      </c>
      <c r="G1706" s="6"/>
      <c r="H1706" s="3" t="s">
        <v>7654</v>
      </c>
    </row>
    <row r="1707" spans="1:8" ht="15.75" customHeight="1">
      <c r="A1707" s="3" t="s">
        <v>572</v>
      </c>
      <c r="B1707" s="3" t="s">
        <v>221</v>
      </c>
      <c r="C1707" s="3" t="s">
        <v>4321</v>
      </c>
      <c r="D1707" s="4" t="s">
        <v>7655</v>
      </c>
      <c r="E1707" s="3" t="s">
        <v>7656</v>
      </c>
      <c r="F1707" s="6"/>
      <c r="G1707" s="6"/>
      <c r="H1707" s="3" t="s">
        <v>7657</v>
      </c>
    </row>
    <row r="1708" spans="1:8" ht="15.75" customHeight="1">
      <c r="A1708" s="3" t="s">
        <v>7658</v>
      </c>
      <c r="B1708" s="3" t="s">
        <v>7659</v>
      </c>
      <c r="C1708" s="3" t="s">
        <v>7660</v>
      </c>
      <c r="D1708" s="6"/>
      <c r="E1708" s="3" t="s">
        <v>7661</v>
      </c>
      <c r="F1708" s="34" t="s">
        <v>7662</v>
      </c>
      <c r="G1708" s="6"/>
      <c r="H1708" s="3" t="s">
        <v>7663</v>
      </c>
    </row>
    <row r="1709" spans="1:8" ht="15.75" customHeight="1">
      <c r="A1709" s="3" t="s">
        <v>203</v>
      </c>
      <c r="B1709" s="3" t="s">
        <v>198</v>
      </c>
      <c r="C1709" s="3" t="s">
        <v>91</v>
      </c>
      <c r="D1709" s="4" t="s">
        <v>7664</v>
      </c>
      <c r="E1709" s="3" t="s">
        <v>7665</v>
      </c>
      <c r="F1709" s="6"/>
      <c r="G1709" s="6"/>
      <c r="H1709" s="3" t="s">
        <v>7666</v>
      </c>
    </row>
    <row r="1710" spans="1:8" ht="15.75" customHeight="1">
      <c r="A1710" s="3" t="s">
        <v>955</v>
      </c>
      <c r="B1710" s="3" t="s">
        <v>920</v>
      </c>
      <c r="C1710" s="3" t="s">
        <v>1684</v>
      </c>
      <c r="D1710" s="6"/>
      <c r="E1710" s="3" t="s">
        <v>7667</v>
      </c>
      <c r="F1710" s="34" t="s">
        <v>7583</v>
      </c>
      <c r="G1710" s="6"/>
      <c r="H1710" s="3" t="s">
        <v>7668</v>
      </c>
    </row>
    <row r="1711" spans="1:8" ht="15.75" customHeight="1">
      <c r="A1711" s="3" t="s">
        <v>1105</v>
      </c>
      <c r="B1711" s="3" t="s">
        <v>7669</v>
      </c>
      <c r="C1711" s="3" t="s">
        <v>7670</v>
      </c>
      <c r="D1711" s="4" t="s">
        <v>7671</v>
      </c>
      <c r="E1711" s="3" t="s">
        <v>7672</v>
      </c>
      <c r="F1711" s="6"/>
      <c r="G1711" s="6"/>
      <c r="H1711" s="3" t="s">
        <v>7591</v>
      </c>
    </row>
    <row r="1712" spans="1:8" ht="15.75" customHeight="1">
      <c r="A1712" s="3" t="s">
        <v>7673</v>
      </c>
      <c r="B1712" s="3" t="s">
        <v>2458</v>
      </c>
      <c r="C1712" s="3" t="s">
        <v>7674</v>
      </c>
      <c r="D1712" s="4" t="s">
        <v>7675</v>
      </c>
      <c r="E1712" s="3" t="s">
        <v>7676</v>
      </c>
      <c r="F1712" s="34" t="s">
        <v>7583</v>
      </c>
      <c r="G1712" s="6"/>
      <c r="H1712" s="3" t="s">
        <v>7677</v>
      </c>
    </row>
    <row r="1713" spans="1:8" ht="15.75" customHeight="1">
      <c r="A1713" s="3" t="s">
        <v>394</v>
      </c>
      <c r="B1713" s="3" t="s">
        <v>7678</v>
      </c>
      <c r="C1713" s="3" t="s">
        <v>7679</v>
      </c>
      <c r="D1713" s="4" t="s">
        <v>7680</v>
      </c>
      <c r="E1713" s="3" t="s">
        <v>7681</v>
      </c>
      <c r="F1713" s="6"/>
      <c r="G1713" s="6"/>
      <c r="H1713" s="3" t="s">
        <v>7591</v>
      </c>
    </row>
    <row r="1714" spans="1:8" ht="15.75" customHeight="1">
      <c r="A1714" s="3" t="s">
        <v>394</v>
      </c>
      <c r="B1714" s="3" t="s">
        <v>874</v>
      </c>
      <c r="C1714" s="3" t="s">
        <v>7682</v>
      </c>
      <c r="D1714" s="4" t="s">
        <v>7683</v>
      </c>
      <c r="E1714" s="3" t="s">
        <v>7684</v>
      </c>
      <c r="F1714" s="6"/>
      <c r="G1714" s="6"/>
      <c r="H1714" s="3" t="s">
        <v>7685</v>
      </c>
    </row>
    <row r="1715" spans="1:8" ht="15.75" customHeight="1">
      <c r="A1715" s="3" t="s">
        <v>7686</v>
      </c>
      <c r="B1715" s="3" t="s">
        <v>7687</v>
      </c>
      <c r="C1715" s="3" t="s">
        <v>7688</v>
      </c>
      <c r="D1715" s="4" t="s">
        <v>7689</v>
      </c>
      <c r="E1715" s="3" t="s">
        <v>7690</v>
      </c>
      <c r="F1715" s="6"/>
      <c r="G1715" s="6"/>
      <c r="H1715" s="3" t="s">
        <v>7579</v>
      </c>
    </row>
    <row r="1716" spans="1:8" ht="15.75" customHeight="1">
      <c r="A1716" s="3" t="s">
        <v>2435</v>
      </c>
      <c r="B1716" s="3" t="s">
        <v>1123</v>
      </c>
      <c r="C1716" s="3" t="s">
        <v>7691</v>
      </c>
      <c r="D1716" s="4" t="s">
        <v>7692</v>
      </c>
      <c r="E1716" s="3" t="s">
        <v>7693</v>
      </c>
      <c r="F1716" s="6"/>
      <c r="G1716" s="6"/>
      <c r="H1716" s="3" t="s">
        <v>7694</v>
      </c>
    </row>
    <row r="1717" spans="1:8" ht="15.75" customHeight="1">
      <c r="A1717" s="3" t="s">
        <v>4582</v>
      </c>
      <c r="B1717" s="3" t="s">
        <v>1249</v>
      </c>
      <c r="C1717" s="3" t="s">
        <v>7695</v>
      </c>
      <c r="D1717" s="4" t="s">
        <v>7696</v>
      </c>
      <c r="E1717" s="3" t="s">
        <v>7697</v>
      </c>
      <c r="F1717" s="34" t="s">
        <v>7698</v>
      </c>
      <c r="G1717" s="6"/>
      <c r="H1717" s="3" t="s">
        <v>7579</v>
      </c>
    </row>
    <row r="1718" spans="1:8" ht="15.75" customHeight="1">
      <c r="A1718" s="3" t="s">
        <v>2027</v>
      </c>
      <c r="B1718" s="3" t="s">
        <v>7699</v>
      </c>
      <c r="C1718" s="3" t="s">
        <v>7700</v>
      </c>
      <c r="D1718" s="4" t="s">
        <v>7701</v>
      </c>
      <c r="E1718" s="3" t="s">
        <v>7702</v>
      </c>
      <c r="F1718" s="34" t="s">
        <v>7703</v>
      </c>
      <c r="G1718" s="6"/>
      <c r="H1718" s="3" t="s">
        <v>7704</v>
      </c>
    </row>
    <row r="1719" spans="1:8" ht="15.75" customHeight="1">
      <c r="A1719" s="3" t="s">
        <v>2027</v>
      </c>
      <c r="B1719" s="3" t="s">
        <v>7705</v>
      </c>
      <c r="C1719" s="3" t="s">
        <v>4727</v>
      </c>
      <c r="D1719" s="4" t="s">
        <v>7706</v>
      </c>
      <c r="E1719" s="3" t="s">
        <v>7707</v>
      </c>
      <c r="F1719" s="34" t="s">
        <v>7708</v>
      </c>
      <c r="G1719" s="6"/>
      <c r="H1719" s="3" t="s">
        <v>7709</v>
      </c>
    </row>
    <row r="1720" spans="1:8" ht="15.75" customHeight="1">
      <c r="A1720" s="3" t="s">
        <v>58</v>
      </c>
      <c r="B1720" s="3" t="s">
        <v>3570</v>
      </c>
      <c r="C1720" s="3" t="s">
        <v>5641</v>
      </c>
      <c r="D1720" s="4" t="s">
        <v>7710</v>
      </c>
      <c r="E1720" s="3" t="s">
        <v>7711</v>
      </c>
      <c r="F1720" s="34" t="s">
        <v>7712</v>
      </c>
      <c r="G1720" s="6"/>
      <c r="H1720" s="3" t="s">
        <v>7713</v>
      </c>
    </row>
    <row r="1721" spans="1:8" ht="15.75" customHeight="1">
      <c r="A1721" s="3" t="s">
        <v>69</v>
      </c>
      <c r="B1721" s="3" t="s">
        <v>3668</v>
      </c>
      <c r="C1721" s="3" t="s">
        <v>229</v>
      </c>
      <c r="D1721" s="6"/>
      <c r="E1721" s="3" t="s">
        <v>7714</v>
      </c>
      <c r="F1721" s="34" t="s">
        <v>7715</v>
      </c>
      <c r="G1721" s="6"/>
      <c r="H1721" s="3" t="s">
        <v>7716</v>
      </c>
    </row>
    <row r="1722" spans="1:8" ht="15.75" customHeight="1">
      <c r="A1722" s="3" t="s">
        <v>7686</v>
      </c>
      <c r="B1722" s="3" t="s">
        <v>7717</v>
      </c>
      <c r="C1722" s="3" t="s">
        <v>7718</v>
      </c>
      <c r="D1722" s="4" t="s">
        <v>7719</v>
      </c>
      <c r="E1722" s="3" t="s">
        <v>7720</v>
      </c>
      <c r="F1722" s="34" t="s">
        <v>7721</v>
      </c>
      <c r="G1722" s="6"/>
      <c r="H1722" s="3" t="s">
        <v>7722</v>
      </c>
    </row>
    <row r="1723" spans="1:8" ht="15.75" customHeight="1">
      <c r="A1723" s="3" t="s">
        <v>7723</v>
      </c>
      <c r="B1723" s="3" t="s">
        <v>7724</v>
      </c>
      <c r="C1723" s="3" t="s">
        <v>1684</v>
      </c>
      <c r="D1723" s="6"/>
      <c r="E1723" s="3" t="s">
        <v>7725</v>
      </c>
      <c r="F1723" s="6"/>
      <c r="G1723" s="6"/>
      <c r="H1723" s="3" t="s">
        <v>7726</v>
      </c>
    </row>
    <row r="1724" spans="1:8" ht="15.75" customHeight="1">
      <c r="A1724" s="3" t="s">
        <v>2051</v>
      </c>
      <c r="B1724" s="3" t="s">
        <v>718</v>
      </c>
      <c r="C1724" s="3" t="s">
        <v>5263</v>
      </c>
      <c r="D1724" s="4" t="s">
        <v>7727</v>
      </c>
      <c r="E1724" s="3" t="s">
        <v>7728</v>
      </c>
      <c r="F1724" s="34" t="s">
        <v>7583</v>
      </c>
      <c r="G1724" s="6"/>
      <c r="H1724" s="3" t="s">
        <v>7729</v>
      </c>
    </row>
    <row r="1725" spans="1:8" ht="15.75" customHeight="1">
      <c r="A1725" s="3" t="s">
        <v>422</v>
      </c>
      <c r="B1725" s="3" t="s">
        <v>2245</v>
      </c>
      <c r="C1725" s="3" t="s">
        <v>5263</v>
      </c>
      <c r="D1725" s="4" t="s">
        <v>7730</v>
      </c>
      <c r="E1725" s="3" t="s">
        <v>7731</v>
      </c>
      <c r="F1725" s="34" t="s">
        <v>7732</v>
      </c>
      <c r="G1725" s="6"/>
      <c r="H1725" s="3" t="s">
        <v>7647</v>
      </c>
    </row>
    <row r="1726" spans="1:8" ht="15.75" customHeight="1">
      <c r="A1726" s="3" t="s">
        <v>7733</v>
      </c>
      <c r="B1726" s="3" t="s">
        <v>2726</v>
      </c>
      <c r="C1726" s="3" t="s">
        <v>7100</v>
      </c>
      <c r="D1726" s="4" t="s">
        <v>7734</v>
      </c>
      <c r="E1726" s="3" t="s">
        <v>7735</v>
      </c>
      <c r="F1726" s="34" t="s">
        <v>7736</v>
      </c>
      <c r="G1726" s="6"/>
      <c r="H1726" s="3" t="s">
        <v>7737</v>
      </c>
    </row>
    <row r="1727" spans="1:8" ht="15.75" customHeight="1">
      <c r="A1727" s="3" t="s">
        <v>7738</v>
      </c>
      <c r="B1727" s="3" t="s">
        <v>7739</v>
      </c>
      <c r="C1727" s="3" t="s">
        <v>5182</v>
      </c>
      <c r="D1727" s="4" t="s">
        <v>7740</v>
      </c>
      <c r="E1727" s="3" t="s">
        <v>7741</v>
      </c>
      <c r="F1727" s="6"/>
      <c r="G1727" s="6"/>
      <c r="H1727" s="3" t="s">
        <v>7742</v>
      </c>
    </row>
    <row r="1728" spans="1:8" ht="15.75" customHeight="1">
      <c r="A1728" s="3" t="s">
        <v>763</v>
      </c>
      <c r="B1728" s="3" t="s">
        <v>7743</v>
      </c>
      <c r="C1728" s="3" t="s">
        <v>7744</v>
      </c>
      <c r="D1728" s="4" t="s">
        <v>7745</v>
      </c>
      <c r="E1728" s="3" t="s">
        <v>7746</v>
      </c>
      <c r="F1728" s="34" t="s">
        <v>7747</v>
      </c>
      <c r="G1728" s="6"/>
      <c r="H1728" s="3" t="s">
        <v>7748</v>
      </c>
    </row>
    <row r="1729" spans="1:8" ht="15.75" customHeight="1">
      <c r="A1729" s="3" t="s">
        <v>7749</v>
      </c>
      <c r="B1729" s="3" t="s">
        <v>1149</v>
      </c>
      <c r="C1729" s="3" t="s">
        <v>6033</v>
      </c>
      <c r="D1729" s="6"/>
      <c r="E1729" s="3" t="s">
        <v>7750</v>
      </c>
      <c r="F1729" s="34" t="s">
        <v>7629</v>
      </c>
      <c r="G1729" s="6"/>
      <c r="H1729" s="3" t="s">
        <v>7751</v>
      </c>
    </row>
    <row r="1730" spans="1:8" ht="15.75" customHeight="1">
      <c r="A1730" s="3" t="s">
        <v>413</v>
      </c>
      <c r="B1730" s="3" t="s">
        <v>7752</v>
      </c>
      <c r="C1730" s="3" t="s">
        <v>7753</v>
      </c>
      <c r="D1730" s="4" t="s">
        <v>7754</v>
      </c>
      <c r="E1730" s="3" t="s">
        <v>7755</v>
      </c>
      <c r="F1730" s="34" t="s">
        <v>7756</v>
      </c>
      <c r="G1730" s="6"/>
      <c r="H1730" s="3" t="s">
        <v>7757</v>
      </c>
    </row>
    <row r="1731" spans="1:8" ht="15.75" customHeight="1">
      <c r="A1731" s="3" t="s">
        <v>7758</v>
      </c>
      <c r="B1731" s="3" t="s">
        <v>7759</v>
      </c>
      <c r="C1731" s="3" t="s">
        <v>3723</v>
      </c>
      <c r="D1731" s="4" t="s">
        <v>7760</v>
      </c>
      <c r="E1731" s="3" t="s">
        <v>7761</v>
      </c>
      <c r="F1731" s="34" t="s">
        <v>7762</v>
      </c>
      <c r="G1731" s="6"/>
      <c r="H1731" s="3" t="s">
        <v>7763</v>
      </c>
    </row>
    <row r="1732" spans="1:8" ht="15.75" customHeight="1">
      <c r="A1732" s="3" t="s">
        <v>1286</v>
      </c>
      <c r="B1732" s="3" t="s">
        <v>45</v>
      </c>
      <c r="C1732" s="3" t="s">
        <v>2401</v>
      </c>
      <c r="D1732" s="4" t="s">
        <v>7764</v>
      </c>
      <c r="E1732" s="3" t="s">
        <v>7765</v>
      </c>
      <c r="F1732" s="6"/>
      <c r="G1732" s="6"/>
      <c r="H1732" s="3" t="s">
        <v>7766</v>
      </c>
    </row>
    <row r="1733" spans="1:8" ht="15.75" customHeight="1">
      <c r="A1733" s="3" t="s">
        <v>2951</v>
      </c>
      <c r="B1733" s="3" t="s">
        <v>5671</v>
      </c>
      <c r="C1733" s="3" t="s">
        <v>7767</v>
      </c>
      <c r="D1733" s="4" t="s">
        <v>7768</v>
      </c>
      <c r="E1733" s="3" t="s">
        <v>7769</v>
      </c>
      <c r="F1733" s="6"/>
      <c r="G1733" s="6"/>
      <c r="H1733" s="3" t="s">
        <v>7666</v>
      </c>
    </row>
    <row r="1734" spans="1:8" ht="15.75" customHeight="1">
      <c r="A1734" s="3" t="s">
        <v>1214</v>
      </c>
      <c r="B1734" s="3" t="s">
        <v>185</v>
      </c>
      <c r="C1734" s="3" t="s">
        <v>7770</v>
      </c>
      <c r="D1734" s="4" t="s">
        <v>7771</v>
      </c>
      <c r="E1734" s="3" t="s">
        <v>7772</v>
      </c>
      <c r="F1734" s="34" t="s">
        <v>7583</v>
      </c>
      <c r="G1734" s="6"/>
      <c r="H1734" s="3" t="s">
        <v>7773</v>
      </c>
    </row>
    <row r="1735" spans="1:8" ht="15.75" customHeight="1">
      <c r="A1735" s="3" t="s">
        <v>44</v>
      </c>
      <c r="B1735" s="3" t="s">
        <v>7774</v>
      </c>
      <c r="C1735" s="3" t="s">
        <v>7775</v>
      </c>
      <c r="D1735" s="4" t="s">
        <v>7776</v>
      </c>
      <c r="E1735" s="3" t="s">
        <v>7777</v>
      </c>
      <c r="F1735" s="34" t="s">
        <v>7778</v>
      </c>
      <c r="G1735" s="6"/>
      <c r="H1735" s="3" t="s">
        <v>7591</v>
      </c>
    </row>
    <row r="1736" spans="1:8" ht="15.75" customHeight="1">
      <c r="A1736" s="3" t="s">
        <v>1689</v>
      </c>
      <c r="B1736" s="3" t="s">
        <v>185</v>
      </c>
      <c r="C1736" s="3" t="s">
        <v>1684</v>
      </c>
      <c r="D1736" s="4" t="s">
        <v>7779</v>
      </c>
      <c r="E1736" s="3" t="s">
        <v>7780</v>
      </c>
      <c r="F1736" s="34" t="s">
        <v>7781</v>
      </c>
      <c r="G1736" s="6"/>
      <c r="H1736" s="3" t="s">
        <v>7782</v>
      </c>
    </row>
    <row r="1737" spans="1:8" ht="15.75" customHeight="1">
      <c r="A1737" s="3" t="s">
        <v>1768</v>
      </c>
      <c r="B1737" s="3" t="s">
        <v>3364</v>
      </c>
      <c r="C1737" s="3" t="s">
        <v>5641</v>
      </c>
      <c r="D1737" s="4" t="s">
        <v>7783</v>
      </c>
      <c r="E1737" s="3" t="s">
        <v>7784</v>
      </c>
      <c r="F1737" s="34" t="s">
        <v>7583</v>
      </c>
      <c r="G1737" s="6"/>
      <c r="H1737" s="3" t="s">
        <v>7785</v>
      </c>
    </row>
    <row r="1738" spans="1:8" ht="15.75" customHeight="1">
      <c r="A1738" s="3" t="s">
        <v>7786</v>
      </c>
      <c r="B1738" s="3" t="s">
        <v>7787</v>
      </c>
      <c r="C1738" s="3" t="s">
        <v>7788</v>
      </c>
      <c r="D1738" s="4" t="s">
        <v>7789</v>
      </c>
      <c r="E1738" s="3" t="s">
        <v>7790</v>
      </c>
      <c r="F1738" s="34" t="s">
        <v>7791</v>
      </c>
      <c r="G1738" s="6"/>
      <c r="H1738" s="3" t="s">
        <v>7591</v>
      </c>
    </row>
    <row r="1739" spans="1:8" ht="15.75" customHeight="1">
      <c r="A1739" s="3" t="s">
        <v>14</v>
      </c>
      <c r="B1739" s="3" t="s">
        <v>1415</v>
      </c>
      <c r="C1739" s="3" t="s">
        <v>6191</v>
      </c>
      <c r="D1739" s="4" t="s">
        <v>7792</v>
      </c>
      <c r="E1739" s="3" t="s">
        <v>7793</v>
      </c>
      <c r="F1739" s="34" t="s">
        <v>7583</v>
      </c>
      <c r="G1739" s="6"/>
      <c r="H1739" s="3" t="s">
        <v>7794</v>
      </c>
    </row>
    <row r="1740" spans="1:8" ht="15.75" customHeight="1">
      <c r="A1740" s="3" t="s">
        <v>7795</v>
      </c>
      <c r="B1740" s="3" t="s">
        <v>7796</v>
      </c>
      <c r="C1740" s="3" t="s">
        <v>7797</v>
      </c>
      <c r="D1740" s="4" t="s">
        <v>7798</v>
      </c>
      <c r="E1740" s="3" t="s">
        <v>7799</v>
      </c>
      <c r="F1740" s="34" t="s">
        <v>7800</v>
      </c>
      <c r="G1740" s="6"/>
      <c r="H1740" s="3" t="s">
        <v>7591</v>
      </c>
    </row>
    <row r="1741" spans="1:8" ht="15.75" customHeight="1">
      <c r="A1741" s="3" t="s">
        <v>3883</v>
      </c>
      <c r="B1741" s="3" t="s">
        <v>5876</v>
      </c>
      <c r="C1741" s="3" t="s">
        <v>7801</v>
      </c>
      <c r="D1741" s="4" t="s">
        <v>7802</v>
      </c>
      <c r="E1741" s="3" t="s">
        <v>7803</v>
      </c>
      <c r="F1741" s="6"/>
      <c r="G1741" s="6"/>
      <c r="H1741" s="3" t="s">
        <v>7804</v>
      </c>
    </row>
    <row r="1742" spans="1:8" ht="15.75" customHeight="1">
      <c r="A1742" s="3" t="s">
        <v>763</v>
      </c>
      <c r="B1742" s="3" t="s">
        <v>59</v>
      </c>
      <c r="C1742" s="3" t="s">
        <v>140</v>
      </c>
      <c r="D1742" s="4" t="s">
        <v>7805</v>
      </c>
      <c r="E1742" s="3" t="s">
        <v>7806</v>
      </c>
      <c r="F1742" s="34" t="s">
        <v>7807</v>
      </c>
      <c r="G1742" s="6"/>
      <c r="H1742" s="3" t="s">
        <v>7808</v>
      </c>
    </row>
    <row r="1743" spans="1:8" ht="15.75" customHeight="1">
      <c r="A1743" s="3" t="s">
        <v>721</v>
      </c>
      <c r="B1743" s="3" t="s">
        <v>295</v>
      </c>
      <c r="C1743" s="3" t="s">
        <v>1684</v>
      </c>
      <c r="D1743" s="4" t="s">
        <v>7809</v>
      </c>
      <c r="E1743" s="3" t="s">
        <v>7810</v>
      </c>
      <c r="F1743" s="34" t="s">
        <v>7736</v>
      </c>
      <c r="G1743" s="6"/>
      <c r="H1743" s="3" t="s">
        <v>7811</v>
      </c>
    </row>
    <row r="1744" spans="1:8" ht="15.75" customHeight="1">
      <c r="A1744" s="3" t="s">
        <v>2384</v>
      </c>
      <c r="B1744" s="3" t="s">
        <v>7699</v>
      </c>
      <c r="C1744" s="3" t="s">
        <v>7812</v>
      </c>
      <c r="D1744" s="4" t="s">
        <v>7813</v>
      </c>
      <c r="E1744" s="3" t="s">
        <v>7814</v>
      </c>
      <c r="F1744" s="34" t="s">
        <v>7583</v>
      </c>
      <c r="G1744" s="6"/>
      <c r="H1744" s="3" t="s">
        <v>7579</v>
      </c>
    </row>
    <row r="1745" spans="1:8" ht="15.75" customHeight="1">
      <c r="A1745" s="3" t="s">
        <v>5365</v>
      </c>
      <c r="B1745" s="3" t="s">
        <v>221</v>
      </c>
      <c r="C1745" s="3" t="s">
        <v>5182</v>
      </c>
      <c r="D1745" s="4" t="s">
        <v>7815</v>
      </c>
      <c r="E1745" s="3" t="s">
        <v>7816</v>
      </c>
      <c r="F1745" s="34" t="s">
        <v>7817</v>
      </c>
      <c r="G1745" s="6"/>
      <c r="H1745" s="3" t="s">
        <v>7818</v>
      </c>
    </row>
    <row r="1746" spans="1:8" ht="15.75" customHeight="1">
      <c r="A1746" s="3" t="s">
        <v>789</v>
      </c>
      <c r="B1746" s="3" t="s">
        <v>20</v>
      </c>
      <c r="C1746" s="3" t="s">
        <v>4357</v>
      </c>
      <c r="D1746" s="4" t="s">
        <v>7819</v>
      </c>
      <c r="E1746" s="3" t="s">
        <v>7820</v>
      </c>
      <c r="F1746" s="34" t="s">
        <v>7821</v>
      </c>
      <c r="G1746" s="6"/>
      <c r="H1746" s="3" t="s">
        <v>7822</v>
      </c>
    </row>
    <row r="1747" spans="1:8" ht="15.75" customHeight="1">
      <c r="A1747" s="3" t="s">
        <v>2931</v>
      </c>
      <c r="B1747" s="3" t="s">
        <v>7823</v>
      </c>
      <c r="C1747" s="3" t="s">
        <v>7824</v>
      </c>
      <c r="D1747" s="4" t="s">
        <v>7825</v>
      </c>
      <c r="E1747" s="3" t="s">
        <v>7826</v>
      </c>
      <c r="F1747" s="34" t="s">
        <v>7827</v>
      </c>
      <c r="G1747" s="6"/>
      <c r="H1747" s="3" t="s">
        <v>7828</v>
      </c>
    </row>
    <row r="1748" spans="1:8" ht="15.75" customHeight="1">
      <c r="A1748" s="3" t="s">
        <v>5092</v>
      </c>
      <c r="B1748" s="3" t="s">
        <v>7829</v>
      </c>
      <c r="C1748" s="3" t="s">
        <v>7830</v>
      </c>
      <c r="D1748" s="4" t="s">
        <v>7831</v>
      </c>
      <c r="E1748" s="3" t="s">
        <v>7832</v>
      </c>
      <c r="F1748" s="34" t="s">
        <v>7548</v>
      </c>
      <c r="G1748" s="6"/>
      <c r="H1748" s="3" t="s">
        <v>7833</v>
      </c>
    </row>
    <row r="1749" spans="1:8" ht="15.75" customHeight="1">
      <c r="A1749" s="3" t="s">
        <v>4362</v>
      </c>
      <c r="B1749" s="3" t="s">
        <v>7834</v>
      </c>
      <c r="C1749" s="3" t="s">
        <v>7835</v>
      </c>
      <c r="D1749" s="4" t="s">
        <v>7836</v>
      </c>
      <c r="E1749" s="3" t="s">
        <v>7837</v>
      </c>
      <c r="F1749" s="6"/>
      <c r="G1749" s="6"/>
      <c r="H1749" s="3" t="s">
        <v>7555</v>
      </c>
    </row>
    <row r="1750" spans="1:8" ht="15.75" customHeight="1">
      <c r="A1750" s="3" t="s">
        <v>721</v>
      </c>
      <c r="B1750" s="3" t="s">
        <v>7838</v>
      </c>
      <c r="C1750" s="3" t="s">
        <v>7839</v>
      </c>
      <c r="D1750" s="4" t="s">
        <v>7840</v>
      </c>
      <c r="E1750" s="3" t="s">
        <v>7841</v>
      </c>
      <c r="F1750" s="34" t="s">
        <v>7842</v>
      </c>
      <c r="G1750" s="6"/>
      <c r="H1750" s="3" t="s">
        <v>7843</v>
      </c>
    </row>
    <row r="1751" spans="1:8" ht="15.75" customHeight="1">
      <c r="A1751" s="3" t="s">
        <v>160</v>
      </c>
      <c r="B1751" s="3" t="s">
        <v>45</v>
      </c>
      <c r="C1751" s="3" t="s">
        <v>4357</v>
      </c>
      <c r="D1751" s="4" t="s">
        <v>7844</v>
      </c>
      <c r="E1751" s="3" t="s">
        <v>7845</v>
      </c>
      <c r="F1751" s="6"/>
      <c r="G1751" s="6"/>
      <c r="H1751" s="3" t="s">
        <v>7846</v>
      </c>
    </row>
    <row r="1752" spans="1:8" ht="15.75" customHeight="1">
      <c r="A1752" s="3" t="s">
        <v>7847</v>
      </c>
      <c r="B1752" s="3" t="s">
        <v>1397</v>
      </c>
      <c r="C1752" s="3" t="s">
        <v>7848</v>
      </c>
      <c r="D1752" s="4" t="s">
        <v>7849</v>
      </c>
      <c r="E1752" s="3" t="s">
        <v>7850</v>
      </c>
      <c r="F1752" s="34" t="s">
        <v>7851</v>
      </c>
      <c r="G1752" s="6"/>
      <c r="H1752" s="3" t="s">
        <v>7852</v>
      </c>
    </row>
    <row r="1753" spans="1:8" ht="15.75" customHeight="1">
      <c r="A1753" s="3" t="s">
        <v>7853</v>
      </c>
      <c r="B1753" s="3" t="s">
        <v>7854</v>
      </c>
      <c r="C1753" s="3" t="s">
        <v>7855</v>
      </c>
      <c r="D1753" s="4" t="s">
        <v>7856</v>
      </c>
      <c r="E1753" s="3" t="s">
        <v>7857</v>
      </c>
      <c r="F1753" s="34" t="s">
        <v>7858</v>
      </c>
      <c r="G1753" s="6"/>
      <c r="H1753" s="3" t="s">
        <v>7729</v>
      </c>
    </row>
    <row r="1754" spans="1:8" ht="15.75" customHeight="1">
      <c r="A1754" s="3" t="s">
        <v>5092</v>
      </c>
      <c r="B1754" s="3" t="s">
        <v>7859</v>
      </c>
      <c r="C1754" s="3" t="s">
        <v>1684</v>
      </c>
      <c r="D1754" s="4" t="s">
        <v>7860</v>
      </c>
      <c r="E1754" s="3" t="s">
        <v>7861</v>
      </c>
      <c r="F1754" s="34" t="s">
        <v>7862</v>
      </c>
      <c r="G1754" s="6"/>
      <c r="H1754" s="3" t="s">
        <v>7863</v>
      </c>
    </row>
    <row r="1755" spans="1:8" ht="15.75" customHeight="1">
      <c r="A1755" s="3" t="s">
        <v>7864</v>
      </c>
      <c r="B1755" s="3" t="s">
        <v>7865</v>
      </c>
      <c r="C1755" s="3" t="s">
        <v>7866</v>
      </c>
      <c r="D1755" s="4" t="s">
        <v>7867</v>
      </c>
      <c r="E1755" s="3" t="s">
        <v>7868</v>
      </c>
      <c r="F1755" s="34" t="s">
        <v>7869</v>
      </c>
      <c r="G1755" s="6"/>
      <c r="H1755" s="3" t="s">
        <v>7870</v>
      </c>
    </row>
    <row r="1756" spans="1:8" ht="15.75" customHeight="1">
      <c r="A1756" s="3" t="s">
        <v>301</v>
      </c>
      <c r="B1756" s="3" t="s">
        <v>185</v>
      </c>
      <c r="C1756" s="3" t="s">
        <v>4699</v>
      </c>
      <c r="D1756" s="4" t="s">
        <v>6976</v>
      </c>
      <c r="E1756" s="3" t="s">
        <v>6977</v>
      </c>
      <c r="F1756" s="34" t="s">
        <v>7871</v>
      </c>
      <c r="G1756" s="6"/>
      <c r="H1756" s="3" t="s">
        <v>6914</v>
      </c>
    </row>
    <row r="1757" spans="1:8" ht="15.75" customHeight="1">
      <c r="A1757" s="3" t="s">
        <v>563</v>
      </c>
      <c r="B1757" s="3" t="s">
        <v>5970</v>
      </c>
      <c r="C1757" s="3" t="s">
        <v>303</v>
      </c>
      <c r="D1757" s="6"/>
      <c r="E1757" s="3" t="s">
        <v>5971</v>
      </c>
      <c r="F1757" s="34" t="s">
        <v>7872</v>
      </c>
      <c r="G1757" s="6"/>
      <c r="H1757" s="3" t="s">
        <v>5247</v>
      </c>
    </row>
    <row r="1758" spans="1:8" ht="15.75" customHeight="1">
      <c r="A1758" s="3" t="s">
        <v>1557</v>
      </c>
      <c r="B1758" s="3" t="s">
        <v>7044</v>
      </c>
      <c r="C1758" s="3" t="s">
        <v>5275</v>
      </c>
      <c r="D1758" s="4" t="s">
        <v>7873</v>
      </c>
      <c r="E1758" s="3" t="s">
        <v>7874</v>
      </c>
      <c r="F1758" s="34" t="s">
        <v>7875</v>
      </c>
      <c r="G1758" s="6"/>
      <c r="H1758" s="3" t="s">
        <v>7876</v>
      </c>
    </row>
    <row r="1759" spans="1:8" ht="15.75" customHeight="1">
      <c r="A1759" s="3" t="s">
        <v>433</v>
      </c>
      <c r="B1759" s="3" t="s">
        <v>2464</v>
      </c>
      <c r="C1759" s="3" t="s">
        <v>6484</v>
      </c>
      <c r="D1759" s="6"/>
      <c r="E1759" s="3" t="s">
        <v>7877</v>
      </c>
      <c r="F1759" s="6"/>
      <c r="G1759" s="6"/>
      <c r="H1759" s="3" t="s">
        <v>7722</v>
      </c>
    </row>
    <row r="1760" spans="1:8" ht="15.75" customHeight="1">
      <c r="A1760" s="3" t="s">
        <v>7641</v>
      </c>
      <c r="B1760" s="3" t="s">
        <v>7878</v>
      </c>
      <c r="C1760" s="3" t="s">
        <v>5553</v>
      </c>
      <c r="D1760" s="4" t="s">
        <v>7879</v>
      </c>
      <c r="E1760" s="3" t="s">
        <v>7880</v>
      </c>
      <c r="F1760" s="34" t="s">
        <v>7881</v>
      </c>
      <c r="G1760" s="6"/>
      <c r="H1760" s="3" t="s">
        <v>7882</v>
      </c>
    </row>
    <row r="1761" spans="1:8" ht="15.75" customHeight="1">
      <c r="A1761" s="3" t="s">
        <v>2528</v>
      </c>
      <c r="B1761" s="3" t="s">
        <v>934</v>
      </c>
      <c r="C1761" s="3" t="s">
        <v>7883</v>
      </c>
      <c r="D1761" s="4" t="s">
        <v>7884</v>
      </c>
      <c r="E1761" s="3" t="s">
        <v>7885</v>
      </c>
      <c r="F1761" s="6"/>
      <c r="G1761" s="6"/>
      <c r="H1761" s="3" t="s">
        <v>7579</v>
      </c>
    </row>
    <row r="1762" spans="1:8" ht="15.75" customHeight="1">
      <c r="A1762" s="3" t="s">
        <v>721</v>
      </c>
      <c r="B1762" s="3" t="s">
        <v>394</v>
      </c>
      <c r="C1762" s="3" t="s">
        <v>1684</v>
      </c>
      <c r="D1762" s="4" t="s">
        <v>7886</v>
      </c>
      <c r="E1762" s="3" t="s">
        <v>7887</v>
      </c>
      <c r="F1762" s="34" t="s">
        <v>7888</v>
      </c>
      <c r="G1762" s="6"/>
      <c r="H1762" s="3" t="s">
        <v>7889</v>
      </c>
    </row>
    <row r="1763" spans="1:8" ht="15.75" customHeight="1">
      <c r="A1763" s="3" t="s">
        <v>6259</v>
      </c>
      <c r="B1763" s="3" t="s">
        <v>7890</v>
      </c>
      <c r="C1763" s="3" t="s">
        <v>7891</v>
      </c>
      <c r="D1763" s="4" t="s">
        <v>7892</v>
      </c>
      <c r="E1763" s="3" t="s">
        <v>7893</v>
      </c>
      <c r="F1763" s="34" t="s">
        <v>7894</v>
      </c>
      <c r="G1763" s="6"/>
      <c r="H1763" s="3" t="s">
        <v>7895</v>
      </c>
    </row>
    <row r="1764" spans="1:8" ht="15.75" customHeight="1">
      <c r="A1764" s="3" t="s">
        <v>1689</v>
      </c>
      <c r="B1764" s="3" t="s">
        <v>3522</v>
      </c>
      <c r="C1764" s="3" t="s">
        <v>5182</v>
      </c>
      <c r="D1764" s="4" t="s">
        <v>7896</v>
      </c>
      <c r="E1764" s="3" t="s">
        <v>7897</v>
      </c>
      <c r="F1764" s="34" t="s">
        <v>7898</v>
      </c>
      <c r="G1764" s="6"/>
      <c r="H1764" s="3" t="s">
        <v>7899</v>
      </c>
    </row>
    <row r="1765" spans="1:8" ht="15.75" customHeight="1">
      <c r="A1765" s="3" t="s">
        <v>572</v>
      </c>
      <c r="B1765" s="3" t="s">
        <v>2245</v>
      </c>
      <c r="C1765" s="3" t="s">
        <v>4472</v>
      </c>
      <c r="D1765" s="4" t="s">
        <v>7900</v>
      </c>
      <c r="E1765" s="3" t="s">
        <v>7901</v>
      </c>
      <c r="F1765" s="34" t="s">
        <v>7902</v>
      </c>
      <c r="G1765" s="6"/>
      <c r="H1765" s="3" t="s">
        <v>7903</v>
      </c>
    </row>
    <row r="1766" spans="1:8" ht="15.75" customHeight="1">
      <c r="A1766" s="3" t="s">
        <v>2520</v>
      </c>
      <c r="B1766" s="3" t="s">
        <v>6709</v>
      </c>
      <c r="C1766" s="3" t="s">
        <v>7904</v>
      </c>
      <c r="D1766" s="4" t="s">
        <v>7905</v>
      </c>
      <c r="E1766" s="3" t="s">
        <v>7906</v>
      </c>
      <c r="F1766" s="6"/>
      <c r="G1766" s="6"/>
      <c r="H1766" s="3" t="s">
        <v>7882</v>
      </c>
    </row>
    <row r="1767" spans="1:8" ht="15.75" customHeight="1">
      <c r="A1767" s="3" t="s">
        <v>7907</v>
      </c>
      <c r="B1767" s="3" t="s">
        <v>3311</v>
      </c>
      <c r="C1767" s="3" t="s">
        <v>5232</v>
      </c>
      <c r="D1767" s="4" t="s">
        <v>7908</v>
      </c>
      <c r="E1767" s="3" t="s">
        <v>7909</v>
      </c>
      <c r="F1767" s="34" t="s">
        <v>7910</v>
      </c>
      <c r="G1767" s="6"/>
      <c r="H1767" s="3" t="s">
        <v>7818</v>
      </c>
    </row>
    <row r="1768" spans="1:8" ht="15.75" customHeight="1">
      <c r="A1768" s="3" t="s">
        <v>848</v>
      </c>
      <c r="B1768" s="3" t="s">
        <v>1993</v>
      </c>
      <c r="C1768" s="3" t="s">
        <v>1994</v>
      </c>
      <c r="D1768" s="4" t="s">
        <v>7911</v>
      </c>
      <c r="E1768" s="3" t="s">
        <v>1996</v>
      </c>
      <c r="F1768" s="3" t="s">
        <v>7912</v>
      </c>
      <c r="G1768" s="6"/>
      <c r="H1768" s="3" t="s">
        <v>7685</v>
      </c>
    </row>
    <row r="1769" spans="1:8" ht="15.75" customHeight="1">
      <c r="A1769" s="3" t="s">
        <v>3403</v>
      </c>
      <c r="B1769" s="3" t="s">
        <v>7913</v>
      </c>
      <c r="C1769" s="3" t="s">
        <v>7914</v>
      </c>
      <c r="D1769" s="6"/>
      <c r="E1769" s="3" t="s">
        <v>7915</v>
      </c>
      <c r="F1769" s="34" t="s">
        <v>7916</v>
      </c>
      <c r="G1769" s="6"/>
      <c r="H1769" s="3" t="s">
        <v>7917</v>
      </c>
    </row>
    <row r="1770" spans="1:8" ht="15.75" customHeight="1">
      <c r="A1770" s="3" t="s">
        <v>1175</v>
      </c>
      <c r="B1770" s="3" t="s">
        <v>7918</v>
      </c>
      <c r="C1770" s="3" t="s">
        <v>6888</v>
      </c>
      <c r="D1770" s="6"/>
      <c r="E1770" s="3" t="s">
        <v>7919</v>
      </c>
      <c r="F1770" s="34" t="s">
        <v>6913</v>
      </c>
      <c r="G1770" s="6"/>
      <c r="H1770" s="3" t="s">
        <v>7549</v>
      </c>
    </row>
    <row r="1771" spans="1:8" ht="15.75" customHeight="1">
      <c r="A1771" s="3" t="s">
        <v>39</v>
      </c>
      <c r="B1771" s="3" t="s">
        <v>1789</v>
      </c>
      <c r="C1771" s="3" t="s">
        <v>6911</v>
      </c>
      <c r="D1771" s="6"/>
      <c r="E1771" s="3" t="s">
        <v>6912</v>
      </c>
      <c r="F1771" s="3" t="s">
        <v>7920</v>
      </c>
      <c r="G1771" s="6"/>
      <c r="H1771" s="3" t="s">
        <v>6914</v>
      </c>
    </row>
    <row r="1772" spans="1:8" ht="15.75" customHeight="1">
      <c r="A1772" s="3" t="s">
        <v>132</v>
      </c>
      <c r="B1772" s="6"/>
      <c r="C1772" s="3" t="s">
        <v>7921</v>
      </c>
      <c r="D1772" s="6"/>
      <c r="E1772" s="3" t="s">
        <v>7922</v>
      </c>
      <c r="F1772" s="34" t="s">
        <v>7923</v>
      </c>
      <c r="G1772" s="6"/>
      <c r="H1772" s="3" t="s">
        <v>7924</v>
      </c>
    </row>
    <row r="1773" spans="1:8" ht="15.75" customHeight="1">
      <c r="A1773" s="3" t="s">
        <v>160</v>
      </c>
      <c r="B1773" s="3" t="s">
        <v>45</v>
      </c>
      <c r="C1773" s="3" t="s">
        <v>4357</v>
      </c>
      <c r="D1773" s="4" t="s">
        <v>7925</v>
      </c>
      <c r="E1773" s="3" t="s">
        <v>7845</v>
      </c>
      <c r="F1773" s="6"/>
      <c r="G1773" s="6"/>
      <c r="H1773" s="3" t="s">
        <v>7926</v>
      </c>
    </row>
    <row r="1774" spans="1:8" ht="15.75" customHeight="1">
      <c r="A1774" s="3" t="s">
        <v>1501</v>
      </c>
      <c r="B1774" s="3" t="s">
        <v>185</v>
      </c>
      <c r="C1774" s="3" t="s">
        <v>691</v>
      </c>
      <c r="D1774" s="4" t="s">
        <v>7927</v>
      </c>
      <c r="E1774" s="3" t="s">
        <v>7928</v>
      </c>
      <c r="F1774" s="6"/>
      <c r="G1774" s="6"/>
      <c r="H1774" s="3" t="s">
        <v>7704</v>
      </c>
    </row>
    <row r="1775" spans="1:8" ht="15.75" customHeight="1">
      <c r="A1775" s="3" t="s">
        <v>7929</v>
      </c>
      <c r="B1775" s="3" t="s">
        <v>7930</v>
      </c>
      <c r="C1775" s="3" t="s">
        <v>91</v>
      </c>
      <c r="D1775" s="4" t="s">
        <v>7931</v>
      </c>
      <c r="E1775" s="3" t="s">
        <v>7932</v>
      </c>
      <c r="F1775" s="34" t="s">
        <v>7933</v>
      </c>
      <c r="G1775" s="6"/>
      <c r="H1775" s="3" t="s">
        <v>7843</v>
      </c>
    </row>
    <row r="1776" spans="1:8" ht="15.75" customHeight="1">
      <c r="A1776" s="3" t="s">
        <v>1180</v>
      </c>
      <c r="B1776" s="3" t="s">
        <v>3098</v>
      </c>
      <c r="C1776" s="3" t="s">
        <v>5641</v>
      </c>
      <c r="D1776" s="4" t="s">
        <v>7061</v>
      </c>
      <c r="E1776" s="3" t="s">
        <v>7062</v>
      </c>
      <c r="F1776" s="34" t="s">
        <v>7842</v>
      </c>
      <c r="G1776" s="6"/>
      <c r="H1776" s="3" t="s">
        <v>7064</v>
      </c>
    </row>
    <row r="1777" spans="1:8" ht="15.75" customHeight="1">
      <c r="A1777" s="3" t="s">
        <v>301</v>
      </c>
      <c r="B1777" s="3" t="s">
        <v>69</v>
      </c>
      <c r="C1777" s="3" t="s">
        <v>4300</v>
      </c>
      <c r="D1777" s="4" t="s">
        <v>7934</v>
      </c>
      <c r="E1777" s="3" t="s">
        <v>7935</v>
      </c>
      <c r="F1777" s="3" t="s">
        <v>7571</v>
      </c>
      <c r="G1777" s="6"/>
      <c r="H1777" s="3" t="s">
        <v>7936</v>
      </c>
    </row>
    <row r="1778" spans="1:8" ht="15.75" customHeight="1">
      <c r="A1778" s="3" t="s">
        <v>359</v>
      </c>
      <c r="B1778" s="3" t="s">
        <v>1277</v>
      </c>
      <c r="C1778" s="3" t="s">
        <v>1580</v>
      </c>
      <c r="D1778" s="4" t="s">
        <v>7937</v>
      </c>
      <c r="E1778" s="3" t="s">
        <v>7938</v>
      </c>
      <c r="F1778" s="34" t="s">
        <v>7939</v>
      </c>
      <c r="G1778" s="6"/>
      <c r="H1778" s="3" t="s">
        <v>7579</v>
      </c>
    </row>
    <row r="1779" spans="1:8" ht="15.75" customHeight="1">
      <c r="A1779" s="3" t="s">
        <v>462</v>
      </c>
      <c r="B1779" s="3" t="s">
        <v>5671</v>
      </c>
      <c r="C1779" s="3" t="s">
        <v>5182</v>
      </c>
      <c r="D1779" s="4" t="s">
        <v>7940</v>
      </c>
      <c r="E1779" s="6"/>
      <c r="F1779" s="34" t="s">
        <v>6913</v>
      </c>
      <c r="G1779" s="6"/>
      <c r="H1779" s="3" t="s">
        <v>7941</v>
      </c>
    </row>
    <row r="1780" spans="1:8" ht="15.75" customHeight="1">
      <c r="A1780" s="3" t="s">
        <v>763</v>
      </c>
      <c r="B1780" s="3" t="s">
        <v>1277</v>
      </c>
      <c r="C1780" s="3" t="s">
        <v>6981</v>
      </c>
      <c r="D1780" s="4" t="s">
        <v>6982</v>
      </c>
      <c r="E1780" s="3" t="s">
        <v>6983</v>
      </c>
      <c r="F1780" s="34" t="s">
        <v>7942</v>
      </c>
      <c r="G1780" s="6"/>
      <c r="H1780" s="3" t="s">
        <v>6914</v>
      </c>
    </row>
    <row r="1781" spans="1:8" ht="15.75" customHeight="1">
      <c r="A1781" s="3" t="s">
        <v>7943</v>
      </c>
      <c r="B1781" s="3" t="s">
        <v>7944</v>
      </c>
      <c r="C1781" s="3" t="s">
        <v>7945</v>
      </c>
      <c r="D1781" s="4" t="s">
        <v>7946</v>
      </c>
      <c r="E1781" s="3" t="s">
        <v>7947</v>
      </c>
      <c r="F1781" s="6"/>
      <c r="G1781" s="6"/>
      <c r="H1781" s="3" t="s">
        <v>7948</v>
      </c>
    </row>
    <row r="1782" spans="1:8" ht="15.75" customHeight="1">
      <c r="A1782" s="3" t="s">
        <v>4000</v>
      </c>
      <c r="B1782" s="3" t="s">
        <v>7949</v>
      </c>
      <c r="C1782" s="3" t="s">
        <v>229</v>
      </c>
      <c r="D1782" s="6"/>
      <c r="E1782" s="3" t="s">
        <v>7950</v>
      </c>
      <c r="F1782" s="34" t="s">
        <v>7951</v>
      </c>
      <c r="G1782" s="6"/>
      <c r="H1782" s="3" t="s">
        <v>7666</v>
      </c>
    </row>
    <row r="1783" spans="1:8" ht="15.75" customHeight="1">
      <c r="A1783" s="3" t="s">
        <v>14</v>
      </c>
      <c r="B1783" s="3" t="s">
        <v>7952</v>
      </c>
      <c r="C1783" s="3" t="s">
        <v>7660</v>
      </c>
      <c r="D1783" s="6"/>
      <c r="E1783" s="3" t="s">
        <v>7953</v>
      </c>
      <c r="F1783" s="34" t="s">
        <v>7954</v>
      </c>
      <c r="G1783" s="6"/>
      <c r="H1783" s="3" t="s">
        <v>7666</v>
      </c>
    </row>
    <row r="1784" spans="1:8" ht="15.75" customHeight="1">
      <c r="A1784" s="3" t="s">
        <v>433</v>
      </c>
      <c r="B1784" s="3" t="s">
        <v>49</v>
      </c>
      <c r="C1784" s="3" t="s">
        <v>4896</v>
      </c>
      <c r="D1784" s="4" t="s">
        <v>5244</v>
      </c>
      <c r="E1784" s="3" t="s">
        <v>5245</v>
      </c>
      <c r="F1784" s="3" t="s">
        <v>7955</v>
      </c>
      <c r="G1784" s="6"/>
      <c r="H1784" s="3" t="s">
        <v>5247</v>
      </c>
    </row>
    <row r="1785" spans="1:8" ht="15.75" customHeight="1">
      <c r="A1785" s="3" t="s">
        <v>4078</v>
      </c>
      <c r="B1785" s="3" t="s">
        <v>5175</v>
      </c>
      <c r="C1785" s="3" t="s">
        <v>7956</v>
      </c>
      <c r="D1785" s="4" t="s">
        <v>7957</v>
      </c>
      <c r="E1785" s="3" t="s">
        <v>7958</v>
      </c>
      <c r="F1785" s="34" t="s">
        <v>7881</v>
      </c>
      <c r="G1785" s="6"/>
      <c r="H1785" s="3" t="s">
        <v>7882</v>
      </c>
    </row>
    <row r="1786" spans="1:8" ht="15.75" customHeight="1">
      <c r="A1786" s="3" t="s">
        <v>812</v>
      </c>
      <c r="B1786" s="3" t="s">
        <v>7959</v>
      </c>
      <c r="C1786" s="3" t="s">
        <v>7960</v>
      </c>
      <c r="D1786" s="4" t="s">
        <v>7961</v>
      </c>
      <c r="E1786" s="3" t="s">
        <v>7962</v>
      </c>
      <c r="F1786" s="34" t="s">
        <v>5266</v>
      </c>
      <c r="G1786" s="6"/>
      <c r="H1786" s="3" t="s">
        <v>7579</v>
      </c>
    </row>
    <row r="1787" spans="1:8" ht="15.75" customHeight="1">
      <c r="A1787" s="3" t="s">
        <v>5261</v>
      </c>
      <c r="B1787" s="3" t="s">
        <v>5262</v>
      </c>
      <c r="C1787" s="3" t="s">
        <v>5263</v>
      </c>
      <c r="D1787" s="4" t="s">
        <v>5264</v>
      </c>
      <c r="E1787" s="3" t="s">
        <v>5265</v>
      </c>
      <c r="F1787" s="34" t="s">
        <v>7963</v>
      </c>
      <c r="G1787" s="6"/>
      <c r="H1787" s="3" t="s">
        <v>5247</v>
      </c>
    </row>
    <row r="1788" spans="1:8" ht="15.75" customHeight="1">
      <c r="A1788" s="3" t="s">
        <v>301</v>
      </c>
      <c r="B1788" s="3" t="s">
        <v>7964</v>
      </c>
      <c r="C1788" s="3" t="s">
        <v>7674</v>
      </c>
      <c r="D1788" s="4" t="s">
        <v>7965</v>
      </c>
      <c r="E1788" s="3" t="s">
        <v>7966</v>
      </c>
      <c r="F1788" s="34" t="s">
        <v>7967</v>
      </c>
      <c r="G1788" s="6"/>
      <c r="H1788" s="3" t="s">
        <v>7968</v>
      </c>
    </row>
    <row r="1789" spans="1:8" ht="15.75" customHeight="1">
      <c r="A1789" s="3" t="s">
        <v>7969</v>
      </c>
      <c r="B1789" s="3" t="s">
        <v>7970</v>
      </c>
      <c r="C1789" s="3" t="s">
        <v>4664</v>
      </c>
      <c r="D1789" s="4" t="s">
        <v>7971</v>
      </c>
      <c r="E1789" s="3" t="s">
        <v>7972</v>
      </c>
      <c r="F1789" s="34" t="s">
        <v>7973</v>
      </c>
      <c r="G1789" s="6"/>
      <c r="H1789" s="3" t="s">
        <v>7974</v>
      </c>
    </row>
    <row r="1790" spans="1:8" ht="15.75" customHeight="1">
      <c r="A1790" s="3" t="s">
        <v>6243</v>
      </c>
      <c r="B1790" s="3" t="s">
        <v>849</v>
      </c>
      <c r="C1790" s="3" t="s">
        <v>691</v>
      </c>
      <c r="D1790" s="4" t="s">
        <v>7975</v>
      </c>
      <c r="E1790" s="3" t="s">
        <v>7976</v>
      </c>
      <c r="F1790" s="34" t="s">
        <v>7977</v>
      </c>
      <c r="G1790" s="6"/>
      <c r="H1790" s="3" t="s">
        <v>7978</v>
      </c>
    </row>
    <row r="1791" spans="1:8" ht="15.75" customHeight="1">
      <c r="A1791" s="3" t="s">
        <v>763</v>
      </c>
      <c r="B1791" s="3" t="s">
        <v>4471</v>
      </c>
      <c r="C1791" s="3" t="s">
        <v>4290</v>
      </c>
      <c r="D1791" s="4" t="s">
        <v>7979</v>
      </c>
      <c r="E1791" s="3" t="s">
        <v>7980</v>
      </c>
      <c r="F1791" s="6"/>
      <c r="G1791" s="6"/>
      <c r="H1791" s="3" t="s">
        <v>7981</v>
      </c>
    </row>
    <row r="1792" spans="1:8" ht="15.75" customHeight="1">
      <c r="A1792" s="3" t="s">
        <v>3214</v>
      </c>
      <c r="B1792" s="3" t="s">
        <v>5328</v>
      </c>
      <c r="C1792" s="3" t="s">
        <v>7982</v>
      </c>
      <c r="D1792" s="4" t="s">
        <v>7983</v>
      </c>
      <c r="E1792" s="3" t="s">
        <v>7984</v>
      </c>
      <c r="F1792" s="6"/>
      <c r="G1792" s="6"/>
      <c r="H1792" s="3" t="s">
        <v>7985</v>
      </c>
    </row>
    <row r="1793" spans="1:8" ht="15.75" customHeight="1">
      <c r="A1793" s="3" t="s">
        <v>422</v>
      </c>
      <c r="B1793" s="3" t="s">
        <v>7986</v>
      </c>
      <c r="C1793" s="3" t="s">
        <v>7987</v>
      </c>
      <c r="D1793" s="4" t="s">
        <v>7988</v>
      </c>
      <c r="E1793" s="3" t="s">
        <v>7989</v>
      </c>
      <c r="F1793" s="34" t="s">
        <v>7990</v>
      </c>
      <c r="G1793" s="6"/>
      <c r="H1793" s="3" t="s">
        <v>7991</v>
      </c>
    </row>
    <row r="1794" spans="1:8" ht="15.75" customHeight="1">
      <c r="A1794" s="3" t="s">
        <v>7992</v>
      </c>
      <c r="B1794" s="3" t="s">
        <v>2624</v>
      </c>
      <c r="C1794" s="3" t="s">
        <v>7993</v>
      </c>
      <c r="D1794" s="4" t="s">
        <v>7994</v>
      </c>
      <c r="E1794" s="3" t="s">
        <v>7995</v>
      </c>
      <c r="F1794" s="6"/>
      <c r="G1794" s="6"/>
      <c r="H1794" s="3" t="s">
        <v>7996</v>
      </c>
    </row>
    <row r="1795" spans="1:8" ht="15.75" customHeight="1">
      <c r="A1795" s="3" t="s">
        <v>39</v>
      </c>
      <c r="B1795" s="3" t="s">
        <v>4912</v>
      </c>
      <c r="C1795" s="3" t="s">
        <v>7997</v>
      </c>
      <c r="D1795" s="4" t="s">
        <v>7998</v>
      </c>
      <c r="E1795" s="3" t="s">
        <v>7999</v>
      </c>
      <c r="F1795" s="34" t="s">
        <v>8000</v>
      </c>
      <c r="G1795" s="6"/>
      <c r="H1795" s="3" t="s">
        <v>7694</v>
      </c>
    </row>
    <row r="1796" spans="1:8" ht="15.75" customHeight="1">
      <c r="A1796" s="3" t="s">
        <v>1585</v>
      </c>
      <c r="B1796" s="3" t="s">
        <v>1965</v>
      </c>
      <c r="C1796" s="3" t="s">
        <v>8001</v>
      </c>
      <c r="D1796" s="4" t="s">
        <v>8002</v>
      </c>
      <c r="E1796" s="3" t="s">
        <v>8003</v>
      </c>
      <c r="F1796" s="34" t="s">
        <v>7703</v>
      </c>
      <c r="G1796" s="6"/>
      <c r="H1796" s="3" t="s">
        <v>7685</v>
      </c>
    </row>
    <row r="1797" spans="1:8" ht="15.75" customHeight="1">
      <c r="A1797" s="3" t="s">
        <v>14</v>
      </c>
      <c r="B1797" s="3" t="s">
        <v>7125</v>
      </c>
      <c r="C1797" s="3" t="s">
        <v>7126</v>
      </c>
      <c r="D1797" s="4" t="s">
        <v>7127</v>
      </c>
      <c r="E1797" s="3" t="s">
        <v>7128</v>
      </c>
      <c r="F1797" s="3" t="s">
        <v>8004</v>
      </c>
      <c r="G1797" s="6"/>
      <c r="H1797" s="3" t="s">
        <v>6914</v>
      </c>
    </row>
    <row r="1798" spans="1:8" ht="15.75" customHeight="1">
      <c r="A1798" s="3" t="s">
        <v>1557</v>
      </c>
      <c r="B1798" s="3" t="s">
        <v>4912</v>
      </c>
      <c r="C1798" s="3" t="s">
        <v>5641</v>
      </c>
      <c r="D1798" s="4" t="s">
        <v>8005</v>
      </c>
      <c r="E1798" s="3" t="s">
        <v>8006</v>
      </c>
      <c r="F1798" s="6"/>
      <c r="G1798" s="6"/>
      <c r="H1798" s="3" t="s">
        <v>7822</v>
      </c>
    </row>
    <row r="1799" spans="1:8" ht="15.75" customHeight="1">
      <c r="A1799" s="3" t="s">
        <v>69</v>
      </c>
      <c r="B1799" s="3" t="s">
        <v>45</v>
      </c>
      <c r="C1799" s="3" t="s">
        <v>5263</v>
      </c>
      <c r="D1799" s="4" t="s">
        <v>8007</v>
      </c>
      <c r="E1799" s="3" t="s">
        <v>8008</v>
      </c>
      <c r="F1799" s="34" t="s">
        <v>7554</v>
      </c>
      <c r="G1799" s="6"/>
      <c r="H1799" s="3" t="s">
        <v>8009</v>
      </c>
    </row>
    <row r="1800" spans="1:8" ht="15.75" customHeight="1">
      <c r="A1800" s="3" t="s">
        <v>5327</v>
      </c>
      <c r="B1800" s="3" t="s">
        <v>185</v>
      </c>
      <c r="C1800" s="3" t="s">
        <v>229</v>
      </c>
      <c r="D1800" s="4" t="s">
        <v>8010</v>
      </c>
      <c r="E1800" s="3" t="s">
        <v>8011</v>
      </c>
      <c r="F1800" s="34" t="s">
        <v>8012</v>
      </c>
      <c r="G1800" s="6"/>
      <c r="H1800" s="3" t="s">
        <v>7560</v>
      </c>
    </row>
    <row r="1801" spans="1:8" ht="15.75" customHeight="1">
      <c r="A1801" s="3" t="s">
        <v>6494</v>
      </c>
      <c r="B1801" s="3" t="s">
        <v>8013</v>
      </c>
      <c r="C1801" s="3" t="s">
        <v>5227</v>
      </c>
      <c r="D1801" s="6"/>
      <c r="E1801" s="3" t="s">
        <v>8014</v>
      </c>
      <c r="F1801" s="34" t="s">
        <v>7583</v>
      </c>
      <c r="G1801" s="6"/>
      <c r="H1801" s="3" t="s">
        <v>8015</v>
      </c>
    </row>
    <row r="1802" spans="1:8" ht="15.75" customHeight="1">
      <c r="A1802" s="3" t="s">
        <v>143</v>
      </c>
      <c r="B1802" s="3" t="s">
        <v>8016</v>
      </c>
      <c r="C1802" s="3" t="s">
        <v>152</v>
      </c>
      <c r="D1802" s="4" t="s">
        <v>8017</v>
      </c>
      <c r="E1802" s="3" t="s">
        <v>8018</v>
      </c>
      <c r="F1802" s="34" t="s">
        <v>8019</v>
      </c>
      <c r="G1802" s="6"/>
      <c r="H1802" s="3" t="s">
        <v>7591</v>
      </c>
    </row>
    <row r="1803" spans="1:8" ht="15.75" customHeight="1">
      <c r="A1803" s="3" t="s">
        <v>14</v>
      </c>
      <c r="B1803" s="3" t="s">
        <v>3457</v>
      </c>
      <c r="C1803" s="3" t="s">
        <v>8020</v>
      </c>
      <c r="D1803" s="4" t="s">
        <v>8021</v>
      </c>
      <c r="E1803" s="3" t="s">
        <v>8022</v>
      </c>
      <c r="F1803" s="6"/>
      <c r="G1803" s="6"/>
      <c r="H1803" s="3" t="s">
        <v>8023</v>
      </c>
    </row>
    <row r="1804" spans="1:8" ht="15.75" customHeight="1">
      <c r="A1804" s="3" t="s">
        <v>8024</v>
      </c>
      <c r="B1804" s="6"/>
      <c r="C1804" s="3" t="s">
        <v>4321</v>
      </c>
      <c r="D1804" s="6"/>
      <c r="E1804" s="3" t="s">
        <v>8025</v>
      </c>
      <c r="F1804" s="6"/>
      <c r="G1804" s="6"/>
      <c r="H1804" s="3" t="s">
        <v>8024</v>
      </c>
    </row>
    <row r="1805" spans="1:8" ht="15.75" customHeight="1">
      <c r="A1805" s="3" t="s">
        <v>8026</v>
      </c>
      <c r="B1805" s="3" t="s">
        <v>290</v>
      </c>
      <c r="C1805" s="3" t="s">
        <v>5240</v>
      </c>
      <c r="D1805" s="4" t="s">
        <v>8027</v>
      </c>
      <c r="E1805" s="3" t="s">
        <v>8028</v>
      </c>
      <c r="F1805" s="34" t="s">
        <v>7756</v>
      </c>
      <c r="G1805" s="6"/>
      <c r="H1805" s="3" t="s">
        <v>7566</v>
      </c>
    </row>
    <row r="1806" spans="1:8" ht="15.75" customHeight="1">
      <c r="A1806" s="3" t="s">
        <v>6628</v>
      </c>
      <c r="B1806" s="3" t="s">
        <v>8029</v>
      </c>
      <c r="C1806" s="3" t="s">
        <v>8030</v>
      </c>
      <c r="D1806" s="4" t="s">
        <v>8031</v>
      </c>
      <c r="E1806" s="3" t="s">
        <v>8032</v>
      </c>
      <c r="F1806" s="6"/>
      <c r="G1806" s="6"/>
      <c r="H1806" s="3" t="s">
        <v>7763</v>
      </c>
    </row>
    <row r="1807" spans="1:8" ht="15.75" customHeight="1">
      <c r="A1807" s="3" t="s">
        <v>2288</v>
      </c>
      <c r="B1807" s="3" t="s">
        <v>45</v>
      </c>
      <c r="C1807" s="3" t="s">
        <v>6055</v>
      </c>
      <c r="D1807" s="4" t="s">
        <v>6056</v>
      </c>
      <c r="E1807" s="3" t="s">
        <v>6057</v>
      </c>
      <c r="F1807" s="34" t="s">
        <v>7827</v>
      </c>
      <c r="G1807" s="6"/>
      <c r="H1807" s="3" t="s">
        <v>5247</v>
      </c>
    </row>
    <row r="1808" spans="1:8" ht="15.75" customHeight="1">
      <c r="A1808" s="3" t="s">
        <v>1482</v>
      </c>
      <c r="B1808" s="3" t="s">
        <v>8033</v>
      </c>
      <c r="C1808" s="3" t="s">
        <v>4512</v>
      </c>
      <c r="D1808" s="4" t="s">
        <v>8034</v>
      </c>
      <c r="E1808" s="3" t="s">
        <v>8035</v>
      </c>
      <c r="F1808" s="34" t="s">
        <v>8036</v>
      </c>
      <c r="G1808" s="6"/>
      <c r="H1808" s="3" t="s">
        <v>7833</v>
      </c>
    </row>
    <row r="1809" spans="1:8" ht="15.75" customHeight="1">
      <c r="A1809" s="3" t="s">
        <v>865</v>
      </c>
      <c r="B1809" s="3" t="s">
        <v>6107</v>
      </c>
      <c r="C1809" s="3" t="s">
        <v>8037</v>
      </c>
      <c r="D1809" s="4" t="s">
        <v>8038</v>
      </c>
      <c r="E1809" s="3" t="s">
        <v>8039</v>
      </c>
      <c r="F1809" s="34" t="s">
        <v>7916</v>
      </c>
      <c r="G1809" s="6"/>
      <c r="H1809" s="3" t="s">
        <v>8040</v>
      </c>
    </row>
    <row r="1810" spans="1:8" ht="15.75" customHeight="1">
      <c r="A1810" s="3" t="s">
        <v>8041</v>
      </c>
      <c r="B1810" s="3" t="s">
        <v>8042</v>
      </c>
      <c r="C1810" s="3" t="s">
        <v>6888</v>
      </c>
      <c r="D1810" s="6"/>
      <c r="E1810" s="3" t="s">
        <v>8043</v>
      </c>
      <c r="F1810" s="34" t="s">
        <v>7583</v>
      </c>
      <c r="G1810" s="6"/>
      <c r="H1810" s="3" t="s">
        <v>7549</v>
      </c>
    </row>
    <row r="1811" spans="1:8" ht="15.75" customHeight="1">
      <c r="A1811" s="3" t="s">
        <v>6785</v>
      </c>
      <c r="B1811" s="3" t="s">
        <v>3261</v>
      </c>
      <c r="C1811" s="3" t="s">
        <v>6033</v>
      </c>
      <c r="D1811" s="4" t="s">
        <v>8044</v>
      </c>
      <c r="E1811" s="3" t="s">
        <v>8045</v>
      </c>
      <c r="F1811" s="34" t="s">
        <v>7827</v>
      </c>
      <c r="G1811" s="6"/>
      <c r="H1811" s="3" t="s">
        <v>8046</v>
      </c>
    </row>
    <row r="1812" spans="1:8" ht="15.75" customHeight="1">
      <c r="A1812" s="3" t="s">
        <v>1192</v>
      </c>
      <c r="B1812" s="3" t="s">
        <v>3364</v>
      </c>
      <c r="C1812" s="3" t="s">
        <v>8047</v>
      </c>
      <c r="D1812" s="4" t="s">
        <v>8048</v>
      </c>
      <c r="E1812" s="3" t="s">
        <v>8049</v>
      </c>
      <c r="F1812" s="3" t="s">
        <v>7571</v>
      </c>
      <c r="G1812" s="6"/>
      <c r="H1812" s="3" t="s">
        <v>7833</v>
      </c>
    </row>
    <row r="1813" spans="1:8" ht="15.75" customHeight="1">
      <c r="A1813" s="3" t="s">
        <v>8050</v>
      </c>
      <c r="B1813" s="3" t="s">
        <v>6397</v>
      </c>
      <c r="C1813" s="3" t="s">
        <v>8051</v>
      </c>
      <c r="D1813" s="4" t="s">
        <v>8052</v>
      </c>
      <c r="E1813" s="3" t="s">
        <v>8053</v>
      </c>
      <c r="F1813" s="6"/>
      <c r="G1813" s="6"/>
      <c r="H1813" s="3" t="s">
        <v>7579</v>
      </c>
    </row>
    <row r="1814" spans="1:8" ht="15.75" customHeight="1">
      <c r="A1814" s="3" t="s">
        <v>939</v>
      </c>
      <c r="B1814" s="3" t="s">
        <v>5181</v>
      </c>
      <c r="C1814" s="3" t="s">
        <v>8054</v>
      </c>
      <c r="D1814" s="4" t="s">
        <v>8055</v>
      </c>
      <c r="E1814" s="3" t="s">
        <v>8056</v>
      </c>
      <c r="F1814" s="6"/>
      <c r="G1814" s="6"/>
      <c r="H1814" s="3" t="s">
        <v>8057</v>
      </c>
    </row>
    <row r="1815" spans="1:8" ht="15.75" customHeight="1">
      <c r="A1815" s="3" t="s">
        <v>4215</v>
      </c>
      <c r="B1815" s="3" t="s">
        <v>8058</v>
      </c>
      <c r="C1815" s="3" t="s">
        <v>8059</v>
      </c>
      <c r="D1815" s="4" t="s">
        <v>8060</v>
      </c>
      <c r="E1815" s="3" t="s">
        <v>8061</v>
      </c>
      <c r="F1815" s="34" t="s">
        <v>5574</v>
      </c>
      <c r="G1815" s="6"/>
      <c r="H1815" s="3" t="s">
        <v>8062</v>
      </c>
    </row>
    <row r="1816" spans="1:8" ht="15.75" customHeight="1">
      <c r="A1816" s="3" t="s">
        <v>295</v>
      </c>
      <c r="B1816" s="3" t="s">
        <v>1192</v>
      </c>
      <c r="C1816" s="3" t="s">
        <v>5571</v>
      </c>
      <c r="D1816" s="4" t="s">
        <v>5572</v>
      </c>
      <c r="E1816" s="3" t="s">
        <v>5573</v>
      </c>
      <c r="F1816" s="34" t="s">
        <v>7605</v>
      </c>
      <c r="G1816" s="6"/>
      <c r="H1816" s="3" t="s">
        <v>5247</v>
      </c>
    </row>
    <row r="1817" spans="1:8" ht="15.75" customHeight="1">
      <c r="A1817" s="3" t="s">
        <v>763</v>
      </c>
      <c r="B1817" s="3" t="s">
        <v>883</v>
      </c>
      <c r="C1817" s="3" t="s">
        <v>140</v>
      </c>
      <c r="D1817" s="4" t="s">
        <v>8063</v>
      </c>
      <c r="E1817" s="3" t="s">
        <v>8064</v>
      </c>
      <c r="F1817" s="6"/>
      <c r="G1817" s="6"/>
      <c r="H1817" s="3" t="s">
        <v>7610</v>
      </c>
    </row>
    <row r="1818" spans="1:8" ht="15.75" customHeight="1">
      <c r="A1818" s="3" t="s">
        <v>8065</v>
      </c>
      <c r="B1818" s="3" t="s">
        <v>8066</v>
      </c>
      <c r="C1818" s="3" t="s">
        <v>8067</v>
      </c>
      <c r="D1818" s="4" t="s">
        <v>8068</v>
      </c>
      <c r="E1818" s="3" t="s">
        <v>8069</v>
      </c>
      <c r="F1818" s="34" t="s">
        <v>8070</v>
      </c>
      <c r="G1818" s="6"/>
      <c r="H1818" s="3" t="s">
        <v>8071</v>
      </c>
    </row>
    <row r="1819" spans="1:8" ht="15.75" customHeight="1">
      <c r="A1819" s="3" t="s">
        <v>2313</v>
      </c>
      <c r="B1819" s="3" t="s">
        <v>883</v>
      </c>
      <c r="C1819" s="3" t="s">
        <v>5965</v>
      </c>
      <c r="D1819" s="4" t="s">
        <v>8072</v>
      </c>
      <c r="E1819" s="3" t="s">
        <v>8073</v>
      </c>
      <c r="F1819" s="6"/>
      <c r="G1819" s="6"/>
      <c r="H1819" s="3" t="s">
        <v>7579</v>
      </c>
    </row>
    <row r="1820" spans="1:8" ht="15.75" customHeight="1">
      <c r="A1820" s="3" t="s">
        <v>985</v>
      </c>
      <c r="B1820" s="3" t="s">
        <v>748</v>
      </c>
      <c r="C1820" s="3" t="s">
        <v>1684</v>
      </c>
      <c r="D1820" s="4" t="s">
        <v>8074</v>
      </c>
      <c r="E1820" s="3" t="s">
        <v>8075</v>
      </c>
      <c r="F1820" s="34" t="s">
        <v>6904</v>
      </c>
      <c r="G1820" s="6"/>
      <c r="H1820" s="3" t="s">
        <v>8076</v>
      </c>
    </row>
    <row r="1821" spans="1:8" ht="15.75" customHeight="1">
      <c r="A1821" s="3" t="s">
        <v>1884</v>
      </c>
      <c r="B1821" s="3" t="s">
        <v>20</v>
      </c>
      <c r="C1821" s="3" t="s">
        <v>91</v>
      </c>
      <c r="D1821" s="4" t="s">
        <v>6902</v>
      </c>
      <c r="E1821" s="3" t="s">
        <v>6903</v>
      </c>
      <c r="F1821" s="34" t="s">
        <v>8077</v>
      </c>
      <c r="G1821" s="6"/>
      <c r="H1821" s="3" t="s">
        <v>6905</v>
      </c>
    </row>
    <row r="1822" spans="1:8" ht="15.75" customHeight="1">
      <c r="A1822" s="3" t="s">
        <v>4149</v>
      </c>
      <c r="B1822" s="3" t="s">
        <v>8078</v>
      </c>
      <c r="C1822" s="3" t="s">
        <v>8079</v>
      </c>
      <c r="D1822" s="4" t="s">
        <v>8080</v>
      </c>
      <c r="E1822" s="3" t="s">
        <v>8081</v>
      </c>
      <c r="F1822" s="3" t="s">
        <v>7571</v>
      </c>
      <c r="G1822" s="6"/>
      <c r="H1822" s="3" t="s">
        <v>8082</v>
      </c>
    </row>
    <row r="1823" spans="1:8" ht="15.75" customHeight="1">
      <c r="A1823" s="3" t="s">
        <v>7585</v>
      </c>
      <c r="B1823" s="3" t="s">
        <v>3517</v>
      </c>
      <c r="C1823" s="3" t="s">
        <v>8083</v>
      </c>
      <c r="D1823" s="4" t="s">
        <v>8084</v>
      </c>
      <c r="E1823" s="3" t="s">
        <v>8085</v>
      </c>
      <c r="F1823" s="34" t="s">
        <v>8086</v>
      </c>
      <c r="G1823" s="6"/>
      <c r="H1823" s="3" t="s">
        <v>7579</v>
      </c>
    </row>
    <row r="1824" spans="1:8" ht="15.75" customHeight="1">
      <c r="A1824" s="3" t="s">
        <v>8087</v>
      </c>
      <c r="B1824" s="3" t="s">
        <v>1738</v>
      </c>
      <c r="C1824" s="3" t="s">
        <v>6572</v>
      </c>
      <c r="D1824" s="4" t="s">
        <v>8088</v>
      </c>
      <c r="E1824" s="3" t="s">
        <v>8089</v>
      </c>
      <c r="F1824" s="34" t="s">
        <v>7583</v>
      </c>
      <c r="G1824" s="6"/>
      <c r="H1824" s="3" t="s">
        <v>8090</v>
      </c>
    </row>
    <row r="1825" spans="1:8" ht="15.75" customHeight="1">
      <c r="A1825" s="3" t="s">
        <v>8091</v>
      </c>
      <c r="B1825" s="3" t="s">
        <v>2944</v>
      </c>
      <c r="C1825" s="3" t="s">
        <v>8092</v>
      </c>
      <c r="D1825" s="4" t="s">
        <v>8093</v>
      </c>
      <c r="E1825" s="3" t="s">
        <v>8094</v>
      </c>
      <c r="F1825" s="34" t="s">
        <v>8095</v>
      </c>
      <c r="G1825" s="6"/>
      <c r="H1825" s="3" t="s">
        <v>7591</v>
      </c>
    </row>
    <row r="1826" spans="1:8" ht="15.75" customHeight="1">
      <c r="A1826" s="3" t="s">
        <v>1157</v>
      </c>
      <c r="B1826" s="3" t="s">
        <v>49</v>
      </c>
      <c r="C1826" s="3" t="s">
        <v>8096</v>
      </c>
      <c r="D1826" s="4" t="s">
        <v>8097</v>
      </c>
      <c r="E1826" s="3" t="s">
        <v>8098</v>
      </c>
      <c r="F1826" s="34" t="s">
        <v>7933</v>
      </c>
      <c r="G1826" s="6"/>
      <c r="H1826" s="3" t="s">
        <v>8009</v>
      </c>
    </row>
    <row r="1827" spans="1:8" ht="15.75" customHeight="1">
      <c r="A1827" s="3" t="s">
        <v>301</v>
      </c>
      <c r="B1827" s="3" t="s">
        <v>8099</v>
      </c>
      <c r="C1827" s="3" t="s">
        <v>8100</v>
      </c>
      <c r="D1827" s="4" t="s">
        <v>8101</v>
      </c>
      <c r="E1827" s="3" t="s">
        <v>8102</v>
      </c>
      <c r="F1827" s="34" t="s">
        <v>8103</v>
      </c>
      <c r="G1827" s="6"/>
      <c r="H1827" s="3" t="s">
        <v>7579</v>
      </c>
    </row>
    <row r="1828" spans="1:8" ht="15.75" customHeight="1">
      <c r="A1828" s="3" t="s">
        <v>4800</v>
      </c>
      <c r="B1828" s="3" t="s">
        <v>1154</v>
      </c>
      <c r="C1828" s="3" t="s">
        <v>2455</v>
      </c>
      <c r="D1828" s="4" t="s">
        <v>8104</v>
      </c>
      <c r="E1828" s="3" t="s">
        <v>8105</v>
      </c>
      <c r="F1828" s="6"/>
      <c r="G1828" s="6"/>
      <c r="H1828" s="3" t="s">
        <v>8106</v>
      </c>
    </row>
    <row r="1829" spans="1:8" ht="15.75" customHeight="1">
      <c r="A1829" s="3" t="s">
        <v>2357</v>
      </c>
      <c r="B1829" s="3" t="s">
        <v>8107</v>
      </c>
      <c r="C1829" s="3" t="s">
        <v>8108</v>
      </c>
      <c r="D1829" s="4" t="s">
        <v>8109</v>
      </c>
      <c r="E1829" s="3" t="s">
        <v>8110</v>
      </c>
      <c r="F1829" s="34" t="s">
        <v>7583</v>
      </c>
      <c r="G1829" s="6"/>
      <c r="H1829" s="3" t="s">
        <v>8111</v>
      </c>
    </row>
    <row r="1830" spans="1:8" ht="15.75" customHeight="1">
      <c r="A1830" s="3" t="s">
        <v>44</v>
      </c>
      <c r="B1830" s="3" t="s">
        <v>8112</v>
      </c>
      <c r="C1830" s="3" t="s">
        <v>8113</v>
      </c>
      <c r="D1830" s="4" t="s">
        <v>8114</v>
      </c>
      <c r="E1830" s="3" t="s">
        <v>8115</v>
      </c>
      <c r="F1830" s="34" t="s">
        <v>7583</v>
      </c>
      <c r="G1830" s="6"/>
      <c r="H1830" s="3" t="s">
        <v>8046</v>
      </c>
    </row>
    <row r="1831" spans="1:8" ht="15.75" customHeight="1">
      <c r="A1831" s="3" t="s">
        <v>8116</v>
      </c>
      <c r="B1831" s="3" t="s">
        <v>3522</v>
      </c>
      <c r="C1831" s="3" t="s">
        <v>8117</v>
      </c>
      <c r="D1831" s="4" t="s">
        <v>8118</v>
      </c>
      <c r="E1831" s="3" t="s">
        <v>8119</v>
      </c>
      <c r="F1831" s="34" t="s">
        <v>7869</v>
      </c>
      <c r="G1831" s="6"/>
      <c r="H1831" s="3" t="s">
        <v>7591</v>
      </c>
    </row>
    <row r="1832" spans="1:8" ht="15.75" customHeight="1">
      <c r="A1832" s="3" t="s">
        <v>2821</v>
      </c>
      <c r="B1832" s="3" t="s">
        <v>801</v>
      </c>
      <c r="C1832" s="3" t="s">
        <v>8120</v>
      </c>
      <c r="D1832" s="4" t="s">
        <v>8121</v>
      </c>
      <c r="E1832" s="3" t="s">
        <v>8122</v>
      </c>
      <c r="F1832" s="34" t="s">
        <v>7629</v>
      </c>
      <c r="G1832" s="6"/>
      <c r="H1832" s="3" t="s">
        <v>7610</v>
      </c>
    </row>
    <row r="1833" spans="1:8" ht="15.75" customHeight="1">
      <c r="A1833" s="3" t="s">
        <v>8123</v>
      </c>
      <c r="B1833" s="3" t="s">
        <v>8124</v>
      </c>
      <c r="C1833" s="3" t="s">
        <v>8125</v>
      </c>
      <c r="D1833" s="4" t="s">
        <v>8126</v>
      </c>
      <c r="E1833" s="3" t="s">
        <v>8127</v>
      </c>
      <c r="F1833" s="34" t="s">
        <v>8128</v>
      </c>
      <c r="G1833" s="6"/>
      <c r="H1833" s="3" t="s">
        <v>7636</v>
      </c>
    </row>
    <row r="1834" spans="1:8" ht="15.75" customHeight="1">
      <c r="A1834" s="3" t="s">
        <v>155</v>
      </c>
      <c r="B1834" s="3" t="s">
        <v>8129</v>
      </c>
      <c r="C1834" s="3" t="s">
        <v>5553</v>
      </c>
      <c r="D1834" s="4" t="s">
        <v>8130</v>
      </c>
      <c r="E1834" s="3" t="s">
        <v>8131</v>
      </c>
      <c r="F1834" s="34" t="s">
        <v>8132</v>
      </c>
      <c r="G1834" s="6"/>
      <c r="H1834" s="3" t="s">
        <v>7666</v>
      </c>
    </row>
    <row r="1835" spans="1:8" ht="15.75" customHeight="1">
      <c r="A1835" s="3" t="s">
        <v>8133</v>
      </c>
      <c r="B1835" s="3" t="s">
        <v>8134</v>
      </c>
      <c r="C1835" s="3" t="s">
        <v>303</v>
      </c>
      <c r="D1835" s="6"/>
      <c r="E1835" s="3" t="s">
        <v>8135</v>
      </c>
      <c r="F1835" s="34" t="s">
        <v>8136</v>
      </c>
      <c r="G1835" s="6"/>
      <c r="H1835" s="3" t="s">
        <v>8137</v>
      </c>
    </row>
    <row r="1836" spans="1:8" ht="15.75" customHeight="1">
      <c r="A1836" s="3" t="s">
        <v>1676</v>
      </c>
      <c r="B1836" s="3" t="s">
        <v>1055</v>
      </c>
      <c r="C1836" s="3" t="s">
        <v>229</v>
      </c>
      <c r="D1836" s="6"/>
      <c r="E1836" s="3" t="s">
        <v>8138</v>
      </c>
      <c r="F1836" s="34" t="s">
        <v>8139</v>
      </c>
      <c r="G1836" s="6"/>
      <c r="H1836" s="3" t="s">
        <v>8140</v>
      </c>
    </row>
    <row r="1837" spans="1:8" ht="15.75" customHeight="1">
      <c r="A1837" s="3" t="s">
        <v>2520</v>
      </c>
      <c r="B1837" s="3" t="s">
        <v>8141</v>
      </c>
      <c r="C1837" s="3" t="s">
        <v>8142</v>
      </c>
      <c r="D1837" s="4" t="s">
        <v>8143</v>
      </c>
      <c r="E1837" s="3" t="s">
        <v>8144</v>
      </c>
      <c r="F1837" s="6"/>
      <c r="G1837" s="6"/>
      <c r="H1837" s="3" t="s">
        <v>7978</v>
      </c>
    </row>
    <row r="1838" spans="1:8" ht="15.75" customHeight="1">
      <c r="A1838" s="3" t="s">
        <v>721</v>
      </c>
      <c r="B1838" s="3" t="s">
        <v>8145</v>
      </c>
      <c r="C1838" s="3" t="s">
        <v>6048</v>
      </c>
      <c r="D1838" s="4" t="s">
        <v>8146</v>
      </c>
      <c r="E1838" s="3" t="s">
        <v>8147</v>
      </c>
      <c r="F1838" s="34" t="s">
        <v>7583</v>
      </c>
      <c r="G1838" s="6"/>
      <c r="H1838" s="3" t="s">
        <v>8148</v>
      </c>
    </row>
    <row r="1839" spans="1:8" ht="15.75" customHeight="1">
      <c r="A1839" s="3" t="s">
        <v>8149</v>
      </c>
      <c r="B1839" s="3" t="s">
        <v>8150</v>
      </c>
      <c r="C1839" s="3" t="s">
        <v>8151</v>
      </c>
      <c r="D1839" s="4" t="s">
        <v>8152</v>
      </c>
      <c r="E1839" s="3" t="s">
        <v>8153</v>
      </c>
      <c r="F1839" s="6"/>
      <c r="G1839" s="6"/>
      <c r="H1839" s="3" t="s">
        <v>7763</v>
      </c>
    </row>
    <row r="1840" spans="1:8" ht="15.75" customHeight="1">
      <c r="A1840" s="3" t="s">
        <v>8154</v>
      </c>
      <c r="B1840" s="3" t="s">
        <v>8155</v>
      </c>
      <c r="C1840" s="3" t="s">
        <v>8156</v>
      </c>
      <c r="D1840" s="4" t="s">
        <v>8157</v>
      </c>
      <c r="E1840" s="3" t="s">
        <v>8158</v>
      </c>
      <c r="F1840" s="34" t="s">
        <v>6913</v>
      </c>
      <c r="G1840" s="6"/>
      <c r="H1840" s="3" t="s">
        <v>8159</v>
      </c>
    </row>
    <row r="1841" spans="1:8" ht="15.75" customHeight="1">
      <c r="A1841" s="3" t="s">
        <v>789</v>
      </c>
      <c r="B1841" s="3" t="s">
        <v>45</v>
      </c>
      <c r="C1841" s="3" t="s">
        <v>7172</v>
      </c>
      <c r="D1841" s="6"/>
      <c r="E1841" s="3" t="s">
        <v>7173</v>
      </c>
      <c r="F1841" s="34" t="s">
        <v>8160</v>
      </c>
      <c r="G1841" s="6"/>
      <c r="H1841" s="3" t="s">
        <v>6914</v>
      </c>
    </row>
    <row r="1842" spans="1:8" ht="15.75" customHeight="1">
      <c r="A1842" s="3" t="s">
        <v>8161</v>
      </c>
      <c r="B1842" s="3" t="s">
        <v>1154</v>
      </c>
      <c r="C1842" s="3" t="s">
        <v>8162</v>
      </c>
      <c r="D1842" s="4" t="s">
        <v>8163</v>
      </c>
      <c r="E1842" s="3" t="s">
        <v>8164</v>
      </c>
      <c r="F1842" s="34" t="s">
        <v>8165</v>
      </c>
      <c r="G1842" s="6"/>
      <c r="H1842" s="3" t="s">
        <v>8166</v>
      </c>
    </row>
    <row r="1843" spans="1:8" ht="15.75" customHeight="1">
      <c r="A1843" s="3" t="s">
        <v>7174</v>
      </c>
      <c r="B1843" s="3" t="s">
        <v>2245</v>
      </c>
      <c r="C1843" s="3" t="s">
        <v>7175</v>
      </c>
      <c r="D1843" s="4" t="s">
        <v>7176</v>
      </c>
      <c r="E1843" s="3" t="s">
        <v>7177</v>
      </c>
      <c r="F1843" s="34" t="s">
        <v>8167</v>
      </c>
      <c r="G1843" s="6"/>
      <c r="H1843" s="3" t="s">
        <v>6914</v>
      </c>
    </row>
    <row r="1844" spans="1:8" ht="15.75" customHeight="1">
      <c r="A1844" s="3" t="s">
        <v>8168</v>
      </c>
      <c r="B1844" s="3" t="s">
        <v>2952</v>
      </c>
      <c r="C1844" s="3" t="s">
        <v>303</v>
      </c>
      <c r="D1844" s="6"/>
      <c r="E1844" s="3" t="s">
        <v>8169</v>
      </c>
      <c r="F1844" s="3" t="s">
        <v>8170</v>
      </c>
      <c r="G1844" s="6"/>
      <c r="H1844" s="3" t="s">
        <v>8171</v>
      </c>
    </row>
    <row r="1845" spans="1:8" ht="15.75" customHeight="1">
      <c r="A1845" s="3" t="s">
        <v>5404</v>
      </c>
      <c r="B1845" s="3" t="s">
        <v>185</v>
      </c>
      <c r="C1845" s="3" t="s">
        <v>8172</v>
      </c>
      <c r="D1845" s="6"/>
      <c r="E1845" s="3" t="s">
        <v>8173</v>
      </c>
      <c r="F1845" s="34" t="s">
        <v>8174</v>
      </c>
      <c r="G1845" s="6"/>
      <c r="H1845" s="3" t="s">
        <v>8175</v>
      </c>
    </row>
    <row r="1846" spans="1:8" ht="15.75" customHeight="1">
      <c r="A1846" s="3" t="s">
        <v>8176</v>
      </c>
      <c r="B1846" s="3" t="s">
        <v>8177</v>
      </c>
      <c r="C1846" s="3" t="s">
        <v>8178</v>
      </c>
      <c r="D1846" s="4" t="s">
        <v>8179</v>
      </c>
      <c r="E1846" s="3" t="s">
        <v>8180</v>
      </c>
      <c r="F1846" s="34" t="s">
        <v>8181</v>
      </c>
      <c r="G1846" s="6"/>
      <c r="H1846" s="3" t="s">
        <v>8182</v>
      </c>
    </row>
    <row r="1847" spans="1:8" ht="15.75" customHeight="1">
      <c r="A1847" s="3" t="s">
        <v>44</v>
      </c>
      <c r="B1847" s="3" t="s">
        <v>371</v>
      </c>
      <c r="C1847" s="3" t="s">
        <v>8183</v>
      </c>
      <c r="D1847" s="4" t="s">
        <v>8184</v>
      </c>
      <c r="E1847" s="3" t="s">
        <v>8185</v>
      </c>
      <c r="F1847" s="3" t="s">
        <v>5246</v>
      </c>
      <c r="G1847" s="6"/>
      <c r="H1847" s="3" t="s">
        <v>8186</v>
      </c>
    </row>
    <row r="1848" spans="1:8" ht="15.75" customHeight="1">
      <c r="A1848" s="3" t="s">
        <v>5634</v>
      </c>
      <c r="B1848" s="3" t="s">
        <v>378</v>
      </c>
      <c r="C1848" s="3" t="s">
        <v>91</v>
      </c>
      <c r="D1848" s="6"/>
      <c r="E1848" s="3" t="s">
        <v>5635</v>
      </c>
      <c r="F1848" s="34" t="s">
        <v>7923</v>
      </c>
      <c r="G1848" s="6"/>
      <c r="H1848" s="3" t="s">
        <v>5247</v>
      </c>
    </row>
    <row r="1849" spans="1:8" ht="15.75" customHeight="1">
      <c r="A1849" s="3" t="s">
        <v>150</v>
      </c>
      <c r="B1849" s="3" t="s">
        <v>277</v>
      </c>
      <c r="C1849" s="3" t="s">
        <v>8187</v>
      </c>
      <c r="D1849" s="4" t="s">
        <v>8188</v>
      </c>
      <c r="E1849" s="3" t="s">
        <v>8189</v>
      </c>
      <c r="F1849" s="3" t="s">
        <v>7571</v>
      </c>
      <c r="G1849" s="6"/>
      <c r="H1849" s="3" t="s">
        <v>7926</v>
      </c>
    </row>
    <row r="1850" spans="1:8" ht="15.75" customHeight="1">
      <c r="A1850" s="3" t="s">
        <v>8190</v>
      </c>
      <c r="B1850" s="3" t="s">
        <v>907</v>
      </c>
      <c r="C1850" s="3" t="s">
        <v>8191</v>
      </c>
      <c r="D1850" s="4" t="s">
        <v>8192</v>
      </c>
      <c r="E1850" s="3" t="s">
        <v>8193</v>
      </c>
      <c r="F1850" s="6"/>
      <c r="G1850" s="6"/>
      <c r="H1850" s="3" t="s">
        <v>7579</v>
      </c>
    </row>
    <row r="1851" spans="1:8" ht="15.75" customHeight="1">
      <c r="A1851" s="3" t="s">
        <v>2196</v>
      </c>
      <c r="B1851" s="3" t="s">
        <v>8194</v>
      </c>
      <c r="C1851" s="3" t="s">
        <v>8195</v>
      </c>
      <c r="D1851" s="4" t="s">
        <v>8196</v>
      </c>
      <c r="E1851" s="3" t="s">
        <v>8197</v>
      </c>
      <c r="F1851" s="34" t="s">
        <v>7807</v>
      </c>
      <c r="G1851" s="6"/>
      <c r="H1851" s="3" t="s">
        <v>7579</v>
      </c>
    </row>
    <row r="1852" spans="1:8" ht="15.75" customHeight="1">
      <c r="A1852" s="3" t="s">
        <v>301</v>
      </c>
      <c r="B1852" s="3" t="s">
        <v>185</v>
      </c>
      <c r="C1852" s="3" t="s">
        <v>4699</v>
      </c>
      <c r="D1852" s="6"/>
      <c r="E1852" s="3" t="s">
        <v>7486</v>
      </c>
      <c r="F1852" s="6"/>
      <c r="G1852" s="6"/>
      <c r="H1852" s="3" t="s">
        <v>6914</v>
      </c>
    </row>
    <row r="1853" spans="1:8" ht="15.75" customHeight="1">
      <c r="A1853" s="3" t="s">
        <v>413</v>
      </c>
      <c r="B1853" s="3" t="s">
        <v>6809</v>
      </c>
      <c r="C1853" s="3" t="s">
        <v>303</v>
      </c>
      <c r="D1853" s="4" t="s">
        <v>6810</v>
      </c>
      <c r="E1853" s="3" t="s">
        <v>6811</v>
      </c>
      <c r="F1853" s="34" t="s">
        <v>8198</v>
      </c>
      <c r="G1853" s="6"/>
      <c r="H1853" s="3" t="s">
        <v>5247</v>
      </c>
    </row>
    <row r="1854" spans="1:8" ht="15.75" customHeight="1">
      <c r="A1854" s="3" t="s">
        <v>710</v>
      </c>
      <c r="B1854" s="3" t="s">
        <v>1255</v>
      </c>
      <c r="C1854" s="3" t="s">
        <v>994</v>
      </c>
      <c r="D1854" s="4" t="s">
        <v>8199</v>
      </c>
      <c r="E1854" s="3" t="s">
        <v>8200</v>
      </c>
      <c r="F1854" s="34" t="s">
        <v>8095</v>
      </c>
      <c r="G1854" s="6"/>
      <c r="H1854" s="3" t="s">
        <v>8201</v>
      </c>
    </row>
    <row r="1855" spans="1:8" ht="15.75" customHeight="1">
      <c r="A1855" s="3" t="s">
        <v>721</v>
      </c>
      <c r="B1855" s="3" t="s">
        <v>4168</v>
      </c>
      <c r="C1855" s="3" t="s">
        <v>5771</v>
      </c>
      <c r="D1855" s="4" t="s">
        <v>8202</v>
      </c>
      <c r="E1855" s="3" t="s">
        <v>8203</v>
      </c>
      <c r="F1855" s="3" t="s">
        <v>7571</v>
      </c>
      <c r="G1855" s="6"/>
      <c r="H1855" s="3" t="s">
        <v>8009</v>
      </c>
    </row>
    <row r="1856" spans="1:8" ht="15.75" customHeight="1">
      <c r="A1856" s="3" t="s">
        <v>155</v>
      </c>
      <c r="B1856" s="3" t="s">
        <v>4001</v>
      </c>
      <c r="C1856" s="3" t="s">
        <v>8204</v>
      </c>
      <c r="D1856" s="4" t="s">
        <v>8205</v>
      </c>
      <c r="E1856" s="3" t="s">
        <v>8206</v>
      </c>
      <c r="F1856" s="34" t="s">
        <v>7554</v>
      </c>
      <c r="G1856" s="6"/>
      <c r="H1856" s="3" t="s">
        <v>7579</v>
      </c>
    </row>
    <row r="1857" spans="1:8" ht="15.75" customHeight="1">
      <c r="A1857" s="3" t="s">
        <v>656</v>
      </c>
      <c r="B1857" s="3" t="s">
        <v>1106</v>
      </c>
      <c r="C1857" s="3" t="s">
        <v>8207</v>
      </c>
      <c r="D1857" s="4" t="s">
        <v>8208</v>
      </c>
      <c r="E1857" s="3" t="s">
        <v>8209</v>
      </c>
      <c r="F1857" s="34" t="s">
        <v>7698</v>
      </c>
      <c r="G1857" s="6"/>
      <c r="H1857" s="3" t="s">
        <v>7560</v>
      </c>
    </row>
    <row r="1858" spans="1:8" ht="15.75" customHeight="1">
      <c r="A1858" s="3" t="s">
        <v>422</v>
      </c>
      <c r="B1858" s="3" t="s">
        <v>7376</v>
      </c>
      <c r="C1858" s="3" t="s">
        <v>8210</v>
      </c>
      <c r="D1858" s="4" t="s">
        <v>8211</v>
      </c>
      <c r="E1858" s="3" t="s">
        <v>8212</v>
      </c>
      <c r="F1858" s="34" t="s">
        <v>8213</v>
      </c>
      <c r="G1858" s="6"/>
      <c r="H1858" s="3" t="s">
        <v>7704</v>
      </c>
    </row>
    <row r="1859" spans="1:8" ht="15.75" customHeight="1">
      <c r="A1859" s="3" t="s">
        <v>8214</v>
      </c>
      <c r="B1859" s="3" t="s">
        <v>718</v>
      </c>
      <c r="C1859" s="3" t="s">
        <v>8215</v>
      </c>
      <c r="D1859" s="4" t="s">
        <v>8216</v>
      </c>
      <c r="E1859" s="3" t="s">
        <v>8217</v>
      </c>
      <c r="F1859" s="6"/>
      <c r="G1859" s="6"/>
      <c r="H1859" s="3" t="s">
        <v>8218</v>
      </c>
    </row>
    <row r="1860" spans="1:8" ht="15.75" customHeight="1">
      <c r="A1860" s="3" t="s">
        <v>4800</v>
      </c>
      <c r="B1860" s="3" t="s">
        <v>8219</v>
      </c>
      <c r="C1860" s="3" t="s">
        <v>46</v>
      </c>
      <c r="D1860" s="4" t="s">
        <v>8220</v>
      </c>
      <c r="E1860" s="3" t="s">
        <v>8221</v>
      </c>
      <c r="F1860" s="6"/>
      <c r="G1860" s="6"/>
      <c r="H1860" s="3" t="s">
        <v>7722</v>
      </c>
    </row>
    <row r="1861" spans="1:8" ht="15.75" customHeight="1">
      <c r="A1861" s="3" t="s">
        <v>490</v>
      </c>
      <c r="B1861" s="6"/>
      <c r="C1861" s="3" t="s">
        <v>8222</v>
      </c>
      <c r="D1861" s="6"/>
      <c r="E1861" s="3" t="s">
        <v>8223</v>
      </c>
      <c r="F1861" s="34" t="s">
        <v>7881</v>
      </c>
      <c r="G1861" s="6"/>
      <c r="H1861" s="3" t="s">
        <v>8023</v>
      </c>
    </row>
    <row r="1862" spans="1:8" ht="15.75" customHeight="1">
      <c r="A1862" s="3" t="s">
        <v>8224</v>
      </c>
      <c r="B1862" s="3" t="s">
        <v>116</v>
      </c>
      <c r="C1862" s="3" t="s">
        <v>8225</v>
      </c>
      <c r="D1862" s="4" t="s">
        <v>8226</v>
      </c>
      <c r="E1862" s="3" t="s">
        <v>8227</v>
      </c>
      <c r="F1862" s="34" t="s">
        <v>8228</v>
      </c>
      <c r="G1862" s="6"/>
      <c r="H1862" s="3" t="s">
        <v>7579</v>
      </c>
    </row>
    <row r="1863" spans="1:8" ht="15.75" customHeight="1">
      <c r="A1863" s="3" t="s">
        <v>3260</v>
      </c>
      <c r="B1863" s="3" t="s">
        <v>1415</v>
      </c>
      <c r="C1863" s="3" t="s">
        <v>8229</v>
      </c>
      <c r="D1863" s="4" t="s">
        <v>8230</v>
      </c>
      <c r="E1863" s="3" t="s">
        <v>8231</v>
      </c>
      <c r="F1863" s="34" t="s">
        <v>7583</v>
      </c>
      <c r="G1863" s="6"/>
      <c r="H1863" s="3" t="s">
        <v>8232</v>
      </c>
    </row>
    <row r="1864" spans="1:8" ht="15.75" customHeight="1">
      <c r="A1864" s="3" t="s">
        <v>8233</v>
      </c>
      <c r="B1864" s="3" t="s">
        <v>8234</v>
      </c>
      <c r="C1864" s="3" t="s">
        <v>8235</v>
      </c>
      <c r="D1864" s="4" t="s">
        <v>8236</v>
      </c>
      <c r="E1864" s="3" t="s">
        <v>8237</v>
      </c>
      <c r="F1864" s="34" t="s">
        <v>7629</v>
      </c>
      <c r="G1864" s="6"/>
      <c r="H1864" s="3" t="s">
        <v>7591</v>
      </c>
    </row>
    <row r="1865" spans="1:8" ht="15.75" customHeight="1">
      <c r="A1865" s="3" t="s">
        <v>14</v>
      </c>
      <c r="B1865" s="3" t="s">
        <v>8238</v>
      </c>
      <c r="C1865" s="3" t="s">
        <v>8239</v>
      </c>
      <c r="D1865" s="4" t="s">
        <v>8240</v>
      </c>
      <c r="E1865" s="3" t="s">
        <v>8241</v>
      </c>
      <c r="F1865" s="6"/>
      <c r="G1865" s="6"/>
      <c r="H1865" s="3" t="s">
        <v>7636</v>
      </c>
    </row>
    <row r="1866" spans="1:8" ht="15.75" customHeight="1">
      <c r="A1866" s="3" t="s">
        <v>8242</v>
      </c>
      <c r="B1866" s="3" t="s">
        <v>8134</v>
      </c>
      <c r="C1866" s="3" t="s">
        <v>8243</v>
      </c>
      <c r="D1866" s="4" t="s">
        <v>8244</v>
      </c>
      <c r="E1866" s="3" t="s">
        <v>8245</v>
      </c>
      <c r="F1866" s="6"/>
      <c r="G1866" s="6"/>
      <c r="H1866" s="3" t="s">
        <v>7666</v>
      </c>
    </row>
    <row r="1867" spans="1:8" ht="15.75" customHeight="1">
      <c r="A1867" s="3" t="s">
        <v>19</v>
      </c>
      <c r="B1867" s="3" t="s">
        <v>582</v>
      </c>
      <c r="C1867" s="3" t="s">
        <v>8246</v>
      </c>
      <c r="D1867" s="4" t="s">
        <v>8247</v>
      </c>
      <c r="E1867" s="3" t="s">
        <v>8248</v>
      </c>
      <c r="F1867" s="3" t="s">
        <v>7571</v>
      </c>
      <c r="G1867" s="6"/>
      <c r="H1867" s="3" t="s">
        <v>8249</v>
      </c>
    </row>
    <row r="1868" spans="1:8" ht="15.75" customHeight="1">
      <c r="A1868" s="3" t="s">
        <v>301</v>
      </c>
      <c r="B1868" s="3" t="s">
        <v>8250</v>
      </c>
      <c r="C1868" s="3" t="s">
        <v>8251</v>
      </c>
      <c r="D1868" s="4" t="s">
        <v>8252</v>
      </c>
      <c r="E1868" s="3" t="s">
        <v>8253</v>
      </c>
      <c r="F1868" s="34" t="s">
        <v>8254</v>
      </c>
      <c r="G1868" s="6"/>
      <c r="H1868" s="3" t="s">
        <v>7579</v>
      </c>
    </row>
    <row r="1869" spans="1:8" ht="15.75" customHeight="1">
      <c r="A1869" s="3" t="s">
        <v>8255</v>
      </c>
      <c r="B1869" s="3" t="s">
        <v>1277</v>
      </c>
      <c r="C1869" s="3" t="s">
        <v>7100</v>
      </c>
      <c r="D1869" s="4" t="s">
        <v>8256</v>
      </c>
      <c r="E1869" s="3" t="s">
        <v>8257</v>
      </c>
      <c r="F1869" s="34" t="s">
        <v>7559</v>
      </c>
      <c r="G1869" s="6"/>
      <c r="H1869" s="3" t="s">
        <v>7876</v>
      </c>
    </row>
    <row r="1870" spans="1:8" ht="15.75" customHeight="1">
      <c r="A1870" s="3" t="s">
        <v>58</v>
      </c>
      <c r="B1870" s="3" t="s">
        <v>8258</v>
      </c>
      <c r="C1870" s="3" t="s">
        <v>8259</v>
      </c>
      <c r="D1870" s="4" t="s">
        <v>8260</v>
      </c>
      <c r="E1870" s="3" t="s">
        <v>8261</v>
      </c>
      <c r="F1870" s="6"/>
      <c r="G1870" s="6"/>
      <c r="H1870" s="3" t="s">
        <v>7566</v>
      </c>
    </row>
    <row r="1871" spans="1:8" ht="15.75" customHeight="1">
      <c r="A1871" s="3" t="s">
        <v>150</v>
      </c>
      <c r="B1871" s="3" t="s">
        <v>8262</v>
      </c>
      <c r="C1871" s="3" t="s">
        <v>6495</v>
      </c>
      <c r="D1871" s="4" t="s">
        <v>8263</v>
      </c>
      <c r="E1871" s="3" t="s">
        <v>8264</v>
      </c>
      <c r="F1871" s="3" t="s">
        <v>7571</v>
      </c>
      <c r="G1871" s="6"/>
      <c r="H1871" s="3" t="s">
        <v>7618</v>
      </c>
    </row>
    <row r="1872" spans="1:8" ht="15.75" customHeight="1">
      <c r="A1872" s="3" t="s">
        <v>8265</v>
      </c>
      <c r="B1872" s="3" t="s">
        <v>2245</v>
      </c>
      <c r="C1872" s="3" t="s">
        <v>8266</v>
      </c>
      <c r="D1872" s="4" t="s">
        <v>8267</v>
      </c>
      <c r="E1872" s="3" t="s">
        <v>8268</v>
      </c>
      <c r="F1872" s="34" t="s">
        <v>8269</v>
      </c>
      <c r="G1872" s="6"/>
      <c r="H1872" s="3" t="s">
        <v>7579</v>
      </c>
    </row>
    <row r="1873" spans="1:8" ht="15.75" customHeight="1">
      <c r="A1873" s="3" t="s">
        <v>422</v>
      </c>
      <c r="B1873" s="3" t="s">
        <v>7160</v>
      </c>
      <c r="C1873" s="3" t="s">
        <v>8270</v>
      </c>
      <c r="D1873" s="4" t="s">
        <v>8271</v>
      </c>
      <c r="E1873" s="3" t="s">
        <v>8272</v>
      </c>
      <c r="F1873" s="34" t="s">
        <v>7548</v>
      </c>
      <c r="G1873" s="6"/>
      <c r="H1873" s="3" t="s">
        <v>8273</v>
      </c>
    </row>
    <row r="1874" spans="1:8" ht="15.75" customHeight="1">
      <c r="A1874" s="3" t="s">
        <v>8274</v>
      </c>
      <c r="B1874" s="3" t="s">
        <v>5876</v>
      </c>
      <c r="C1874" s="3" t="s">
        <v>8275</v>
      </c>
      <c r="D1874" s="4" t="s">
        <v>8276</v>
      </c>
      <c r="E1874" s="3" t="s">
        <v>8277</v>
      </c>
      <c r="F1874" s="34" t="s">
        <v>7629</v>
      </c>
      <c r="G1874" s="6"/>
      <c r="H1874" s="3" t="s">
        <v>7555</v>
      </c>
    </row>
    <row r="1875" spans="1:8" ht="15.75" customHeight="1">
      <c r="A1875" s="3" t="s">
        <v>2157</v>
      </c>
      <c r="B1875" s="3" t="s">
        <v>8278</v>
      </c>
      <c r="C1875" s="3" t="s">
        <v>229</v>
      </c>
      <c r="D1875" s="4" t="s">
        <v>8279</v>
      </c>
      <c r="E1875" s="3" t="s">
        <v>8280</v>
      </c>
      <c r="F1875" s="3" t="s">
        <v>7303</v>
      </c>
      <c r="G1875" s="6"/>
      <c r="H1875" s="3" t="s">
        <v>7685</v>
      </c>
    </row>
    <row r="1876" spans="1:8" ht="15.75" customHeight="1">
      <c r="A1876" s="3" t="s">
        <v>710</v>
      </c>
      <c r="B1876" s="3" t="s">
        <v>7301</v>
      </c>
      <c r="C1876" s="3" t="s">
        <v>303</v>
      </c>
      <c r="D1876" s="6"/>
      <c r="E1876" s="3" t="s">
        <v>7302</v>
      </c>
      <c r="F1876" s="6"/>
      <c r="G1876" s="6"/>
      <c r="H1876" s="3" t="s">
        <v>7304</v>
      </c>
    </row>
    <row r="1877" spans="1:8" ht="15.75" customHeight="1">
      <c r="A1877" s="3" t="s">
        <v>8281</v>
      </c>
      <c r="B1877" s="3" t="s">
        <v>8282</v>
      </c>
      <c r="C1877" s="3" t="s">
        <v>4617</v>
      </c>
      <c r="D1877" s="4" t="s">
        <v>8283</v>
      </c>
      <c r="E1877" s="3" t="s">
        <v>8284</v>
      </c>
      <c r="F1877" s="34" t="s">
        <v>8285</v>
      </c>
      <c r="G1877" s="6"/>
      <c r="H1877" s="3" t="s">
        <v>8286</v>
      </c>
    </row>
    <row r="1878" spans="1:8" ht="15.75" customHeight="1">
      <c r="A1878" s="3" t="s">
        <v>2463</v>
      </c>
      <c r="B1878" s="3" t="s">
        <v>8287</v>
      </c>
      <c r="C1878" s="3" t="s">
        <v>6028</v>
      </c>
      <c r="D1878" s="4" t="s">
        <v>8288</v>
      </c>
      <c r="E1878" s="3" t="s">
        <v>8289</v>
      </c>
      <c r="F1878" s="34" t="s">
        <v>7990</v>
      </c>
      <c r="G1878" s="6"/>
      <c r="H1878" s="3" t="s">
        <v>8290</v>
      </c>
    </row>
    <row r="1879" spans="1:8" ht="15.75" customHeight="1">
      <c r="A1879" s="3" t="s">
        <v>628</v>
      </c>
      <c r="B1879" s="3" t="s">
        <v>505</v>
      </c>
      <c r="C1879" s="3" t="s">
        <v>6572</v>
      </c>
      <c r="D1879" s="4" t="s">
        <v>8291</v>
      </c>
      <c r="E1879" s="3" t="s">
        <v>8292</v>
      </c>
      <c r="F1879" s="6"/>
      <c r="G1879" s="6"/>
      <c r="H1879" s="3" t="s">
        <v>7996</v>
      </c>
    </row>
    <row r="1880" spans="1:8" ht="15.75" customHeight="1">
      <c r="A1880" s="3" t="s">
        <v>8293</v>
      </c>
      <c r="B1880" s="3" t="s">
        <v>2977</v>
      </c>
      <c r="C1880" s="3" t="s">
        <v>8294</v>
      </c>
      <c r="D1880" s="4" t="s">
        <v>8295</v>
      </c>
      <c r="E1880" s="3" t="s">
        <v>8296</v>
      </c>
      <c r="F1880" s="34" t="s">
        <v>7583</v>
      </c>
      <c r="G1880" s="6"/>
      <c r="H1880" s="3" t="s">
        <v>7794</v>
      </c>
    </row>
    <row r="1881" spans="1:8" ht="15.75" customHeight="1">
      <c r="A1881" s="3" t="s">
        <v>873</v>
      </c>
      <c r="B1881" s="3" t="s">
        <v>8297</v>
      </c>
      <c r="C1881" s="3" t="s">
        <v>8298</v>
      </c>
      <c r="D1881" s="4" t="s">
        <v>8299</v>
      </c>
      <c r="E1881" s="3" t="s">
        <v>8300</v>
      </c>
      <c r="F1881" s="34" t="s">
        <v>8301</v>
      </c>
      <c r="G1881" s="6"/>
      <c r="H1881" s="3" t="s">
        <v>7591</v>
      </c>
    </row>
    <row r="1882" spans="1:8" ht="15.75" customHeight="1">
      <c r="A1882" s="3" t="s">
        <v>1689</v>
      </c>
      <c r="B1882" s="3" t="s">
        <v>49</v>
      </c>
      <c r="C1882" s="3" t="s">
        <v>8302</v>
      </c>
      <c r="D1882" s="4" t="s">
        <v>8303</v>
      </c>
      <c r="E1882" s="3" t="s">
        <v>8304</v>
      </c>
      <c r="F1882" s="6"/>
      <c r="G1882" s="6"/>
      <c r="H1882" s="3" t="s">
        <v>7685</v>
      </c>
    </row>
    <row r="1883" spans="1:8" ht="15.75" customHeight="1">
      <c r="A1883" s="3" t="s">
        <v>2289</v>
      </c>
      <c r="B1883" s="3" t="s">
        <v>934</v>
      </c>
      <c r="C1883" s="3" t="s">
        <v>5182</v>
      </c>
      <c r="D1883" s="4" t="s">
        <v>8305</v>
      </c>
      <c r="E1883" s="3" t="s">
        <v>8306</v>
      </c>
      <c r="F1883" s="34" t="s">
        <v>7590</v>
      </c>
      <c r="G1883" s="6"/>
      <c r="H1883" s="3" t="s">
        <v>8307</v>
      </c>
    </row>
    <row r="1884" spans="1:8" ht="15.75" customHeight="1">
      <c r="A1884" s="3" t="s">
        <v>3516</v>
      </c>
      <c r="B1884" s="3" t="s">
        <v>7217</v>
      </c>
      <c r="C1884" s="3" t="s">
        <v>8308</v>
      </c>
      <c r="D1884" s="4" t="s">
        <v>8309</v>
      </c>
      <c r="E1884" s="3" t="s">
        <v>8310</v>
      </c>
      <c r="F1884" s="6"/>
      <c r="G1884" s="6"/>
      <c r="H1884" s="3" t="s">
        <v>8311</v>
      </c>
    </row>
    <row r="1885" spans="1:8" ht="15.75" customHeight="1">
      <c r="A1885" s="3" t="s">
        <v>413</v>
      </c>
      <c r="B1885" s="3" t="s">
        <v>8312</v>
      </c>
      <c r="C1885" s="3" t="s">
        <v>8313</v>
      </c>
      <c r="D1885" s="4" t="s">
        <v>8314</v>
      </c>
      <c r="E1885" s="3" t="s">
        <v>8315</v>
      </c>
      <c r="F1885" s="34" t="s">
        <v>8070</v>
      </c>
      <c r="G1885" s="6"/>
      <c r="H1885" s="3" t="s">
        <v>7549</v>
      </c>
    </row>
    <row r="1886" spans="1:8" ht="15.75" customHeight="1">
      <c r="A1886" s="3" t="s">
        <v>1249</v>
      </c>
      <c r="B1886" s="3" t="s">
        <v>2920</v>
      </c>
      <c r="C1886" s="3" t="s">
        <v>8316</v>
      </c>
      <c r="D1886" s="4" t="s">
        <v>8317</v>
      </c>
      <c r="E1886" s="3" t="s">
        <v>8318</v>
      </c>
      <c r="F1886" s="34" t="s">
        <v>8319</v>
      </c>
      <c r="G1886" s="6"/>
      <c r="H1886" s="3" t="s">
        <v>8320</v>
      </c>
    </row>
    <row r="1887" spans="1:8" ht="15.75" customHeight="1">
      <c r="A1887" s="3" t="s">
        <v>2804</v>
      </c>
      <c r="B1887" s="3" t="s">
        <v>3665</v>
      </c>
      <c r="C1887" s="3" t="s">
        <v>6191</v>
      </c>
      <c r="D1887" s="4" t="s">
        <v>8321</v>
      </c>
      <c r="E1887" s="3" t="s">
        <v>8322</v>
      </c>
      <c r="F1887" s="34" t="s">
        <v>8323</v>
      </c>
      <c r="G1887" s="6"/>
      <c r="H1887" s="3" t="s">
        <v>8324</v>
      </c>
    </row>
    <row r="1888" spans="1:8" ht="15.75" customHeight="1">
      <c r="A1888" s="3" t="s">
        <v>1884</v>
      </c>
      <c r="B1888" s="3" t="s">
        <v>8325</v>
      </c>
      <c r="C1888" s="3" t="s">
        <v>4357</v>
      </c>
      <c r="D1888" s="4" t="s">
        <v>8326</v>
      </c>
      <c r="E1888" s="3" t="s">
        <v>8327</v>
      </c>
      <c r="F1888" s="34" t="s">
        <v>8128</v>
      </c>
      <c r="G1888" s="6"/>
      <c r="H1888" s="3" t="s">
        <v>8328</v>
      </c>
    </row>
    <row r="1889" spans="1:8" ht="15.75" customHeight="1">
      <c r="A1889" s="3" t="s">
        <v>2384</v>
      </c>
      <c r="B1889" s="3" t="s">
        <v>5268</v>
      </c>
      <c r="C1889" s="3" t="s">
        <v>8329</v>
      </c>
      <c r="D1889" s="4" t="s">
        <v>8330</v>
      </c>
      <c r="E1889" s="3" t="s">
        <v>8331</v>
      </c>
      <c r="F1889" s="34" t="s">
        <v>8132</v>
      </c>
      <c r="G1889" s="6"/>
      <c r="H1889" s="3" t="s">
        <v>8332</v>
      </c>
    </row>
    <row r="1890" spans="1:8" ht="15.75" customHeight="1">
      <c r="A1890" s="3" t="s">
        <v>4215</v>
      </c>
      <c r="B1890" s="3" t="s">
        <v>8333</v>
      </c>
      <c r="C1890" s="3" t="s">
        <v>91</v>
      </c>
      <c r="D1890" s="6"/>
      <c r="E1890" s="3" t="s">
        <v>8334</v>
      </c>
      <c r="F1890" s="34" t="s">
        <v>7756</v>
      </c>
      <c r="G1890" s="6"/>
      <c r="H1890" s="3" t="s">
        <v>8137</v>
      </c>
    </row>
    <row r="1891" spans="1:8" ht="15.75" customHeight="1">
      <c r="A1891" s="3" t="s">
        <v>2463</v>
      </c>
      <c r="B1891" s="3" t="s">
        <v>2213</v>
      </c>
      <c r="C1891" s="3" t="s">
        <v>222</v>
      </c>
      <c r="D1891" s="4" t="s">
        <v>8335</v>
      </c>
      <c r="E1891" s="3" t="s">
        <v>8336</v>
      </c>
      <c r="F1891" s="34" t="s">
        <v>8337</v>
      </c>
      <c r="G1891" s="6"/>
      <c r="H1891" s="3" t="s">
        <v>7763</v>
      </c>
    </row>
    <row r="1892" spans="1:8" ht="15.75" customHeight="1">
      <c r="A1892" s="3" t="s">
        <v>58</v>
      </c>
      <c r="B1892" s="3" t="s">
        <v>988</v>
      </c>
      <c r="C1892" s="3" t="s">
        <v>6048</v>
      </c>
      <c r="D1892" s="4" t="s">
        <v>8338</v>
      </c>
      <c r="E1892" s="3" t="s">
        <v>8339</v>
      </c>
      <c r="F1892" s="34" t="s">
        <v>7827</v>
      </c>
      <c r="G1892" s="6"/>
      <c r="H1892" s="3" t="s">
        <v>8340</v>
      </c>
    </row>
    <row r="1893" spans="1:8" ht="15.75" customHeight="1">
      <c r="A1893" s="3" t="s">
        <v>5420</v>
      </c>
      <c r="B1893" s="3" t="s">
        <v>378</v>
      </c>
      <c r="C1893" s="3" t="s">
        <v>6495</v>
      </c>
      <c r="D1893" s="4" t="s">
        <v>8341</v>
      </c>
      <c r="E1893" s="3" t="s">
        <v>8342</v>
      </c>
      <c r="F1893" s="34" t="s">
        <v>8070</v>
      </c>
      <c r="G1893" s="6"/>
      <c r="H1893" s="3" t="s">
        <v>7833</v>
      </c>
    </row>
    <row r="1894" spans="1:8" ht="15.75" customHeight="1">
      <c r="A1894" s="3" t="s">
        <v>3206</v>
      </c>
      <c r="B1894" s="3" t="s">
        <v>3457</v>
      </c>
      <c r="C1894" s="3" t="s">
        <v>5781</v>
      </c>
      <c r="D1894" s="4" t="s">
        <v>8343</v>
      </c>
      <c r="E1894" s="3" t="s">
        <v>8344</v>
      </c>
      <c r="F1894" s="34" t="s">
        <v>7583</v>
      </c>
      <c r="G1894" s="6"/>
      <c r="H1894" s="3" t="s">
        <v>8345</v>
      </c>
    </row>
    <row r="1895" spans="1:8" ht="15.75" customHeight="1">
      <c r="A1895" s="3" t="s">
        <v>517</v>
      </c>
      <c r="B1895" s="3" t="s">
        <v>6540</v>
      </c>
      <c r="C1895" s="3" t="s">
        <v>8346</v>
      </c>
      <c r="D1895" s="4" t="s">
        <v>8347</v>
      </c>
      <c r="E1895" s="3" t="s">
        <v>8348</v>
      </c>
      <c r="F1895" s="34" t="s">
        <v>8349</v>
      </c>
      <c r="G1895" s="6"/>
      <c r="H1895" s="3" t="s">
        <v>7591</v>
      </c>
    </row>
    <row r="1896" spans="1:8" ht="15.75" customHeight="1">
      <c r="A1896" s="3" t="s">
        <v>2501</v>
      </c>
      <c r="B1896" s="3" t="s">
        <v>45</v>
      </c>
      <c r="C1896" s="3" t="s">
        <v>5263</v>
      </c>
      <c r="D1896" s="4" t="s">
        <v>8350</v>
      </c>
      <c r="E1896" s="3" t="s">
        <v>8351</v>
      </c>
      <c r="F1896" s="34" t="s">
        <v>7736</v>
      </c>
      <c r="G1896" s="6"/>
      <c r="H1896" s="3" t="s">
        <v>8352</v>
      </c>
    </row>
    <row r="1897" spans="1:8" ht="15.75" customHeight="1">
      <c r="A1897" s="3" t="s">
        <v>8353</v>
      </c>
      <c r="B1897" s="3" t="s">
        <v>5744</v>
      </c>
      <c r="C1897" s="3" t="s">
        <v>4357</v>
      </c>
      <c r="D1897" s="4" t="s">
        <v>8354</v>
      </c>
      <c r="E1897" s="3" t="s">
        <v>8355</v>
      </c>
      <c r="F1897" s="6"/>
      <c r="G1897" s="6"/>
      <c r="H1897" s="3" t="s">
        <v>8356</v>
      </c>
    </row>
    <row r="1898" spans="1:8" ht="15.75" customHeight="1">
      <c r="A1898" s="3" t="s">
        <v>3947</v>
      </c>
      <c r="B1898" s="3" t="s">
        <v>8357</v>
      </c>
      <c r="C1898" s="3" t="s">
        <v>8358</v>
      </c>
      <c r="D1898" s="6"/>
      <c r="E1898" s="3" t="s">
        <v>8359</v>
      </c>
      <c r="F1898" s="34" t="s">
        <v>8360</v>
      </c>
      <c r="G1898" s="6"/>
      <c r="H1898" s="3" t="s">
        <v>7584</v>
      </c>
    </row>
    <row r="1899" spans="1:8" ht="15.75" customHeight="1">
      <c r="A1899" s="3" t="s">
        <v>789</v>
      </c>
      <c r="B1899" s="3" t="s">
        <v>2931</v>
      </c>
      <c r="C1899" s="3" t="s">
        <v>8361</v>
      </c>
      <c r="D1899" s="4" t="s">
        <v>8362</v>
      </c>
      <c r="E1899" s="3" t="s">
        <v>8363</v>
      </c>
      <c r="F1899" s="34" t="s">
        <v>8364</v>
      </c>
      <c r="G1899" s="6"/>
      <c r="H1899" s="3" t="s">
        <v>7985</v>
      </c>
    </row>
    <row r="1900" spans="1:8" ht="15.75" customHeight="1">
      <c r="A1900" s="3" t="s">
        <v>8365</v>
      </c>
      <c r="B1900" s="3" t="s">
        <v>6397</v>
      </c>
      <c r="C1900" s="3" t="s">
        <v>6495</v>
      </c>
      <c r="D1900" s="4" t="s">
        <v>8366</v>
      </c>
      <c r="E1900" s="3" t="s">
        <v>8367</v>
      </c>
      <c r="F1900" s="34" t="s">
        <v>8000</v>
      </c>
      <c r="G1900" s="6"/>
      <c r="H1900" s="3" t="s">
        <v>8368</v>
      </c>
    </row>
    <row r="1901" spans="1:8" ht="15.75" customHeight="1">
      <c r="A1901" s="3" t="s">
        <v>8369</v>
      </c>
      <c r="B1901" s="3" t="s">
        <v>8370</v>
      </c>
      <c r="C1901" s="3" t="s">
        <v>4879</v>
      </c>
      <c r="D1901" s="4" t="s">
        <v>8371</v>
      </c>
      <c r="E1901" s="3" t="s">
        <v>8372</v>
      </c>
      <c r="F1901" s="3" t="s">
        <v>7571</v>
      </c>
      <c r="G1901" s="6"/>
      <c r="H1901" s="3" t="s">
        <v>7685</v>
      </c>
    </row>
    <row r="1902" spans="1:8" ht="15.75" customHeight="1">
      <c r="A1902" s="3" t="s">
        <v>721</v>
      </c>
      <c r="B1902" s="3" t="s">
        <v>8373</v>
      </c>
      <c r="C1902" s="3" t="s">
        <v>8374</v>
      </c>
      <c r="D1902" s="4" t="s">
        <v>8375</v>
      </c>
      <c r="E1902" s="3" t="s">
        <v>8376</v>
      </c>
      <c r="F1902" s="34" t="s">
        <v>8377</v>
      </c>
      <c r="G1902" s="6"/>
      <c r="H1902" s="3" t="s">
        <v>7579</v>
      </c>
    </row>
    <row r="1903" spans="1:8" ht="15.75" customHeight="1">
      <c r="A1903" s="3" t="s">
        <v>8378</v>
      </c>
      <c r="B1903" s="3" t="s">
        <v>8379</v>
      </c>
      <c r="C1903" s="3" t="s">
        <v>8380</v>
      </c>
      <c r="D1903" s="4" t="s">
        <v>8381</v>
      </c>
      <c r="E1903" s="3" t="s">
        <v>8382</v>
      </c>
      <c r="F1903" s="34" t="s">
        <v>8383</v>
      </c>
      <c r="G1903" s="6"/>
      <c r="H1903" s="3" t="s">
        <v>8384</v>
      </c>
    </row>
    <row r="1904" spans="1:8" ht="15.75" customHeight="1">
      <c r="A1904" s="3" t="s">
        <v>8385</v>
      </c>
      <c r="B1904" s="3" t="s">
        <v>8386</v>
      </c>
      <c r="C1904" s="3" t="s">
        <v>4727</v>
      </c>
      <c r="D1904" s="4" t="s">
        <v>8387</v>
      </c>
      <c r="E1904" s="3" t="s">
        <v>8388</v>
      </c>
      <c r="F1904" s="34" t="s">
        <v>8389</v>
      </c>
      <c r="G1904" s="6"/>
      <c r="H1904" s="3" t="s">
        <v>8390</v>
      </c>
    </row>
    <row r="1905" spans="1:8" ht="15.75" customHeight="1">
      <c r="A1905" s="3" t="s">
        <v>301</v>
      </c>
      <c r="B1905" s="3" t="s">
        <v>69</v>
      </c>
      <c r="C1905" s="3" t="s">
        <v>8391</v>
      </c>
      <c r="D1905" s="4" t="s">
        <v>8392</v>
      </c>
      <c r="E1905" s="3" t="s">
        <v>8393</v>
      </c>
      <c r="F1905" s="34" t="s">
        <v>8036</v>
      </c>
      <c r="G1905" s="6"/>
      <c r="H1905" s="3" t="s">
        <v>8394</v>
      </c>
    </row>
    <row r="1906" spans="1:8" ht="15.75" customHeight="1">
      <c r="A1906" s="3" t="s">
        <v>1689</v>
      </c>
      <c r="B1906" s="3" t="s">
        <v>3457</v>
      </c>
      <c r="C1906" s="3" t="s">
        <v>6048</v>
      </c>
      <c r="D1906" s="4" t="s">
        <v>8395</v>
      </c>
      <c r="E1906" s="3" t="s">
        <v>8396</v>
      </c>
      <c r="F1906" s="3" t="s">
        <v>8397</v>
      </c>
      <c r="G1906" s="6"/>
      <c r="H1906" s="3" t="s">
        <v>8040</v>
      </c>
    </row>
    <row r="1907" spans="1:8" ht="15.75" customHeight="1">
      <c r="A1907" s="3" t="s">
        <v>2539</v>
      </c>
      <c r="B1907" s="3" t="s">
        <v>8398</v>
      </c>
      <c r="C1907" s="3" t="s">
        <v>4525</v>
      </c>
      <c r="D1907" s="6"/>
      <c r="E1907" s="3" t="s">
        <v>8399</v>
      </c>
      <c r="F1907" s="34" t="s">
        <v>8095</v>
      </c>
      <c r="G1907" s="6"/>
      <c r="H1907" s="3" t="s">
        <v>8400</v>
      </c>
    </row>
    <row r="1908" spans="1:8" ht="15.75" customHeight="1">
      <c r="A1908" s="3" t="s">
        <v>44</v>
      </c>
      <c r="B1908" s="3" t="s">
        <v>5268</v>
      </c>
      <c r="C1908" s="3" t="s">
        <v>5771</v>
      </c>
      <c r="D1908" s="4" t="s">
        <v>8401</v>
      </c>
      <c r="E1908" s="3" t="s">
        <v>8402</v>
      </c>
      <c r="F1908" s="34" t="s">
        <v>8403</v>
      </c>
      <c r="G1908" s="6"/>
      <c r="H1908" s="3" t="s">
        <v>8009</v>
      </c>
    </row>
    <row r="1909" spans="1:8" ht="15.75" customHeight="1">
      <c r="A1909" s="3" t="s">
        <v>8404</v>
      </c>
      <c r="B1909" s="3" t="s">
        <v>49</v>
      </c>
      <c r="C1909" s="3" t="s">
        <v>109</v>
      </c>
      <c r="D1909" s="4" t="s">
        <v>8405</v>
      </c>
      <c r="E1909" s="3" t="s">
        <v>8406</v>
      </c>
      <c r="F1909" s="34" t="s">
        <v>8407</v>
      </c>
      <c r="G1909" s="6"/>
      <c r="H1909" s="3" t="s">
        <v>8408</v>
      </c>
    </row>
    <row r="1910" spans="1:8" ht="15.75" customHeight="1">
      <c r="A1910" s="3" t="s">
        <v>8409</v>
      </c>
      <c r="B1910" s="3" t="s">
        <v>8410</v>
      </c>
      <c r="C1910" s="3" t="s">
        <v>8411</v>
      </c>
      <c r="D1910" s="4" t="s">
        <v>8412</v>
      </c>
      <c r="E1910" s="3" t="s">
        <v>8413</v>
      </c>
      <c r="F1910" s="34" t="s">
        <v>8414</v>
      </c>
      <c r="G1910" s="6"/>
      <c r="H1910" s="3" t="s">
        <v>7591</v>
      </c>
    </row>
    <row r="1911" spans="1:8" ht="15.75" customHeight="1">
      <c r="A1911" s="3" t="s">
        <v>8415</v>
      </c>
      <c r="B1911" s="3" t="s">
        <v>45</v>
      </c>
      <c r="C1911" s="3" t="s">
        <v>46</v>
      </c>
      <c r="D1911" s="4" t="s">
        <v>8416</v>
      </c>
      <c r="E1911" s="3" t="s">
        <v>8417</v>
      </c>
      <c r="F1911" s="34" t="s">
        <v>7554</v>
      </c>
      <c r="G1911" s="6"/>
      <c r="H1911" s="3" t="s">
        <v>8148</v>
      </c>
    </row>
    <row r="1912" spans="1:8" ht="15.75" customHeight="1">
      <c r="A1912" s="3" t="s">
        <v>8418</v>
      </c>
      <c r="B1912" s="3" t="s">
        <v>59</v>
      </c>
      <c r="C1912" s="3" t="s">
        <v>8419</v>
      </c>
      <c r="D1912" s="4" t="s">
        <v>8420</v>
      </c>
      <c r="E1912" s="3" t="s">
        <v>8421</v>
      </c>
      <c r="F1912" s="6"/>
      <c r="G1912" s="6"/>
      <c r="H1912" s="3" t="s">
        <v>7579</v>
      </c>
    </row>
    <row r="1913" spans="1:8" ht="15.75" customHeight="1">
      <c r="A1913" s="3" t="s">
        <v>1663</v>
      </c>
      <c r="B1913" s="3" t="s">
        <v>8422</v>
      </c>
      <c r="C1913" s="3" t="s">
        <v>8423</v>
      </c>
      <c r="D1913" s="4" t="s">
        <v>8424</v>
      </c>
      <c r="E1913" s="3" t="s">
        <v>8425</v>
      </c>
      <c r="F1913" s="6"/>
      <c r="G1913" s="6"/>
      <c r="H1913" s="3" t="s">
        <v>8218</v>
      </c>
    </row>
    <row r="1914" spans="1:8" ht="15.75" customHeight="1">
      <c r="A1914" s="3" t="s">
        <v>1175</v>
      </c>
      <c r="B1914" s="3" t="s">
        <v>45</v>
      </c>
      <c r="C1914" s="3" t="s">
        <v>8426</v>
      </c>
      <c r="D1914" s="4" t="s">
        <v>8427</v>
      </c>
      <c r="E1914" s="3" t="s">
        <v>8428</v>
      </c>
      <c r="F1914" s="34" t="s">
        <v>7827</v>
      </c>
      <c r="G1914" s="6"/>
      <c r="H1914" s="3" t="s">
        <v>8429</v>
      </c>
    </row>
    <row r="1915" spans="1:8" ht="15.75" customHeight="1">
      <c r="A1915" s="3" t="s">
        <v>8430</v>
      </c>
      <c r="B1915" s="6"/>
      <c r="C1915" s="3" t="s">
        <v>8222</v>
      </c>
      <c r="D1915" s="6"/>
      <c r="E1915" s="3" t="s">
        <v>8431</v>
      </c>
      <c r="F1915" s="34" t="s">
        <v>8432</v>
      </c>
      <c r="G1915" s="6"/>
      <c r="H1915" s="3" t="s">
        <v>8023</v>
      </c>
    </row>
    <row r="1916" spans="1:8" ht="15.75" customHeight="1">
      <c r="A1916" s="3" t="s">
        <v>763</v>
      </c>
      <c r="B1916" s="3" t="s">
        <v>888</v>
      </c>
      <c r="C1916" s="3" t="s">
        <v>46</v>
      </c>
      <c r="D1916" s="4" t="s">
        <v>8433</v>
      </c>
      <c r="E1916" s="3" t="s">
        <v>8434</v>
      </c>
      <c r="F1916" s="3" t="s">
        <v>7571</v>
      </c>
      <c r="G1916" s="6"/>
      <c r="H1916" s="3" t="s">
        <v>8435</v>
      </c>
    </row>
    <row r="1917" spans="1:8" ht="15.75" customHeight="1">
      <c r="A1917" s="3" t="s">
        <v>8436</v>
      </c>
      <c r="B1917" s="3" t="s">
        <v>801</v>
      </c>
      <c r="C1917" s="3" t="s">
        <v>8437</v>
      </c>
      <c r="D1917" s="4" t="s">
        <v>8438</v>
      </c>
      <c r="E1917" s="3" t="s">
        <v>8439</v>
      </c>
      <c r="F1917" s="34" t="s">
        <v>8440</v>
      </c>
      <c r="G1917" s="6"/>
      <c r="H1917" s="3" t="s">
        <v>7579</v>
      </c>
    </row>
    <row r="1918" spans="1:8" ht="15.75" customHeight="1">
      <c r="A1918" s="3" t="s">
        <v>422</v>
      </c>
      <c r="B1918" s="3" t="s">
        <v>1154</v>
      </c>
      <c r="C1918" s="3" t="s">
        <v>8441</v>
      </c>
      <c r="D1918" s="4" t="s">
        <v>8442</v>
      </c>
      <c r="E1918" s="3" t="s">
        <v>8443</v>
      </c>
      <c r="F1918" s="34" t="s">
        <v>8444</v>
      </c>
      <c r="G1918" s="6"/>
      <c r="H1918" s="3" t="s">
        <v>8445</v>
      </c>
    </row>
    <row r="1919" spans="1:8" ht="15.75" customHeight="1">
      <c r="A1919" s="3" t="s">
        <v>8446</v>
      </c>
      <c r="B1919" s="3" t="s">
        <v>4216</v>
      </c>
      <c r="C1919" s="3" t="s">
        <v>8447</v>
      </c>
      <c r="D1919" s="4" t="s">
        <v>8448</v>
      </c>
      <c r="E1919" s="3" t="s">
        <v>8449</v>
      </c>
      <c r="F1919" s="34" t="s">
        <v>8450</v>
      </c>
      <c r="G1919" s="6"/>
      <c r="H1919" s="3" t="s">
        <v>8451</v>
      </c>
    </row>
    <row r="1920" spans="1:8" ht="15.75" customHeight="1">
      <c r="A1920" s="3" t="s">
        <v>1689</v>
      </c>
      <c r="B1920" s="3" t="s">
        <v>8452</v>
      </c>
      <c r="C1920" s="3" t="s">
        <v>6055</v>
      </c>
      <c r="D1920" s="4" t="s">
        <v>8453</v>
      </c>
      <c r="E1920" s="3" t="s">
        <v>8454</v>
      </c>
      <c r="F1920" s="34" t="s">
        <v>7756</v>
      </c>
      <c r="G1920" s="6"/>
      <c r="H1920" s="3" t="s">
        <v>8455</v>
      </c>
    </row>
    <row r="1921" spans="1:8" ht="15.75" customHeight="1">
      <c r="A1921" s="3" t="s">
        <v>6386</v>
      </c>
      <c r="B1921" s="3" t="s">
        <v>8456</v>
      </c>
      <c r="C1921" s="3" t="s">
        <v>8457</v>
      </c>
      <c r="D1921" s="4" t="s">
        <v>8458</v>
      </c>
      <c r="E1921" s="3" t="s">
        <v>8459</v>
      </c>
      <c r="F1921" s="34" t="s">
        <v>6913</v>
      </c>
      <c r="G1921" s="6"/>
      <c r="H1921" s="3" t="s">
        <v>7763</v>
      </c>
    </row>
    <row r="1922" spans="1:8" ht="15.75" customHeight="1">
      <c r="A1922" s="3" t="s">
        <v>907</v>
      </c>
      <c r="B1922" s="3" t="s">
        <v>7125</v>
      </c>
      <c r="C1922" s="3" t="s">
        <v>7363</v>
      </c>
      <c r="D1922" s="4" t="s">
        <v>7364</v>
      </c>
      <c r="E1922" s="3" t="s">
        <v>7365</v>
      </c>
      <c r="F1922" s="34" t="s">
        <v>8460</v>
      </c>
      <c r="G1922" s="6"/>
      <c r="H1922" s="3" t="s">
        <v>6914</v>
      </c>
    </row>
    <row r="1923" spans="1:8" ht="15.75" customHeight="1">
      <c r="A1923" s="3" t="s">
        <v>2528</v>
      </c>
      <c r="B1923" s="3" t="s">
        <v>8461</v>
      </c>
      <c r="C1923" s="3" t="s">
        <v>8462</v>
      </c>
      <c r="D1923" s="4" t="s">
        <v>8463</v>
      </c>
      <c r="E1923" s="3" t="s">
        <v>8464</v>
      </c>
      <c r="F1923" s="6"/>
      <c r="G1923" s="6"/>
      <c r="H1923" s="3" t="s">
        <v>7579</v>
      </c>
    </row>
    <row r="1924" spans="1:8" ht="15.75" customHeight="1">
      <c r="A1924" s="3" t="s">
        <v>7475</v>
      </c>
      <c r="B1924" s="3" t="s">
        <v>59</v>
      </c>
      <c r="C1924" s="3" t="s">
        <v>5263</v>
      </c>
      <c r="D1924" s="4" t="s">
        <v>8465</v>
      </c>
      <c r="E1924" s="3" t="s">
        <v>8466</v>
      </c>
      <c r="F1924" s="34" t="s">
        <v>8467</v>
      </c>
      <c r="G1924" s="6"/>
      <c r="H1924" s="3" t="s">
        <v>8468</v>
      </c>
    </row>
    <row r="1925" spans="1:8" ht="15.75" customHeight="1">
      <c r="A1925" s="3" t="s">
        <v>14</v>
      </c>
      <c r="B1925" s="3" t="s">
        <v>20</v>
      </c>
      <c r="C1925" s="3" t="s">
        <v>8469</v>
      </c>
      <c r="D1925" s="4" t="s">
        <v>8470</v>
      </c>
      <c r="E1925" s="3" t="s">
        <v>8471</v>
      </c>
      <c r="F1925" s="6"/>
      <c r="G1925" s="6"/>
      <c r="H1925" s="4" t="s">
        <v>8472</v>
      </c>
    </row>
    <row r="1926" spans="1:8" ht="15.75" customHeight="1">
      <c r="A1926" s="3" t="s">
        <v>1065</v>
      </c>
      <c r="B1926" s="3" t="s">
        <v>1729</v>
      </c>
      <c r="C1926" s="3" t="s">
        <v>7770</v>
      </c>
      <c r="D1926" s="4" t="s">
        <v>8473</v>
      </c>
      <c r="E1926" s="3" t="s">
        <v>8474</v>
      </c>
      <c r="F1926" s="6"/>
      <c r="G1926" s="6"/>
      <c r="H1926" s="3" t="s">
        <v>8475</v>
      </c>
    </row>
    <row r="1927" spans="1:8" ht="15.75" customHeight="1">
      <c r="A1927" s="3" t="s">
        <v>2509</v>
      </c>
      <c r="B1927" s="3" t="s">
        <v>8476</v>
      </c>
      <c r="C1927" s="3" t="s">
        <v>4357</v>
      </c>
      <c r="D1927" s="4" t="s">
        <v>8477</v>
      </c>
      <c r="E1927" s="3" t="s">
        <v>8478</v>
      </c>
      <c r="F1927" s="3" t="s">
        <v>7571</v>
      </c>
      <c r="G1927" s="6"/>
      <c r="H1927" s="3" t="s">
        <v>8479</v>
      </c>
    </row>
    <row r="1928" spans="1:8" ht="15.75" customHeight="1">
      <c r="A1928" s="3" t="s">
        <v>721</v>
      </c>
      <c r="B1928" s="3" t="s">
        <v>394</v>
      </c>
      <c r="C1928" s="3" t="s">
        <v>7575</v>
      </c>
      <c r="D1928" s="4" t="s">
        <v>8480</v>
      </c>
      <c r="E1928" s="3" t="s">
        <v>8481</v>
      </c>
      <c r="F1928" s="34" t="s">
        <v>8482</v>
      </c>
      <c r="G1928" s="6"/>
      <c r="H1928" s="3" t="s">
        <v>7579</v>
      </c>
    </row>
    <row r="1929" spans="1:8" ht="15.75" customHeight="1">
      <c r="A1929" s="3" t="s">
        <v>14</v>
      </c>
      <c r="B1929" s="3" t="s">
        <v>4362</v>
      </c>
      <c r="C1929" s="3" t="s">
        <v>6812</v>
      </c>
      <c r="D1929" s="4" t="s">
        <v>8483</v>
      </c>
      <c r="E1929" s="3" t="s">
        <v>8484</v>
      </c>
      <c r="F1929" s="6"/>
      <c r="G1929" s="6"/>
      <c r="H1929" s="3" t="s">
        <v>8485</v>
      </c>
    </row>
    <row r="1930" spans="1:8" ht="15.75" customHeight="1">
      <c r="A1930" s="3" t="s">
        <v>422</v>
      </c>
      <c r="B1930" s="3" t="s">
        <v>4299</v>
      </c>
      <c r="C1930" s="3" t="s">
        <v>5641</v>
      </c>
      <c r="D1930" s="4" t="s">
        <v>8486</v>
      </c>
      <c r="E1930" s="3" t="s">
        <v>8487</v>
      </c>
      <c r="F1930" s="6"/>
      <c r="G1930" s="6"/>
      <c r="H1930" s="3" t="s">
        <v>8488</v>
      </c>
    </row>
    <row r="1931" spans="1:8" ht="15.75" customHeight="1">
      <c r="A1931" s="3" t="s">
        <v>7969</v>
      </c>
      <c r="B1931" s="3" t="s">
        <v>7970</v>
      </c>
      <c r="C1931" s="3" t="s">
        <v>4664</v>
      </c>
      <c r="D1931" s="4" t="s">
        <v>8489</v>
      </c>
      <c r="E1931" s="3" t="s">
        <v>7972</v>
      </c>
      <c r="F1931" s="6"/>
      <c r="G1931" s="6"/>
      <c r="H1931" s="3" t="s">
        <v>7974</v>
      </c>
    </row>
    <row r="1932" spans="1:8" ht="15.75" customHeight="1">
      <c r="A1932" s="3" t="s">
        <v>1501</v>
      </c>
      <c r="B1932" s="3" t="s">
        <v>7160</v>
      </c>
      <c r="C1932" s="3" t="s">
        <v>8490</v>
      </c>
      <c r="D1932" s="4" t="s">
        <v>8491</v>
      </c>
      <c r="E1932" s="3" t="s">
        <v>8492</v>
      </c>
      <c r="F1932" s="3" t="s">
        <v>7571</v>
      </c>
      <c r="G1932" s="6"/>
      <c r="H1932" s="3" t="s">
        <v>8493</v>
      </c>
    </row>
    <row r="1933" spans="1:8" ht="15.75" customHeight="1">
      <c r="A1933" s="3" t="s">
        <v>8494</v>
      </c>
      <c r="B1933" s="3" t="s">
        <v>8495</v>
      </c>
      <c r="C1933" s="3" t="s">
        <v>8496</v>
      </c>
      <c r="D1933" s="4" t="s">
        <v>8497</v>
      </c>
      <c r="E1933" s="3" t="s">
        <v>8498</v>
      </c>
      <c r="F1933" s="34" t="s">
        <v>8499</v>
      </c>
      <c r="G1933" s="6"/>
      <c r="H1933" s="3" t="s">
        <v>7579</v>
      </c>
    </row>
    <row r="1934" spans="1:8" ht="15.75" customHeight="1">
      <c r="A1934" s="3" t="s">
        <v>1228</v>
      </c>
      <c r="B1934" s="3" t="s">
        <v>1415</v>
      </c>
      <c r="C1934" s="3" t="s">
        <v>5232</v>
      </c>
      <c r="D1934" s="4" t="s">
        <v>8500</v>
      </c>
      <c r="E1934" s="3" t="s">
        <v>8501</v>
      </c>
      <c r="F1934" s="34" t="s">
        <v>8502</v>
      </c>
      <c r="G1934" s="6"/>
      <c r="H1934" s="3" t="s">
        <v>7818</v>
      </c>
    </row>
    <row r="1935" spans="1:8" ht="15.75" customHeight="1">
      <c r="A1935" s="3" t="s">
        <v>8503</v>
      </c>
      <c r="B1935" s="3" t="s">
        <v>8504</v>
      </c>
      <c r="C1935" s="3" t="s">
        <v>7100</v>
      </c>
      <c r="D1935" s="4" t="s">
        <v>8505</v>
      </c>
      <c r="E1935" s="3" t="s">
        <v>8506</v>
      </c>
      <c r="F1935" s="34" t="s">
        <v>7617</v>
      </c>
      <c r="G1935" s="6"/>
      <c r="H1935" s="3" t="s">
        <v>8507</v>
      </c>
    </row>
    <row r="1936" spans="1:8" ht="15.75" customHeight="1">
      <c r="A1936" s="3" t="s">
        <v>8508</v>
      </c>
      <c r="B1936" s="3" t="s">
        <v>8509</v>
      </c>
      <c r="C1936" s="3" t="s">
        <v>8510</v>
      </c>
      <c r="D1936" s="4" t="s">
        <v>8511</v>
      </c>
      <c r="E1936" s="3" t="s">
        <v>8512</v>
      </c>
      <c r="F1936" s="34" t="s">
        <v>8513</v>
      </c>
      <c r="G1936" s="6"/>
      <c r="H1936" s="3" t="s">
        <v>8514</v>
      </c>
    </row>
    <row r="1937" spans="1:8" ht="15.75" customHeight="1">
      <c r="A1937" s="3" t="s">
        <v>1501</v>
      </c>
      <c r="B1937" s="3" t="s">
        <v>8515</v>
      </c>
      <c r="C1937" s="3" t="s">
        <v>46</v>
      </c>
      <c r="D1937" s="4" t="s">
        <v>8516</v>
      </c>
      <c r="E1937" s="3" t="s">
        <v>8517</v>
      </c>
      <c r="F1937" s="34" t="s">
        <v>7605</v>
      </c>
      <c r="G1937" s="6"/>
      <c r="H1937" s="3" t="s">
        <v>8518</v>
      </c>
    </row>
    <row r="1938" spans="1:8" ht="15.75" customHeight="1">
      <c r="A1938" s="3" t="s">
        <v>7113</v>
      </c>
      <c r="B1938" s="3" t="s">
        <v>1698</v>
      </c>
      <c r="C1938" s="3" t="s">
        <v>1684</v>
      </c>
      <c r="D1938" s="4" t="s">
        <v>8519</v>
      </c>
      <c r="E1938" s="3" t="s">
        <v>8122</v>
      </c>
      <c r="F1938" s="34" t="s">
        <v>8520</v>
      </c>
      <c r="G1938" s="6"/>
      <c r="H1938" s="3" t="s">
        <v>7610</v>
      </c>
    </row>
    <row r="1939" spans="1:8" ht="15.75" customHeight="1">
      <c r="A1939" s="3" t="s">
        <v>8521</v>
      </c>
      <c r="B1939" s="3" t="s">
        <v>8522</v>
      </c>
      <c r="C1939" s="3" t="s">
        <v>8523</v>
      </c>
      <c r="D1939" s="4" t="s">
        <v>8524</v>
      </c>
      <c r="E1939" s="3" t="s">
        <v>8525</v>
      </c>
      <c r="F1939" s="34" t="s">
        <v>8526</v>
      </c>
      <c r="G1939" s="6"/>
      <c r="H1939" s="3" t="s">
        <v>8527</v>
      </c>
    </row>
    <row r="1940" spans="1:8" ht="15.75" customHeight="1">
      <c r="A1940" s="3" t="s">
        <v>8528</v>
      </c>
      <c r="B1940" s="3" t="s">
        <v>1993</v>
      </c>
      <c r="C1940" s="3" t="s">
        <v>8529</v>
      </c>
      <c r="D1940" s="4" t="s">
        <v>8530</v>
      </c>
      <c r="E1940" s="3" t="s">
        <v>8531</v>
      </c>
      <c r="F1940" s="34" t="s">
        <v>7858</v>
      </c>
      <c r="G1940" s="6"/>
      <c r="H1940" s="3" t="s">
        <v>7599</v>
      </c>
    </row>
    <row r="1941" spans="1:8" ht="15.75" customHeight="1">
      <c r="A1941" s="3" t="s">
        <v>2520</v>
      </c>
      <c r="B1941" s="3" t="s">
        <v>2968</v>
      </c>
      <c r="C1941" s="3" t="s">
        <v>5263</v>
      </c>
      <c r="D1941" s="4" t="s">
        <v>8532</v>
      </c>
      <c r="E1941" s="3" t="s">
        <v>8533</v>
      </c>
      <c r="F1941" s="6"/>
      <c r="G1941" s="6"/>
      <c r="H1941" s="3" t="s">
        <v>8534</v>
      </c>
    </row>
    <row r="1942" spans="1:8" ht="15.75" customHeight="1">
      <c r="A1942" s="3" t="s">
        <v>2520</v>
      </c>
      <c r="B1942" s="3" t="s">
        <v>6709</v>
      </c>
      <c r="C1942" s="3" t="s">
        <v>5677</v>
      </c>
      <c r="D1942" s="4" t="s">
        <v>7905</v>
      </c>
      <c r="E1942" s="3" t="s">
        <v>7906</v>
      </c>
      <c r="F1942" s="34" t="s">
        <v>8535</v>
      </c>
      <c r="G1942" s="6"/>
      <c r="H1942" s="3" t="s">
        <v>7882</v>
      </c>
    </row>
    <row r="1943" spans="1:8" ht="15.75" customHeight="1">
      <c r="A1943" s="3" t="s">
        <v>8536</v>
      </c>
      <c r="B1943" s="3" t="s">
        <v>8537</v>
      </c>
      <c r="C1943" s="3" t="s">
        <v>229</v>
      </c>
      <c r="D1943" s="6"/>
      <c r="E1943" s="3" t="s">
        <v>8538</v>
      </c>
      <c r="F1943" s="34" t="s">
        <v>6474</v>
      </c>
      <c r="G1943" s="6"/>
      <c r="H1943" s="3" t="s">
        <v>8137</v>
      </c>
    </row>
    <row r="1944" spans="1:8" ht="15.75" customHeight="1">
      <c r="A1944" s="3" t="s">
        <v>6470</v>
      </c>
      <c r="B1944" s="3" t="s">
        <v>6471</v>
      </c>
      <c r="C1944" s="3" t="s">
        <v>303</v>
      </c>
      <c r="D1944" s="4" t="s">
        <v>6472</v>
      </c>
      <c r="E1944" s="3" t="s">
        <v>6473</v>
      </c>
      <c r="F1944" s="34" t="s">
        <v>8539</v>
      </c>
      <c r="G1944" s="6"/>
      <c r="H1944" s="3" t="s">
        <v>5247</v>
      </c>
    </row>
    <row r="1945" spans="1:8" ht="15.75" customHeight="1">
      <c r="A1945" s="3" t="s">
        <v>2804</v>
      </c>
      <c r="B1945" s="3" t="s">
        <v>1435</v>
      </c>
      <c r="C1945" s="3" t="s">
        <v>4203</v>
      </c>
      <c r="D1945" s="4" t="s">
        <v>8540</v>
      </c>
      <c r="E1945" s="3" t="s">
        <v>8541</v>
      </c>
      <c r="F1945" s="34" t="s">
        <v>8323</v>
      </c>
      <c r="G1945" s="6"/>
      <c r="H1945" s="3" t="s">
        <v>8542</v>
      </c>
    </row>
    <row r="1946" spans="1:8" ht="15.75" customHeight="1">
      <c r="A1946" s="3" t="s">
        <v>8543</v>
      </c>
      <c r="B1946" s="3" t="s">
        <v>8544</v>
      </c>
      <c r="C1946" s="3" t="s">
        <v>8545</v>
      </c>
      <c r="D1946" s="4" t="s">
        <v>8546</v>
      </c>
      <c r="E1946" s="3" t="s">
        <v>8547</v>
      </c>
      <c r="F1946" s="34" t="s">
        <v>7842</v>
      </c>
      <c r="G1946" s="6"/>
      <c r="H1946" s="3" t="s">
        <v>7579</v>
      </c>
    </row>
    <row r="1947" spans="1:8" ht="15.75" customHeight="1">
      <c r="A1947" s="3" t="s">
        <v>8548</v>
      </c>
      <c r="B1947" s="3" t="s">
        <v>7044</v>
      </c>
      <c r="C1947" s="3" t="s">
        <v>8549</v>
      </c>
      <c r="D1947" s="4" t="s">
        <v>8550</v>
      </c>
      <c r="E1947" s="3" t="s">
        <v>8551</v>
      </c>
      <c r="F1947" s="6"/>
      <c r="G1947" s="6"/>
      <c r="H1947" s="3" t="s">
        <v>7685</v>
      </c>
    </row>
    <row r="1948" spans="1:8" ht="15.75" customHeight="1">
      <c r="A1948" s="3" t="s">
        <v>3664</v>
      </c>
      <c r="B1948" s="3" t="s">
        <v>8552</v>
      </c>
      <c r="C1948" s="3" t="s">
        <v>5641</v>
      </c>
      <c r="D1948" s="4" t="s">
        <v>8553</v>
      </c>
      <c r="E1948" s="3" t="s">
        <v>8554</v>
      </c>
      <c r="F1948" s="3" t="s">
        <v>7571</v>
      </c>
      <c r="G1948" s="6"/>
      <c r="H1948" s="3" t="s">
        <v>7694</v>
      </c>
    </row>
    <row r="1949" spans="1:8" ht="15.75" customHeight="1">
      <c r="A1949" s="3" t="s">
        <v>8555</v>
      </c>
      <c r="B1949" s="3" t="s">
        <v>8556</v>
      </c>
      <c r="C1949" s="3" t="s">
        <v>7575</v>
      </c>
      <c r="D1949" s="4" t="s">
        <v>8557</v>
      </c>
      <c r="E1949" s="3" t="s">
        <v>8558</v>
      </c>
      <c r="F1949" s="6"/>
      <c r="G1949" s="6"/>
      <c r="H1949" s="3" t="s">
        <v>7579</v>
      </c>
    </row>
    <row r="1950" spans="1:8" ht="15.75" customHeight="1">
      <c r="A1950" s="3" t="s">
        <v>8559</v>
      </c>
      <c r="B1950" s="3" t="s">
        <v>1277</v>
      </c>
      <c r="C1950" s="3" t="s">
        <v>8560</v>
      </c>
      <c r="D1950" s="4" t="s">
        <v>8561</v>
      </c>
      <c r="E1950" s="3" t="s">
        <v>8562</v>
      </c>
      <c r="F1950" s="34" t="s">
        <v>8563</v>
      </c>
      <c r="G1950" s="6"/>
      <c r="H1950" s="3" t="s">
        <v>8564</v>
      </c>
    </row>
    <row r="1951" spans="1:8" ht="15.75" customHeight="1">
      <c r="A1951" s="3" t="s">
        <v>2528</v>
      </c>
      <c r="B1951" s="3" t="s">
        <v>934</v>
      </c>
      <c r="C1951" s="3" t="s">
        <v>7883</v>
      </c>
      <c r="D1951" s="4" t="s">
        <v>7884</v>
      </c>
      <c r="E1951" s="3" t="s">
        <v>7885</v>
      </c>
      <c r="F1951" s="34" t="s">
        <v>7881</v>
      </c>
      <c r="G1951" s="6"/>
      <c r="H1951" s="3" t="s">
        <v>7579</v>
      </c>
    </row>
    <row r="1952" spans="1:8" ht="15.75" customHeight="1">
      <c r="A1952" s="3" t="s">
        <v>2083</v>
      </c>
      <c r="B1952" s="3" t="s">
        <v>8565</v>
      </c>
      <c r="C1952" s="3" t="s">
        <v>8566</v>
      </c>
      <c r="D1952" s="4" t="s">
        <v>8567</v>
      </c>
      <c r="E1952" s="3" t="s">
        <v>8568</v>
      </c>
      <c r="F1952" s="34" t="s">
        <v>8569</v>
      </c>
      <c r="G1952" s="6"/>
      <c r="H1952" s="3" t="s">
        <v>8570</v>
      </c>
    </row>
    <row r="1953" spans="1:8" ht="15.75" customHeight="1">
      <c r="A1953" s="3" t="s">
        <v>8571</v>
      </c>
      <c r="B1953" s="3" t="s">
        <v>593</v>
      </c>
      <c r="C1953" s="3" t="s">
        <v>4357</v>
      </c>
      <c r="D1953" s="4" t="s">
        <v>8572</v>
      </c>
      <c r="E1953" s="3" t="s">
        <v>8573</v>
      </c>
      <c r="F1953" s="34" t="s">
        <v>8574</v>
      </c>
      <c r="G1953" s="6"/>
      <c r="H1953" s="3" t="s">
        <v>8575</v>
      </c>
    </row>
    <row r="1954" spans="1:8" ht="15.75" customHeight="1">
      <c r="A1954" s="3" t="s">
        <v>44</v>
      </c>
      <c r="B1954" s="3" t="s">
        <v>1415</v>
      </c>
      <c r="C1954" s="3" t="s">
        <v>8576</v>
      </c>
      <c r="D1954" s="4" t="s">
        <v>8577</v>
      </c>
      <c r="E1954" s="3" t="s">
        <v>8578</v>
      </c>
      <c r="F1954" s="34" t="s">
        <v>8579</v>
      </c>
      <c r="G1954" s="6"/>
      <c r="H1954" s="3" t="s">
        <v>8580</v>
      </c>
    </row>
    <row r="1955" spans="1:8" ht="15.75" customHeight="1">
      <c r="A1955" s="3" t="s">
        <v>8581</v>
      </c>
      <c r="B1955" s="3" t="s">
        <v>8452</v>
      </c>
      <c r="C1955" s="3" t="s">
        <v>870</v>
      </c>
      <c r="D1955" s="4" t="s">
        <v>8582</v>
      </c>
      <c r="E1955" s="3" t="s">
        <v>8583</v>
      </c>
      <c r="F1955" s="34" t="s">
        <v>8584</v>
      </c>
      <c r="G1955" s="6"/>
      <c r="H1955" s="3" t="s">
        <v>8585</v>
      </c>
    </row>
    <row r="1956" spans="1:8" ht="15.75" customHeight="1">
      <c r="A1956" s="3" t="s">
        <v>8586</v>
      </c>
      <c r="B1956" s="3" t="s">
        <v>2245</v>
      </c>
      <c r="C1956" s="3" t="s">
        <v>8587</v>
      </c>
      <c r="D1956" s="4" t="s">
        <v>8588</v>
      </c>
      <c r="E1956" s="3" t="s">
        <v>8589</v>
      </c>
      <c r="F1956" s="34" t="s">
        <v>8590</v>
      </c>
      <c r="G1956" s="6"/>
      <c r="H1956" s="3" t="s">
        <v>8591</v>
      </c>
    </row>
    <row r="1957" spans="1:8" ht="15.75" customHeight="1">
      <c r="A1957" s="3" t="s">
        <v>8592</v>
      </c>
      <c r="B1957" s="3" t="s">
        <v>8593</v>
      </c>
      <c r="C1957" s="3" t="s">
        <v>8594</v>
      </c>
      <c r="D1957" s="4" t="s">
        <v>8595</v>
      </c>
      <c r="E1957" s="3" t="s">
        <v>8596</v>
      </c>
      <c r="F1957" s="34" t="s">
        <v>8597</v>
      </c>
      <c r="G1957" s="6"/>
      <c r="H1957" s="3" t="s">
        <v>8598</v>
      </c>
    </row>
    <row r="1958" spans="1:8" ht="15.75" customHeight="1">
      <c r="A1958" s="3" t="s">
        <v>2313</v>
      </c>
      <c r="B1958" s="3" t="s">
        <v>883</v>
      </c>
      <c r="C1958" s="3" t="s">
        <v>5965</v>
      </c>
      <c r="D1958" s="4" t="s">
        <v>8072</v>
      </c>
      <c r="E1958" s="3" t="s">
        <v>8073</v>
      </c>
      <c r="F1958" s="3" t="s">
        <v>7571</v>
      </c>
      <c r="G1958" s="6"/>
      <c r="H1958" s="3" t="s">
        <v>7579</v>
      </c>
    </row>
    <row r="1959" spans="1:8" ht="15.75" customHeight="1">
      <c r="A1959" s="3" t="s">
        <v>2384</v>
      </c>
      <c r="B1959" s="3" t="s">
        <v>2023</v>
      </c>
      <c r="C1959" s="3" t="s">
        <v>5313</v>
      </c>
      <c r="D1959" s="4" t="s">
        <v>8599</v>
      </c>
      <c r="E1959" s="3" t="s">
        <v>8600</v>
      </c>
      <c r="F1959" s="34" t="s">
        <v>8601</v>
      </c>
      <c r="G1959" s="6"/>
      <c r="H1959" s="3" t="s">
        <v>8602</v>
      </c>
    </row>
    <row r="1960" spans="1:8" ht="15.75" customHeight="1">
      <c r="A1960" s="3" t="s">
        <v>14</v>
      </c>
      <c r="B1960" s="3" t="s">
        <v>801</v>
      </c>
      <c r="C1960" s="3" t="s">
        <v>8603</v>
      </c>
      <c r="D1960" s="4" t="s">
        <v>8604</v>
      </c>
      <c r="E1960" s="3" t="s">
        <v>8605</v>
      </c>
      <c r="F1960" s="34" t="s">
        <v>8606</v>
      </c>
      <c r="G1960" s="6"/>
      <c r="H1960" s="3" t="s">
        <v>8607</v>
      </c>
    </row>
    <row r="1961" spans="1:8" ht="15.75" customHeight="1">
      <c r="A1961" s="3" t="s">
        <v>1065</v>
      </c>
      <c r="B1961" s="3" t="s">
        <v>801</v>
      </c>
      <c r="C1961" s="3" t="s">
        <v>1684</v>
      </c>
      <c r="D1961" s="6"/>
      <c r="E1961" s="3" t="s">
        <v>8608</v>
      </c>
      <c r="F1961" s="34" t="s">
        <v>8609</v>
      </c>
      <c r="G1961" s="6"/>
      <c r="H1961" s="3" t="s">
        <v>8610</v>
      </c>
    </row>
    <row r="1962" spans="1:8" ht="15.75" customHeight="1">
      <c r="A1962" s="3" t="s">
        <v>7585</v>
      </c>
      <c r="B1962" s="3" t="s">
        <v>3517</v>
      </c>
      <c r="C1962" s="3" t="s">
        <v>8083</v>
      </c>
      <c r="D1962" s="4" t="s">
        <v>8084</v>
      </c>
      <c r="E1962" s="3" t="s">
        <v>8085</v>
      </c>
      <c r="F1962" s="3" t="s">
        <v>7571</v>
      </c>
      <c r="G1962" s="6"/>
      <c r="H1962" s="3" t="s">
        <v>7579</v>
      </c>
    </row>
    <row r="1963" spans="1:8" ht="15.75" customHeight="1">
      <c r="A1963" s="3" t="s">
        <v>1286</v>
      </c>
      <c r="B1963" s="3" t="s">
        <v>8611</v>
      </c>
      <c r="C1963" s="3" t="s">
        <v>6148</v>
      </c>
      <c r="D1963" s="4" t="s">
        <v>8612</v>
      </c>
      <c r="E1963" s="3" t="s">
        <v>8613</v>
      </c>
      <c r="F1963" s="34" t="s">
        <v>8614</v>
      </c>
      <c r="G1963" s="6"/>
      <c r="H1963" s="3" t="s">
        <v>8615</v>
      </c>
    </row>
    <row r="1964" spans="1:8" ht="15.75" customHeight="1">
      <c r="A1964" s="3" t="s">
        <v>8616</v>
      </c>
      <c r="B1964" s="3" t="s">
        <v>8617</v>
      </c>
      <c r="C1964" s="3" t="s">
        <v>1684</v>
      </c>
      <c r="D1964" s="4" t="s">
        <v>8618</v>
      </c>
      <c r="E1964" s="3" t="s">
        <v>8619</v>
      </c>
      <c r="F1964" s="34" t="s">
        <v>8620</v>
      </c>
      <c r="G1964" s="6"/>
      <c r="H1964" s="3" t="s">
        <v>8621</v>
      </c>
    </row>
    <row r="1965" spans="1:8" ht="15.75" customHeight="1">
      <c r="A1965" s="3" t="s">
        <v>155</v>
      </c>
      <c r="B1965" s="3" t="s">
        <v>4001</v>
      </c>
      <c r="C1965" s="3" t="s">
        <v>8204</v>
      </c>
      <c r="D1965" s="4" t="s">
        <v>8205</v>
      </c>
      <c r="E1965" s="3" t="s">
        <v>8206</v>
      </c>
      <c r="F1965" s="3" t="s">
        <v>7571</v>
      </c>
      <c r="G1965" s="6"/>
      <c r="H1965" s="3" t="s">
        <v>7579</v>
      </c>
    </row>
    <row r="1966" spans="1:8" ht="15.75" customHeight="1">
      <c r="A1966" s="3" t="s">
        <v>1517</v>
      </c>
      <c r="B1966" s="3" t="s">
        <v>8622</v>
      </c>
      <c r="C1966" s="3" t="s">
        <v>5263</v>
      </c>
      <c r="D1966" s="4" t="s">
        <v>8623</v>
      </c>
      <c r="E1966" s="3" t="s">
        <v>8624</v>
      </c>
      <c r="F1966" s="34" t="s">
        <v>8625</v>
      </c>
      <c r="G1966" s="6"/>
      <c r="H1966" s="3" t="s">
        <v>8626</v>
      </c>
    </row>
    <row r="1967" spans="1:8" ht="15.75" customHeight="1">
      <c r="A1967" s="3" t="s">
        <v>710</v>
      </c>
      <c r="B1967" s="3" t="s">
        <v>6107</v>
      </c>
      <c r="C1967" s="3" t="s">
        <v>8627</v>
      </c>
      <c r="D1967" s="4" t="s">
        <v>8628</v>
      </c>
      <c r="E1967" s="3" t="s">
        <v>8629</v>
      </c>
      <c r="F1967" s="6"/>
      <c r="G1967" s="6"/>
      <c r="H1967" s="3" t="s">
        <v>8630</v>
      </c>
    </row>
    <row r="1968" spans="1:8" ht="15.75" customHeight="1">
      <c r="A1968" s="3" t="s">
        <v>8631</v>
      </c>
      <c r="B1968" s="3" t="s">
        <v>589</v>
      </c>
      <c r="C1968" s="3" t="s">
        <v>8632</v>
      </c>
      <c r="D1968" s="4" t="s">
        <v>8633</v>
      </c>
      <c r="E1968" s="3" t="s">
        <v>8634</v>
      </c>
      <c r="F1968" s="6"/>
      <c r="G1968" s="6"/>
      <c r="H1968" s="3" t="s">
        <v>8635</v>
      </c>
    </row>
    <row r="1969" spans="1:8" ht="15.75" customHeight="1">
      <c r="A1969" s="3" t="s">
        <v>14</v>
      </c>
      <c r="B1969" s="3" t="s">
        <v>8404</v>
      </c>
      <c r="C1969" s="3" t="s">
        <v>5182</v>
      </c>
      <c r="D1969" s="4" t="s">
        <v>8636</v>
      </c>
      <c r="E1969" s="3" t="s">
        <v>8637</v>
      </c>
      <c r="F1969" s="34" t="s">
        <v>8638</v>
      </c>
      <c r="G1969" s="6"/>
      <c r="H1969" s="3" t="s">
        <v>8639</v>
      </c>
    </row>
    <row r="1970" spans="1:8" ht="15.75" customHeight="1">
      <c r="A1970" s="3" t="s">
        <v>8640</v>
      </c>
      <c r="B1970" s="3" t="s">
        <v>1415</v>
      </c>
      <c r="C1970" s="3" t="s">
        <v>8641</v>
      </c>
      <c r="D1970" s="6"/>
      <c r="E1970" s="3" t="s">
        <v>8642</v>
      </c>
      <c r="F1970" s="3" t="s">
        <v>8643</v>
      </c>
      <c r="G1970" s="6"/>
      <c r="H1970" s="3" t="s">
        <v>8644</v>
      </c>
    </row>
    <row r="1971" spans="1:8" ht="15.75" customHeight="1">
      <c r="A1971" s="3" t="s">
        <v>6785</v>
      </c>
      <c r="B1971" s="3" t="s">
        <v>3261</v>
      </c>
      <c r="C1971" s="3" t="s">
        <v>6033</v>
      </c>
      <c r="D1971" s="4" t="s">
        <v>8044</v>
      </c>
      <c r="E1971" s="3" t="s">
        <v>8045</v>
      </c>
      <c r="F1971" s="34" t="s">
        <v>8645</v>
      </c>
      <c r="G1971" s="6"/>
      <c r="H1971" s="3" t="s">
        <v>8046</v>
      </c>
    </row>
    <row r="1972" spans="1:8" ht="15.75" customHeight="1">
      <c r="A1972" s="3" t="s">
        <v>8050</v>
      </c>
      <c r="B1972" s="3" t="s">
        <v>6397</v>
      </c>
      <c r="C1972" s="3" t="s">
        <v>8051</v>
      </c>
      <c r="D1972" s="4" t="s">
        <v>8052</v>
      </c>
      <c r="E1972" s="3" t="s">
        <v>8053</v>
      </c>
      <c r="F1972" s="3" t="s">
        <v>7571</v>
      </c>
      <c r="G1972" s="6"/>
      <c r="H1972" s="3" t="s">
        <v>7579</v>
      </c>
    </row>
    <row r="1973" spans="1:8" ht="15.75" customHeight="1">
      <c r="A1973" s="3" t="s">
        <v>8646</v>
      </c>
      <c r="B1973" s="3" t="s">
        <v>6540</v>
      </c>
      <c r="C1973" s="3" t="s">
        <v>8647</v>
      </c>
      <c r="D1973" s="4" t="s">
        <v>8648</v>
      </c>
      <c r="E1973" s="3" t="s">
        <v>8649</v>
      </c>
      <c r="F1973" s="34" t="s">
        <v>8650</v>
      </c>
      <c r="G1973" s="6"/>
      <c r="H1973" s="3" t="s">
        <v>8651</v>
      </c>
    </row>
    <row r="1974" spans="1:8" ht="15.75" customHeight="1">
      <c r="A1974" s="3" t="s">
        <v>2483</v>
      </c>
      <c r="B1974" s="3" t="s">
        <v>748</v>
      </c>
      <c r="C1974" s="3" t="s">
        <v>8652</v>
      </c>
      <c r="D1974" s="4" t="s">
        <v>8653</v>
      </c>
      <c r="E1974" s="3" t="s">
        <v>8654</v>
      </c>
      <c r="F1974" s="6"/>
      <c r="G1974" s="6"/>
      <c r="H1974" s="3" t="s">
        <v>8655</v>
      </c>
    </row>
    <row r="1975" spans="1:8" ht="15.75" customHeight="1">
      <c r="A1975" s="3" t="s">
        <v>636</v>
      </c>
      <c r="B1975" s="3" t="s">
        <v>8656</v>
      </c>
      <c r="C1975" s="3" t="s">
        <v>222</v>
      </c>
      <c r="D1975" s="4" t="s">
        <v>8657</v>
      </c>
      <c r="E1975" s="3" t="s">
        <v>8658</v>
      </c>
      <c r="F1975" s="34" t="s">
        <v>8597</v>
      </c>
      <c r="G1975" s="6"/>
      <c r="H1975" s="3" t="s">
        <v>8598</v>
      </c>
    </row>
    <row r="1976" spans="1:8" ht="15.75" customHeight="1">
      <c r="A1976" s="3" t="s">
        <v>462</v>
      </c>
      <c r="B1976" s="3" t="s">
        <v>4216</v>
      </c>
      <c r="C1976" s="3" t="s">
        <v>6033</v>
      </c>
      <c r="D1976" s="4" t="s">
        <v>8659</v>
      </c>
      <c r="E1976" s="3" t="s">
        <v>8660</v>
      </c>
      <c r="F1976" s="6"/>
      <c r="G1976" s="6"/>
      <c r="H1976" s="3" t="s">
        <v>8661</v>
      </c>
    </row>
    <row r="1977" spans="1:8" ht="15.75" customHeight="1">
      <c r="A1977" s="3" t="s">
        <v>359</v>
      </c>
      <c r="B1977" s="3" t="s">
        <v>1277</v>
      </c>
      <c r="C1977" s="3" t="s">
        <v>1580</v>
      </c>
      <c r="D1977" s="4" t="s">
        <v>7937</v>
      </c>
      <c r="E1977" s="3" t="s">
        <v>7938</v>
      </c>
      <c r="F1977" s="3" t="s">
        <v>7571</v>
      </c>
      <c r="G1977" s="6"/>
      <c r="H1977" s="3" t="s">
        <v>7579</v>
      </c>
    </row>
    <row r="1978" spans="1:8" ht="15.75" customHeight="1">
      <c r="A1978" s="3" t="s">
        <v>184</v>
      </c>
      <c r="B1978" s="3" t="s">
        <v>8662</v>
      </c>
      <c r="C1978" s="3" t="s">
        <v>4290</v>
      </c>
      <c r="D1978" s="4" t="s">
        <v>8663</v>
      </c>
      <c r="E1978" s="3" t="s">
        <v>8664</v>
      </c>
      <c r="F1978" s="34" t="s">
        <v>8665</v>
      </c>
      <c r="G1978" s="6"/>
      <c r="H1978" s="3" t="s">
        <v>8666</v>
      </c>
    </row>
    <row r="1979" spans="1:8" ht="15.75" customHeight="1">
      <c r="A1979" s="3" t="s">
        <v>1486</v>
      </c>
      <c r="B1979" s="3" t="s">
        <v>784</v>
      </c>
      <c r="C1979" s="3" t="s">
        <v>8667</v>
      </c>
      <c r="D1979" s="4" t="s">
        <v>8668</v>
      </c>
      <c r="E1979" s="3" t="s">
        <v>8669</v>
      </c>
      <c r="F1979" s="6"/>
      <c r="G1979" s="6"/>
      <c r="H1979" s="3" t="s">
        <v>8670</v>
      </c>
    </row>
    <row r="1980" spans="1:8" ht="15.75" customHeight="1">
      <c r="A1980" s="3" t="s">
        <v>394</v>
      </c>
      <c r="B1980" s="3" t="s">
        <v>8671</v>
      </c>
      <c r="C1980" s="3" t="s">
        <v>6495</v>
      </c>
      <c r="D1980" s="4" t="s">
        <v>8672</v>
      </c>
      <c r="E1980" s="3" t="s">
        <v>8673</v>
      </c>
      <c r="F1980" s="6"/>
      <c r="G1980" s="6"/>
      <c r="H1980" s="3" t="s">
        <v>8635</v>
      </c>
    </row>
    <row r="1981" spans="1:8" ht="15.75" customHeight="1">
      <c r="A1981" s="3" t="s">
        <v>8674</v>
      </c>
      <c r="B1981" s="3" t="s">
        <v>8675</v>
      </c>
      <c r="C1981" s="3" t="s">
        <v>8676</v>
      </c>
      <c r="D1981" s="4" t="s">
        <v>8677</v>
      </c>
      <c r="E1981" s="3" t="s">
        <v>8678</v>
      </c>
      <c r="F1981" s="34" t="s">
        <v>8679</v>
      </c>
      <c r="G1981" s="6"/>
      <c r="H1981" s="3" t="s">
        <v>8680</v>
      </c>
    </row>
    <row r="1982" spans="1:8" ht="15.75" customHeight="1">
      <c r="A1982" s="3" t="s">
        <v>1192</v>
      </c>
      <c r="B1982" s="3" t="s">
        <v>221</v>
      </c>
      <c r="C1982" s="3" t="s">
        <v>8681</v>
      </c>
      <c r="D1982" s="4" t="s">
        <v>8682</v>
      </c>
      <c r="E1982" s="3" t="s">
        <v>8683</v>
      </c>
      <c r="F1982" s="34" t="s">
        <v>8684</v>
      </c>
      <c r="G1982" s="6"/>
      <c r="H1982" s="3" t="s">
        <v>8685</v>
      </c>
    </row>
    <row r="1983" spans="1:8" ht="15.75" customHeight="1">
      <c r="A1983" s="3" t="s">
        <v>577</v>
      </c>
      <c r="B1983" s="3" t="s">
        <v>943</v>
      </c>
      <c r="C1983" s="3" t="s">
        <v>8686</v>
      </c>
      <c r="D1983" s="4" t="s">
        <v>8687</v>
      </c>
      <c r="E1983" s="3" t="s">
        <v>8688</v>
      </c>
      <c r="F1983" s="34" t="s">
        <v>8689</v>
      </c>
      <c r="G1983" s="6"/>
      <c r="H1983" s="3" t="s">
        <v>8690</v>
      </c>
    </row>
    <row r="1984" spans="1:8" ht="15.75" customHeight="1">
      <c r="A1984" s="3" t="s">
        <v>8418</v>
      </c>
      <c r="B1984" s="3" t="s">
        <v>59</v>
      </c>
      <c r="C1984" s="3" t="s">
        <v>8419</v>
      </c>
      <c r="D1984" s="4" t="s">
        <v>8420</v>
      </c>
      <c r="E1984" s="3" t="s">
        <v>8421</v>
      </c>
      <c r="F1984" s="3" t="s">
        <v>7571</v>
      </c>
      <c r="G1984" s="6"/>
      <c r="H1984" s="3" t="s">
        <v>7579</v>
      </c>
    </row>
    <row r="1985" spans="1:8" ht="15.75" customHeight="1">
      <c r="A1985" s="3" t="s">
        <v>717</v>
      </c>
      <c r="B1985" s="3" t="s">
        <v>1965</v>
      </c>
      <c r="C1985" s="3" t="s">
        <v>8691</v>
      </c>
      <c r="D1985" s="4" t="s">
        <v>8692</v>
      </c>
      <c r="E1985" s="3" t="s">
        <v>8693</v>
      </c>
      <c r="F1985" s="34" t="s">
        <v>8694</v>
      </c>
      <c r="G1985" s="6"/>
      <c r="H1985" s="3" t="s">
        <v>8575</v>
      </c>
    </row>
    <row r="1986" spans="1:8" ht="15.75" customHeight="1">
      <c r="A1986" s="3" t="s">
        <v>812</v>
      </c>
      <c r="B1986" s="3" t="s">
        <v>7959</v>
      </c>
      <c r="C1986" s="3" t="s">
        <v>7960</v>
      </c>
      <c r="D1986" s="4" t="s">
        <v>7961</v>
      </c>
      <c r="E1986" s="3" t="s">
        <v>7962</v>
      </c>
      <c r="F1986" s="34" t="s">
        <v>7881</v>
      </c>
      <c r="G1986" s="6"/>
      <c r="H1986" s="3" t="s">
        <v>7579</v>
      </c>
    </row>
    <row r="1987" spans="1:8" ht="15.75" customHeight="1">
      <c r="A1987" s="3" t="s">
        <v>873</v>
      </c>
      <c r="B1987" s="3" t="s">
        <v>1051</v>
      </c>
      <c r="C1987" s="3" t="s">
        <v>8695</v>
      </c>
      <c r="D1987" s="4" t="s">
        <v>8696</v>
      </c>
      <c r="E1987" s="3" t="s">
        <v>8697</v>
      </c>
      <c r="F1987" s="34" t="s">
        <v>8579</v>
      </c>
      <c r="G1987" s="6"/>
      <c r="H1987" s="3" t="s">
        <v>8580</v>
      </c>
    </row>
    <row r="1988" spans="1:8" ht="15.75" customHeight="1">
      <c r="A1988" s="3" t="s">
        <v>8698</v>
      </c>
      <c r="B1988" s="3" t="s">
        <v>59</v>
      </c>
      <c r="C1988" s="3" t="s">
        <v>8699</v>
      </c>
      <c r="D1988" s="4" t="s">
        <v>8700</v>
      </c>
      <c r="E1988" s="3" t="s">
        <v>8701</v>
      </c>
      <c r="F1988" s="34" t="s">
        <v>8702</v>
      </c>
      <c r="G1988" s="6"/>
      <c r="H1988" s="3" t="s">
        <v>8703</v>
      </c>
    </row>
    <row r="1989" spans="1:8" ht="15.75" customHeight="1">
      <c r="A1989" s="3" t="s">
        <v>301</v>
      </c>
      <c r="B1989" s="3" t="s">
        <v>8099</v>
      </c>
      <c r="C1989" s="3" t="s">
        <v>8100</v>
      </c>
      <c r="D1989" s="4" t="s">
        <v>8101</v>
      </c>
      <c r="E1989" s="3" t="s">
        <v>8102</v>
      </c>
      <c r="F1989" s="3" t="s">
        <v>8704</v>
      </c>
      <c r="G1989" s="6"/>
      <c r="H1989" s="3" t="s">
        <v>7579</v>
      </c>
    </row>
    <row r="1990" spans="1:8" ht="15.75" customHeight="1">
      <c r="A1990" s="3" t="s">
        <v>8705</v>
      </c>
      <c r="B1990" s="3" t="s">
        <v>8706</v>
      </c>
      <c r="C1990" s="3" t="s">
        <v>443</v>
      </c>
      <c r="D1990" s="4" t="s">
        <v>8707</v>
      </c>
      <c r="E1990" s="3" t="s">
        <v>8708</v>
      </c>
      <c r="F1990" s="6"/>
      <c r="G1990" s="6"/>
      <c r="H1990" s="3" t="s">
        <v>8709</v>
      </c>
    </row>
    <row r="1991" spans="1:8" ht="15.75" customHeight="1">
      <c r="A1991" s="3" t="s">
        <v>1684</v>
      </c>
      <c r="B1991" s="3" t="s">
        <v>8710</v>
      </c>
      <c r="C1991" s="3" t="s">
        <v>5641</v>
      </c>
      <c r="D1991" s="4" t="s">
        <v>8711</v>
      </c>
      <c r="E1991" s="3" t="s">
        <v>8712</v>
      </c>
      <c r="F1991" s="6"/>
      <c r="G1991" s="6"/>
      <c r="H1991" s="3" t="s">
        <v>8713</v>
      </c>
    </row>
    <row r="1992" spans="1:8" ht="15.75" customHeight="1">
      <c r="A1992" s="3" t="s">
        <v>44</v>
      </c>
      <c r="B1992" s="3" t="s">
        <v>8112</v>
      </c>
      <c r="C1992" s="3" t="s">
        <v>8113</v>
      </c>
      <c r="D1992" s="4" t="s">
        <v>8114</v>
      </c>
      <c r="E1992" s="3" t="s">
        <v>8115</v>
      </c>
      <c r="F1992" s="34" t="s">
        <v>8645</v>
      </c>
      <c r="G1992" s="6"/>
      <c r="H1992" s="3" t="s">
        <v>8046</v>
      </c>
    </row>
    <row r="1993" spans="1:8" ht="15.75" customHeight="1">
      <c r="A1993" s="3" t="s">
        <v>2664</v>
      </c>
      <c r="B1993" s="3" t="s">
        <v>8714</v>
      </c>
      <c r="C1993" s="3" t="s">
        <v>8715</v>
      </c>
      <c r="D1993" s="4" t="s">
        <v>8716</v>
      </c>
      <c r="E1993" s="3" t="s">
        <v>8717</v>
      </c>
      <c r="F1993" s="34" t="s">
        <v>8718</v>
      </c>
      <c r="G1993" s="6"/>
      <c r="H1993" s="3" t="s">
        <v>8719</v>
      </c>
    </row>
    <row r="1994" spans="1:8" ht="15.75" customHeight="1">
      <c r="A1994" s="3" t="s">
        <v>8720</v>
      </c>
      <c r="B1994" s="3" t="s">
        <v>151</v>
      </c>
      <c r="C1994" s="3" t="s">
        <v>4512</v>
      </c>
      <c r="D1994" s="6"/>
      <c r="E1994" s="3" t="s">
        <v>8721</v>
      </c>
      <c r="F1994" s="6"/>
      <c r="G1994" s="6"/>
      <c r="H1994" s="3" t="s">
        <v>8644</v>
      </c>
    </row>
    <row r="1995" spans="1:8" ht="15.75" customHeight="1">
      <c r="A1995" s="3" t="s">
        <v>8722</v>
      </c>
      <c r="B1995" s="3" t="s">
        <v>1277</v>
      </c>
      <c r="C1995" s="3" t="s">
        <v>8723</v>
      </c>
      <c r="D1995" s="4" t="s">
        <v>8724</v>
      </c>
      <c r="E1995" s="3" t="s">
        <v>8725</v>
      </c>
      <c r="F1995" s="6"/>
      <c r="G1995" s="6"/>
      <c r="H1995" s="3" t="s">
        <v>8726</v>
      </c>
    </row>
    <row r="1996" spans="1:8" ht="15.75" customHeight="1">
      <c r="A1996" s="3" t="s">
        <v>2384</v>
      </c>
      <c r="B1996" s="3" t="s">
        <v>7699</v>
      </c>
      <c r="C1996" s="3" t="s">
        <v>7812</v>
      </c>
      <c r="D1996" s="4" t="s">
        <v>7813</v>
      </c>
      <c r="E1996" s="3" t="s">
        <v>7814</v>
      </c>
      <c r="F1996" s="3" t="s">
        <v>7571</v>
      </c>
      <c r="G1996" s="6"/>
      <c r="H1996" s="3" t="s">
        <v>7579</v>
      </c>
    </row>
    <row r="1997" spans="1:8" ht="15.75" customHeight="1">
      <c r="A1997" s="3" t="s">
        <v>2083</v>
      </c>
      <c r="B1997" s="3" t="s">
        <v>45</v>
      </c>
      <c r="C1997" s="3" t="s">
        <v>162</v>
      </c>
      <c r="D1997" s="4" t="s">
        <v>8727</v>
      </c>
      <c r="E1997" s="3" t="s">
        <v>8728</v>
      </c>
      <c r="F1997" s="34" t="s">
        <v>8729</v>
      </c>
      <c r="G1997" s="6"/>
      <c r="H1997" s="3" t="s">
        <v>8730</v>
      </c>
    </row>
    <row r="1998" spans="1:8" ht="15.75" customHeight="1">
      <c r="A1998" s="3" t="s">
        <v>8731</v>
      </c>
      <c r="B1998" s="3" t="s">
        <v>8732</v>
      </c>
      <c r="C1998" s="3" t="s">
        <v>5240</v>
      </c>
      <c r="D1998" s="6"/>
      <c r="E1998" s="3" t="s">
        <v>8733</v>
      </c>
      <c r="F1998" s="34" t="s">
        <v>8734</v>
      </c>
      <c r="G1998" s="6"/>
      <c r="H1998" s="3" t="s">
        <v>8735</v>
      </c>
    </row>
    <row r="1999" spans="1:8" ht="15.75" customHeight="1">
      <c r="A1999" s="3" t="s">
        <v>1254</v>
      </c>
      <c r="B1999" s="3" t="s">
        <v>6387</v>
      </c>
      <c r="C1999" s="3" t="s">
        <v>8736</v>
      </c>
      <c r="D1999" s="4" t="s">
        <v>8737</v>
      </c>
      <c r="E1999" s="3" t="s">
        <v>8738</v>
      </c>
      <c r="F1999" s="6"/>
      <c r="G1999" s="6"/>
      <c r="H1999" s="3" t="s">
        <v>8739</v>
      </c>
    </row>
    <row r="2000" spans="1:8" ht="15.75" customHeight="1">
      <c r="A2000" s="3" t="s">
        <v>8740</v>
      </c>
      <c r="B2000" s="3" t="s">
        <v>8741</v>
      </c>
      <c r="C2000" s="3" t="s">
        <v>8742</v>
      </c>
      <c r="D2000" s="4" t="s">
        <v>8743</v>
      </c>
      <c r="E2000" s="3" t="s">
        <v>8744</v>
      </c>
      <c r="F2000" s="34" t="s">
        <v>8745</v>
      </c>
      <c r="G2000" s="6"/>
      <c r="H2000" s="3" t="s">
        <v>8746</v>
      </c>
    </row>
    <row r="2001" spans="1:8" ht="15.75" customHeight="1">
      <c r="A2001" s="3" t="s">
        <v>1684</v>
      </c>
      <c r="B2001" s="3" t="s">
        <v>8747</v>
      </c>
      <c r="C2001" s="3" t="s">
        <v>1684</v>
      </c>
      <c r="D2001" s="4" t="s">
        <v>8748</v>
      </c>
      <c r="E2001" s="3" t="s">
        <v>8749</v>
      </c>
      <c r="F2001" s="34" t="s">
        <v>8750</v>
      </c>
      <c r="G2001" s="6"/>
      <c r="H2001" s="3" t="s">
        <v>8751</v>
      </c>
    </row>
    <row r="2002" spans="1:8" ht="15.75" customHeight="1">
      <c r="A2002" s="3" t="s">
        <v>600</v>
      </c>
      <c r="B2002" s="3" t="s">
        <v>718</v>
      </c>
      <c r="C2002" s="3" t="s">
        <v>6191</v>
      </c>
      <c r="D2002" s="4" t="s">
        <v>8752</v>
      </c>
      <c r="E2002" s="3" t="s">
        <v>8753</v>
      </c>
      <c r="F2002" s="34" t="s">
        <v>8754</v>
      </c>
      <c r="G2002" s="6"/>
      <c r="H2002" s="3" t="s">
        <v>8755</v>
      </c>
    </row>
    <row r="2003" spans="1:8" ht="15.75" customHeight="1">
      <c r="A2003" s="3" t="s">
        <v>8719</v>
      </c>
      <c r="B2003" s="3" t="s">
        <v>1684</v>
      </c>
      <c r="C2003" s="3" t="s">
        <v>1684</v>
      </c>
      <c r="D2003" s="4" t="s">
        <v>8756</v>
      </c>
      <c r="E2003" s="3" t="s">
        <v>8757</v>
      </c>
      <c r="F2003" s="34" t="s">
        <v>8718</v>
      </c>
      <c r="G2003" s="6"/>
      <c r="H2003" s="3" t="s">
        <v>8719</v>
      </c>
    </row>
    <row r="2004" spans="1:8" ht="15.75" customHeight="1">
      <c r="A2004" s="3" t="s">
        <v>2804</v>
      </c>
      <c r="B2004" s="3" t="s">
        <v>8758</v>
      </c>
      <c r="C2004" s="3" t="s">
        <v>8759</v>
      </c>
      <c r="D2004" s="4" t="s">
        <v>8760</v>
      </c>
      <c r="E2004" s="3" t="s">
        <v>8761</v>
      </c>
      <c r="F2004" s="34" t="s">
        <v>8762</v>
      </c>
      <c r="G2004" s="6"/>
      <c r="H2004" s="3" t="s">
        <v>8763</v>
      </c>
    </row>
    <row r="2005" spans="1:8" ht="15.75" customHeight="1">
      <c r="A2005" s="3" t="s">
        <v>8764</v>
      </c>
      <c r="B2005" s="3" t="s">
        <v>2952</v>
      </c>
      <c r="C2005" s="3" t="s">
        <v>8215</v>
      </c>
      <c r="D2005" s="4" t="s">
        <v>8765</v>
      </c>
      <c r="E2005" s="3" t="s">
        <v>8766</v>
      </c>
      <c r="F2005" s="34" t="s">
        <v>8767</v>
      </c>
      <c r="G2005" s="6"/>
      <c r="H2005" s="3" t="s">
        <v>8768</v>
      </c>
    </row>
    <row r="2006" spans="1:8" ht="15.75" customHeight="1">
      <c r="A2006" s="3" t="s">
        <v>155</v>
      </c>
      <c r="B2006" s="3" t="s">
        <v>8769</v>
      </c>
      <c r="C2006" s="3" t="s">
        <v>5942</v>
      </c>
      <c r="D2006" s="4" t="s">
        <v>8770</v>
      </c>
      <c r="E2006" s="3" t="s">
        <v>8771</v>
      </c>
      <c r="F2006" s="34" t="s">
        <v>8772</v>
      </c>
      <c r="G2006" s="6"/>
      <c r="H2006" s="3" t="s">
        <v>8773</v>
      </c>
    </row>
    <row r="2007" spans="1:8" ht="15.75" customHeight="1">
      <c r="A2007" s="3" t="s">
        <v>8116</v>
      </c>
      <c r="B2007" s="3" t="s">
        <v>8706</v>
      </c>
      <c r="C2007" s="3" t="s">
        <v>229</v>
      </c>
      <c r="D2007" s="4" t="s">
        <v>8774</v>
      </c>
      <c r="E2007" s="3" t="s">
        <v>8775</v>
      </c>
      <c r="F2007" s="34" t="s">
        <v>8776</v>
      </c>
      <c r="G2007" s="6"/>
      <c r="H2007" s="3" t="s">
        <v>8777</v>
      </c>
    </row>
    <row r="2008" spans="1:8" ht="15.75" customHeight="1">
      <c r="A2008" s="3" t="s">
        <v>8778</v>
      </c>
      <c r="B2008" s="3" t="s">
        <v>7160</v>
      </c>
      <c r="C2008" s="3" t="s">
        <v>6191</v>
      </c>
      <c r="D2008" s="4" t="s">
        <v>8779</v>
      </c>
      <c r="E2008" s="3" t="s">
        <v>8780</v>
      </c>
      <c r="F2008" s="6"/>
      <c r="G2008" s="6"/>
      <c r="H2008" s="3" t="s">
        <v>8781</v>
      </c>
    </row>
    <row r="2009" spans="1:8" ht="15.75" customHeight="1">
      <c r="A2009" s="3" t="s">
        <v>8782</v>
      </c>
      <c r="B2009" s="3" t="s">
        <v>8783</v>
      </c>
      <c r="C2009" s="3" t="s">
        <v>5771</v>
      </c>
      <c r="D2009" s="4" t="s">
        <v>8784</v>
      </c>
      <c r="E2009" s="3" t="s">
        <v>8785</v>
      </c>
      <c r="F2009" s="34" t="s">
        <v>8786</v>
      </c>
      <c r="G2009" s="6"/>
      <c r="H2009" s="3" t="s">
        <v>8787</v>
      </c>
    </row>
    <row r="2010" spans="1:8" ht="15.75" customHeight="1">
      <c r="A2010" s="3" t="s">
        <v>8788</v>
      </c>
      <c r="B2010" s="3" t="s">
        <v>8789</v>
      </c>
      <c r="C2010" s="3" t="s">
        <v>8790</v>
      </c>
      <c r="D2010" s="4" t="s">
        <v>8791</v>
      </c>
      <c r="E2010" s="3" t="s">
        <v>8792</v>
      </c>
      <c r="F2010" s="6"/>
      <c r="G2010" s="6"/>
      <c r="H2010" s="3" t="s">
        <v>8793</v>
      </c>
    </row>
    <row r="2011" spans="1:8" ht="15.75" customHeight="1">
      <c r="A2011" s="3" t="s">
        <v>1228</v>
      </c>
      <c r="B2011" s="3" t="s">
        <v>3098</v>
      </c>
      <c r="C2011" s="3" t="s">
        <v>8794</v>
      </c>
      <c r="D2011" s="4" t="s">
        <v>8795</v>
      </c>
      <c r="E2011" s="3" t="s">
        <v>8796</v>
      </c>
      <c r="F2011" s="6"/>
      <c r="G2011" s="6"/>
      <c r="H2011" s="3" t="s">
        <v>8797</v>
      </c>
    </row>
    <row r="2012" spans="1:8" ht="15.75" customHeight="1">
      <c r="A2012" s="3" t="s">
        <v>1019</v>
      </c>
      <c r="B2012" s="3" t="s">
        <v>8798</v>
      </c>
      <c r="C2012" s="3" t="s">
        <v>8799</v>
      </c>
      <c r="D2012" s="4" t="s">
        <v>8800</v>
      </c>
      <c r="E2012" s="3" t="s">
        <v>8801</v>
      </c>
      <c r="F2012" s="3" t="s">
        <v>8802</v>
      </c>
      <c r="G2012" s="6"/>
      <c r="H2012" s="3" t="s">
        <v>8713</v>
      </c>
    </row>
    <row r="2013" spans="1:8" ht="15.75" customHeight="1">
      <c r="A2013" s="3" t="s">
        <v>8803</v>
      </c>
      <c r="B2013" s="3" t="s">
        <v>3328</v>
      </c>
      <c r="C2013" s="3" t="s">
        <v>8804</v>
      </c>
      <c r="D2013" s="4" t="s">
        <v>8805</v>
      </c>
      <c r="E2013" s="3" t="s">
        <v>8806</v>
      </c>
      <c r="F2013" s="34" t="s">
        <v>8807</v>
      </c>
      <c r="G2013" s="6"/>
      <c r="H2013" s="3" t="s">
        <v>8808</v>
      </c>
    </row>
    <row r="2014" spans="1:8" ht="15.75" customHeight="1">
      <c r="A2014" s="3" t="s">
        <v>75</v>
      </c>
      <c r="B2014" s="3" t="s">
        <v>490</v>
      </c>
      <c r="C2014" s="3" t="s">
        <v>8809</v>
      </c>
      <c r="D2014" s="4" t="s">
        <v>8810</v>
      </c>
      <c r="E2014" s="3" t="s">
        <v>8811</v>
      </c>
      <c r="F2014" s="6"/>
      <c r="G2014" s="6"/>
      <c r="H2014" s="3" t="s">
        <v>8812</v>
      </c>
    </row>
    <row r="2015" spans="1:8" ht="15.75" customHeight="1">
      <c r="A2015" s="3" t="s">
        <v>69</v>
      </c>
      <c r="B2015" s="3" t="s">
        <v>221</v>
      </c>
      <c r="C2015" s="3" t="s">
        <v>4766</v>
      </c>
      <c r="D2015" s="4" t="s">
        <v>8813</v>
      </c>
      <c r="E2015" s="3" t="s">
        <v>8814</v>
      </c>
      <c r="F2015" s="34" t="s">
        <v>8815</v>
      </c>
      <c r="G2015" s="6"/>
      <c r="H2015" s="3" t="s">
        <v>8816</v>
      </c>
    </row>
    <row r="2016" spans="1:8" ht="15.75" customHeight="1">
      <c r="A2016" s="3" t="s">
        <v>1689</v>
      </c>
      <c r="B2016" s="3" t="s">
        <v>5671</v>
      </c>
      <c r="C2016" s="3" t="s">
        <v>1684</v>
      </c>
      <c r="D2016" s="4" t="s">
        <v>8817</v>
      </c>
      <c r="E2016" s="3" t="s">
        <v>8818</v>
      </c>
      <c r="F2016" s="34" t="s">
        <v>8819</v>
      </c>
      <c r="G2016" s="6"/>
      <c r="H2016" s="3" t="s">
        <v>8820</v>
      </c>
    </row>
    <row r="2017" spans="1:8" ht="15.75" customHeight="1">
      <c r="A2017" s="3" t="s">
        <v>44</v>
      </c>
      <c r="B2017" s="3" t="s">
        <v>718</v>
      </c>
      <c r="C2017" s="3" t="s">
        <v>8821</v>
      </c>
      <c r="D2017" s="4" t="s">
        <v>8822</v>
      </c>
      <c r="E2017" s="3" t="s">
        <v>8823</v>
      </c>
      <c r="F2017" s="6"/>
      <c r="G2017" s="6"/>
      <c r="H2017" s="3" t="s">
        <v>8824</v>
      </c>
    </row>
    <row r="2018" spans="1:8" ht="15.75" customHeight="1">
      <c r="A2018" s="3" t="s">
        <v>7686</v>
      </c>
      <c r="B2018" s="3" t="s">
        <v>7687</v>
      </c>
      <c r="C2018" s="3" t="s">
        <v>7688</v>
      </c>
      <c r="D2018" s="4" t="s">
        <v>7689</v>
      </c>
      <c r="E2018" s="3" t="s">
        <v>7690</v>
      </c>
      <c r="F2018" s="3" t="s">
        <v>7571</v>
      </c>
      <c r="G2018" s="6"/>
      <c r="H2018" s="3" t="s">
        <v>7579</v>
      </c>
    </row>
    <row r="2019" spans="1:8" ht="15.75" customHeight="1">
      <c r="A2019" s="3" t="s">
        <v>4582</v>
      </c>
      <c r="B2019" s="3" t="s">
        <v>1249</v>
      </c>
      <c r="C2019" s="3" t="s">
        <v>7695</v>
      </c>
      <c r="D2019" s="4" t="s">
        <v>7696</v>
      </c>
      <c r="E2019" s="3" t="s">
        <v>7697</v>
      </c>
      <c r="F2019" s="3" t="s">
        <v>7571</v>
      </c>
      <c r="G2019" s="6"/>
      <c r="H2019" s="3" t="s">
        <v>7579</v>
      </c>
    </row>
    <row r="2020" spans="1:8" ht="15.75" customHeight="1">
      <c r="A2020" s="3" t="s">
        <v>8825</v>
      </c>
      <c r="B2020" s="3" t="s">
        <v>5913</v>
      </c>
      <c r="C2020" s="3" t="s">
        <v>4300</v>
      </c>
      <c r="D2020" s="4" t="s">
        <v>8826</v>
      </c>
      <c r="E2020" s="3" t="s">
        <v>8827</v>
      </c>
      <c r="F2020" s="34" t="s">
        <v>8786</v>
      </c>
      <c r="G2020" s="6"/>
      <c r="H2020" s="3" t="s">
        <v>8787</v>
      </c>
    </row>
    <row r="2021" spans="1:8" ht="15.75" customHeight="1">
      <c r="A2021" s="3" t="s">
        <v>1157</v>
      </c>
      <c r="B2021" s="3" t="s">
        <v>7648</v>
      </c>
      <c r="C2021" s="3" t="s">
        <v>4446</v>
      </c>
      <c r="D2021" s="4" t="s">
        <v>7649</v>
      </c>
      <c r="E2021" s="3" t="s">
        <v>7650</v>
      </c>
      <c r="F2021" s="3" t="s">
        <v>7571</v>
      </c>
      <c r="G2021" s="6"/>
      <c r="H2021" s="3" t="s">
        <v>7579</v>
      </c>
    </row>
    <row r="2022" spans="1:8" ht="15.75" customHeight="1">
      <c r="A2022" s="3" t="s">
        <v>8828</v>
      </c>
      <c r="B2022" s="3" t="s">
        <v>8829</v>
      </c>
      <c r="C2022" s="3" t="s">
        <v>303</v>
      </c>
      <c r="D2022" s="4" t="s">
        <v>8830</v>
      </c>
      <c r="E2022" s="3" t="s">
        <v>8831</v>
      </c>
      <c r="F2022" s="34" t="s">
        <v>8832</v>
      </c>
      <c r="G2022" s="6"/>
      <c r="H2022" s="3" t="s">
        <v>8833</v>
      </c>
    </row>
    <row r="2023" spans="1:8" ht="15.75" customHeight="1">
      <c r="A2023" s="3" t="s">
        <v>7573</v>
      </c>
      <c r="B2023" s="3" t="s">
        <v>7574</v>
      </c>
      <c r="C2023" s="3" t="s">
        <v>7575</v>
      </c>
      <c r="D2023" s="4" t="s">
        <v>7576</v>
      </c>
      <c r="E2023" s="3" t="s">
        <v>7577</v>
      </c>
      <c r="F2023" s="3" t="s">
        <v>7571</v>
      </c>
      <c r="G2023" s="6"/>
      <c r="H2023" s="3" t="s">
        <v>7579</v>
      </c>
    </row>
    <row r="2024" spans="1:8" ht="15.75" customHeight="1">
      <c r="A2024" s="3" t="s">
        <v>8176</v>
      </c>
      <c r="B2024" s="3" t="s">
        <v>8177</v>
      </c>
      <c r="C2024" s="3" t="s">
        <v>8178</v>
      </c>
      <c r="D2024" s="4" t="s">
        <v>8179</v>
      </c>
      <c r="E2024" s="3" t="s">
        <v>8180</v>
      </c>
      <c r="F2024" s="34" t="s">
        <v>8174</v>
      </c>
      <c r="G2024" s="6"/>
      <c r="H2024" s="3" t="s">
        <v>8182</v>
      </c>
    </row>
    <row r="2025" spans="1:8" ht="15.75" customHeight="1">
      <c r="A2025" s="3" t="s">
        <v>8190</v>
      </c>
      <c r="B2025" s="3" t="s">
        <v>907</v>
      </c>
      <c r="C2025" s="3" t="s">
        <v>8191</v>
      </c>
      <c r="D2025" s="4" t="s">
        <v>8192</v>
      </c>
      <c r="E2025" s="3" t="s">
        <v>8193</v>
      </c>
      <c r="F2025" s="3" t="s">
        <v>7571</v>
      </c>
      <c r="G2025" s="6"/>
      <c r="H2025" s="3" t="s">
        <v>7579</v>
      </c>
    </row>
    <row r="2026" spans="1:8" ht="15.75" customHeight="1">
      <c r="A2026" s="3" t="s">
        <v>2196</v>
      </c>
      <c r="B2026" s="3" t="s">
        <v>8194</v>
      </c>
      <c r="C2026" s="3" t="s">
        <v>8195</v>
      </c>
      <c r="D2026" s="4" t="s">
        <v>8196</v>
      </c>
      <c r="E2026" s="3" t="s">
        <v>8197</v>
      </c>
      <c r="F2026" s="3" t="s">
        <v>7571</v>
      </c>
      <c r="G2026" s="6"/>
      <c r="H2026" s="3" t="s">
        <v>7579</v>
      </c>
    </row>
    <row r="2027" spans="1:8" ht="15.75" customHeight="1">
      <c r="A2027" s="3" t="s">
        <v>2804</v>
      </c>
      <c r="B2027" s="3" t="s">
        <v>849</v>
      </c>
      <c r="C2027" s="3" t="s">
        <v>8834</v>
      </c>
      <c r="D2027" s="4" t="s">
        <v>8835</v>
      </c>
      <c r="E2027" s="3" t="s">
        <v>8836</v>
      </c>
      <c r="F2027" s="34" t="s">
        <v>8837</v>
      </c>
      <c r="G2027" s="6"/>
      <c r="H2027" s="3" t="s">
        <v>8838</v>
      </c>
    </row>
    <row r="2028" spans="1:8" ht="15.75" customHeight="1">
      <c r="A2028" s="3" t="s">
        <v>8839</v>
      </c>
      <c r="B2028" s="3" t="s">
        <v>2033</v>
      </c>
      <c r="C2028" s="3" t="s">
        <v>7891</v>
      </c>
      <c r="D2028" s="4" t="s">
        <v>8840</v>
      </c>
      <c r="E2028" s="3" t="s">
        <v>8841</v>
      </c>
      <c r="F2028" s="34" t="s">
        <v>8842</v>
      </c>
      <c r="G2028" s="6"/>
      <c r="H2028" s="3" t="s">
        <v>8843</v>
      </c>
    </row>
    <row r="2029" spans="1:8" ht="15.75" customHeight="1">
      <c r="A2029" s="3" t="s">
        <v>1768</v>
      </c>
      <c r="B2029" s="3" t="s">
        <v>4299</v>
      </c>
      <c r="C2029" s="3" t="s">
        <v>870</v>
      </c>
      <c r="D2029" s="4" t="s">
        <v>8844</v>
      </c>
      <c r="E2029" s="3" t="s">
        <v>8845</v>
      </c>
      <c r="F2029" s="6"/>
      <c r="G2029" s="6"/>
      <c r="H2029" s="3" t="s">
        <v>8846</v>
      </c>
    </row>
    <row r="2030" spans="1:8" ht="15.75" customHeight="1">
      <c r="A2030" s="3" t="s">
        <v>2528</v>
      </c>
      <c r="B2030" s="3" t="s">
        <v>8461</v>
      </c>
      <c r="C2030" s="3" t="s">
        <v>8462</v>
      </c>
      <c r="D2030" s="4" t="s">
        <v>8463</v>
      </c>
      <c r="E2030" s="3" t="s">
        <v>8464</v>
      </c>
      <c r="F2030" s="34" t="s">
        <v>8460</v>
      </c>
      <c r="G2030" s="6"/>
      <c r="H2030" s="3" t="s">
        <v>7579</v>
      </c>
    </row>
    <row r="2031" spans="1:8" ht="15.75" customHeight="1">
      <c r="A2031" s="3" t="s">
        <v>721</v>
      </c>
      <c r="B2031" s="3" t="s">
        <v>394</v>
      </c>
      <c r="C2031" s="3" t="s">
        <v>7575</v>
      </c>
      <c r="D2031" s="4" t="s">
        <v>8480</v>
      </c>
      <c r="E2031" s="3" t="s">
        <v>8481</v>
      </c>
      <c r="F2031" s="3" t="s">
        <v>7571</v>
      </c>
      <c r="G2031" s="6"/>
      <c r="H2031" s="3" t="s">
        <v>7579</v>
      </c>
    </row>
    <row r="2032" spans="1:8" ht="15.75" customHeight="1">
      <c r="A2032" s="3" t="s">
        <v>14</v>
      </c>
      <c r="B2032" s="3" t="s">
        <v>4362</v>
      </c>
      <c r="C2032" s="3" t="s">
        <v>6812</v>
      </c>
      <c r="D2032" s="4" t="s">
        <v>8483</v>
      </c>
      <c r="E2032" s="3" t="s">
        <v>8484</v>
      </c>
      <c r="F2032" s="34" t="s">
        <v>8847</v>
      </c>
      <c r="G2032" s="6"/>
      <c r="H2032" s="3" t="s">
        <v>8485</v>
      </c>
    </row>
    <row r="2033" spans="1:8" ht="15.75" customHeight="1">
      <c r="A2033" s="3" t="s">
        <v>8494</v>
      </c>
      <c r="B2033" s="3" t="s">
        <v>8495</v>
      </c>
      <c r="C2033" s="3" t="s">
        <v>8496</v>
      </c>
      <c r="D2033" s="4" t="s">
        <v>8497</v>
      </c>
      <c r="E2033" s="3" t="s">
        <v>8498</v>
      </c>
      <c r="F2033" s="3" t="s">
        <v>7571</v>
      </c>
      <c r="G2033" s="6"/>
      <c r="H2033" s="3" t="s">
        <v>7579</v>
      </c>
    </row>
    <row r="2034" spans="1:8" ht="15.75" customHeight="1">
      <c r="A2034" s="3" t="s">
        <v>1505</v>
      </c>
      <c r="B2034" s="3" t="s">
        <v>185</v>
      </c>
      <c r="C2034" s="3" t="s">
        <v>8848</v>
      </c>
      <c r="D2034" s="4" t="s">
        <v>8849</v>
      </c>
      <c r="E2034" s="3" t="s">
        <v>8850</v>
      </c>
      <c r="F2034" s="34" t="s">
        <v>8851</v>
      </c>
      <c r="G2034" s="6"/>
      <c r="H2034" s="3" t="s">
        <v>8852</v>
      </c>
    </row>
    <row r="2035" spans="1:8" ht="15.75" customHeight="1">
      <c r="A2035" s="3" t="s">
        <v>721</v>
      </c>
      <c r="B2035" s="3" t="s">
        <v>8373</v>
      </c>
      <c r="C2035" s="3" t="s">
        <v>8374</v>
      </c>
      <c r="D2035" s="4" t="s">
        <v>8375</v>
      </c>
      <c r="E2035" s="3" t="s">
        <v>8376</v>
      </c>
      <c r="F2035" s="3" t="s">
        <v>7571</v>
      </c>
      <c r="G2035" s="6"/>
      <c r="H2035" s="3" t="s">
        <v>7579</v>
      </c>
    </row>
    <row r="2036" spans="1:8" ht="15.75" customHeight="1">
      <c r="A2036" s="3" t="s">
        <v>7686</v>
      </c>
      <c r="B2036" s="3" t="s">
        <v>2952</v>
      </c>
      <c r="C2036" s="3" t="s">
        <v>8853</v>
      </c>
      <c r="D2036" s="4" t="s">
        <v>8854</v>
      </c>
      <c r="E2036" s="3" t="s">
        <v>8855</v>
      </c>
      <c r="F2036" s="34" t="s">
        <v>8856</v>
      </c>
      <c r="G2036" s="6"/>
      <c r="H2036" s="3" t="s">
        <v>8857</v>
      </c>
    </row>
    <row r="2037" spans="1:8" ht="15.75" customHeight="1">
      <c r="A2037" s="3" t="s">
        <v>295</v>
      </c>
      <c r="B2037" s="3" t="s">
        <v>49</v>
      </c>
      <c r="C2037" s="3" t="s">
        <v>5275</v>
      </c>
      <c r="D2037" s="4" t="s">
        <v>8858</v>
      </c>
      <c r="E2037" s="3" t="s">
        <v>8859</v>
      </c>
      <c r="F2037" s="6"/>
      <c r="G2037" s="6"/>
      <c r="H2037" s="3" t="s">
        <v>8860</v>
      </c>
    </row>
    <row r="2038" spans="1:8" ht="15.75" customHeight="1">
      <c r="A2038" s="3" t="s">
        <v>433</v>
      </c>
      <c r="B2038" s="3" t="s">
        <v>8861</v>
      </c>
      <c r="C2038" s="3" t="s">
        <v>6191</v>
      </c>
      <c r="D2038" s="4" t="s">
        <v>8862</v>
      </c>
      <c r="E2038" s="3" t="s">
        <v>8863</v>
      </c>
      <c r="F2038" s="34" t="s">
        <v>8864</v>
      </c>
      <c r="G2038" s="6"/>
      <c r="H2038" s="3" t="s">
        <v>8865</v>
      </c>
    </row>
    <row r="2039" spans="1:8" ht="15.75" customHeight="1">
      <c r="A2039" s="3" t="s">
        <v>2931</v>
      </c>
      <c r="B2039" s="3" t="s">
        <v>7114</v>
      </c>
      <c r="C2039" s="3" t="s">
        <v>691</v>
      </c>
      <c r="D2039" s="4" t="s">
        <v>8866</v>
      </c>
      <c r="E2039" s="3" t="s">
        <v>8867</v>
      </c>
      <c r="F2039" s="34" t="s">
        <v>8868</v>
      </c>
      <c r="G2039" s="6"/>
      <c r="H2039" s="3" t="s">
        <v>8869</v>
      </c>
    </row>
    <row r="2040" spans="1:8" ht="15.75" customHeight="1">
      <c r="A2040" s="3" t="s">
        <v>600</v>
      </c>
      <c r="B2040" s="3" t="s">
        <v>8870</v>
      </c>
      <c r="C2040" s="3" t="s">
        <v>303</v>
      </c>
      <c r="D2040" s="4" t="s">
        <v>8871</v>
      </c>
      <c r="E2040" s="3" t="s">
        <v>8872</v>
      </c>
      <c r="F2040" s="34" t="s">
        <v>8873</v>
      </c>
      <c r="G2040" s="6"/>
      <c r="H2040" s="3" t="s">
        <v>8874</v>
      </c>
    </row>
    <row r="2041" spans="1:8" ht="15.75" customHeight="1">
      <c r="A2041" s="3" t="s">
        <v>8224</v>
      </c>
      <c r="B2041" s="3" t="s">
        <v>116</v>
      </c>
      <c r="C2041" s="3" t="s">
        <v>8225</v>
      </c>
      <c r="D2041" s="4" t="s">
        <v>8226</v>
      </c>
      <c r="E2041" s="3" t="s">
        <v>8227</v>
      </c>
      <c r="F2041" s="34" t="s">
        <v>7881</v>
      </c>
      <c r="G2041" s="6"/>
      <c r="H2041" s="3" t="s">
        <v>7579</v>
      </c>
    </row>
    <row r="2042" spans="1:8" ht="15.75" customHeight="1">
      <c r="A2042" s="3" t="s">
        <v>1338</v>
      </c>
      <c r="B2042" s="3" t="s">
        <v>8875</v>
      </c>
      <c r="C2042" s="3" t="s">
        <v>6028</v>
      </c>
      <c r="D2042" s="4" t="s">
        <v>8876</v>
      </c>
      <c r="E2042" s="3" t="s">
        <v>8877</v>
      </c>
      <c r="F2042" s="6"/>
      <c r="G2042" s="6"/>
      <c r="H2042" s="3" t="s">
        <v>8878</v>
      </c>
    </row>
    <row r="2043" spans="1:8" ht="15.75" customHeight="1">
      <c r="A2043" s="3" t="s">
        <v>8879</v>
      </c>
      <c r="B2043" s="3" t="s">
        <v>3534</v>
      </c>
      <c r="C2043" s="3" t="s">
        <v>1684</v>
      </c>
      <c r="D2043" s="4" t="s">
        <v>8880</v>
      </c>
      <c r="E2043" s="3" t="s">
        <v>8881</v>
      </c>
      <c r="F2043" s="34" t="s">
        <v>8638</v>
      </c>
      <c r="G2043" s="6"/>
      <c r="H2043" s="3" t="s">
        <v>8639</v>
      </c>
    </row>
    <row r="2044" spans="1:8" ht="15.75" customHeight="1">
      <c r="A2044" s="3" t="s">
        <v>422</v>
      </c>
      <c r="B2044" s="3" t="s">
        <v>8882</v>
      </c>
      <c r="C2044" s="3" t="s">
        <v>8883</v>
      </c>
      <c r="D2044" s="4" t="s">
        <v>8884</v>
      </c>
      <c r="E2044" s="3" t="s">
        <v>8885</v>
      </c>
      <c r="F2044" s="6"/>
      <c r="G2044" s="6"/>
      <c r="H2044" s="3" t="s">
        <v>8860</v>
      </c>
    </row>
    <row r="2045" spans="1:8" ht="15.75" customHeight="1">
      <c r="A2045" s="3" t="s">
        <v>1214</v>
      </c>
      <c r="B2045" s="3" t="s">
        <v>2917</v>
      </c>
      <c r="C2045" s="3" t="s">
        <v>229</v>
      </c>
      <c r="D2045" s="6"/>
      <c r="E2045" s="3" t="s">
        <v>8886</v>
      </c>
      <c r="F2045" s="6"/>
      <c r="G2045" s="6"/>
      <c r="H2045" s="3" t="s">
        <v>8887</v>
      </c>
    </row>
    <row r="2046" spans="1:8" ht="15.75" customHeight="1">
      <c r="A2046" s="3" t="s">
        <v>8888</v>
      </c>
      <c r="B2046" s="3" t="s">
        <v>8889</v>
      </c>
      <c r="C2046" s="3" t="s">
        <v>7110</v>
      </c>
      <c r="D2046" s="6"/>
      <c r="E2046" s="3" t="s">
        <v>8890</v>
      </c>
      <c r="F2046" s="3" t="s">
        <v>8891</v>
      </c>
      <c r="G2046" s="6"/>
      <c r="H2046" s="3" t="s">
        <v>8892</v>
      </c>
    </row>
    <row r="2047" spans="1:8" ht="15.75" customHeight="1">
      <c r="A2047" s="3" t="s">
        <v>763</v>
      </c>
      <c r="B2047" s="3" t="s">
        <v>8893</v>
      </c>
      <c r="C2047" s="3" t="s">
        <v>5263</v>
      </c>
      <c r="D2047" s="4" t="s">
        <v>8894</v>
      </c>
      <c r="E2047" s="3" t="s">
        <v>8895</v>
      </c>
      <c r="F2047" s="34" t="s">
        <v>8754</v>
      </c>
      <c r="G2047" s="6"/>
      <c r="H2047" s="3" t="s">
        <v>8755</v>
      </c>
    </row>
    <row r="2048" spans="1:8" ht="15.75" customHeight="1">
      <c r="A2048" s="3" t="s">
        <v>6933</v>
      </c>
      <c r="B2048" s="3" t="s">
        <v>333</v>
      </c>
      <c r="C2048" s="3" t="s">
        <v>8294</v>
      </c>
      <c r="D2048" s="4" t="s">
        <v>8896</v>
      </c>
      <c r="E2048" s="3" t="s">
        <v>8897</v>
      </c>
      <c r="F2048" s="6"/>
      <c r="G2048" s="6"/>
      <c r="H2048" s="3" t="s">
        <v>8746</v>
      </c>
    </row>
    <row r="2049" spans="1:8" ht="15.75" customHeight="1">
      <c r="A2049" s="3" t="s">
        <v>8543</v>
      </c>
      <c r="B2049" s="3" t="s">
        <v>8544</v>
      </c>
      <c r="C2049" s="3" t="s">
        <v>8545</v>
      </c>
      <c r="D2049" s="4" t="s">
        <v>8546</v>
      </c>
      <c r="E2049" s="3" t="s">
        <v>8547</v>
      </c>
      <c r="F2049" s="3" t="s">
        <v>7571</v>
      </c>
      <c r="G2049" s="6"/>
      <c r="H2049" s="3" t="s">
        <v>7579</v>
      </c>
    </row>
    <row r="2050" spans="1:8" ht="15.75" customHeight="1">
      <c r="A2050" s="3" t="s">
        <v>8555</v>
      </c>
      <c r="B2050" s="3" t="s">
        <v>8556</v>
      </c>
      <c r="C2050" s="3" t="s">
        <v>7575</v>
      </c>
      <c r="D2050" s="4" t="s">
        <v>8557</v>
      </c>
      <c r="E2050" s="3" t="s">
        <v>8558</v>
      </c>
      <c r="F2050" s="3" t="s">
        <v>7571</v>
      </c>
      <c r="G2050" s="6"/>
      <c r="H2050" s="3" t="s">
        <v>7579</v>
      </c>
    </row>
    <row r="2051" spans="1:8" ht="15.75" customHeight="1">
      <c r="A2051" s="3" t="s">
        <v>422</v>
      </c>
      <c r="B2051" s="3" t="s">
        <v>8898</v>
      </c>
      <c r="C2051" s="3" t="s">
        <v>8899</v>
      </c>
      <c r="D2051" s="4" t="s">
        <v>8900</v>
      </c>
      <c r="E2051" s="3" t="s">
        <v>8901</v>
      </c>
      <c r="F2051" s="6"/>
      <c r="G2051" s="6"/>
      <c r="H2051" s="3" t="s">
        <v>8902</v>
      </c>
    </row>
    <row r="2052" spans="1:8" ht="15.75" customHeight="1">
      <c r="A2052" s="3" t="s">
        <v>8436</v>
      </c>
      <c r="B2052" s="3" t="s">
        <v>801</v>
      </c>
      <c r="C2052" s="3" t="s">
        <v>8437</v>
      </c>
      <c r="D2052" s="4" t="s">
        <v>8438</v>
      </c>
      <c r="E2052" s="3" t="s">
        <v>8439</v>
      </c>
      <c r="F2052" s="3" t="s">
        <v>7571</v>
      </c>
      <c r="G2052" s="6"/>
      <c r="H2052" s="3" t="s">
        <v>7579</v>
      </c>
    </row>
    <row r="2053" spans="1:8" ht="15.75" customHeight="1">
      <c r="A2053" s="3" t="s">
        <v>462</v>
      </c>
      <c r="B2053" s="3" t="s">
        <v>7451</v>
      </c>
      <c r="C2053" s="3" t="s">
        <v>8903</v>
      </c>
      <c r="D2053" s="4" t="s">
        <v>8904</v>
      </c>
      <c r="E2053" s="3" t="s">
        <v>8905</v>
      </c>
      <c r="F2053" s="34" t="s">
        <v>8906</v>
      </c>
      <c r="G2053" s="6"/>
      <c r="H2053" s="3" t="s">
        <v>8907</v>
      </c>
    </row>
    <row r="2054" spans="1:8" ht="15.75" customHeight="1">
      <c r="A2054" s="3" t="s">
        <v>8674</v>
      </c>
      <c r="B2054" s="3" t="s">
        <v>8675</v>
      </c>
      <c r="C2054" s="3" t="s">
        <v>8676</v>
      </c>
      <c r="D2054" s="4" t="s">
        <v>8908</v>
      </c>
      <c r="E2054" s="3" t="s">
        <v>8909</v>
      </c>
      <c r="F2054" s="34" t="s">
        <v>8679</v>
      </c>
      <c r="G2054" s="6"/>
      <c r="H2054" s="3" t="s">
        <v>8680</v>
      </c>
    </row>
    <row r="2055" spans="1:8" ht="15.75" customHeight="1">
      <c r="A2055" s="3" t="s">
        <v>4215</v>
      </c>
      <c r="B2055" s="3" t="s">
        <v>8910</v>
      </c>
      <c r="C2055" s="3" t="s">
        <v>8911</v>
      </c>
      <c r="D2055" s="6"/>
      <c r="E2055" s="3" t="s">
        <v>8912</v>
      </c>
      <c r="F2055" s="34" t="s">
        <v>8913</v>
      </c>
      <c r="G2055" s="6"/>
      <c r="H2055" s="3" t="s">
        <v>8914</v>
      </c>
    </row>
    <row r="2056" spans="1:8" ht="15.75" customHeight="1">
      <c r="A2056" s="3" t="s">
        <v>301</v>
      </c>
      <c r="B2056" s="3" t="s">
        <v>8250</v>
      </c>
      <c r="C2056" s="3" t="s">
        <v>8251</v>
      </c>
      <c r="D2056" s="4" t="s">
        <v>8252</v>
      </c>
      <c r="E2056" s="3" t="s">
        <v>8253</v>
      </c>
      <c r="F2056" s="3" t="s">
        <v>7571</v>
      </c>
      <c r="G2056" s="6"/>
      <c r="H2056" s="3" t="s">
        <v>7579</v>
      </c>
    </row>
    <row r="2057" spans="1:8" ht="15.75" customHeight="1">
      <c r="A2057" s="3" t="s">
        <v>8265</v>
      </c>
      <c r="B2057" s="3" t="s">
        <v>2245</v>
      </c>
      <c r="C2057" s="3" t="s">
        <v>8266</v>
      </c>
      <c r="D2057" s="4" t="s">
        <v>8267</v>
      </c>
      <c r="E2057" s="3" t="s">
        <v>8268</v>
      </c>
      <c r="F2057" s="3" t="s">
        <v>7571</v>
      </c>
      <c r="G2057" s="6"/>
      <c r="H2057" s="3" t="s">
        <v>7579</v>
      </c>
    </row>
    <row r="2058" spans="1:8" ht="15.75" customHeight="1">
      <c r="A2058" s="3" t="s">
        <v>7247</v>
      </c>
      <c r="B2058" s="3" t="s">
        <v>8915</v>
      </c>
      <c r="C2058" s="3" t="s">
        <v>1684</v>
      </c>
      <c r="D2058" s="4" t="s">
        <v>8916</v>
      </c>
      <c r="E2058" s="3" t="s">
        <v>8917</v>
      </c>
      <c r="F2058" s="6"/>
      <c r="G2058" s="6"/>
      <c r="H2058" s="3" t="s">
        <v>8918</v>
      </c>
    </row>
    <row r="2059" spans="1:8" ht="15.75" customHeight="1">
      <c r="A2059" s="3" t="s">
        <v>4758</v>
      </c>
      <c r="B2059" s="3" t="s">
        <v>198</v>
      </c>
      <c r="C2059" s="3" t="s">
        <v>8919</v>
      </c>
      <c r="D2059" s="4" t="s">
        <v>8920</v>
      </c>
      <c r="E2059" s="3" t="s">
        <v>8921</v>
      </c>
      <c r="F2059" s="6"/>
      <c r="G2059" s="6"/>
      <c r="H2059" s="3" t="s">
        <v>8922</v>
      </c>
    </row>
    <row r="2060" spans="1:8" ht="15.75" customHeight="1">
      <c r="A2060" s="3" t="s">
        <v>7573</v>
      </c>
      <c r="B2060" s="3" t="s">
        <v>7574</v>
      </c>
      <c r="C2060" s="3" t="s">
        <v>7575</v>
      </c>
      <c r="D2060" s="4" t="s">
        <v>7576</v>
      </c>
      <c r="E2060" s="3" t="s">
        <v>7577</v>
      </c>
      <c r="F2060" s="3" t="s">
        <v>7571</v>
      </c>
      <c r="G2060" s="6"/>
      <c r="H2060" s="3" t="s">
        <v>7579</v>
      </c>
    </row>
    <row r="2061" spans="1:8" ht="15.75" customHeight="1">
      <c r="A2061" s="3" t="s">
        <v>2463</v>
      </c>
      <c r="B2061" s="3" t="s">
        <v>8923</v>
      </c>
      <c r="C2061" s="3" t="s">
        <v>8924</v>
      </c>
      <c r="D2061" s="4" t="s">
        <v>8925</v>
      </c>
      <c r="E2061" s="3" t="s">
        <v>8926</v>
      </c>
      <c r="F2061" s="34" t="s">
        <v>8927</v>
      </c>
      <c r="G2061" s="6"/>
      <c r="H2061" s="3" t="s">
        <v>8928</v>
      </c>
    </row>
    <row r="2062" spans="1:8" ht="15.75" customHeight="1">
      <c r="A2062" s="3" t="s">
        <v>8050</v>
      </c>
      <c r="B2062" s="3" t="s">
        <v>6397</v>
      </c>
      <c r="C2062" s="3" t="s">
        <v>8051</v>
      </c>
      <c r="D2062" s="4" t="s">
        <v>8052</v>
      </c>
      <c r="E2062" s="3" t="s">
        <v>8053</v>
      </c>
      <c r="F2062" s="3" t="s">
        <v>7571</v>
      </c>
      <c r="G2062" s="6"/>
      <c r="H2062" s="3" t="s">
        <v>7579</v>
      </c>
    </row>
    <row r="2063" spans="1:8" ht="15.75" customHeight="1">
      <c r="A2063" s="3" t="s">
        <v>8929</v>
      </c>
      <c r="B2063" s="3" t="s">
        <v>8930</v>
      </c>
      <c r="C2063" s="3" t="s">
        <v>8931</v>
      </c>
      <c r="D2063" s="4" t="s">
        <v>8932</v>
      </c>
      <c r="E2063" s="3" t="s">
        <v>8933</v>
      </c>
      <c r="F2063" s="34" t="s">
        <v>8934</v>
      </c>
      <c r="G2063" s="6"/>
      <c r="H2063" s="3" t="s">
        <v>8935</v>
      </c>
    </row>
    <row r="2064" spans="1:8" ht="15.75" customHeight="1">
      <c r="A2064" s="3" t="s">
        <v>721</v>
      </c>
      <c r="B2064" s="3" t="s">
        <v>8936</v>
      </c>
      <c r="C2064" s="3" t="s">
        <v>8937</v>
      </c>
      <c r="D2064" s="4" t="s">
        <v>8938</v>
      </c>
      <c r="E2064" s="3" t="s">
        <v>8939</v>
      </c>
      <c r="F2064" s="34" t="s">
        <v>8940</v>
      </c>
      <c r="G2064" s="6"/>
      <c r="H2064" s="3" t="s">
        <v>8941</v>
      </c>
    </row>
    <row r="2065" spans="1:8" ht="15.75" customHeight="1">
      <c r="A2065" s="3" t="s">
        <v>394</v>
      </c>
      <c r="B2065" s="3" t="s">
        <v>8942</v>
      </c>
      <c r="C2065" s="3" t="s">
        <v>140</v>
      </c>
      <c r="D2065" s="6"/>
      <c r="E2065" s="3" t="s">
        <v>8943</v>
      </c>
      <c r="F2065" s="34" t="s">
        <v>8944</v>
      </c>
      <c r="G2065" s="6"/>
      <c r="H2065" s="3" t="s">
        <v>8945</v>
      </c>
    </row>
    <row r="2066" spans="1:8" ht="15.75" customHeight="1">
      <c r="A2066" s="3" t="s">
        <v>812</v>
      </c>
      <c r="B2066" s="3" t="s">
        <v>883</v>
      </c>
      <c r="C2066" s="3" t="s">
        <v>229</v>
      </c>
      <c r="D2066" s="4" t="s">
        <v>8946</v>
      </c>
      <c r="E2066" s="3" t="s">
        <v>8947</v>
      </c>
      <c r="F2066" s="34" t="s">
        <v>8948</v>
      </c>
      <c r="G2066" s="6"/>
      <c r="H2066" s="3" t="s">
        <v>8949</v>
      </c>
    </row>
    <row r="2067" spans="1:8" ht="15.75" customHeight="1">
      <c r="A2067" s="3" t="s">
        <v>977</v>
      </c>
      <c r="B2067" s="3" t="s">
        <v>8950</v>
      </c>
      <c r="C2067" s="3" t="s">
        <v>2857</v>
      </c>
      <c r="D2067" s="4" t="s">
        <v>8951</v>
      </c>
      <c r="E2067" s="3" t="s">
        <v>8952</v>
      </c>
      <c r="F2067" s="34" t="s">
        <v>8953</v>
      </c>
      <c r="G2067" s="6"/>
      <c r="H2067" s="3" t="s">
        <v>8954</v>
      </c>
    </row>
    <row r="2068" spans="1:8" ht="15.75" customHeight="1">
      <c r="A2068" s="3" t="s">
        <v>2313</v>
      </c>
      <c r="B2068" s="3" t="s">
        <v>883</v>
      </c>
      <c r="C2068" s="3" t="s">
        <v>5965</v>
      </c>
      <c r="D2068" s="4" t="s">
        <v>8072</v>
      </c>
      <c r="E2068" s="3" t="s">
        <v>8073</v>
      </c>
      <c r="F2068" s="3" t="s">
        <v>7571</v>
      </c>
      <c r="G2068" s="6"/>
      <c r="H2068" s="3" t="s">
        <v>7579</v>
      </c>
    </row>
    <row r="2069" spans="1:8" ht="15.75" customHeight="1">
      <c r="A2069" s="3" t="s">
        <v>8955</v>
      </c>
      <c r="B2069" s="3" t="s">
        <v>7717</v>
      </c>
      <c r="C2069" s="3" t="s">
        <v>8956</v>
      </c>
      <c r="D2069" s="4" t="s">
        <v>8957</v>
      </c>
      <c r="E2069" s="3" t="s">
        <v>8958</v>
      </c>
      <c r="F2069" s="34" t="s">
        <v>8959</v>
      </c>
      <c r="G2069" s="6"/>
      <c r="H2069" s="3" t="s">
        <v>8960</v>
      </c>
    </row>
    <row r="2070" spans="1:8" ht="15.75" customHeight="1">
      <c r="A2070" s="3" t="s">
        <v>8418</v>
      </c>
      <c r="B2070" s="3" t="s">
        <v>59</v>
      </c>
      <c r="C2070" s="3" t="s">
        <v>8419</v>
      </c>
      <c r="D2070" s="4" t="s">
        <v>8420</v>
      </c>
      <c r="E2070" s="3" t="s">
        <v>8421</v>
      </c>
      <c r="F2070" s="3" t="s">
        <v>7571</v>
      </c>
      <c r="G2070" s="6"/>
      <c r="H2070" s="3" t="s">
        <v>7579</v>
      </c>
    </row>
    <row r="2071" spans="1:8" ht="15.75" customHeight="1">
      <c r="A2071" s="3" t="s">
        <v>8961</v>
      </c>
      <c r="B2071" s="3" t="s">
        <v>7451</v>
      </c>
      <c r="C2071" s="3" t="s">
        <v>5771</v>
      </c>
      <c r="D2071" s="4" t="s">
        <v>8962</v>
      </c>
      <c r="E2071" s="3" t="s">
        <v>8963</v>
      </c>
      <c r="F2071" s="34" t="s">
        <v>8964</v>
      </c>
      <c r="G2071" s="6"/>
      <c r="H2071" s="3" t="s">
        <v>8965</v>
      </c>
    </row>
    <row r="2072" spans="1:8" ht="15.75" customHeight="1">
      <c r="A2072" s="3" t="s">
        <v>4470</v>
      </c>
      <c r="B2072" s="3" t="s">
        <v>8966</v>
      </c>
      <c r="C2072" s="3" t="s">
        <v>6911</v>
      </c>
      <c r="D2072" s="4" t="s">
        <v>8967</v>
      </c>
      <c r="E2072" s="3" t="s">
        <v>8968</v>
      </c>
      <c r="F2072" s="34" t="s">
        <v>8969</v>
      </c>
      <c r="G2072" s="6"/>
      <c r="H2072" s="3" t="s">
        <v>8970</v>
      </c>
    </row>
    <row r="2073" spans="1:8" ht="15.75" customHeight="1">
      <c r="A2073" s="3" t="s">
        <v>8971</v>
      </c>
      <c r="B2073" s="3" t="s">
        <v>8972</v>
      </c>
      <c r="C2073" s="3" t="s">
        <v>8973</v>
      </c>
      <c r="D2073" s="4" t="s">
        <v>8974</v>
      </c>
      <c r="E2073" s="3" t="s">
        <v>8975</v>
      </c>
      <c r="F2073" s="34" t="s">
        <v>8934</v>
      </c>
      <c r="G2073" s="6"/>
      <c r="H2073" s="3" t="s">
        <v>8935</v>
      </c>
    </row>
    <row r="2074" spans="1:8" ht="15.75" customHeight="1">
      <c r="A2074" s="3" t="s">
        <v>8976</v>
      </c>
      <c r="B2074" s="3" t="s">
        <v>2721</v>
      </c>
      <c r="C2074" s="3" t="s">
        <v>8977</v>
      </c>
      <c r="D2074" s="4" t="s">
        <v>8978</v>
      </c>
      <c r="E2074" s="3" t="s">
        <v>8979</v>
      </c>
      <c r="F2074" s="6"/>
      <c r="G2074" s="6"/>
      <c r="H2074" s="3" t="s">
        <v>8980</v>
      </c>
    </row>
    <row r="2075" spans="1:8" ht="15.75" customHeight="1">
      <c r="A2075" s="3" t="s">
        <v>8981</v>
      </c>
      <c r="B2075" s="3" t="s">
        <v>8982</v>
      </c>
      <c r="C2075" s="3" t="s">
        <v>8983</v>
      </c>
      <c r="D2075" s="4" t="s">
        <v>8984</v>
      </c>
      <c r="E2075" s="3" t="s">
        <v>8985</v>
      </c>
      <c r="F2075" s="34" t="s">
        <v>8953</v>
      </c>
      <c r="G2075" s="6"/>
      <c r="H2075" s="3" t="s">
        <v>8954</v>
      </c>
    </row>
    <row r="2076" spans="1:8" ht="15.75" customHeight="1">
      <c r="A2076" s="3" t="s">
        <v>517</v>
      </c>
      <c r="B2076" s="3" t="s">
        <v>8986</v>
      </c>
      <c r="C2076" s="3" t="s">
        <v>8987</v>
      </c>
      <c r="D2076" s="4" t="s">
        <v>8988</v>
      </c>
      <c r="E2076" s="3" t="s">
        <v>8989</v>
      </c>
      <c r="F2076" s="34" t="s">
        <v>8990</v>
      </c>
      <c r="G2076" s="6"/>
      <c r="H2076" s="3" t="s">
        <v>8991</v>
      </c>
    </row>
    <row r="2077" spans="1:8" ht="15.75" customHeight="1">
      <c r="A2077" s="3" t="s">
        <v>8992</v>
      </c>
      <c r="B2077" s="3" t="s">
        <v>8993</v>
      </c>
      <c r="C2077" s="3" t="s">
        <v>8994</v>
      </c>
      <c r="D2077" s="4" t="s">
        <v>8995</v>
      </c>
      <c r="E2077" s="3" t="s">
        <v>8996</v>
      </c>
      <c r="F2077" s="34" t="s">
        <v>8934</v>
      </c>
      <c r="G2077" s="6"/>
      <c r="H2077" s="3" t="s">
        <v>8935</v>
      </c>
    </row>
    <row r="2078" spans="1:8" ht="15.75" customHeight="1">
      <c r="A2078" s="3" t="s">
        <v>1517</v>
      </c>
      <c r="B2078" s="3" t="s">
        <v>7421</v>
      </c>
      <c r="C2078" s="3" t="s">
        <v>5263</v>
      </c>
      <c r="D2078" s="4" t="s">
        <v>8997</v>
      </c>
      <c r="E2078" s="3" t="s">
        <v>8998</v>
      </c>
      <c r="F2078" s="6"/>
      <c r="G2078" s="6"/>
      <c r="H2078" s="3" t="s">
        <v>8999</v>
      </c>
    </row>
    <row r="2079" spans="1:8" ht="15.75" customHeight="1">
      <c r="A2079" s="3" t="s">
        <v>3725</v>
      </c>
      <c r="B2079" s="3" t="s">
        <v>6365</v>
      </c>
      <c r="C2079" s="3" t="s">
        <v>3237</v>
      </c>
      <c r="D2079" s="4" t="s">
        <v>9000</v>
      </c>
      <c r="E2079" s="3" t="s">
        <v>9001</v>
      </c>
      <c r="F2079" s="34" t="s">
        <v>8934</v>
      </c>
      <c r="G2079" s="6"/>
      <c r="H2079" s="3" t="s">
        <v>8935</v>
      </c>
    </row>
    <row r="2080" spans="1:8" ht="15.75" customHeight="1">
      <c r="A2080" s="3" t="s">
        <v>1286</v>
      </c>
      <c r="B2080" s="3" t="s">
        <v>988</v>
      </c>
      <c r="C2080" s="3" t="s">
        <v>1684</v>
      </c>
      <c r="D2080" s="4" t="s">
        <v>9002</v>
      </c>
      <c r="E2080" s="3" t="s">
        <v>9003</v>
      </c>
      <c r="F2080" s="6"/>
      <c r="G2080" s="6"/>
      <c r="H2080" s="3" t="s">
        <v>9004</v>
      </c>
    </row>
    <row r="2081" spans="1:8" ht="15.75" customHeight="1">
      <c r="A2081" s="3" t="s">
        <v>721</v>
      </c>
      <c r="B2081" s="3" t="s">
        <v>3457</v>
      </c>
      <c r="C2081" s="3" t="s">
        <v>4290</v>
      </c>
      <c r="D2081" s="4" t="s">
        <v>9005</v>
      </c>
      <c r="E2081" s="3" t="s">
        <v>9006</v>
      </c>
      <c r="F2081" s="34" t="s">
        <v>9007</v>
      </c>
      <c r="G2081" s="6"/>
      <c r="H2081" s="3" t="s">
        <v>9008</v>
      </c>
    </row>
    <row r="2082" spans="1:8" ht="15.75" customHeight="1">
      <c r="A2082" s="3" t="s">
        <v>6565</v>
      </c>
      <c r="B2082" s="3" t="s">
        <v>9009</v>
      </c>
      <c r="C2082" s="3" t="s">
        <v>91</v>
      </c>
      <c r="D2082" s="4" t="s">
        <v>9010</v>
      </c>
      <c r="E2082" s="3" t="s">
        <v>9011</v>
      </c>
      <c r="F2082" s="34" t="s">
        <v>9012</v>
      </c>
      <c r="G2082" s="6"/>
      <c r="H2082" s="3" t="s">
        <v>9013</v>
      </c>
    </row>
    <row r="2083" spans="1:8" ht="15.75" customHeight="1">
      <c r="A2083" s="3" t="s">
        <v>8190</v>
      </c>
      <c r="B2083" s="3" t="s">
        <v>907</v>
      </c>
      <c r="C2083" s="3" t="s">
        <v>8191</v>
      </c>
      <c r="D2083" s="4" t="s">
        <v>8192</v>
      </c>
      <c r="E2083" s="3" t="s">
        <v>8193</v>
      </c>
      <c r="F2083" s="3" t="s">
        <v>7571</v>
      </c>
      <c r="G2083" s="6"/>
      <c r="H2083" s="3" t="s">
        <v>7579</v>
      </c>
    </row>
    <row r="2084" spans="1:8" ht="15.75" customHeight="1">
      <c r="A2084" s="3" t="s">
        <v>2196</v>
      </c>
      <c r="B2084" s="3" t="s">
        <v>8194</v>
      </c>
      <c r="C2084" s="3" t="s">
        <v>8195</v>
      </c>
      <c r="D2084" s="4" t="s">
        <v>8196</v>
      </c>
      <c r="E2084" s="3" t="s">
        <v>8197</v>
      </c>
      <c r="F2084" s="3" t="s">
        <v>7571</v>
      </c>
      <c r="G2084" s="6"/>
      <c r="H2084" s="3" t="s">
        <v>7579</v>
      </c>
    </row>
    <row r="2085" spans="1:8" ht="15.75" customHeight="1">
      <c r="A2085" s="3" t="s">
        <v>3664</v>
      </c>
      <c r="B2085" s="3" t="s">
        <v>277</v>
      </c>
      <c r="C2085" s="3" t="s">
        <v>7363</v>
      </c>
      <c r="D2085" s="4" t="s">
        <v>9014</v>
      </c>
      <c r="E2085" s="3" t="s">
        <v>9015</v>
      </c>
      <c r="F2085" s="34" t="s">
        <v>8927</v>
      </c>
      <c r="G2085" s="6"/>
      <c r="H2085" s="3" t="s">
        <v>8928</v>
      </c>
    </row>
    <row r="2086" spans="1:8" ht="15.75" customHeight="1">
      <c r="A2086" s="3" t="s">
        <v>2384</v>
      </c>
      <c r="B2086" s="3" t="s">
        <v>7699</v>
      </c>
      <c r="C2086" s="3" t="s">
        <v>7812</v>
      </c>
      <c r="D2086" s="4" t="s">
        <v>7813</v>
      </c>
      <c r="E2086" s="3" t="s">
        <v>7814</v>
      </c>
      <c r="F2086" s="3" t="s">
        <v>7571</v>
      </c>
      <c r="G2086" s="6"/>
      <c r="H2086" s="3" t="s">
        <v>7579</v>
      </c>
    </row>
    <row r="2087" spans="1:8" ht="15.75" customHeight="1">
      <c r="A2087" s="3" t="s">
        <v>3799</v>
      </c>
      <c r="B2087" s="3" t="s">
        <v>9016</v>
      </c>
      <c r="C2087" s="3" t="s">
        <v>9017</v>
      </c>
      <c r="D2087" s="4" t="s">
        <v>9018</v>
      </c>
      <c r="E2087" s="3" t="s">
        <v>9019</v>
      </c>
      <c r="F2087" s="34" t="s">
        <v>8934</v>
      </c>
      <c r="G2087" s="6"/>
      <c r="H2087" s="3" t="s">
        <v>8935</v>
      </c>
    </row>
    <row r="2088" spans="1:8" ht="15.75" customHeight="1">
      <c r="A2088" s="3" t="s">
        <v>1768</v>
      </c>
      <c r="B2088" s="3" t="s">
        <v>5231</v>
      </c>
      <c r="C2088" s="3" t="s">
        <v>5641</v>
      </c>
      <c r="D2088" s="4" t="s">
        <v>9020</v>
      </c>
      <c r="E2088" s="3" t="s">
        <v>9021</v>
      </c>
      <c r="F2088" s="34" t="s">
        <v>9022</v>
      </c>
      <c r="G2088" s="6"/>
      <c r="H2088" s="3" t="s">
        <v>9023</v>
      </c>
    </row>
    <row r="2089" spans="1:8" ht="15.75" customHeight="1">
      <c r="A2089" s="3" t="s">
        <v>9024</v>
      </c>
      <c r="B2089" s="3" t="s">
        <v>185</v>
      </c>
      <c r="C2089" s="3" t="s">
        <v>6495</v>
      </c>
      <c r="D2089" s="4" t="s">
        <v>9025</v>
      </c>
      <c r="E2089" s="3" t="s">
        <v>9026</v>
      </c>
      <c r="F2089" s="6"/>
      <c r="G2089" s="6"/>
      <c r="H2089" s="3" t="s">
        <v>9027</v>
      </c>
    </row>
    <row r="2090" spans="1:8" ht="15.75" customHeight="1">
      <c r="A2090" s="3" t="s">
        <v>2041</v>
      </c>
      <c r="B2090" s="3" t="s">
        <v>9028</v>
      </c>
      <c r="C2090" s="3" t="s">
        <v>1684</v>
      </c>
      <c r="D2090" s="4" t="s">
        <v>9029</v>
      </c>
      <c r="E2090" s="3" t="s">
        <v>9030</v>
      </c>
      <c r="F2090" s="34" t="s">
        <v>9031</v>
      </c>
      <c r="G2090" s="6"/>
      <c r="H2090" s="3" t="s">
        <v>9032</v>
      </c>
    </row>
    <row r="2091" spans="1:8" ht="15.75" customHeight="1">
      <c r="A2091" s="3" t="s">
        <v>3664</v>
      </c>
      <c r="B2091" s="3" t="s">
        <v>9033</v>
      </c>
      <c r="C2091" s="3" t="s">
        <v>6572</v>
      </c>
      <c r="D2091" s="4" t="s">
        <v>9034</v>
      </c>
      <c r="E2091" s="3" t="s">
        <v>9035</v>
      </c>
      <c r="F2091" s="34" t="s">
        <v>9036</v>
      </c>
      <c r="G2091" s="6"/>
      <c r="H2091" s="3" t="s">
        <v>9037</v>
      </c>
    </row>
    <row r="2092" spans="1:8" ht="15.75" customHeight="1">
      <c r="A2092" s="3" t="s">
        <v>2463</v>
      </c>
      <c r="B2092" s="3" t="s">
        <v>9038</v>
      </c>
      <c r="C2092" s="3" t="s">
        <v>162</v>
      </c>
      <c r="D2092" s="4" t="s">
        <v>9039</v>
      </c>
      <c r="E2092" s="3" t="s">
        <v>9040</v>
      </c>
      <c r="F2092" s="34" t="s">
        <v>9041</v>
      </c>
      <c r="G2092" s="6"/>
      <c r="H2092" s="3" t="s">
        <v>9042</v>
      </c>
    </row>
    <row r="2093" spans="1:8" ht="15.75" customHeight="1">
      <c r="A2093" s="3" t="s">
        <v>2463</v>
      </c>
      <c r="B2093" s="3" t="s">
        <v>6887</v>
      </c>
      <c r="C2093" s="3" t="s">
        <v>8924</v>
      </c>
      <c r="D2093" s="4" t="s">
        <v>9043</v>
      </c>
      <c r="E2093" s="3" t="s">
        <v>8926</v>
      </c>
      <c r="F2093" s="34" t="s">
        <v>8927</v>
      </c>
      <c r="G2093" s="6"/>
      <c r="H2093" s="3" t="s">
        <v>8928</v>
      </c>
    </row>
    <row r="2094" spans="1:8" ht="15.75" customHeight="1">
      <c r="A2094" s="3" t="s">
        <v>2931</v>
      </c>
      <c r="B2094" s="3" t="s">
        <v>7949</v>
      </c>
      <c r="C2094" s="3" t="s">
        <v>9044</v>
      </c>
      <c r="D2094" s="4" t="s">
        <v>9045</v>
      </c>
      <c r="E2094" s="3" t="s">
        <v>9046</v>
      </c>
      <c r="F2094" s="6"/>
      <c r="G2094" s="6"/>
      <c r="H2094" s="3" t="s">
        <v>9047</v>
      </c>
    </row>
    <row r="2095" spans="1:8" ht="15.75" customHeight="1">
      <c r="A2095" s="3" t="s">
        <v>7585</v>
      </c>
      <c r="B2095" s="3" t="s">
        <v>3517</v>
      </c>
      <c r="C2095" s="3" t="s">
        <v>8083</v>
      </c>
      <c r="D2095" s="4" t="s">
        <v>8084</v>
      </c>
      <c r="E2095" s="3" t="s">
        <v>8085</v>
      </c>
      <c r="F2095" s="3" t="s">
        <v>7571</v>
      </c>
      <c r="G2095" s="6"/>
      <c r="H2095" s="3" t="s">
        <v>7579</v>
      </c>
    </row>
    <row r="2096" spans="1:8" ht="15.75" customHeight="1">
      <c r="A2096" s="3" t="s">
        <v>5851</v>
      </c>
      <c r="B2096" s="3" t="s">
        <v>9048</v>
      </c>
      <c r="C2096" s="3" t="s">
        <v>9049</v>
      </c>
      <c r="D2096" s="4" t="s">
        <v>9050</v>
      </c>
      <c r="E2096" s="3" t="s">
        <v>9051</v>
      </c>
      <c r="F2096" s="34" t="s">
        <v>8934</v>
      </c>
      <c r="G2096" s="6"/>
      <c r="H2096" s="3" t="s">
        <v>8935</v>
      </c>
    </row>
    <row r="2097" spans="1:8" ht="15.75" customHeight="1">
      <c r="A2097" s="3" t="s">
        <v>7686</v>
      </c>
      <c r="B2097" s="3" t="s">
        <v>7687</v>
      </c>
      <c r="C2097" s="3" t="s">
        <v>7688</v>
      </c>
      <c r="D2097" s="4" t="s">
        <v>7689</v>
      </c>
      <c r="E2097" s="3" t="s">
        <v>7690</v>
      </c>
      <c r="F2097" s="3" t="s">
        <v>7571</v>
      </c>
      <c r="G2097" s="6"/>
      <c r="H2097" s="3" t="s">
        <v>7579</v>
      </c>
    </row>
    <row r="2098" spans="1:8" ht="15.75" customHeight="1">
      <c r="A2098" s="3" t="s">
        <v>4582</v>
      </c>
      <c r="B2098" s="3" t="s">
        <v>1249</v>
      </c>
      <c r="C2098" s="3" t="s">
        <v>7695</v>
      </c>
      <c r="D2098" s="4" t="s">
        <v>7696</v>
      </c>
      <c r="E2098" s="3" t="s">
        <v>7697</v>
      </c>
      <c r="F2098" s="3" t="s">
        <v>7571</v>
      </c>
      <c r="G2098" s="6"/>
      <c r="H2098" s="3" t="s">
        <v>7579</v>
      </c>
    </row>
    <row r="2099" spans="1:8" ht="15.75" customHeight="1">
      <c r="A2099" s="3" t="s">
        <v>301</v>
      </c>
      <c r="B2099" s="3" t="s">
        <v>8099</v>
      </c>
      <c r="C2099" s="3" t="s">
        <v>8100</v>
      </c>
      <c r="D2099" s="4" t="s">
        <v>8101</v>
      </c>
      <c r="E2099" s="3" t="s">
        <v>8102</v>
      </c>
      <c r="F2099" s="3" t="s">
        <v>8704</v>
      </c>
      <c r="G2099" s="6"/>
      <c r="H2099" s="3" t="s">
        <v>7579</v>
      </c>
    </row>
    <row r="2100" spans="1:8" ht="15.75" customHeight="1">
      <c r="A2100" s="3" t="s">
        <v>9052</v>
      </c>
      <c r="B2100" s="3" t="s">
        <v>9053</v>
      </c>
      <c r="C2100" s="3" t="s">
        <v>4357</v>
      </c>
      <c r="D2100" s="4" t="s">
        <v>9054</v>
      </c>
      <c r="E2100" s="3" t="s">
        <v>9055</v>
      </c>
      <c r="F2100" s="6"/>
      <c r="G2100" s="6"/>
      <c r="H2100" s="3" t="s">
        <v>9056</v>
      </c>
    </row>
    <row r="2101" spans="1:8" ht="15.75" customHeight="1">
      <c r="A2101" s="3" t="s">
        <v>9057</v>
      </c>
      <c r="B2101" s="3" t="s">
        <v>9058</v>
      </c>
      <c r="C2101" s="3" t="s">
        <v>9017</v>
      </c>
      <c r="D2101" s="4" t="s">
        <v>9059</v>
      </c>
      <c r="E2101" s="3" t="s">
        <v>9060</v>
      </c>
      <c r="F2101" s="34" t="s">
        <v>8934</v>
      </c>
      <c r="G2101" s="6"/>
      <c r="H2101" s="3" t="s">
        <v>8935</v>
      </c>
    </row>
    <row r="2102" spans="1:8" ht="15.75" customHeight="1">
      <c r="A2102" s="3" t="s">
        <v>1768</v>
      </c>
      <c r="B2102" s="3" t="s">
        <v>2968</v>
      </c>
      <c r="C2102" s="3" t="s">
        <v>9061</v>
      </c>
      <c r="D2102" s="4" t="s">
        <v>9062</v>
      </c>
      <c r="E2102" s="3" t="s">
        <v>9063</v>
      </c>
      <c r="F2102" s="34" t="s">
        <v>8934</v>
      </c>
      <c r="G2102" s="6"/>
      <c r="H2102" s="3" t="s">
        <v>8935</v>
      </c>
    </row>
    <row r="2103" spans="1:8" ht="15.75" customHeight="1">
      <c r="A2103" s="3" t="s">
        <v>417</v>
      </c>
      <c r="B2103" s="3" t="s">
        <v>6397</v>
      </c>
      <c r="C2103" s="3" t="s">
        <v>7203</v>
      </c>
      <c r="D2103" s="4" t="s">
        <v>9064</v>
      </c>
      <c r="E2103" s="3" t="s">
        <v>9065</v>
      </c>
      <c r="F2103" s="34" t="s">
        <v>9066</v>
      </c>
      <c r="G2103" s="6"/>
      <c r="H2103" s="3" t="s">
        <v>9067</v>
      </c>
    </row>
    <row r="2104" spans="1:8" ht="15.75" customHeight="1">
      <c r="A2104" s="3" t="s">
        <v>9068</v>
      </c>
      <c r="B2104" s="3" t="s">
        <v>9069</v>
      </c>
      <c r="C2104" s="3" t="s">
        <v>9070</v>
      </c>
      <c r="D2104" s="4" t="s">
        <v>9071</v>
      </c>
      <c r="E2104" s="3" t="s">
        <v>9072</v>
      </c>
      <c r="F2104" s="34" t="s">
        <v>9073</v>
      </c>
      <c r="G2104" s="6"/>
      <c r="H2104" s="3" t="s">
        <v>9074</v>
      </c>
    </row>
    <row r="2105" spans="1:8" ht="15.75" customHeight="1">
      <c r="A2105" s="3" t="s">
        <v>69</v>
      </c>
      <c r="B2105" s="3" t="s">
        <v>1431</v>
      </c>
      <c r="C2105" s="3" t="s">
        <v>5182</v>
      </c>
      <c r="D2105" s="4" t="s">
        <v>9075</v>
      </c>
      <c r="E2105" s="3" t="s">
        <v>9076</v>
      </c>
      <c r="F2105" s="34" t="s">
        <v>8927</v>
      </c>
      <c r="G2105" s="6"/>
      <c r="H2105" s="3" t="s">
        <v>8928</v>
      </c>
    </row>
    <row r="2106" spans="1:8" ht="15.75" customHeight="1">
      <c r="A2106" s="3" t="s">
        <v>8224</v>
      </c>
      <c r="B2106" s="3" t="s">
        <v>116</v>
      </c>
      <c r="C2106" s="3" t="s">
        <v>8225</v>
      </c>
      <c r="D2106" s="4" t="s">
        <v>8226</v>
      </c>
      <c r="E2106" s="3" t="s">
        <v>8227</v>
      </c>
      <c r="F2106" s="34" t="s">
        <v>7881</v>
      </c>
      <c r="G2106" s="6"/>
      <c r="H2106" s="3" t="s">
        <v>7579</v>
      </c>
    </row>
    <row r="2107" spans="1:8" ht="15.75" customHeight="1">
      <c r="A2107" s="3" t="s">
        <v>7065</v>
      </c>
      <c r="B2107" s="3" t="s">
        <v>7878</v>
      </c>
      <c r="C2107" s="3" t="s">
        <v>9077</v>
      </c>
      <c r="D2107" s="4" t="s">
        <v>9078</v>
      </c>
      <c r="E2107" s="3" t="s">
        <v>9079</v>
      </c>
      <c r="F2107" s="34" t="s">
        <v>9080</v>
      </c>
      <c r="G2107" s="6"/>
      <c r="H2107" s="3" t="s">
        <v>9081</v>
      </c>
    </row>
    <row r="2108" spans="1:8" ht="15.75" customHeight="1">
      <c r="A2108" s="3" t="s">
        <v>3709</v>
      </c>
      <c r="B2108" s="3" t="s">
        <v>3710</v>
      </c>
      <c r="C2108" s="3" t="s">
        <v>3237</v>
      </c>
      <c r="D2108" s="4" t="s">
        <v>9082</v>
      </c>
      <c r="E2108" s="3" t="s">
        <v>3712</v>
      </c>
      <c r="F2108" s="34" t="s">
        <v>8934</v>
      </c>
      <c r="G2108" s="6"/>
      <c r="H2108" s="3" t="s">
        <v>8935</v>
      </c>
    </row>
    <row r="2109" spans="1:8" ht="15.75" customHeight="1">
      <c r="A2109" s="3" t="s">
        <v>2384</v>
      </c>
      <c r="B2109" s="3" t="s">
        <v>1965</v>
      </c>
      <c r="C2109" s="3" t="s">
        <v>9083</v>
      </c>
      <c r="D2109" s="4" t="s">
        <v>9084</v>
      </c>
      <c r="E2109" s="3" t="s">
        <v>9085</v>
      </c>
      <c r="F2109" s="34" t="s">
        <v>9086</v>
      </c>
      <c r="G2109" s="6"/>
      <c r="H2109" s="3" t="s">
        <v>9087</v>
      </c>
    </row>
    <row r="2110" spans="1:8" ht="15.75" customHeight="1">
      <c r="A2110" s="3" t="s">
        <v>721</v>
      </c>
      <c r="B2110" s="3" t="s">
        <v>888</v>
      </c>
      <c r="C2110" s="3" t="s">
        <v>5263</v>
      </c>
      <c r="D2110" s="4" t="s">
        <v>9088</v>
      </c>
      <c r="E2110" s="3" t="s">
        <v>9089</v>
      </c>
      <c r="F2110" s="34" t="s">
        <v>9080</v>
      </c>
      <c r="G2110" s="6"/>
      <c r="H2110" s="3" t="s">
        <v>9081</v>
      </c>
    </row>
    <row r="2111" spans="1:8" ht="15.75" customHeight="1">
      <c r="A2111" s="3" t="s">
        <v>721</v>
      </c>
      <c r="B2111" s="3" t="s">
        <v>3457</v>
      </c>
      <c r="C2111" s="3" t="s">
        <v>4290</v>
      </c>
      <c r="D2111" s="4" t="s">
        <v>9090</v>
      </c>
      <c r="E2111" s="3" t="s">
        <v>9006</v>
      </c>
      <c r="F2111" s="34" t="s">
        <v>9007</v>
      </c>
      <c r="G2111" s="6"/>
      <c r="H2111" s="3" t="s">
        <v>9008</v>
      </c>
    </row>
    <row r="2112" spans="1:8" ht="15.75" customHeight="1">
      <c r="A2112" s="3" t="s">
        <v>9091</v>
      </c>
      <c r="B2112" s="3" t="s">
        <v>3098</v>
      </c>
      <c r="C2112" s="3" t="s">
        <v>9092</v>
      </c>
      <c r="D2112" s="4" t="s">
        <v>9093</v>
      </c>
      <c r="E2112" s="3" t="s">
        <v>9094</v>
      </c>
      <c r="F2112" s="6"/>
      <c r="G2112" s="6"/>
      <c r="H2112" s="3" t="s">
        <v>9095</v>
      </c>
    </row>
    <row r="2113" spans="1:8" ht="15.75" customHeight="1">
      <c r="A2113" s="3" t="s">
        <v>9096</v>
      </c>
      <c r="B2113" s="3" t="s">
        <v>7699</v>
      </c>
      <c r="C2113" s="3" t="s">
        <v>9097</v>
      </c>
      <c r="D2113" s="4" t="s">
        <v>9098</v>
      </c>
      <c r="E2113" s="3" t="s">
        <v>9099</v>
      </c>
      <c r="F2113" s="34" t="s">
        <v>9100</v>
      </c>
      <c r="G2113" s="6"/>
      <c r="H2113" s="3" t="s">
        <v>9101</v>
      </c>
    </row>
    <row r="2114" spans="1:8" ht="15.75" customHeight="1">
      <c r="A2114" s="3" t="s">
        <v>191</v>
      </c>
      <c r="B2114" s="3" t="s">
        <v>198</v>
      </c>
      <c r="C2114" s="3" t="s">
        <v>5641</v>
      </c>
      <c r="D2114" s="4" t="s">
        <v>9102</v>
      </c>
      <c r="E2114" s="3" t="s">
        <v>9103</v>
      </c>
      <c r="F2114" s="34" t="s">
        <v>9104</v>
      </c>
      <c r="G2114" s="6"/>
      <c r="H2114" s="3" t="s">
        <v>9105</v>
      </c>
    </row>
    <row r="2115" spans="1:8" ht="15.75" customHeight="1">
      <c r="A2115" s="3" t="s">
        <v>8586</v>
      </c>
      <c r="B2115" s="6"/>
      <c r="C2115" s="3" t="s">
        <v>9106</v>
      </c>
      <c r="D2115" s="6"/>
      <c r="E2115" s="3" t="s">
        <v>9107</v>
      </c>
      <c r="F2115" s="34" t="s">
        <v>9108</v>
      </c>
      <c r="G2115" s="6"/>
      <c r="H2115" s="3" t="s">
        <v>9109</v>
      </c>
    </row>
    <row r="2116" spans="1:8" ht="15.75" customHeight="1">
      <c r="A2116" s="3" t="s">
        <v>1157</v>
      </c>
      <c r="B2116" s="3" t="s">
        <v>7648</v>
      </c>
      <c r="C2116" s="3" t="s">
        <v>4446</v>
      </c>
      <c r="D2116" s="4" t="s">
        <v>7649</v>
      </c>
      <c r="E2116" s="3" t="s">
        <v>7650</v>
      </c>
      <c r="F2116" s="3" t="s">
        <v>7571</v>
      </c>
      <c r="G2116" s="6"/>
      <c r="H2116" s="3" t="s">
        <v>7579</v>
      </c>
    </row>
    <row r="2117" spans="1:8" ht="15.75" customHeight="1">
      <c r="A2117" s="3" t="s">
        <v>394</v>
      </c>
      <c r="B2117" s="3" t="s">
        <v>7545</v>
      </c>
      <c r="C2117" s="3" t="s">
        <v>9110</v>
      </c>
      <c r="D2117" s="4" t="s">
        <v>9111</v>
      </c>
      <c r="E2117" s="3" t="s">
        <v>9112</v>
      </c>
      <c r="F2117" s="6"/>
      <c r="G2117" s="6"/>
      <c r="H2117" s="3" t="s">
        <v>9113</v>
      </c>
    </row>
    <row r="2118" spans="1:8" ht="15.75" customHeight="1">
      <c r="A2118" s="3" t="s">
        <v>1286</v>
      </c>
      <c r="B2118" s="3" t="s">
        <v>9114</v>
      </c>
      <c r="C2118" s="3" t="s">
        <v>9115</v>
      </c>
      <c r="D2118" s="4" t="s">
        <v>9116</v>
      </c>
      <c r="E2118" s="3" t="s">
        <v>9117</v>
      </c>
      <c r="F2118" s="6"/>
      <c r="G2118" s="6"/>
      <c r="H2118" s="3" t="s">
        <v>9118</v>
      </c>
    </row>
    <row r="2119" spans="1:8" ht="15.75" customHeight="1">
      <c r="A2119" s="3" t="s">
        <v>9119</v>
      </c>
      <c r="B2119" s="3" t="s">
        <v>9120</v>
      </c>
      <c r="C2119" s="3" t="s">
        <v>9121</v>
      </c>
      <c r="D2119" s="4" t="s">
        <v>9122</v>
      </c>
      <c r="E2119" s="3" t="s">
        <v>9123</v>
      </c>
      <c r="F2119" s="6"/>
      <c r="G2119" s="6"/>
      <c r="H2119" s="3" t="s">
        <v>9124</v>
      </c>
    </row>
    <row r="2120" spans="1:8" ht="15.75" customHeight="1">
      <c r="A2120" s="3" t="s">
        <v>2528</v>
      </c>
      <c r="B2120" s="3" t="s">
        <v>8461</v>
      </c>
      <c r="C2120" s="3" t="s">
        <v>8462</v>
      </c>
      <c r="D2120" s="4" t="s">
        <v>8463</v>
      </c>
      <c r="E2120" s="3" t="s">
        <v>8464</v>
      </c>
      <c r="F2120" s="34" t="s">
        <v>8460</v>
      </c>
      <c r="G2120" s="6"/>
      <c r="H2120" s="3" t="s">
        <v>7579</v>
      </c>
    </row>
    <row r="2121" spans="1:8" ht="15.75" customHeight="1">
      <c r="A2121" s="3" t="s">
        <v>721</v>
      </c>
      <c r="B2121" s="3" t="s">
        <v>394</v>
      </c>
      <c r="C2121" s="3" t="s">
        <v>7575</v>
      </c>
      <c r="D2121" s="4" t="s">
        <v>8480</v>
      </c>
      <c r="E2121" s="3" t="s">
        <v>8481</v>
      </c>
      <c r="F2121" s="3" t="s">
        <v>7571</v>
      </c>
      <c r="G2121" s="6"/>
      <c r="H2121" s="3" t="s">
        <v>7579</v>
      </c>
    </row>
    <row r="2122" spans="1:8" ht="15.75" customHeight="1">
      <c r="A2122" s="3" t="s">
        <v>8494</v>
      </c>
      <c r="B2122" s="3" t="s">
        <v>8495</v>
      </c>
      <c r="C2122" s="3" t="s">
        <v>8496</v>
      </c>
      <c r="D2122" s="4" t="s">
        <v>8497</v>
      </c>
      <c r="E2122" s="3" t="s">
        <v>8498</v>
      </c>
      <c r="F2122" s="3" t="s">
        <v>7571</v>
      </c>
      <c r="G2122" s="6"/>
      <c r="H2122" s="3" t="s">
        <v>7579</v>
      </c>
    </row>
    <row r="2123" spans="1:8" ht="15.75" customHeight="1">
      <c r="A2123" s="3" t="s">
        <v>528</v>
      </c>
      <c r="B2123" s="3" t="s">
        <v>3722</v>
      </c>
      <c r="C2123" s="3" t="s">
        <v>3723</v>
      </c>
      <c r="D2123" s="4" t="s">
        <v>9125</v>
      </c>
      <c r="E2123" s="3" t="s">
        <v>9126</v>
      </c>
      <c r="F2123" s="34" t="s">
        <v>8934</v>
      </c>
      <c r="G2123" s="6"/>
      <c r="H2123" s="3" t="s">
        <v>8935</v>
      </c>
    </row>
    <row r="2124" spans="1:8" ht="15.75" customHeight="1">
      <c r="A2124" s="3" t="s">
        <v>913</v>
      </c>
      <c r="B2124" s="3" t="s">
        <v>9127</v>
      </c>
      <c r="C2124" s="3" t="s">
        <v>9128</v>
      </c>
      <c r="D2124" s="4" t="s">
        <v>9129</v>
      </c>
      <c r="E2124" s="3" t="s">
        <v>9130</v>
      </c>
      <c r="F2124" s="6"/>
      <c r="G2124" s="6"/>
      <c r="H2124" s="3" t="s">
        <v>9131</v>
      </c>
    </row>
    <row r="2125" spans="1:8" ht="15.75" customHeight="1">
      <c r="A2125" s="3" t="s">
        <v>14</v>
      </c>
      <c r="B2125" s="3" t="s">
        <v>3149</v>
      </c>
      <c r="C2125" s="3" t="s">
        <v>9132</v>
      </c>
      <c r="D2125" s="4" t="s">
        <v>9133</v>
      </c>
      <c r="E2125" s="3" t="s">
        <v>9134</v>
      </c>
      <c r="F2125" s="34" t="s">
        <v>9135</v>
      </c>
      <c r="G2125" s="6"/>
      <c r="H2125" s="3" t="s">
        <v>9136</v>
      </c>
    </row>
    <row r="2126" spans="1:8" ht="15.75" customHeight="1">
      <c r="A2126" s="3" t="s">
        <v>132</v>
      </c>
      <c r="B2126" s="3" t="s">
        <v>1415</v>
      </c>
      <c r="C2126" s="3" t="s">
        <v>7363</v>
      </c>
      <c r="D2126" s="4" t="s">
        <v>9137</v>
      </c>
      <c r="E2126" s="3" t="s">
        <v>9138</v>
      </c>
      <c r="F2126" s="34" t="s">
        <v>8927</v>
      </c>
      <c r="G2126" s="6"/>
      <c r="H2126" s="3" t="s">
        <v>8928</v>
      </c>
    </row>
    <row r="2127" spans="1:8" ht="15.75" customHeight="1">
      <c r="A2127" s="3" t="s">
        <v>359</v>
      </c>
      <c r="B2127" s="3" t="s">
        <v>1277</v>
      </c>
      <c r="C2127" s="3" t="s">
        <v>1580</v>
      </c>
      <c r="D2127" s="4" t="s">
        <v>7937</v>
      </c>
      <c r="E2127" s="3" t="s">
        <v>7938</v>
      </c>
      <c r="F2127" s="3" t="s">
        <v>7571</v>
      </c>
      <c r="G2127" s="6"/>
      <c r="H2127" s="3" t="s">
        <v>7579</v>
      </c>
    </row>
    <row r="2128" spans="1:8" ht="15.75" customHeight="1">
      <c r="A2128" s="3" t="s">
        <v>8961</v>
      </c>
      <c r="B2128" s="3" t="s">
        <v>1372</v>
      </c>
      <c r="C2128" s="3" t="s">
        <v>9139</v>
      </c>
      <c r="D2128" s="4" t="s">
        <v>9140</v>
      </c>
      <c r="E2128" s="3" t="s">
        <v>9141</v>
      </c>
      <c r="F2128" s="34" t="s">
        <v>9142</v>
      </c>
      <c r="G2128" s="6"/>
      <c r="H2128" s="3" t="s">
        <v>9143</v>
      </c>
    </row>
    <row r="2129" spans="1:8" ht="15.75" customHeight="1">
      <c r="A2129" s="3" t="s">
        <v>572</v>
      </c>
      <c r="B2129" s="3" t="s">
        <v>5482</v>
      </c>
      <c r="C2129" s="3" t="s">
        <v>46</v>
      </c>
      <c r="D2129" s="4" t="s">
        <v>9144</v>
      </c>
      <c r="E2129" s="3" t="s">
        <v>9145</v>
      </c>
      <c r="F2129" s="6"/>
      <c r="G2129" s="6"/>
      <c r="H2129" s="3" t="s">
        <v>9105</v>
      </c>
    </row>
    <row r="2130" spans="1:8" ht="15.75" customHeight="1">
      <c r="A2130" s="3" t="s">
        <v>2501</v>
      </c>
      <c r="B2130" s="3" t="s">
        <v>9146</v>
      </c>
      <c r="C2130" s="3" t="s">
        <v>9147</v>
      </c>
      <c r="D2130" s="4" t="s">
        <v>9148</v>
      </c>
      <c r="E2130" s="3" t="s">
        <v>9149</v>
      </c>
      <c r="F2130" s="34" t="s">
        <v>8927</v>
      </c>
      <c r="G2130" s="6"/>
      <c r="H2130" s="3" t="s">
        <v>8928</v>
      </c>
    </row>
    <row r="2131" spans="1:8" ht="15.75" customHeight="1">
      <c r="A2131" s="3" t="s">
        <v>919</v>
      </c>
      <c r="B2131" s="3" t="s">
        <v>9150</v>
      </c>
      <c r="C2131" s="3" t="s">
        <v>6048</v>
      </c>
      <c r="D2131" s="4" t="s">
        <v>9151</v>
      </c>
      <c r="E2131" s="3" t="s">
        <v>9152</v>
      </c>
      <c r="F2131" s="34" t="s">
        <v>9153</v>
      </c>
      <c r="G2131" s="6"/>
      <c r="H2131" s="3" t="s">
        <v>9154</v>
      </c>
    </row>
    <row r="2132" spans="1:8" ht="15.75" customHeight="1">
      <c r="A2132" s="3" t="s">
        <v>9155</v>
      </c>
      <c r="B2132" s="3" t="s">
        <v>9156</v>
      </c>
      <c r="C2132" s="3" t="s">
        <v>9157</v>
      </c>
      <c r="D2132" s="4" t="s">
        <v>9158</v>
      </c>
      <c r="E2132" s="3" t="s">
        <v>9159</v>
      </c>
      <c r="F2132" s="34" t="s">
        <v>8934</v>
      </c>
      <c r="G2132" s="6"/>
      <c r="H2132" s="3" t="s">
        <v>8935</v>
      </c>
    </row>
    <row r="2133" spans="1:8" ht="15.75" customHeight="1">
      <c r="A2133" s="3" t="s">
        <v>1419</v>
      </c>
      <c r="B2133" s="3" t="s">
        <v>593</v>
      </c>
      <c r="C2133" s="3" t="s">
        <v>9160</v>
      </c>
      <c r="D2133" s="4" t="s">
        <v>9161</v>
      </c>
      <c r="E2133" s="3" t="s">
        <v>9162</v>
      </c>
      <c r="F2133" s="34" t="s">
        <v>9036</v>
      </c>
      <c r="G2133" s="6"/>
      <c r="H2133" s="3" t="s">
        <v>9037</v>
      </c>
    </row>
    <row r="2134" spans="1:8" ht="15.75" customHeight="1">
      <c r="A2134" s="3" t="s">
        <v>6259</v>
      </c>
      <c r="B2134" s="3" t="s">
        <v>5543</v>
      </c>
      <c r="C2134" s="3" t="s">
        <v>9163</v>
      </c>
      <c r="D2134" s="4" t="s">
        <v>9164</v>
      </c>
      <c r="E2134" s="3" t="s">
        <v>9165</v>
      </c>
      <c r="F2134" s="34" t="s">
        <v>8934</v>
      </c>
      <c r="G2134" s="6"/>
      <c r="H2134" s="3" t="s">
        <v>8935</v>
      </c>
    </row>
    <row r="2135" spans="1:8" ht="15.75" customHeight="1">
      <c r="A2135" s="3" t="s">
        <v>69</v>
      </c>
      <c r="B2135" s="3" t="s">
        <v>5089</v>
      </c>
      <c r="C2135" s="3" t="s">
        <v>9166</v>
      </c>
      <c r="D2135" s="4" t="s">
        <v>9167</v>
      </c>
      <c r="E2135" s="3" t="s">
        <v>9168</v>
      </c>
      <c r="F2135" s="6"/>
      <c r="G2135" s="6"/>
      <c r="H2135" s="3" t="s">
        <v>9169</v>
      </c>
    </row>
    <row r="2136" spans="1:8" ht="15.75" customHeight="1">
      <c r="A2136" s="3" t="s">
        <v>8803</v>
      </c>
      <c r="B2136" s="3" t="s">
        <v>3328</v>
      </c>
      <c r="C2136" s="3" t="s">
        <v>8804</v>
      </c>
      <c r="D2136" s="4" t="s">
        <v>8805</v>
      </c>
      <c r="E2136" s="3" t="s">
        <v>8806</v>
      </c>
      <c r="F2136" s="34" t="s">
        <v>8807</v>
      </c>
      <c r="G2136" s="6"/>
      <c r="H2136" s="3" t="s">
        <v>8808</v>
      </c>
    </row>
    <row r="2137" spans="1:8" ht="15.75" customHeight="1">
      <c r="A2137" s="3" t="s">
        <v>9170</v>
      </c>
      <c r="B2137" s="3" t="s">
        <v>4751</v>
      </c>
      <c r="C2137" s="3" t="s">
        <v>4364</v>
      </c>
      <c r="D2137" s="4" t="s">
        <v>9171</v>
      </c>
      <c r="E2137" s="3" t="s">
        <v>9172</v>
      </c>
      <c r="F2137" s="34" t="s">
        <v>9173</v>
      </c>
      <c r="G2137" s="6"/>
      <c r="H2137" s="3" t="s">
        <v>9174</v>
      </c>
    </row>
    <row r="2138" spans="1:8" ht="15.75" customHeight="1">
      <c r="A2138" s="3" t="s">
        <v>9175</v>
      </c>
      <c r="B2138" s="3" t="s">
        <v>9176</v>
      </c>
      <c r="C2138" s="3" t="s">
        <v>9177</v>
      </c>
      <c r="D2138" s="4" t="s">
        <v>9178</v>
      </c>
      <c r="E2138" s="3" t="s">
        <v>9179</v>
      </c>
      <c r="F2138" s="34" t="s">
        <v>8934</v>
      </c>
      <c r="G2138" s="6"/>
      <c r="H2138" s="3" t="s">
        <v>8935</v>
      </c>
    </row>
    <row r="2139" spans="1:8" ht="15.75" customHeight="1">
      <c r="A2139" s="3" t="s">
        <v>9180</v>
      </c>
      <c r="B2139" s="3" t="s">
        <v>9181</v>
      </c>
      <c r="C2139" s="3" t="s">
        <v>9182</v>
      </c>
      <c r="D2139" s="4" t="s">
        <v>9183</v>
      </c>
      <c r="E2139" s="3" t="s">
        <v>9184</v>
      </c>
      <c r="F2139" s="34" t="s">
        <v>8934</v>
      </c>
      <c r="G2139" s="6"/>
      <c r="H2139" s="3" t="s">
        <v>8935</v>
      </c>
    </row>
    <row r="2140" spans="1:8" ht="15.75" customHeight="1">
      <c r="A2140" s="3" t="s">
        <v>812</v>
      </c>
      <c r="B2140" s="3" t="s">
        <v>7959</v>
      </c>
      <c r="C2140" s="3" t="s">
        <v>7960</v>
      </c>
      <c r="D2140" s="4" t="s">
        <v>7961</v>
      </c>
      <c r="E2140" s="3" t="s">
        <v>7962</v>
      </c>
      <c r="F2140" s="34" t="s">
        <v>7881</v>
      </c>
      <c r="G2140" s="6"/>
      <c r="H2140" s="3" t="s">
        <v>7579</v>
      </c>
    </row>
    <row r="2141" spans="1:8" ht="15.75" customHeight="1">
      <c r="A2141" s="3" t="s">
        <v>9185</v>
      </c>
      <c r="B2141" s="3" t="s">
        <v>2158</v>
      </c>
      <c r="C2141" s="3" t="s">
        <v>9186</v>
      </c>
      <c r="D2141" s="4" t="s">
        <v>9187</v>
      </c>
      <c r="E2141" s="3" t="s">
        <v>9188</v>
      </c>
      <c r="F2141" s="34" t="s">
        <v>9189</v>
      </c>
      <c r="G2141" s="6"/>
      <c r="H2141" s="3" t="s">
        <v>9190</v>
      </c>
    </row>
    <row r="2142" spans="1:8" ht="15.75" customHeight="1">
      <c r="A2142" s="3" t="s">
        <v>939</v>
      </c>
      <c r="B2142" s="3" t="s">
        <v>3098</v>
      </c>
      <c r="C2142" s="3" t="s">
        <v>9191</v>
      </c>
      <c r="D2142" s="4" t="s">
        <v>9192</v>
      </c>
      <c r="E2142" s="3" t="s">
        <v>9193</v>
      </c>
      <c r="F2142" s="34" t="s">
        <v>9194</v>
      </c>
      <c r="G2142" s="6"/>
      <c r="H2142" s="3" t="s">
        <v>9195</v>
      </c>
    </row>
    <row r="2143" spans="1:8" ht="15.75" customHeight="1">
      <c r="A2143" s="3" t="s">
        <v>9196</v>
      </c>
      <c r="B2143" s="3" t="s">
        <v>9197</v>
      </c>
      <c r="C2143" s="3" t="s">
        <v>9198</v>
      </c>
      <c r="D2143" s="4" t="s">
        <v>9199</v>
      </c>
      <c r="E2143" s="3" t="s">
        <v>9200</v>
      </c>
      <c r="F2143" s="34" t="s">
        <v>8934</v>
      </c>
      <c r="G2143" s="6"/>
      <c r="H2143" s="3" t="s">
        <v>8935</v>
      </c>
    </row>
    <row r="2144" spans="1:8" ht="15.75" customHeight="1">
      <c r="A2144" s="3" t="s">
        <v>3725</v>
      </c>
      <c r="B2144" s="3" t="s">
        <v>3726</v>
      </c>
      <c r="C2144" s="3" t="s">
        <v>9201</v>
      </c>
      <c r="D2144" s="4" t="s">
        <v>9202</v>
      </c>
      <c r="E2144" s="3" t="s">
        <v>9203</v>
      </c>
      <c r="F2144" s="34" t="s">
        <v>9204</v>
      </c>
      <c r="G2144" s="6"/>
      <c r="H2144" s="3" t="s">
        <v>8935</v>
      </c>
    </row>
    <row r="2145" spans="1:8" ht="15.75" customHeight="1">
      <c r="A2145" s="3" t="s">
        <v>394</v>
      </c>
      <c r="B2145" s="3" t="s">
        <v>1324</v>
      </c>
      <c r="C2145" s="3" t="s">
        <v>7568</v>
      </c>
      <c r="D2145" s="4" t="s">
        <v>9205</v>
      </c>
      <c r="E2145" s="3" t="s">
        <v>9206</v>
      </c>
      <c r="F2145" s="34" t="s">
        <v>9207</v>
      </c>
      <c r="G2145" s="6"/>
      <c r="H2145" s="3" t="s">
        <v>9208</v>
      </c>
    </row>
    <row r="2146" spans="1:8" ht="15.75" customHeight="1">
      <c r="A2146" s="3" t="s">
        <v>572</v>
      </c>
      <c r="B2146" s="3" t="s">
        <v>8238</v>
      </c>
      <c r="C2146" s="3" t="s">
        <v>5182</v>
      </c>
      <c r="D2146" s="4" t="s">
        <v>9209</v>
      </c>
      <c r="E2146" s="3" t="s">
        <v>9210</v>
      </c>
      <c r="F2146" s="34" t="s">
        <v>9211</v>
      </c>
      <c r="G2146" s="6"/>
      <c r="H2146" s="3" t="s">
        <v>9212</v>
      </c>
    </row>
    <row r="2147" spans="1:8" ht="15.75" customHeight="1">
      <c r="A2147" s="3" t="s">
        <v>8436</v>
      </c>
      <c r="B2147" s="3" t="s">
        <v>801</v>
      </c>
      <c r="C2147" s="3" t="s">
        <v>8437</v>
      </c>
      <c r="D2147" s="4" t="s">
        <v>8438</v>
      </c>
      <c r="E2147" s="3" t="s">
        <v>8439</v>
      </c>
      <c r="F2147" s="3" t="s">
        <v>7571</v>
      </c>
      <c r="G2147" s="6"/>
      <c r="H2147" s="3" t="s">
        <v>7579</v>
      </c>
    </row>
    <row r="2148" spans="1:8" ht="15.75" customHeight="1">
      <c r="A2148" s="3" t="s">
        <v>2674</v>
      </c>
      <c r="B2148" s="3" t="s">
        <v>372</v>
      </c>
      <c r="C2148" s="3" t="s">
        <v>9213</v>
      </c>
      <c r="D2148" s="4" t="s">
        <v>9214</v>
      </c>
      <c r="E2148" s="3" t="s">
        <v>9215</v>
      </c>
      <c r="F2148" s="34" t="s">
        <v>9216</v>
      </c>
      <c r="G2148" s="6"/>
      <c r="H2148" s="3" t="s">
        <v>9217</v>
      </c>
    </row>
    <row r="2149" spans="1:8" ht="15.75" customHeight="1">
      <c r="A2149" s="3" t="s">
        <v>962</v>
      </c>
      <c r="B2149" s="3" t="s">
        <v>45</v>
      </c>
      <c r="C2149" s="3" t="s">
        <v>229</v>
      </c>
      <c r="D2149" s="4" t="s">
        <v>9218</v>
      </c>
      <c r="E2149" s="3" t="s">
        <v>9219</v>
      </c>
      <c r="F2149" s="34" t="s">
        <v>9220</v>
      </c>
      <c r="G2149" s="6"/>
      <c r="H2149" s="3" t="s">
        <v>9221</v>
      </c>
    </row>
    <row r="2150" spans="1:8" ht="15.75" customHeight="1">
      <c r="A2150" s="3" t="s">
        <v>9222</v>
      </c>
      <c r="B2150" s="3" t="s">
        <v>5828</v>
      </c>
      <c r="C2150" s="3" t="s">
        <v>6495</v>
      </c>
      <c r="D2150" s="4" t="s">
        <v>9223</v>
      </c>
      <c r="E2150" s="3" t="s">
        <v>9224</v>
      </c>
      <c r="F2150" s="34" t="s">
        <v>9225</v>
      </c>
      <c r="G2150" s="6"/>
      <c r="H2150" s="3" t="s">
        <v>9226</v>
      </c>
    </row>
    <row r="2151" spans="1:8" ht="15.75" customHeight="1">
      <c r="A2151" s="3" t="s">
        <v>8543</v>
      </c>
      <c r="B2151" s="3" t="s">
        <v>8544</v>
      </c>
      <c r="C2151" s="3" t="s">
        <v>8545</v>
      </c>
      <c r="D2151" s="4" t="s">
        <v>8546</v>
      </c>
      <c r="E2151" s="3" t="s">
        <v>8547</v>
      </c>
      <c r="F2151" s="3" t="s">
        <v>7571</v>
      </c>
      <c r="G2151" s="6"/>
      <c r="H2151" s="3" t="s">
        <v>7579</v>
      </c>
    </row>
    <row r="2152" spans="1:8" ht="15.75" customHeight="1">
      <c r="A2152" s="3" t="s">
        <v>8555</v>
      </c>
      <c r="B2152" s="3" t="s">
        <v>8556</v>
      </c>
      <c r="C2152" s="3" t="s">
        <v>7575</v>
      </c>
      <c r="D2152" s="4" t="s">
        <v>8557</v>
      </c>
      <c r="E2152" s="3" t="s">
        <v>8558</v>
      </c>
      <c r="F2152" s="3" t="s">
        <v>7571</v>
      </c>
      <c r="G2152" s="6"/>
      <c r="H2152" s="3" t="s">
        <v>7579</v>
      </c>
    </row>
    <row r="2153" spans="1:8" ht="15.75" customHeight="1">
      <c r="A2153" s="3" t="s">
        <v>9227</v>
      </c>
      <c r="B2153" s="3" t="s">
        <v>9197</v>
      </c>
      <c r="C2153" s="3" t="s">
        <v>9198</v>
      </c>
      <c r="D2153" s="4" t="s">
        <v>9228</v>
      </c>
      <c r="E2153" s="3" t="s">
        <v>9229</v>
      </c>
      <c r="F2153" s="34" t="s">
        <v>8934</v>
      </c>
      <c r="G2153" s="6"/>
      <c r="H2153" s="3" t="s">
        <v>8935</v>
      </c>
    </row>
    <row r="2154" spans="1:8" ht="15.75" customHeight="1">
      <c r="A2154" s="3" t="s">
        <v>9230</v>
      </c>
      <c r="B2154" s="3" t="s">
        <v>9231</v>
      </c>
      <c r="C2154" s="3" t="s">
        <v>9232</v>
      </c>
      <c r="D2154" s="4" t="s">
        <v>9233</v>
      </c>
      <c r="E2154" s="3" t="s">
        <v>9234</v>
      </c>
      <c r="F2154" s="34" t="s">
        <v>8934</v>
      </c>
      <c r="G2154" s="6"/>
      <c r="H2154" s="3" t="s">
        <v>8935</v>
      </c>
    </row>
    <row r="2155" spans="1:8" ht="15.75" customHeight="1">
      <c r="A2155" s="3" t="s">
        <v>422</v>
      </c>
      <c r="B2155" s="3" t="s">
        <v>7217</v>
      </c>
      <c r="C2155" s="3" t="s">
        <v>5771</v>
      </c>
      <c r="D2155" s="4" t="s">
        <v>9235</v>
      </c>
      <c r="E2155" s="3" t="s">
        <v>9236</v>
      </c>
      <c r="F2155" s="6"/>
      <c r="G2155" s="6"/>
      <c r="H2155" s="3" t="s">
        <v>9004</v>
      </c>
    </row>
    <row r="2156" spans="1:8" ht="15.75" customHeight="1">
      <c r="A2156" s="3" t="s">
        <v>9237</v>
      </c>
      <c r="B2156" s="3" t="s">
        <v>9238</v>
      </c>
      <c r="C2156" s="3" t="s">
        <v>9239</v>
      </c>
      <c r="D2156" s="4" t="s">
        <v>9240</v>
      </c>
      <c r="E2156" s="3" t="s">
        <v>9241</v>
      </c>
      <c r="F2156" s="34" t="s">
        <v>8934</v>
      </c>
      <c r="G2156" s="6"/>
      <c r="H2156" s="3" t="s">
        <v>8935</v>
      </c>
    </row>
    <row r="2157" spans="1:8" ht="15.75" customHeight="1">
      <c r="A2157" s="3" t="s">
        <v>155</v>
      </c>
      <c r="B2157" s="3" t="s">
        <v>4001</v>
      </c>
      <c r="C2157" s="3" t="s">
        <v>8204</v>
      </c>
      <c r="D2157" s="4" t="s">
        <v>8205</v>
      </c>
      <c r="E2157" s="3" t="s">
        <v>8206</v>
      </c>
      <c r="F2157" s="3" t="s">
        <v>7571</v>
      </c>
      <c r="G2157" s="6"/>
      <c r="H2157" s="3" t="s">
        <v>7579</v>
      </c>
    </row>
    <row r="2158" spans="1:8" ht="15.75" customHeight="1">
      <c r="A2158" s="3" t="s">
        <v>203</v>
      </c>
      <c r="B2158" s="3" t="s">
        <v>6844</v>
      </c>
      <c r="C2158" s="3" t="s">
        <v>5263</v>
      </c>
      <c r="D2158" s="4" t="s">
        <v>9242</v>
      </c>
      <c r="E2158" s="3" t="s">
        <v>9243</v>
      </c>
      <c r="F2158" s="6"/>
      <c r="G2158" s="6"/>
      <c r="H2158" s="3" t="s">
        <v>9244</v>
      </c>
    </row>
    <row r="2159" spans="1:8" ht="15.75" customHeight="1">
      <c r="A2159" s="3" t="s">
        <v>9245</v>
      </c>
      <c r="B2159" s="3" t="s">
        <v>801</v>
      </c>
      <c r="C2159" s="3" t="s">
        <v>9246</v>
      </c>
      <c r="D2159" s="4" t="s">
        <v>9247</v>
      </c>
      <c r="E2159" s="3" t="s">
        <v>9248</v>
      </c>
      <c r="F2159" s="34" t="s">
        <v>9249</v>
      </c>
      <c r="G2159" s="6"/>
      <c r="H2159" s="3" t="s">
        <v>9250</v>
      </c>
    </row>
    <row r="2160" spans="1:8" ht="15.75" customHeight="1">
      <c r="A2160" s="3" t="s">
        <v>721</v>
      </c>
      <c r="B2160" s="3" t="s">
        <v>8373</v>
      </c>
      <c r="C2160" s="3" t="s">
        <v>8374</v>
      </c>
      <c r="D2160" s="4" t="s">
        <v>8375</v>
      </c>
      <c r="E2160" s="3" t="s">
        <v>8376</v>
      </c>
      <c r="F2160" s="3" t="s">
        <v>7571</v>
      </c>
      <c r="G2160" s="6"/>
      <c r="H2160" s="3" t="s">
        <v>7579</v>
      </c>
    </row>
    <row r="2161" spans="1:8" ht="15.75" customHeight="1">
      <c r="A2161" s="3" t="s">
        <v>9251</v>
      </c>
      <c r="B2161" s="3" t="s">
        <v>9252</v>
      </c>
      <c r="C2161" s="3" t="s">
        <v>9253</v>
      </c>
      <c r="D2161" s="4" t="s">
        <v>9254</v>
      </c>
      <c r="E2161" s="3" t="s">
        <v>9255</v>
      </c>
      <c r="F2161" s="34" t="s">
        <v>9073</v>
      </c>
      <c r="G2161" s="6"/>
      <c r="H2161" s="3" t="s">
        <v>9074</v>
      </c>
    </row>
    <row r="2162" spans="1:8" ht="15.75" customHeight="1">
      <c r="A2162" s="3" t="s">
        <v>9256</v>
      </c>
      <c r="B2162" s="3" t="s">
        <v>463</v>
      </c>
      <c r="C2162" s="3" t="s">
        <v>6033</v>
      </c>
      <c r="D2162" s="4" t="s">
        <v>9257</v>
      </c>
      <c r="E2162" s="3" t="s">
        <v>9258</v>
      </c>
      <c r="F2162" s="6"/>
      <c r="G2162" s="6"/>
      <c r="H2162" s="3" t="s">
        <v>9259</v>
      </c>
    </row>
    <row r="2163" spans="1:8" ht="15.75" customHeight="1">
      <c r="A2163" s="3" t="s">
        <v>3349</v>
      </c>
      <c r="B2163" s="3" t="s">
        <v>9260</v>
      </c>
      <c r="C2163" s="3" t="s">
        <v>9261</v>
      </c>
      <c r="D2163" s="4" t="s">
        <v>9262</v>
      </c>
      <c r="E2163" s="3" t="s">
        <v>9263</v>
      </c>
      <c r="F2163" s="34" t="s">
        <v>9264</v>
      </c>
      <c r="G2163" s="6"/>
      <c r="H2163" s="3" t="s">
        <v>9265</v>
      </c>
    </row>
    <row r="2164" spans="1:8" ht="15.75" customHeight="1">
      <c r="A2164" s="3" t="s">
        <v>2528</v>
      </c>
      <c r="B2164" s="3" t="s">
        <v>934</v>
      </c>
      <c r="C2164" s="3" t="s">
        <v>7883</v>
      </c>
      <c r="D2164" s="4" t="s">
        <v>7884</v>
      </c>
      <c r="E2164" s="3" t="s">
        <v>7885</v>
      </c>
      <c r="F2164" s="34" t="s">
        <v>7881</v>
      </c>
      <c r="G2164" s="6"/>
      <c r="H2164" s="3" t="s">
        <v>7579</v>
      </c>
    </row>
    <row r="2165" spans="1:8" ht="15.75" customHeight="1">
      <c r="A2165" s="3" t="s">
        <v>381</v>
      </c>
      <c r="B2165" s="3" t="s">
        <v>2497</v>
      </c>
      <c r="C2165" s="3" t="s">
        <v>6495</v>
      </c>
      <c r="D2165" s="4" t="s">
        <v>9266</v>
      </c>
      <c r="E2165" s="3" t="s">
        <v>9267</v>
      </c>
      <c r="F2165" s="34" t="s">
        <v>9268</v>
      </c>
      <c r="G2165" s="6"/>
      <c r="H2165" s="3" t="s">
        <v>9269</v>
      </c>
    </row>
    <row r="2166" spans="1:8" ht="15.75" customHeight="1">
      <c r="A2166" s="3" t="s">
        <v>8026</v>
      </c>
      <c r="B2166" s="3" t="s">
        <v>5085</v>
      </c>
      <c r="C2166" s="3" t="s">
        <v>9270</v>
      </c>
      <c r="D2166" s="4" t="s">
        <v>9271</v>
      </c>
      <c r="E2166" s="3" t="s">
        <v>9272</v>
      </c>
      <c r="F2166" s="34" t="s">
        <v>8934</v>
      </c>
      <c r="G2166" s="6"/>
      <c r="H2166" s="3" t="s">
        <v>8935</v>
      </c>
    </row>
    <row r="2167" spans="1:8" ht="15.75" customHeight="1">
      <c r="A2167" s="3" t="s">
        <v>14</v>
      </c>
      <c r="B2167" s="3" t="s">
        <v>1241</v>
      </c>
      <c r="C2167" s="3" t="s">
        <v>9273</v>
      </c>
      <c r="D2167" s="4" t="s">
        <v>9274</v>
      </c>
      <c r="E2167" s="3" t="s">
        <v>9275</v>
      </c>
      <c r="F2167" s="34" t="s">
        <v>9007</v>
      </c>
      <c r="G2167" s="6"/>
      <c r="H2167" s="3" t="s">
        <v>9008</v>
      </c>
    </row>
    <row r="2168" spans="1:8" ht="15.75" customHeight="1">
      <c r="A2168" s="3" t="s">
        <v>3716</v>
      </c>
      <c r="B2168" s="3" t="s">
        <v>3717</v>
      </c>
      <c r="C2168" s="3" t="s">
        <v>3850</v>
      </c>
      <c r="D2168" s="4" t="s">
        <v>9276</v>
      </c>
      <c r="E2168" s="3" t="s">
        <v>9277</v>
      </c>
      <c r="F2168" s="34" t="s">
        <v>8934</v>
      </c>
      <c r="G2168" s="6"/>
      <c r="H2168" s="3" t="s">
        <v>8935</v>
      </c>
    </row>
    <row r="2169" spans="1:8" ht="15.75" customHeight="1">
      <c r="A2169" s="3" t="s">
        <v>6782</v>
      </c>
      <c r="B2169" s="3" t="s">
        <v>9278</v>
      </c>
      <c r="C2169" s="3" t="s">
        <v>4826</v>
      </c>
      <c r="D2169" s="4" t="s">
        <v>9279</v>
      </c>
      <c r="E2169" s="3" t="s">
        <v>9280</v>
      </c>
      <c r="F2169" s="34" t="s">
        <v>8934</v>
      </c>
      <c r="G2169" s="6"/>
      <c r="H2169" s="3" t="s">
        <v>8935</v>
      </c>
    </row>
    <row r="2170" spans="1:8" ht="15.75" customHeight="1">
      <c r="A2170" s="3" t="s">
        <v>9281</v>
      </c>
      <c r="B2170" s="3" t="s">
        <v>9282</v>
      </c>
      <c r="C2170" s="3" t="s">
        <v>9283</v>
      </c>
      <c r="D2170" s="4" t="s">
        <v>9284</v>
      </c>
      <c r="E2170" s="3" t="s">
        <v>9285</v>
      </c>
      <c r="F2170" s="34" t="s">
        <v>8934</v>
      </c>
      <c r="G2170" s="6"/>
      <c r="H2170" s="3" t="s">
        <v>8935</v>
      </c>
    </row>
    <row r="2171" spans="1:8" ht="15.75" customHeight="1">
      <c r="A2171" s="3" t="s">
        <v>301</v>
      </c>
      <c r="B2171" s="3" t="s">
        <v>8250</v>
      </c>
      <c r="C2171" s="3" t="s">
        <v>8251</v>
      </c>
      <c r="D2171" s="4" t="s">
        <v>8252</v>
      </c>
      <c r="E2171" s="3" t="s">
        <v>8253</v>
      </c>
      <c r="F2171" s="3" t="s">
        <v>7571</v>
      </c>
      <c r="G2171" s="6"/>
      <c r="H2171" s="3" t="s">
        <v>7579</v>
      </c>
    </row>
    <row r="2172" spans="1:8" ht="15.75" customHeight="1">
      <c r="A2172" s="3" t="s">
        <v>8265</v>
      </c>
      <c r="B2172" s="3" t="s">
        <v>2245</v>
      </c>
      <c r="C2172" s="3" t="s">
        <v>8266</v>
      </c>
      <c r="D2172" s="4" t="s">
        <v>8267</v>
      </c>
      <c r="E2172" s="3" t="s">
        <v>8268</v>
      </c>
      <c r="F2172" s="3" t="s">
        <v>7571</v>
      </c>
      <c r="G2172" s="6"/>
      <c r="H2172" s="3" t="s">
        <v>7579</v>
      </c>
    </row>
    <row r="2173" spans="1:8" ht="15.75" customHeight="1">
      <c r="A2173" s="3" t="s">
        <v>14</v>
      </c>
      <c r="B2173" s="3" t="s">
        <v>1129</v>
      </c>
      <c r="C2173" s="3" t="s">
        <v>9273</v>
      </c>
      <c r="D2173" s="4" t="s">
        <v>9286</v>
      </c>
      <c r="E2173" s="3" t="s">
        <v>9275</v>
      </c>
      <c r="F2173" s="34" t="s">
        <v>9007</v>
      </c>
      <c r="G2173" s="6"/>
      <c r="H2173" s="3" t="s">
        <v>9008</v>
      </c>
    </row>
    <row r="2174" spans="1:8" ht="15.75" customHeight="1">
      <c r="A2174" s="3" t="s">
        <v>9287</v>
      </c>
      <c r="B2174" s="3" t="s">
        <v>9288</v>
      </c>
      <c r="C2174" s="3" t="s">
        <v>9289</v>
      </c>
      <c r="D2174" s="4" t="s">
        <v>9290</v>
      </c>
      <c r="E2174" s="3" t="s">
        <v>9291</v>
      </c>
      <c r="F2174" s="3" t="s">
        <v>9292</v>
      </c>
      <c r="G2174" s="6"/>
      <c r="H2174" s="3" t="s">
        <v>9293</v>
      </c>
    </row>
    <row r="2175" spans="1:8" ht="15.75" customHeight="1">
      <c r="A2175" s="3" t="s">
        <v>8050</v>
      </c>
      <c r="B2175" s="3" t="s">
        <v>6397</v>
      </c>
      <c r="C2175" s="3" t="s">
        <v>8051</v>
      </c>
      <c r="D2175" s="4" t="s">
        <v>8052</v>
      </c>
      <c r="E2175" s="3" t="s">
        <v>8053</v>
      </c>
      <c r="F2175" s="3" t="s">
        <v>7571</v>
      </c>
      <c r="G2175" s="6"/>
      <c r="H2175" s="3" t="s">
        <v>7579</v>
      </c>
    </row>
    <row r="2176" spans="1:8" ht="15.75" customHeight="1">
      <c r="A2176" s="3" t="s">
        <v>8929</v>
      </c>
      <c r="B2176" s="3" t="s">
        <v>8930</v>
      </c>
      <c r="C2176" s="3" t="s">
        <v>8931</v>
      </c>
      <c r="D2176" s="4" t="s">
        <v>8932</v>
      </c>
      <c r="E2176" s="3" t="s">
        <v>8933</v>
      </c>
      <c r="F2176" s="34" t="s">
        <v>8934</v>
      </c>
      <c r="G2176" s="6"/>
      <c r="H2176" s="3" t="s">
        <v>8935</v>
      </c>
    </row>
    <row r="2177" spans="1:8" ht="15.75" customHeight="1">
      <c r="A2177" s="3" t="s">
        <v>301</v>
      </c>
      <c r="B2177" s="3" t="s">
        <v>8099</v>
      </c>
      <c r="C2177" s="3" t="s">
        <v>8100</v>
      </c>
      <c r="D2177" s="4" t="s">
        <v>8101</v>
      </c>
      <c r="E2177" s="3" t="s">
        <v>8102</v>
      </c>
      <c r="F2177" s="3" t="s">
        <v>8704</v>
      </c>
      <c r="G2177" s="6"/>
      <c r="H2177" s="3" t="s">
        <v>7579</v>
      </c>
    </row>
    <row r="2178" spans="1:8" ht="15.75" customHeight="1">
      <c r="A2178" s="3" t="s">
        <v>9057</v>
      </c>
      <c r="B2178" s="3" t="s">
        <v>9058</v>
      </c>
      <c r="C2178" s="3" t="s">
        <v>9017</v>
      </c>
      <c r="D2178" s="4" t="s">
        <v>9059</v>
      </c>
      <c r="E2178" s="3" t="s">
        <v>9060</v>
      </c>
      <c r="F2178" s="34" t="s">
        <v>8934</v>
      </c>
      <c r="G2178" s="6"/>
      <c r="H2178" s="3" t="s">
        <v>8935</v>
      </c>
    </row>
    <row r="2179" spans="1:8" ht="15.75" customHeight="1">
      <c r="A2179" s="3" t="s">
        <v>1768</v>
      </c>
      <c r="B2179" s="3" t="s">
        <v>2968</v>
      </c>
      <c r="C2179" s="3" t="s">
        <v>9061</v>
      </c>
      <c r="D2179" s="4" t="s">
        <v>9062</v>
      </c>
      <c r="E2179" s="3" t="s">
        <v>9063</v>
      </c>
      <c r="F2179" s="34" t="s">
        <v>8934</v>
      </c>
      <c r="G2179" s="6"/>
      <c r="H2179" s="3" t="s">
        <v>8935</v>
      </c>
    </row>
    <row r="2180" spans="1:8" ht="15.75" customHeight="1">
      <c r="A2180" s="3" t="s">
        <v>384</v>
      </c>
      <c r="B2180" s="3" t="s">
        <v>801</v>
      </c>
      <c r="C2180" s="3" t="s">
        <v>6495</v>
      </c>
      <c r="D2180" s="4" t="s">
        <v>9294</v>
      </c>
      <c r="E2180" s="3" t="s">
        <v>9295</v>
      </c>
      <c r="F2180" s="34" t="s">
        <v>9296</v>
      </c>
      <c r="G2180" s="6"/>
      <c r="H2180" s="3" t="s">
        <v>9297</v>
      </c>
    </row>
    <row r="2181" spans="1:8" ht="15.75" customHeight="1">
      <c r="A2181" s="3" t="s">
        <v>9298</v>
      </c>
      <c r="B2181" s="3" t="s">
        <v>9299</v>
      </c>
      <c r="C2181" s="3" t="s">
        <v>1684</v>
      </c>
      <c r="D2181" s="4" t="s">
        <v>9300</v>
      </c>
      <c r="E2181" s="3" t="s">
        <v>9301</v>
      </c>
      <c r="F2181" s="6"/>
      <c r="G2181" s="6"/>
      <c r="H2181" s="3" t="s">
        <v>9302</v>
      </c>
    </row>
    <row r="2182" spans="1:8" ht="15.75" customHeight="1">
      <c r="A2182" s="3" t="s">
        <v>913</v>
      </c>
      <c r="B2182" s="3" t="s">
        <v>801</v>
      </c>
      <c r="C2182" s="3" t="s">
        <v>1684</v>
      </c>
      <c r="D2182" s="4" t="s">
        <v>9303</v>
      </c>
      <c r="E2182" s="3" t="s">
        <v>9304</v>
      </c>
      <c r="F2182" s="6"/>
      <c r="G2182" s="6"/>
      <c r="H2182" s="3" t="s">
        <v>9305</v>
      </c>
    </row>
    <row r="2183" spans="1:8" ht="15.75" customHeight="1">
      <c r="A2183" s="3" t="s">
        <v>394</v>
      </c>
      <c r="B2183" s="3" t="s">
        <v>4471</v>
      </c>
      <c r="C2183" s="3" t="s">
        <v>9306</v>
      </c>
      <c r="D2183" s="4" t="s">
        <v>9307</v>
      </c>
      <c r="E2183" s="3" t="s">
        <v>9308</v>
      </c>
      <c r="F2183" s="6"/>
      <c r="G2183" s="6"/>
      <c r="H2183" s="3" t="s">
        <v>9309</v>
      </c>
    </row>
    <row r="2184" spans="1:8" ht="15.75" customHeight="1">
      <c r="A2184" s="3" t="s">
        <v>9155</v>
      </c>
      <c r="B2184" s="3" t="s">
        <v>9156</v>
      </c>
      <c r="C2184" s="3" t="s">
        <v>9157</v>
      </c>
      <c r="D2184" s="4" t="s">
        <v>9158</v>
      </c>
      <c r="E2184" s="3" t="s">
        <v>9159</v>
      </c>
      <c r="F2184" s="34" t="s">
        <v>8934</v>
      </c>
      <c r="G2184" s="6"/>
      <c r="H2184" s="3" t="s">
        <v>8935</v>
      </c>
    </row>
    <row r="2185" spans="1:8" ht="15.75" customHeight="1">
      <c r="A2185" s="3" t="s">
        <v>2463</v>
      </c>
      <c r="B2185" s="3" t="s">
        <v>3995</v>
      </c>
      <c r="C2185" s="3" t="s">
        <v>9310</v>
      </c>
      <c r="D2185" s="4" t="s">
        <v>9311</v>
      </c>
      <c r="E2185" s="3" t="s">
        <v>9312</v>
      </c>
      <c r="F2185" s="6"/>
      <c r="G2185" s="6"/>
      <c r="H2185" s="3" t="s">
        <v>9313</v>
      </c>
    </row>
    <row r="2186" spans="1:8" ht="15.75" customHeight="1">
      <c r="A2186" s="3" t="s">
        <v>9314</v>
      </c>
      <c r="B2186" s="3" t="s">
        <v>3047</v>
      </c>
      <c r="C2186" s="3" t="s">
        <v>46</v>
      </c>
      <c r="D2186" s="4" t="s">
        <v>9315</v>
      </c>
      <c r="E2186" s="3" t="s">
        <v>9316</v>
      </c>
      <c r="F2186" s="6"/>
      <c r="G2186" s="6"/>
      <c r="H2186" s="3" t="s">
        <v>9317</v>
      </c>
    </row>
    <row r="2187" spans="1:8" ht="15.75" customHeight="1">
      <c r="A2187" s="3" t="s">
        <v>9175</v>
      </c>
      <c r="B2187" s="3" t="s">
        <v>9176</v>
      </c>
      <c r="C2187" s="3" t="s">
        <v>9177</v>
      </c>
      <c r="D2187" s="4" t="s">
        <v>9178</v>
      </c>
      <c r="E2187" s="3" t="s">
        <v>9179</v>
      </c>
      <c r="F2187" s="34" t="s">
        <v>8934</v>
      </c>
      <c r="G2187" s="6"/>
      <c r="H2187" s="3" t="s">
        <v>8935</v>
      </c>
    </row>
    <row r="2188" spans="1:8" ht="15.75" customHeight="1">
      <c r="A2188" s="3" t="s">
        <v>9180</v>
      </c>
      <c r="B2188" s="3" t="s">
        <v>9181</v>
      </c>
      <c r="C2188" s="3" t="s">
        <v>9182</v>
      </c>
      <c r="D2188" s="4" t="s">
        <v>9183</v>
      </c>
      <c r="E2188" s="3" t="s">
        <v>9184</v>
      </c>
      <c r="F2188" s="34" t="s">
        <v>8934</v>
      </c>
      <c r="G2188" s="6"/>
      <c r="H2188" s="3" t="s">
        <v>8935</v>
      </c>
    </row>
    <row r="2189" spans="1:8" ht="15.75" customHeight="1">
      <c r="A2189" s="3" t="s">
        <v>9318</v>
      </c>
      <c r="B2189" s="3" t="s">
        <v>9319</v>
      </c>
      <c r="C2189" s="3" t="s">
        <v>5263</v>
      </c>
      <c r="D2189" s="4" t="s">
        <v>9320</v>
      </c>
      <c r="E2189" s="3" t="s">
        <v>9321</v>
      </c>
      <c r="F2189" s="34" t="s">
        <v>9322</v>
      </c>
      <c r="G2189" s="6"/>
      <c r="H2189" s="3" t="s">
        <v>9323</v>
      </c>
    </row>
    <row r="2190" spans="1:8" ht="15.75" customHeight="1">
      <c r="A2190" s="3" t="s">
        <v>1768</v>
      </c>
      <c r="B2190" s="3" t="s">
        <v>7451</v>
      </c>
      <c r="C2190" s="3" t="s">
        <v>9324</v>
      </c>
      <c r="D2190" s="4" t="s">
        <v>9325</v>
      </c>
      <c r="E2190" s="3" t="s">
        <v>9326</v>
      </c>
      <c r="F2190" s="6"/>
      <c r="G2190" s="6"/>
      <c r="H2190" s="3" t="s">
        <v>9327</v>
      </c>
    </row>
    <row r="2191" spans="1:8" ht="15.75" customHeight="1">
      <c r="A2191" s="3" t="s">
        <v>281</v>
      </c>
      <c r="B2191" s="3" t="s">
        <v>7421</v>
      </c>
      <c r="C2191" s="3" t="s">
        <v>9328</v>
      </c>
      <c r="D2191" s="4" t="s">
        <v>9329</v>
      </c>
      <c r="E2191" s="3" t="s">
        <v>9330</v>
      </c>
      <c r="F2191" s="34" t="s">
        <v>9331</v>
      </c>
      <c r="G2191" s="6"/>
      <c r="H2191" s="3" t="s">
        <v>9332</v>
      </c>
    </row>
    <row r="2192" spans="1:8" ht="15.75" customHeight="1">
      <c r="A2192" s="3" t="s">
        <v>1704</v>
      </c>
      <c r="B2192" s="3" t="s">
        <v>6107</v>
      </c>
      <c r="C2192" s="3" t="s">
        <v>9333</v>
      </c>
      <c r="D2192" s="4" t="s">
        <v>9334</v>
      </c>
      <c r="E2192" s="3" t="s">
        <v>9335</v>
      </c>
      <c r="F2192" s="34" t="s">
        <v>9336</v>
      </c>
      <c r="G2192" s="6"/>
      <c r="H2192" s="3" t="s">
        <v>9337</v>
      </c>
    </row>
    <row r="2193" spans="1:8" ht="15.75" customHeight="1">
      <c r="A2193" s="3" t="s">
        <v>1303</v>
      </c>
      <c r="B2193" s="3" t="s">
        <v>1304</v>
      </c>
      <c r="C2193" s="3" t="s">
        <v>210</v>
      </c>
      <c r="D2193" s="4" t="s">
        <v>9338</v>
      </c>
      <c r="E2193" s="3" t="s">
        <v>9339</v>
      </c>
      <c r="F2193" s="34" t="s">
        <v>9340</v>
      </c>
      <c r="G2193" s="6"/>
      <c r="H2193" s="3" t="s">
        <v>9341</v>
      </c>
    </row>
    <row r="2194" spans="1:8" ht="15.75" customHeight="1">
      <c r="A2194" s="3" t="s">
        <v>1517</v>
      </c>
      <c r="B2194" s="3" t="s">
        <v>7699</v>
      </c>
      <c r="C2194" s="3" t="s">
        <v>5308</v>
      </c>
      <c r="D2194" s="4" t="s">
        <v>9342</v>
      </c>
      <c r="E2194" s="3" t="s">
        <v>9343</v>
      </c>
      <c r="F2194" s="6"/>
      <c r="G2194" s="6"/>
      <c r="H2194" s="3" t="s">
        <v>9344</v>
      </c>
    </row>
    <row r="2195" spans="1:8" ht="15.75" customHeight="1">
      <c r="A2195" s="3" t="s">
        <v>44</v>
      </c>
      <c r="B2195" s="3" t="s">
        <v>6027</v>
      </c>
      <c r="C2195" s="3" t="s">
        <v>1684</v>
      </c>
      <c r="D2195" s="4" t="s">
        <v>9345</v>
      </c>
      <c r="E2195" s="3" t="s">
        <v>9346</v>
      </c>
      <c r="F2195" s="34" t="s">
        <v>9347</v>
      </c>
      <c r="G2195" s="6"/>
      <c r="H2195" s="3" t="s">
        <v>9348</v>
      </c>
    </row>
    <row r="2196" spans="1:8" ht="15.75" customHeight="1">
      <c r="A2196" s="3" t="s">
        <v>6159</v>
      </c>
      <c r="B2196" s="3" t="s">
        <v>9349</v>
      </c>
      <c r="C2196" s="3" t="s">
        <v>7100</v>
      </c>
      <c r="D2196" s="4" t="s">
        <v>9350</v>
      </c>
      <c r="E2196" s="3" t="s">
        <v>9351</v>
      </c>
      <c r="F2196" s="6"/>
      <c r="G2196" s="6"/>
      <c r="H2196" s="3" t="s">
        <v>9352</v>
      </c>
    </row>
    <row r="2197" spans="1:8" ht="15.75" customHeight="1">
      <c r="A2197" s="3" t="s">
        <v>9353</v>
      </c>
      <c r="B2197" s="3" t="s">
        <v>9354</v>
      </c>
      <c r="C2197" s="3" t="s">
        <v>229</v>
      </c>
      <c r="D2197" s="4" t="s">
        <v>9355</v>
      </c>
      <c r="E2197" s="3" t="s">
        <v>9356</v>
      </c>
      <c r="F2197" s="34" t="s">
        <v>9357</v>
      </c>
      <c r="G2197" s="6"/>
      <c r="H2197" s="3" t="s">
        <v>9358</v>
      </c>
    </row>
    <row r="2198" spans="1:8" ht="15.75" customHeight="1">
      <c r="A2198" s="3" t="s">
        <v>2528</v>
      </c>
      <c r="B2198" s="3" t="s">
        <v>934</v>
      </c>
      <c r="C2198" s="3" t="s">
        <v>7883</v>
      </c>
      <c r="D2198" s="4" t="s">
        <v>7884</v>
      </c>
      <c r="E2198" s="3" t="s">
        <v>7885</v>
      </c>
      <c r="F2198" s="34" t="s">
        <v>7881</v>
      </c>
      <c r="G2198" s="6"/>
      <c r="H2198" s="3" t="s">
        <v>7579</v>
      </c>
    </row>
    <row r="2199" spans="1:8" ht="15.75" customHeight="1">
      <c r="A2199" s="3" t="s">
        <v>8026</v>
      </c>
      <c r="B2199" s="3" t="s">
        <v>5085</v>
      </c>
      <c r="C2199" s="3" t="s">
        <v>9270</v>
      </c>
      <c r="D2199" s="4" t="s">
        <v>9271</v>
      </c>
      <c r="E2199" s="3" t="s">
        <v>9272</v>
      </c>
      <c r="F2199" s="34" t="s">
        <v>8934</v>
      </c>
      <c r="G2199" s="6"/>
      <c r="H2199" s="3" t="s">
        <v>8935</v>
      </c>
    </row>
    <row r="2200" spans="1:8" ht="15.75" customHeight="1">
      <c r="A2200" s="3" t="s">
        <v>3716</v>
      </c>
      <c r="B2200" s="3" t="s">
        <v>3717</v>
      </c>
      <c r="C2200" s="3" t="s">
        <v>3850</v>
      </c>
      <c r="D2200" s="4" t="s">
        <v>9276</v>
      </c>
      <c r="E2200" s="3" t="s">
        <v>9277</v>
      </c>
      <c r="F2200" s="34" t="s">
        <v>8934</v>
      </c>
      <c r="G2200" s="6"/>
      <c r="H2200" s="3" t="s">
        <v>8935</v>
      </c>
    </row>
    <row r="2201" spans="1:8" ht="15.75" customHeight="1">
      <c r="A2201" s="3" t="s">
        <v>6782</v>
      </c>
      <c r="B2201" s="3" t="s">
        <v>9278</v>
      </c>
      <c r="C2201" s="3" t="s">
        <v>4826</v>
      </c>
      <c r="D2201" s="4" t="s">
        <v>9279</v>
      </c>
      <c r="E2201" s="3" t="s">
        <v>9280</v>
      </c>
      <c r="F2201" s="34" t="s">
        <v>8934</v>
      </c>
      <c r="G2201" s="6"/>
      <c r="H2201" s="3" t="s">
        <v>8935</v>
      </c>
    </row>
    <row r="2202" spans="1:8" ht="15.75" customHeight="1">
      <c r="A2202" s="3" t="s">
        <v>9281</v>
      </c>
      <c r="B2202" s="3" t="s">
        <v>9282</v>
      </c>
      <c r="C2202" s="3" t="s">
        <v>9283</v>
      </c>
      <c r="D2202" s="4" t="s">
        <v>9284</v>
      </c>
      <c r="E2202" s="3" t="s">
        <v>9285</v>
      </c>
      <c r="F2202" s="34" t="s">
        <v>8934</v>
      </c>
      <c r="G2202" s="6"/>
      <c r="H2202" s="3" t="s">
        <v>8935</v>
      </c>
    </row>
    <row r="2203" spans="1:8" ht="15.75" customHeight="1">
      <c r="A2203" s="3" t="s">
        <v>1615</v>
      </c>
      <c r="B2203" s="3" t="s">
        <v>2036</v>
      </c>
      <c r="C2203" s="3" t="s">
        <v>7100</v>
      </c>
      <c r="D2203" s="4" t="s">
        <v>9359</v>
      </c>
      <c r="E2203" s="3" t="s">
        <v>9360</v>
      </c>
      <c r="F2203" s="34" t="s">
        <v>9361</v>
      </c>
      <c r="G2203" s="6"/>
      <c r="H2203" s="3" t="s">
        <v>9362</v>
      </c>
    </row>
    <row r="2204" spans="1:8" ht="15.75" customHeight="1">
      <c r="A2204" s="3" t="s">
        <v>143</v>
      </c>
      <c r="B2204" s="3" t="s">
        <v>5482</v>
      </c>
      <c r="C2204" s="3" t="s">
        <v>229</v>
      </c>
      <c r="D2204" s="4" t="s">
        <v>9363</v>
      </c>
      <c r="E2204" s="3" t="s">
        <v>9364</v>
      </c>
      <c r="F2204" s="6"/>
      <c r="G2204" s="6"/>
      <c r="H2204" s="3" t="s">
        <v>9365</v>
      </c>
    </row>
    <row r="2205" spans="1:8" ht="15.75" customHeight="1">
      <c r="A2205" s="3" t="s">
        <v>873</v>
      </c>
      <c r="B2205" s="3" t="s">
        <v>9366</v>
      </c>
      <c r="C2205" s="3" t="s">
        <v>9367</v>
      </c>
      <c r="D2205" s="4" t="s">
        <v>9368</v>
      </c>
      <c r="E2205" s="3" t="s">
        <v>9369</v>
      </c>
      <c r="F2205" s="6"/>
      <c r="G2205" s="6"/>
      <c r="H2205" s="3" t="s">
        <v>9370</v>
      </c>
    </row>
    <row r="2206" spans="1:8" ht="15.75" customHeight="1">
      <c r="A2206" s="3" t="s">
        <v>4470</v>
      </c>
      <c r="B2206" s="3" t="s">
        <v>221</v>
      </c>
      <c r="C2206" s="3" t="s">
        <v>1684</v>
      </c>
      <c r="D2206" s="4" t="s">
        <v>9371</v>
      </c>
      <c r="E2206" s="3" t="s">
        <v>9372</v>
      </c>
      <c r="F2206" s="34" t="s">
        <v>9373</v>
      </c>
      <c r="G2206" s="6"/>
      <c r="H2206" s="3" t="s">
        <v>9374</v>
      </c>
    </row>
    <row r="2207" spans="1:8" ht="15.75" customHeight="1">
      <c r="A2207" s="3" t="s">
        <v>812</v>
      </c>
      <c r="B2207" s="3" t="s">
        <v>7959</v>
      </c>
      <c r="C2207" s="3" t="s">
        <v>7960</v>
      </c>
      <c r="D2207" s="4" t="s">
        <v>7961</v>
      </c>
      <c r="E2207" s="3" t="s">
        <v>7962</v>
      </c>
      <c r="F2207" s="34" t="s">
        <v>7881</v>
      </c>
      <c r="G2207" s="6"/>
      <c r="H2207" s="3" t="s">
        <v>7579</v>
      </c>
    </row>
    <row r="2208" spans="1:8" ht="15.75" customHeight="1">
      <c r="A2208" s="3" t="s">
        <v>345</v>
      </c>
      <c r="B2208" s="3" t="s">
        <v>9375</v>
      </c>
      <c r="C2208" s="3" t="s">
        <v>6048</v>
      </c>
      <c r="D2208" s="4" t="s">
        <v>9376</v>
      </c>
      <c r="E2208" s="3" t="s">
        <v>9377</v>
      </c>
      <c r="F2208" s="34" t="s">
        <v>9378</v>
      </c>
      <c r="G2208" s="6"/>
      <c r="H2208" s="3" t="s">
        <v>9379</v>
      </c>
    </row>
    <row r="2209" spans="1:8" ht="15.75" customHeight="1">
      <c r="A2209" s="3" t="s">
        <v>517</v>
      </c>
      <c r="B2209" s="3" t="s">
        <v>2084</v>
      </c>
      <c r="C2209" s="3" t="s">
        <v>91</v>
      </c>
      <c r="D2209" s="4" t="s">
        <v>9380</v>
      </c>
      <c r="E2209" s="3" t="s">
        <v>9381</v>
      </c>
      <c r="F2209" s="6"/>
      <c r="G2209" s="6"/>
      <c r="H2209" s="3" t="s">
        <v>9382</v>
      </c>
    </row>
    <row r="2210" spans="1:8" ht="15.75" customHeight="1">
      <c r="A2210" s="3" t="s">
        <v>1419</v>
      </c>
      <c r="B2210" s="3" t="s">
        <v>9383</v>
      </c>
      <c r="C2210" s="3" t="s">
        <v>9384</v>
      </c>
      <c r="D2210" s="4" t="s">
        <v>9385</v>
      </c>
      <c r="E2210" s="3" t="s">
        <v>9386</v>
      </c>
      <c r="F2210" s="34" t="s">
        <v>9387</v>
      </c>
      <c r="G2210" s="6"/>
      <c r="H2210" s="3" t="s">
        <v>9388</v>
      </c>
    </row>
    <row r="2211" spans="1:8" ht="15.75" customHeight="1">
      <c r="A2211" s="3" t="s">
        <v>7686</v>
      </c>
      <c r="B2211" s="3" t="s">
        <v>7687</v>
      </c>
      <c r="C2211" s="3" t="s">
        <v>7688</v>
      </c>
      <c r="D2211" s="4" t="s">
        <v>7689</v>
      </c>
      <c r="E2211" s="3" t="s">
        <v>7690</v>
      </c>
      <c r="F2211" s="3" t="s">
        <v>7571</v>
      </c>
      <c r="G2211" s="6"/>
      <c r="H2211" s="3" t="s">
        <v>7579</v>
      </c>
    </row>
    <row r="2212" spans="1:8" ht="15.75" customHeight="1">
      <c r="A2212" s="3" t="s">
        <v>4582</v>
      </c>
      <c r="B2212" s="3" t="s">
        <v>1249</v>
      </c>
      <c r="C2212" s="3" t="s">
        <v>7695</v>
      </c>
      <c r="D2212" s="4" t="s">
        <v>7696</v>
      </c>
      <c r="E2212" s="3" t="s">
        <v>7697</v>
      </c>
      <c r="F2212" s="3" t="s">
        <v>7571</v>
      </c>
      <c r="G2212" s="6"/>
      <c r="H2212" s="3" t="s">
        <v>7579</v>
      </c>
    </row>
    <row r="2213" spans="1:8" ht="15.75" customHeight="1">
      <c r="A2213" s="3" t="s">
        <v>462</v>
      </c>
      <c r="B2213" s="3" t="s">
        <v>9389</v>
      </c>
      <c r="C2213" s="3" t="s">
        <v>9390</v>
      </c>
      <c r="D2213" s="4" t="s">
        <v>9391</v>
      </c>
      <c r="E2213" s="3" t="s">
        <v>9392</v>
      </c>
      <c r="F2213" s="34" t="s">
        <v>9393</v>
      </c>
      <c r="G2213" s="6"/>
      <c r="H2213" s="3" t="s">
        <v>9394</v>
      </c>
    </row>
    <row r="2214" spans="1:8" ht="15.75" customHeight="1">
      <c r="A2214" s="3" t="s">
        <v>9395</v>
      </c>
      <c r="B2214" s="3" t="s">
        <v>9396</v>
      </c>
      <c r="C2214" s="3" t="s">
        <v>4364</v>
      </c>
      <c r="D2214" s="4" t="s">
        <v>9397</v>
      </c>
      <c r="E2214" s="3" t="s">
        <v>9398</v>
      </c>
      <c r="F2214" s="6"/>
      <c r="G2214" s="6"/>
      <c r="H2214" s="3" t="s">
        <v>9399</v>
      </c>
    </row>
    <row r="2215" spans="1:8" ht="15.75" customHeight="1">
      <c r="A2215" s="3" t="s">
        <v>7550</v>
      </c>
      <c r="B2215" s="3" t="s">
        <v>2245</v>
      </c>
      <c r="C2215" s="3" t="s">
        <v>9400</v>
      </c>
      <c r="D2215" s="4" t="s">
        <v>9401</v>
      </c>
      <c r="E2215" s="3" t="s">
        <v>9402</v>
      </c>
      <c r="F2215" s="34" t="s">
        <v>9403</v>
      </c>
      <c r="G2215" s="6"/>
      <c r="H2215" s="3" t="s">
        <v>9309</v>
      </c>
    </row>
    <row r="2216" spans="1:8" ht="15.75" customHeight="1">
      <c r="A2216" s="3" t="s">
        <v>359</v>
      </c>
      <c r="B2216" s="3" t="s">
        <v>1277</v>
      </c>
      <c r="C2216" s="3" t="s">
        <v>1580</v>
      </c>
      <c r="D2216" s="4" t="s">
        <v>7937</v>
      </c>
      <c r="E2216" s="3" t="s">
        <v>7938</v>
      </c>
      <c r="F2216" s="3" t="s">
        <v>7571</v>
      </c>
      <c r="G2216" s="6"/>
      <c r="H2216" s="3" t="s">
        <v>7579</v>
      </c>
    </row>
    <row r="2217" spans="1:8" ht="15.75" customHeight="1">
      <c r="A2217" s="3" t="s">
        <v>1501</v>
      </c>
      <c r="B2217" s="3" t="s">
        <v>452</v>
      </c>
      <c r="C2217" s="3" t="s">
        <v>9404</v>
      </c>
      <c r="D2217" s="4" t="s">
        <v>9405</v>
      </c>
      <c r="E2217" s="3" t="s">
        <v>9406</v>
      </c>
      <c r="F2217" s="34" t="s">
        <v>9407</v>
      </c>
      <c r="G2217" s="6"/>
      <c r="H2217" s="3" t="s">
        <v>9408</v>
      </c>
    </row>
    <row r="2218" spans="1:8" ht="15.75" customHeight="1">
      <c r="A2218" s="3" t="s">
        <v>227</v>
      </c>
      <c r="B2218" s="3" t="s">
        <v>9409</v>
      </c>
      <c r="C2218" s="3" t="s">
        <v>9410</v>
      </c>
      <c r="D2218" s="4" t="s">
        <v>9411</v>
      </c>
      <c r="E2218" s="3" t="s">
        <v>9412</v>
      </c>
      <c r="F2218" s="34" t="s">
        <v>9413</v>
      </c>
      <c r="G2218" s="6"/>
      <c r="H2218" s="3" t="s">
        <v>9414</v>
      </c>
    </row>
    <row r="2219" spans="1:8" ht="15.75" customHeight="1">
      <c r="A2219" s="3" t="s">
        <v>1217</v>
      </c>
      <c r="B2219" s="3" t="s">
        <v>221</v>
      </c>
      <c r="C2219" s="3" t="s">
        <v>9415</v>
      </c>
      <c r="D2219" s="4" t="s">
        <v>9416</v>
      </c>
      <c r="E2219" s="3" t="s">
        <v>9417</v>
      </c>
      <c r="F2219" s="34" t="s">
        <v>9418</v>
      </c>
      <c r="G2219" s="6"/>
      <c r="H2219" s="3" t="s">
        <v>9419</v>
      </c>
    </row>
    <row r="2220" spans="1:8" ht="15.75" customHeight="1">
      <c r="A2220" s="3" t="s">
        <v>3974</v>
      </c>
      <c r="B2220" s="3" t="s">
        <v>3457</v>
      </c>
      <c r="C2220" s="3" t="s">
        <v>9420</v>
      </c>
      <c r="D2220" s="4" t="s">
        <v>9421</v>
      </c>
      <c r="E2220" s="3" t="s">
        <v>9422</v>
      </c>
      <c r="F2220" s="6"/>
      <c r="G2220" s="6"/>
      <c r="H2220" s="3" t="s">
        <v>9423</v>
      </c>
    </row>
    <row r="2221" spans="1:8" ht="15.75" customHeight="1">
      <c r="A2221" s="3" t="s">
        <v>1286</v>
      </c>
      <c r="B2221" s="3" t="s">
        <v>2245</v>
      </c>
      <c r="C2221" s="3" t="s">
        <v>9424</v>
      </c>
      <c r="D2221" s="4" t="s">
        <v>9425</v>
      </c>
      <c r="E2221" s="3" t="s">
        <v>9426</v>
      </c>
      <c r="F2221" s="3" t="s">
        <v>9427</v>
      </c>
      <c r="G2221" s="6"/>
      <c r="H2221" s="3" t="s">
        <v>9428</v>
      </c>
    </row>
    <row r="2222" spans="1:8" ht="15.75" customHeight="1">
      <c r="A2222" s="3" t="s">
        <v>8190</v>
      </c>
      <c r="B2222" s="3" t="s">
        <v>907</v>
      </c>
      <c r="C2222" s="3" t="s">
        <v>8191</v>
      </c>
      <c r="D2222" s="4" t="s">
        <v>8192</v>
      </c>
      <c r="E2222" s="3" t="s">
        <v>8193</v>
      </c>
      <c r="F2222" s="3" t="s">
        <v>7571</v>
      </c>
      <c r="G2222" s="6"/>
      <c r="H2222" s="3" t="s">
        <v>7579</v>
      </c>
    </row>
    <row r="2223" spans="1:8" ht="15.75" customHeight="1">
      <c r="A2223" s="3" t="s">
        <v>2196</v>
      </c>
      <c r="B2223" s="3" t="s">
        <v>8194</v>
      </c>
      <c r="C2223" s="3" t="s">
        <v>8195</v>
      </c>
      <c r="D2223" s="4" t="s">
        <v>8196</v>
      </c>
      <c r="E2223" s="3" t="s">
        <v>8197</v>
      </c>
      <c r="F2223" s="3" t="s">
        <v>7571</v>
      </c>
      <c r="G2223" s="6"/>
      <c r="H2223" s="3" t="s">
        <v>7579</v>
      </c>
    </row>
    <row r="2224" spans="1:8" ht="15.75" customHeight="1">
      <c r="A2224" s="3" t="s">
        <v>2804</v>
      </c>
      <c r="B2224" s="3" t="s">
        <v>849</v>
      </c>
      <c r="C2224" s="3" t="s">
        <v>8834</v>
      </c>
      <c r="D2224" s="4" t="s">
        <v>8835</v>
      </c>
      <c r="E2224" s="3" t="s">
        <v>8836</v>
      </c>
      <c r="F2224" s="34" t="s">
        <v>8837</v>
      </c>
      <c r="G2224" s="6"/>
      <c r="H2224" s="3" t="s">
        <v>8838</v>
      </c>
    </row>
    <row r="2225" spans="1:8" ht="15.75" customHeight="1">
      <c r="A2225" s="3" t="s">
        <v>1286</v>
      </c>
      <c r="B2225" s="3" t="s">
        <v>9429</v>
      </c>
      <c r="C2225" s="3" t="s">
        <v>1684</v>
      </c>
      <c r="D2225" s="4" t="s">
        <v>9430</v>
      </c>
      <c r="E2225" s="3" t="s">
        <v>9431</v>
      </c>
      <c r="F2225" s="6"/>
      <c r="G2225" s="6"/>
      <c r="H2225" s="3" t="s">
        <v>9432</v>
      </c>
    </row>
    <row r="2226" spans="1:8" ht="15.75" customHeight="1">
      <c r="A2226" s="3" t="s">
        <v>9433</v>
      </c>
      <c r="B2226" s="3" t="s">
        <v>198</v>
      </c>
      <c r="C2226" s="3" t="s">
        <v>9434</v>
      </c>
      <c r="D2226" s="4" t="s">
        <v>9435</v>
      </c>
      <c r="E2226" s="3" t="s">
        <v>9436</v>
      </c>
      <c r="F2226" s="34" t="s">
        <v>9437</v>
      </c>
      <c r="G2226" s="6"/>
      <c r="H2226" s="3" t="s">
        <v>9438</v>
      </c>
    </row>
    <row r="2227" spans="1:8" ht="15.75" customHeight="1">
      <c r="A2227" s="3" t="s">
        <v>171</v>
      </c>
      <c r="B2227" s="3" t="s">
        <v>1372</v>
      </c>
      <c r="C2227" s="3" t="s">
        <v>4203</v>
      </c>
      <c r="D2227" s="6"/>
      <c r="E2227" s="3" t="s">
        <v>9439</v>
      </c>
      <c r="F2227" s="34" t="s">
        <v>9440</v>
      </c>
      <c r="G2227" s="6"/>
      <c r="H2227" s="3" t="s">
        <v>9441</v>
      </c>
    </row>
    <row r="2228" spans="1:8" ht="15.75" customHeight="1">
      <c r="A2228" s="3" t="s">
        <v>1517</v>
      </c>
      <c r="B2228" s="3" t="s">
        <v>9442</v>
      </c>
      <c r="C2228" s="3" t="s">
        <v>5771</v>
      </c>
      <c r="D2228" s="4" t="s">
        <v>9443</v>
      </c>
      <c r="E2228" s="3" t="s">
        <v>9444</v>
      </c>
      <c r="F2228" s="34" t="s">
        <v>9445</v>
      </c>
      <c r="G2228" s="6"/>
      <c r="H2228" s="3" t="s">
        <v>9446</v>
      </c>
    </row>
    <row r="2229" spans="1:8" ht="15.75" customHeight="1">
      <c r="A2229" s="3" t="s">
        <v>4470</v>
      </c>
      <c r="B2229" s="3" t="s">
        <v>2721</v>
      </c>
      <c r="C2229" s="3" t="s">
        <v>8736</v>
      </c>
      <c r="D2229" s="4" t="s">
        <v>9447</v>
      </c>
      <c r="E2229" s="3" t="s">
        <v>9448</v>
      </c>
      <c r="F2229" s="34" t="s">
        <v>9449</v>
      </c>
      <c r="G2229" s="6"/>
      <c r="H2229" s="3" t="s">
        <v>9450</v>
      </c>
    </row>
    <row r="2230" spans="1:8" ht="15.75" customHeight="1">
      <c r="A2230" s="3" t="s">
        <v>9451</v>
      </c>
      <c r="B2230" s="3" t="s">
        <v>6863</v>
      </c>
      <c r="C2230" s="3" t="s">
        <v>7100</v>
      </c>
      <c r="D2230" s="4" t="s">
        <v>9452</v>
      </c>
      <c r="E2230" s="3" t="s">
        <v>9453</v>
      </c>
      <c r="F2230" s="6"/>
      <c r="G2230" s="6"/>
      <c r="H2230" s="3" t="s">
        <v>9454</v>
      </c>
    </row>
    <row r="2231" spans="1:8" ht="15.75" customHeight="1">
      <c r="A2231" s="3" t="s">
        <v>9455</v>
      </c>
      <c r="B2231" s="3" t="s">
        <v>9456</v>
      </c>
      <c r="C2231" s="3" t="s">
        <v>2225</v>
      </c>
      <c r="D2231" s="4" t="s">
        <v>9457</v>
      </c>
      <c r="E2231" s="3" t="s">
        <v>9458</v>
      </c>
      <c r="F2231" s="34" t="s">
        <v>9340</v>
      </c>
      <c r="G2231" s="6"/>
      <c r="H2231" s="3" t="s">
        <v>9341</v>
      </c>
    </row>
    <row r="2232" spans="1:8" ht="15.75" customHeight="1">
      <c r="A2232" s="3" t="s">
        <v>5739</v>
      </c>
      <c r="B2232" s="3" t="s">
        <v>5740</v>
      </c>
      <c r="C2232" s="3" t="s">
        <v>5227</v>
      </c>
      <c r="D2232" s="6"/>
      <c r="E2232" s="3" t="s">
        <v>5741</v>
      </c>
      <c r="F2232" s="6"/>
      <c r="G2232" s="6"/>
      <c r="H2232" s="3" t="s">
        <v>5742</v>
      </c>
    </row>
    <row r="2233" spans="1:8" ht="15.75" customHeight="1">
      <c r="A2233" s="3" t="s">
        <v>2318</v>
      </c>
      <c r="B2233" s="3" t="s">
        <v>7592</v>
      </c>
      <c r="C2233" s="3" t="s">
        <v>9459</v>
      </c>
      <c r="D2233" s="4" t="s">
        <v>9460</v>
      </c>
      <c r="E2233" s="3" t="s">
        <v>9461</v>
      </c>
      <c r="F2233" s="34" t="s">
        <v>9462</v>
      </c>
      <c r="G2233" s="6"/>
      <c r="H2233" s="3" t="s">
        <v>9463</v>
      </c>
    </row>
    <row r="2234" spans="1:8" ht="15.75" customHeight="1">
      <c r="A2234" s="3" t="s">
        <v>1482</v>
      </c>
      <c r="B2234" s="3" t="s">
        <v>5181</v>
      </c>
      <c r="C2234" s="3" t="s">
        <v>9464</v>
      </c>
      <c r="D2234" s="4" t="s">
        <v>9465</v>
      </c>
      <c r="E2234" s="3" t="s">
        <v>9466</v>
      </c>
      <c r="F2234" s="6"/>
      <c r="G2234" s="6"/>
      <c r="H2234" s="3" t="s">
        <v>9317</v>
      </c>
    </row>
    <row r="2235" spans="1:8" ht="15.75" customHeight="1">
      <c r="A2235" s="3" t="s">
        <v>3041</v>
      </c>
      <c r="B2235" s="3" t="s">
        <v>9467</v>
      </c>
      <c r="C2235" s="3" t="s">
        <v>303</v>
      </c>
      <c r="D2235" s="4" t="s">
        <v>9468</v>
      </c>
      <c r="E2235" s="3" t="s">
        <v>9469</v>
      </c>
      <c r="F2235" s="34" t="s">
        <v>9470</v>
      </c>
      <c r="G2235" s="6"/>
      <c r="H2235" s="3" t="s">
        <v>9471</v>
      </c>
    </row>
    <row r="2236" spans="1:8" ht="15.75" customHeight="1">
      <c r="A2236" s="3" t="s">
        <v>6700</v>
      </c>
      <c r="B2236" s="3" t="s">
        <v>2245</v>
      </c>
      <c r="C2236" s="3" t="s">
        <v>944</v>
      </c>
      <c r="D2236" s="4" t="s">
        <v>9472</v>
      </c>
      <c r="E2236" s="3" t="s">
        <v>9473</v>
      </c>
      <c r="F2236" s="6"/>
      <c r="G2236" s="6"/>
      <c r="H2236" s="3" t="s">
        <v>9474</v>
      </c>
    </row>
    <row r="2237" spans="1:8" ht="15.75" customHeight="1">
      <c r="A2237" s="3" t="s">
        <v>2313</v>
      </c>
      <c r="B2237" s="3" t="s">
        <v>883</v>
      </c>
      <c r="C2237" s="3" t="s">
        <v>5965</v>
      </c>
      <c r="D2237" s="4" t="s">
        <v>8072</v>
      </c>
      <c r="E2237" s="3" t="s">
        <v>8073</v>
      </c>
      <c r="F2237" s="3" t="s">
        <v>7571</v>
      </c>
      <c r="G2237" s="6"/>
      <c r="H2237" s="3" t="s">
        <v>7579</v>
      </c>
    </row>
    <row r="2238" spans="1:8" ht="15.75" customHeight="1">
      <c r="A2238" s="3" t="s">
        <v>9475</v>
      </c>
      <c r="B2238" s="3" t="s">
        <v>9476</v>
      </c>
      <c r="C2238" s="3" t="s">
        <v>9477</v>
      </c>
      <c r="D2238" s="4" t="s">
        <v>9478</v>
      </c>
      <c r="E2238" s="3" t="s">
        <v>9479</v>
      </c>
      <c r="F2238" s="34" t="s">
        <v>9340</v>
      </c>
      <c r="G2238" s="6"/>
      <c r="H2238" s="3" t="s">
        <v>9341</v>
      </c>
    </row>
    <row r="2239" spans="1:8" ht="15.75" customHeight="1">
      <c r="A2239" s="3" t="s">
        <v>8026</v>
      </c>
      <c r="B2239" s="3" t="s">
        <v>8741</v>
      </c>
      <c r="C2239" s="3" t="s">
        <v>9480</v>
      </c>
      <c r="D2239" s="4" t="s">
        <v>9481</v>
      </c>
      <c r="E2239" s="3" t="s">
        <v>9482</v>
      </c>
      <c r="F2239" s="34" t="s">
        <v>9483</v>
      </c>
      <c r="G2239" s="6"/>
      <c r="H2239" s="3" t="s">
        <v>9484</v>
      </c>
    </row>
    <row r="2240" spans="1:8" ht="15.75" customHeight="1">
      <c r="A2240" s="3" t="s">
        <v>1557</v>
      </c>
      <c r="B2240" s="3" t="s">
        <v>9485</v>
      </c>
      <c r="C2240" s="3" t="s">
        <v>5182</v>
      </c>
      <c r="D2240" s="4" t="s">
        <v>9486</v>
      </c>
      <c r="E2240" s="3" t="s">
        <v>9487</v>
      </c>
      <c r="F2240" s="34" t="s">
        <v>9488</v>
      </c>
      <c r="G2240" s="6"/>
      <c r="H2240" s="3" t="s">
        <v>9489</v>
      </c>
    </row>
    <row r="2241" spans="1:8" ht="15.75" customHeight="1">
      <c r="A2241" s="3" t="s">
        <v>9490</v>
      </c>
      <c r="B2241" s="3" t="s">
        <v>9491</v>
      </c>
      <c r="C2241" s="3" t="s">
        <v>9492</v>
      </c>
      <c r="D2241" s="4" t="s">
        <v>9493</v>
      </c>
      <c r="E2241" s="3" t="s">
        <v>9494</v>
      </c>
      <c r="F2241" s="6"/>
      <c r="G2241" s="6"/>
      <c r="H2241" s="3" t="s">
        <v>9495</v>
      </c>
    </row>
    <row r="2242" spans="1:8" ht="15.75" customHeight="1">
      <c r="A2242" s="3" t="s">
        <v>8528</v>
      </c>
      <c r="B2242" s="3" t="s">
        <v>1415</v>
      </c>
      <c r="C2242" s="3" t="s">
        <v>6495</v>
      </c>
      <c r="D2242" s="4" t="s">
        <v>9496</v>
      </c>
      <c r="E2242" s="3" t="s">
        <v>9497</v>
      </c>
      <c r="F2242" s="6"/>
      <c r="G2242" s="6"/>
      <c r="H2242" s="3" t="s">
        <v>9498</v>
      </c>
    </row>
    <row r="2243" spans="1:8" ht="15.75" customHeight="1">
      <c r="A2243" s="3" t="s">
        <v>5802</v>
      </c>
      <c r="B2243" s="3" t="s">
        <v>3457</v>
      </c>
      <c r="C2243" s="3" t="s">
        <v>5803</v>
      </c>
      <c r="D2243" s="4" t="s">
        <v>5804</v>
      </c>
      <c r="E2243" s="3" t="s">
        <v>5805</v>
      </c>
      <c r="F2243" s="34" t="s">
        <v>5806</v>
      </c>
      <c r="G2243" s="6"/>
      <c r="H2243" s="3" t="s">
        <v>5742</v>
      </c>
    </row>
    <row r="2244" spans="1:8" ht="15.75" customHeight="1">
      <c r="A2244" s="3" t="s">
        <v>8992</v>
      </c>
      <c r="B2244" s="3" t="s">
        <v>8993</v>
      </c>
      <c r="C2244" s="3" t="s">
        <v>8994</v>
      </c>
      <c r="D2244" s="4" t="s">
        <v>8995</v>
      </c>
      <c r="E2244" s="3" t="s">
        <v>8996</v>
      </c>
      <c r="F2244" s="34" t="s">
        <v>8934</v>
      </c>
      <c r="G2244" s="6"/>
      <c r="H2244" s="3" t="s">
        <v>8935</v>
      </c>
    </row>
    <row r="2245" spans="1:8" ht="15.75" customHeight="1">
      <c r="A2245" s="3" t="s">
        <v>3725</v>
      </c>
      <c r="B2245" s="3" t="s">
        <v>6365</v>
      </c>
      <c r="C2245" s="3" t="s">
        <v>3237</v>
      </c>
      <c r="D2245" s="4" t="s">
        <v>9000</v>
      </c>
      <c r="E2245" s="3" t="s">
        <v>9001</v>
      </c>
      <c r="F2245" s="34" t="s">
        <v>8934</v>
      </c>
      <c r="G2245" s="6"/>
      <c r="H2245" s="3" t="s">
        <v>8935</v>
      </c>
    </row>
    <row r="2246" spans="1:8" ht="15.75" customHeight="1">
      <c r="A2246" s="3" t="s">
        <v>1517</v>
      </c>
      <c r="B2246" s="3" t="s">
        <v>9499</v>
      </c>
      <c r="C2246" s="3" t="s">
        <v>109</v>
      </c>
      <c r="D2246" s="4" t="s">
        <v>9500</v>
      </c>
      <c r="E2246" s="3" t="s">
        <v>9501</v>
      </c>
      <c r="F2246" s="34" t="s">
        <v>9502</v>
      </c>
      <c r="G2246" s="6"/>
      <c r="H2246" s="3" t="s">
        <v>9503</v>
      </c>
    </row>
    <row r="2247" spans="1:8" ht="15.75" customHeight="1">
      <c r="A2247" s="3" t="s">
        <v>2463</v>
      </c>
      <c r="B2247" s="3" t="s">
        <v>9504</v>
      </c>
      <c r="C2247" s="3" t="s">
        <v>6191</v>
      </c>
      <c r="D2247" s="4" t="s">
        <v>9505</v>
      </c>
      <c r="E2247" s="3" t="s">
        <v>9506</v>
      </c>
      <c r="F2247" s="34" t="s">
        <v>9507</v>
      </c>
      <c r="G2247" s="6"/>
      <c r="H2247" s="3" t="s">
        <v>9508</v>
      </c>
    </row>
    <row r="2248" spans="1:8" ht="15.75" customHeight="1">
      <c r="A2248" s="3" t="s">
        <v>9509</v>
      </c>
      <c r="B2248" s="3" t="s">
        <v>2245</v>
      </c>
      <c r="C2248" s="3" t="s">
        <v>229</v>
      </c>
      <c r="D2248" s="4" t="s">
        <v>9510</v>
      </c>
      <c r="E2248" s="3" t="s">
        <v>9511</v>
      </c>
      <c r="F2248" s="3" t="s">
        <v>9512</v>
      </c>
      <c r="G2248" s="6"/>
      <c r="H2248" s="4" t="s">
        <v>9513</v>
      </c>
    </row>
    <row r="2249" spans="1:8" ht="15.75" customHeight="1">
      <c r="A2249" s="3" t="s">
        <v>2384</v>
      </c>
      <c r="B2249" s="3" t="s">
        <v>7699</v>
      </c>
      <c r="C2249" s="3" t="s">
        <v>7812</v>
      </c>
      <c r="D2249" s="4" t="s">
        <v>7813</v>
      </c>
      <c r="E2249" s="3" t="s">
        <v>7814</v>
      </c>
      <c r="F2249" s="3" t="s">
        <v>7571</v>
      </c>
      <c r="G2249" s="6"/>
      <c r="H2249" s="3" t="s">
        <v>7579</v>
      </c>
    </row>
    <row r="2250" spans="1:8" ht="15.75" customHeight="1">
      <c r="A2250" s="3" t="s">
        <v>3799</v>
      </c>
      <c r="B2250" s="3" t="s">
        <v>9016</v>
      </c>
      <c r="C2250" s="3" t="s">
        <v>9017</v>
      </c>
      <c r="D2250" s="4" t="s">
        <v>9018</v>
      </c>
      <c r="E2250" s="3" t="s">
        <v>9019</v>
      </c>
      <c r="F2250" s="34" t="s">
        <v>8934</v>
      </c>
      <c r="G2250" s="6"/>
      <c r="H2250" s="3" t="s">
        <v>8935</v>
      </c>
    </row>
    <row r="2251" spans="1:8" ht="15.75" customHeight="1">
      <c r="A2251" s="3" t="s">
        <v>295</v>
      </c>
      <c r="B2251" s="3" t="s">
        <v>9514</v>
      </c>
      <c r="C2251" s="3" t="s">
        <v>9515</v>
      </c>
      <c r="D2251" s="4" t="s">
        <v>9516</v>
      </c>
      <c r="E2251" s="3" t="s">
        <v>9517</v>
      </c>
      <c r="F2251" s="6"/>
      <c r="G2251" s="6"/>
      <c r="H2251" s="3" t="s">
        <v>9518</v>
      </c>
    </row>
    <row r="2252" spans="1:8" ht="15.75" customHeight="1">
      <c r="A2252" s="3" t="s">
        <v>8161</v>
      </c>
      <c r="B2252" s="3" t="s">
        <v>9519</v>
      </c>
      <c r="C2252" s="3" t="s">
        <v>9520</v>
      </c>
      <c r="D2252" s="4" t="s">
        <v>9521</v>
      </c>
      <c r="E2252" s="6"/>
      <c r="F2252" s="6"/>
      <c r="G2252" s="6"/>
      <c r="H2252" s="4" t="s">
        <v>9513</v>
      </c>
    </row>
    <row r="2253" spans="1:8" ht="15.75" customHeight="1">
      <c r="A2253" s="3" t="s">
        <v>44</v>
      </c>
      <c r="B2253" s="3" t="s">
        <v>7381</v>
      </c>
      <c r="C2253" s="3" t="s">
        <v>6048</v>
      </c>
      <c r="D2253" s="4" t="s">
        <v>9522</v>
      </c>
      <c r="E2253" s="3" t="s">
        <v>9523</v>
      </c>
      <c r="F2253" s="6"/>
      <c r="G2253" s="6"/>
      <c r="H2253" s="3" t="s">
        <v>9524</v>
      </c>
    </row>
    <row r="2254" spans="1:8" ht="15.75" customHeight="1">
      <c r="A2254" s="3" t="s">
        <v>7585</v>
      </c>
      <c r="B2254" s="3" t="s">
        <v>3517</v>
      </c>
      <c r="C2254" s="3" t="s">
        <v>8083</v>
      </c>
      <c r="D2254" s="4" t="s">
        <v>8084</v>
      </c>
      <c r="E2254" s="3" t="s">
        <v>8085</v>
      </c>
      <c r="F2254" s="3" t="s">
        <v>7571</v>
      </c>
      <c r="G2254" s="6"/>
      <c r="H2254" s="3" t="s">
        <v>7579</v>
      </c>
    </row>
    <row r="2255" spans="1:8" ht="15.75" customHeight="1">
      <c r="A2255" s="3" t="s">
        <v>5851</v>
      </c>
      <c r="B2255" s="3" t="s">
        <v>9048</v>
      </c>
      <c r="C2255" s="3" t="s">
        <v>9049</v>
      </c>
      <c r="D2255" s="4" t="s">
        <v>9050</v>
      </c>
      <c r="E2255" s="3" t="s">
        <v>9051</v>
      </c>
      <c r="F2255" s="34" t="s">
        <v>8934</v>
      </c>
      <c r="G2255" s="6"/>
      <c r="H2255" s="3" t="s">
        <v>8935</v>
      </c>
    </row>
    <row r="2256" spans="1:8" ht="15.75" customHeight="1">
      <c r="A2256" s="3" t="s">
        <v>9525</v>
      </c>
      <c r="B2256" s="3" t="s">
        <v>9526</v>
      </c>
      <c r="C2256" s="3" t="s">
        <v>9527</v>
      </c>
      <c r="D2256" s="4" t="s">
        <v>9528</v>
      </c>
      <c r="E2256" s="3" t="s">
        <v>9529</v>
      </c>
      <c r="F2256" s="34" t="s">
        <v>9530</v>
      </c>
      <c r="G2256" s="6"/>
      <c r="H2256" s="3" t="s">
        <v>9531</v>
      </c>
    </row>
    <row r="2257" spans="1:8" ht="15.75" customHeight="1">
      <c r="A2257" s="3" t="s">
        <v>2027</v>
      </c>
      <c r="B2257" s="3" t="s">
        <v>9532</v>
      </c>
      <c r="C2257" s="3" t="s">
        <v>9533</v>
      </c>
      <c r="D2257" s="4" t="s">
        <v>9534</v>
      </c>
      <c r="E2257" s="3" t="s">
        <v>9535</v>
      </c>
      <c r="F2257" s="34" t="s">
        <v>9536</v>
      </c>
      <c r="G2257" s="6"/>
      <c r="H2257" s="3" t="s">
        <v>9388</v>
      </c>
    </row>
    <row r="2258" spans="1:8" ht="15.75" customHeight="1">
      <c r="A2258" s="3" t="s">
        <v>8418</v>
      </c>
      <c r="B2258" s="3" t="s">
        <v>59</v>
      </c>
      <c r="C2258" s="3" t="s">
        <v>8419</v>
      </c>
      <c r="D2258" s="4" t="s">
        <v>8420</v>
      </c>
      <c r="E2258" s="3" t="s">
        <v>8421</v>
      </c>
      <c r="F2258" s="3" t="s">
        <v>7571</v>
      </c>
      <c r="G2258" s="6"/>
      <c r="H2258" s="3" t="s">
        <v>7579</v>
      </c>
    </row>
    <row r="2259" spans="1:8" ht="15.75" customHeight="1">
      <c r="A2259" s="3" t="s">
        <v>8971</v>
      </c>
      <c r="B2259" s="3" t="s">
        <v>8972</v>
      </c>
      <c r="C2259" s="3" t="s">
        <v>8973</v>
      </c>
      <c r="D2259" s="4" t="s">
        <v>8974</v>
      </c>
      <c r="E2259" s="3" t="s">
        <v>8975</v>
      </c>
      <c r="F2259" s="34" t="s">
        <v>8934</v>
      </c>
      <c r="G2259" s="6"/>
      <c r="H2259" s="3" t="s">
        <v>8935</v>
      </c>
    </row>
    <row r="2260" spans="1:8" ht="15.75" customHeight="1">
      <c r="A2260" s="3" t="s">
        <v>1307</v>
      </c>
      <c r="B2260" s="3" t="s">
        <v>1308</v>
      </c>
      <c r="C2260" s="3" t="s">
        <v>229</v>
      </c>
      <c r="D2260" s="4" t="s">
        <v>9537</v>
      </c>
      <c r="E2260" s="3" t="s">
        <v>9538</v>
      </c>
      <c r="F2260" s="34" t="s">
        <v>9340</v>
      </c>
      <c r="G2260" s="6"/>
      <c r="H2260" s="3" t="s">
        <v>9341</v>
      </c>
    </row>
    <row r="2261" spans="1:8" ht="15.75" customHeight="1">
      <c r="A2261" s="3" t="s">
        <v>721</v>
      </c>
      <c r="B2261" s="3" t="s">
        <v>2501</v>
      </c>
      <c r="C2261" s="3" t="s">
        <v>4357</v>
      </c>
      <c r="D2261" s="4" t="s">
        <v>9539</v>
      </c>
      <c r="E2261" s="3" t="s">
        <v>9540</v>
      </c>
      <c r="F2261" s="34" t="s">
        <v>9541</v>
      </c>
      <c r="G2261" s="6"/>
      <c r="H2261" s="3" t="s">
        <v>9542</v>
      </c>
    </row>
    <row r="2262" spans="1:8" ht="15.75" customHeight="1">
      <c r="A2262" s="3" t="s">
        <v>1517</v>
      </c>
      <c r="B2262" s="3" t="s">
        <v>9543</v>
      </c>
      <c r="C2262" s="3" t="s">
        <v>6495</v>
      </c>
      <c r="D2262" s="4" t="s">
        <v>9544</v>
      </c>
      <c r="E2262" s="3" t="s">
        <v>9545</v>
      </c>
      <c r="F2262" s="34" t="s">
        <v>9546</v>
      </c>
      <c r="G2262" s="6"/>
      <c r="H2262" s="3" t="s">
        <v>9547</v>
      </c>
    </row>
    <row r="2263" spans="1:8" ht="15.75" customHeight="1">
      <c r="A2263" s="3" t="s">
        <v>600</v>
      </c>
      <c r="B2263" s="3" t="s">
        <v>3961</v>
      </c>
      <c r="C2263" s="3" t="s">
        <v>9548</v>
      </c>
      <c r="D2263" s="4" t="s">
        <v>9549</v>
      </c>
      <c r="E2263" s="3" t="s">
        <v>9550</v>
      </c>
      <c r="F2263" s="6"/>
      <c r="G2263" s="6"/>
      <c r="H2263" s="3" t="s">
        <v>9551</v>
      </c>
    </row>
    <row r="2264" spans="1:8" ht="15.75" customHeight="1">
      <c r="A2264" s="3" t="s">
        <v>2940</v>
      </c>
      <c r="B2264" s="3" t="s">
        <v>1415</v>
      </c>
      <c r="C2264" s="3" t="s">
        <v>6055</v>
      </c>
      <c r="D2264" s="6"/>
      <c r="E2264" s="3" t="s">
        <v>9552</v>
      </c>
      <c r="F2264" s="6"/>
      <c r="G2264" s="6"/>
      <c r="H2264" s="3" t="s">
        <v>9358</v>
      </c>
    </row>
    <row r="2265" spans="1:8" ht="15.75" customHeight="1">
      <c r="A2265" s="3" t="s">
        <v>7573</v>
      </c>
      <c r="B2265" s="3" t="s">
        <v>7574</v>
      </c>
      <c r="C2265" s="3" t="s">
        <v>7575</v>
      </c>
      <c r="D2265" s="4" t="s">
        <v>7576</v>
      </c>
      <c r="E2265" s="3" t="s">
        <v>7577</v>
      </c>
      <c r="F2265" s="3" t="s">
        <v>7571</v>
      </c>
      <c r="G2265" s="6"/>
      <c r="H2265" s="3" t="s">
        <v>7579</v>
      </c>
    </row>
    <row r="2266" spans="1:8" ht="15.75" customHeight="1">
      <c r="A2266" s="3" t="s">
        <v>1228</v>
      </c>
      <c r="B2266" s="3" t="s">
        <v>9553</v>
      </c>
      <c r="C2266" s="3" t="s">
        <v>46</v>
      </c>
      <c r="D2266" s="4" t="s">
        <v>9554</v>
      </c>
      <c r="E2266" s="3" t="s">
        <v>9555</v>
      </c>
      <c r="F2266" s="34" t="s">
        <v>9556</v>
      </c>
      <c r="G2266" s="6"/>
      <c r="H2266" s="3" t="s">
        <v>9557</v>
      </c>
    </row>
    <row r="2267" spans="1:8" ht="15.75" customHeight="1">
      <c r="A2267" s="3" t="s">
        <v>1669</v>
      </c>
      <c r="B2267" s="3" t="s">
        <v>9558</v>
      </c>
      <c r="C2267" s="3" t="s">
        <v>91</v>
      </c>
      <c r="D2267" s="4" t="s">
        <v>9559</v>
      </c>
      <c r="E2267" s="3" t="s">
        <v>9560</v>
      </c>
      <c r="F2267" s="6"/>
      <c r="G2267" s="6"/>
      <c r="H2267" s="3" t="s">
        <v>9561</v>
      </c>
    </row>
    <row r="2268" spans="1:8" ht="15.75" customHeight="1">
      <c r="A2268" s="3" t="s">
        <v>3725</v>
      </c>
      <c r="B2268" s="3" t="s">
        <v>3726</v>
      </c>
      <c r="C2268" s="3" t="s">
        <v>9201</v>
      </c>
      <c r="D2268" s="4" t="s">
        <v>9202</v>
      </c>
      <c r="E2268" s="3" t="s">
        <v>9203</v>
      </c>
      <c r="F2268" s="34" t="s">
        <v>9204</v>
      </c>
      <c r="G2268" s="6"/>
      <c r="H2268" s="3" t="s">
        <v>8935</v>
      </c>
    </row>
    <row r="2269" spans="1:8" ht="15.75" customHeight="1">
      <c r="A2269" s="3" t="s">
        <v>9562</v>
      </c>
      <c r="B2269" s="3" t="s">
        <v>3866</v>
      </c>
      <c r="C2269" s="3" t="s">
        <v>9563</v>
      </c>
      <c r="D2269" s="6"/>
      <c r="E2269" s="3" t="s">
        <v>9564</v>
      </c>
      <c r="F2269" s="6"/>
      <c r="G2269" s="6"/>
      <c r="H2269" s="3" t="s">
        <v>9565</v>
      </c>
    </row>
    <row r="2270" spans="1:8" ht="15.75" customHeight="1">
      <c r="A2270" s="3" t="s">
        <v>2619</v>
      </c>
      <c r="B2270" s="3" t="s">
        <v>185</v>
      </c>
      <c r="C2270" s="3" t="s">
        <v>9566</v>
      </c>
      <c r="D2270" s="4" t="s">
        <v>9567</v>
      </c>
      <c r="E2270" s="3" t="s">
        <v>9568</v>
      </c>
      <c r="F2270" s="34" t="s">
        <v>9569</v>
      </c>
      <c r="G2270" s="6"/>
      <c r="H2270" s="3" t="s">
        <v>9570</v>
      </c>
    </row>
    <row r="2271" spans="1:8" ht="15.75" customHeight="1">
      <c r="A2271" s="3" t="s">
        <v>1157</v>
      </c>
      <c r="B2271" s="3" t="s">
        <v>7648</v>
      </c>
      <c r="C2271" s="3" t="s">
        <v>4446</v>
      </c>
      <c r="D2271" s="4" t="s">
        <v>7649</v>
      </c>
      <c r="E2271" s="3" t="s">
        <v>7650</v>
      </c>
      <c r="F2271" s="3" t="s">
        <v>7571</v>
      </c>
      <c r="G2271" s="6"/>
      <c r="H2271" s="3" t="s">
        <v>7579</v>
      </c>
    </row>
    <row r="2272" spans="1:8" ht="15.75" customHeight="1">
      <c r="A2272" s="3" t="s">
        <v>39</v>
      </c>
      <c r="B2272" s="3" t="s">
        <v>4261</v>
      </c>
      <c r="C2272" s="3" t="s">
        <v>91</v>
      </c>
      <c r="D2272" s="4" t="s">
        <v>9571</v>
      </c>
      <c r="E2272" s="3" t="s">
        <v>9572</v>
      </c>
      <c r="F2272" s="34" t="s">
        <v>9573</v>
      </c>
      <c r="G2272" s="6"/>
      <c r="H2272" s="3" t="s">
        <v>9574</v>
      </c>
    </row>
    <row r="2273" spans="1:8" ht="15.75" customHeight="1">
      <c r="A2273" s="3" t="s">
        <v>1192</v>
      </c>
      <c r="B2273" s="6"/>
      <c r="C2273" s="3" t="s">
        <v>9575</v>
      </c>
      <c r="D2273" s="6"/>
      <c r="E2273" s="3" t="s">
        <v>9576</v>
      </c>
      <c r="F2273" s="34" t="s">
        <v>9577</v>
      </c>
      <c r="G2273" s="6"/>
      <c r="H2273" s="3" t="s">
        <v>9578</v>
      </c>
    </row>
    <row r="2274" spans="1:8" ht="15.75" customHeight="1">
      <c r="A2274" s="3" t="s">
        <v>8436</v>
      </c>
      <c r="B2274" s="3" t="s">
        <v>801</v>
      </c>
      <c r="C2274" s="3" t="s">
        <v>8437</v>
      </c>
      <c r="D2274" s="4" t="s">
        <v>8438</v>
      </c>
      <c r="E2274" s="3" t="s">
        <v>8439</v>
      </c>
      <c r="F2274" s="3" t="s">
        <v>7571</v>
      </c>
      <c r="G2274" s="6"/>
      <c r="H2274" s="3" t="s">
        <v>7579</v>
      </c>
    </row>
    <row r="2275" spans="1:8" ht="15.75" customHeight="1">
      <c r="A2275" s="3" t="s">
        <v>155</v>
      </c>
      <c r="B2275" s="3" t="s">
        <v>2036</v>
      </c>
      <c r="C2275" s="3" t="s">
        <v>9579</v>
      </c>
      <c r="D2275" s="4" t="s">
        <v>9580</v>
      </c>
      <c r="E2275" s="3" t="s">
        <v>9581</v>
      </c>
      <c r="F2275" s="34" t="s">
        <v>9582</v>
      </c>
      <c r="G2275" s="6"/>
      <c r="H2275" s="3" t="s">
        <v>9583</v>
      </c>
    </row>
    <row r="2276" spans="1:8" ht="15.75" customHeight="1">
      <c r="A2276" s="3" t="s">
        <v>5125</v>
      </c>
      <c r="B2276" s="3" t="s">
        <v>9584</v>
      </c>
      <c r="C2276" s="3" t="s">
        <v>9585</v>
      </c>
      <c r="D2276" s="4" t="s">
        <v>9586</v>
      </c>
      <c r="E2276" s="3" t="s">
        <v>9587</v>
      </c>
      <c r="F2276" s="34" t="s">
        <v>9588</v>
      </c>
      <c r="G2276" s="6"/>
      <c r="H2276" s="3" t="s">
        <v>9341</v>
      </c>
    </row>
    <row r="2277" spans="1:8" ht="15.75" customHeight="1">
      <c r="A2277" s="3" t="s">
        <v>1192</v>
      </c>
      <c r="B2277" s="3" t="s">
        <v>9589</v>
      </c>
      <c r="C2277" s="3" t="s">
        <v>91</v>
      </c>
      <c r="D2277" s="4" t="s">
        <v>9590</v>
      </c>
      <c r="E2277" s="3" t="s">
        <v>9591</v>
      </c>
      <c r="F2277" s="34" t="s">
        <v>9592</v>
      </c>
      <c r="G2277" s="6"/>
      <c r="H2277" s="3" t="s">
        <v>9593</v>
      </c>
    </row>
    <row r="2278" spans="1:8" ht="15.75" customHeight="1">
      <c r="A2278" s="3" t="s">
        <v>9594</v>
      </c>
      <c r="B2278" s="3" t="s">
        <v>9595</v>
      </c>
      <c r="C2278" s="3" t="s">
        <v>9596</v>
      </c>
      <c r="D2278" s="4" t="s">
        <v>9597</v>
      </c>
      <c r="E2278" s="3" t="s">
        <v>9598</v>
      </c>
      <c r="F2278" s="6"/>
      <c r="G2278" s="6"/>
      <c r="H2278" s="3" t="s">
        <v>9599</v>
      </c>
    </row>
    <row r="2279" spans="1:8" ht="15.75" customHeight="1">
      <c r="A2279" s="3" t="s">
        <v>1014</v>
      </c>
      <c r="B2279" s="3" t="s">
        <v>763</v>
      </c>
      <c r="C2279" s="3" t="s">
        <v>6033</v>
      </c>
      <c r="D2279" s="4" t="s">
        <v>9600</v>
      </c>
      <c r="E2279" s="3" t="s">
        <v>9601</v>
      </c>
      <c r="F2279" s="34" t="s">
        <v>9602</v>
      </c>
      <c r="G2279" s="6"/>
      <c r="H2279" s="3" t="s">
        <v>9603</v>
      </c>
    </row>
    <row r="2280" spans="1:8" ht="15.75" customHeight="1">
      <c r="A2280" s="3" t="s">
        <v>301</v>
      </c>
      <c r="B2280" s="3" t="s">
        <v>8250</v>
      </c>
      <c r="C2280" s="3" t="s">
        <v>8251</v>
      </c>
      <c r="D2280" s="4" t="s">
        <v>8252</v>
      </c>
      <c r="E2280" s="3" t="s">
        <v>8253</v>
      </c>
      <c r="F2280" s="3" t="s">
        <v>7571</v>
      </c>
      <c r="G2280" s="6"/>
      <c r="H2280" s="3" t="s">
        <v>7579</v>
      </c>
    </row>
    <row r="2281" spans="1:8" ht="15.75" customHeight="1">
      <c r="A2281" s="3" t="s">
        <v>8265</v>
      </c>
      <c r="B2281" s="3" t="s">
        <v>2245</v>
      </c>
      <c r="C2281" s="3" t="s">
        <v>8266</v>
      </c>
      <c r="D2281" s="4" t="s">
        <v>8267</v>
      </c>
      <c r="E2281" s="3" t="s">
        <v>8268</v>
      </c>
      <c r="F2281" s="3" t="s">
        <v>7571</v>
      </c>
      <c r="G2281" s="6"/>
      <c r="H2281" s="3" t="s">
        <v>7579</v>
      </c>
    </row>
    <row r="2282" spans="1:8" ht="15.75" customHeight="1">
      <c r="A2282" s="3" t="s">
        <v>2011</v>
      </c>
      <c r="B2282" s="3" t="s">
        <v>1277</v>
      </c>
      <c r="C2282" s="3" t="s">
        <v>8120</v>
      </c>
      <c r="D2282" s="4" t="s">
        <v>9604</v>
      </c>
      <c r="E2282" s="3" t="s">
        <v>9605</v>
      </c>
      <c r="F2282" s="34" t="s">
        <v>9606</v>
      </c>
      <c r="G2282" s="6"/>
      <c r="H2282" s="3" t="s">
        <v>9607</v>
      </c>
    </row>
    <row r="2283" spans="1:8" ht="15.75" customHeight="1">
      <c r="A2283" s="3" t="s">
        <v>1729</v>
      </c>
      <c r="B2283" s="3" t="s">
        <v>1557</v>
      </c>
      <c r="C2283" s="3" t="s">
        <v>9608</v>
      </c>
      <c r="D2283" s="4" t="s">
        <v>9609</v>
      </c>
      <c r="E2283" s="3" t="s">
        <v>9610</v>
      </c>
      <c r="F2283" s="34" t="s">
        <v>9611</v>
      </c>
      <c r="G2283" s="6"/>
      <c r="H2283" s="3" t="s">
        <v>9612</v>
      </c>
    </row>
    <row r="2284" spans="1:8" ht="15.75" customHeight="1">
      <c r="A2284" s="3" t="s">
        <v>7632</v>
      </c>
      <c r="B2284" s="3" t="s">
        <v>9613</v>
      </c>
      <c r="C2284" s="3" t="s">
        <v>6495</v>
      </c>
      <c r="D2284" s="4" t="s">
        <v>9614</v>
      </c>
      <c r="E2284" s="3" t="s">
        <v>9615</v>
      </c>
      <c r="F2284" s="6"/>
      <c r="G2284" s="6"/>
      <c r="H2284" s="3" t="s">
        <v>9616</v>
      </c>
    </row>
    <row r="2285" spans="1:8" ht="15.75" customHeight="1">
      <c r="A2285" s="3" t="s">
        <v>8224</v>
      </c>
      <c r="B2285" s="3" t="s">
        <v>116</v>
      </c>
      <c r="C2285" s="3" t="s">
        <v>8225</v>
      </c>
      <c r="D2285" s="4" t="s">
        <v>8226</v>
      </c>
      <c r="E2285" s="3" t="s">
        <v>8227</v>
      </c>
      <c r="F2285" s="34" t="s">
        <v>7881</v>
      </c>
      <c r="G2285" s="6"/>
      <c r="H2285" s="3" t="s">
        <v>7579</v>
      </c>
    </row>
    <row r="2286" spans="1:8" ht="15.75" customHeight="1">
      <c r="A2286" s="3" t="s">
        <v>3709</v>
      </c>
      <c r="B2286" s="3" t="s">
        <v>3710</v>
      </c>
      <c r="C2286" s="3" t="s">
        <v>3237</v>
      </c>
      <c r="D2286" s="4" t="s">
        <v>9082</v>
      </c>
      <c r="E2286" s="3" t="s">
        <v>3712</v>
      </c>
      <c r="F2286" s="34" t="s">
        <v>8934</v>
      </c>
      <c r="G2286" s="6"/>
      <c r="H2286" s="3" t="s">
        <v>8935</v>
      </c>
    </row>
    <row r="2287" spans="1:8" ht="15.75" customHeight="1">
      <c r="A2287" s="3" t="s">
        <v>1228</v>
      </c>
      <c r="B2287" s="3" t="s">
        <v>3984</v>
      </c>
      <c r="C2287" s="3" t="s">
        <v>5054</v>
      </c>
      <c r="D2287" s="4" t="s">
        <v>9617</v>
      </c>
      <c r="E2287" s="3" t="s">
        <v>3986</v>
      </c>
      <c r="F2287" s="6"/>
      <c r="G2287" s="6"/>
      <c r="H2287" s="3" t="s">
        <v>9618</v>
      </c>
    </row>
    <row r="2288" spans="1:8" ht="15.75" customHeight="1">
      <c r="A2288" s="3" t="s">
        <v>9619</v>
      </c>
      <c r="B2288" s="3" t="s">
        <v>9620</v>
      </c>
      <c r="C2288" s="3" t="s">
        <v>1684</v>
      </c>
      <c r="D2288" s="4" t="s">
        <v>9621</v>
      </c>
      <c r="E2288" s="3" t="s">
        <v>9622</v>
      </c>
      <c r="F2288" s="34" t="s">
        <v>9623</v>
      </c>
      <c r="G2288" s="6"/>
      <c r="H2288" s="3" t="s">
        <v>9624</v>
      </c>
    </row>
    <row r="2289" spans="1:8" ht="15.75" customHeight="1">
      <c r="A2289" s="3" t="s">
        <v>2292</v>
      </c>
      <c r="B2289" s="3" t="s">
        <v>1293</v>
      </c>
      <c r="C2289" s="3" t="s">
        <v>9625</v>
      </c>
      <c r="D2289" s="6"/>
      <c r="E2289" s="3" t="s">
        <v>9626</v>
      </c>
      <c r="F2289" s="34" t="s">
        <v>9627</v>
      </c>
      <c r="G2289" s="6"/>
      <c r="H2289" s="3" t="s">
        <v>9628</v>
      </c>
    </row>
    <row r="2290" spans="1:8" ht="15.75" customHeight="1">
      <c r="A2290" s="3" t="s">
        <v>9629</v>
      </c>
      <c r="B2290" s="3" t="s">
        <v>3149</v>
      </c>
      <c r="C2290" s="3" t="s">
        <v>4766</v>
      </c>
      <c r="D2290" s="4" t="s">
        <v>9630</v>
      </c>
      <c r="E2290" s="3" t="s">
        <v>9631</v>
      </c>
      <c r="F2290" s="34" t="s">
        <v>9536</v>
      </c>
      <c r="G2290" s="6"/>
      <c r="H2290" s="3" t="s">
        <v>9388</v>
      </c>
    </row>
    <row r="2291" spans="1:8" ht="15.75" customHeight="1">
      <c r="A2291" s="3" t="s">
        <v>8543</v>
      </c>
      <c r="B2291" s="3" t="s">
        <v>8544</v>
      </c>
      <c r="C2291" s="3" t="s">
        <v>8545</v>
      </c>
      <c r="D2291" s="4" t="s">
        <v>8546</v>
      </c>
      <c r="E2291" s="3" t="s">
        <v>8547</v>
      </c>
      <c r="F2291" s="3" t="s">
        <v>7571</v>
      </c>
      <c r="G2291" s="6"/>
      <c r="H2291" s="3" t="s">
        <v>7579</v>
      </c>
    </row>
    <row r="2292" spans="1:8" ht="15.75" customHeight="1">
      <c r="A2292" s="3" t="s">
        <v>8555</v>
      </c>
      <c r="B2292" s="3" t="s">
        <v>8556</v>
      </c>
      <c r="C2292" s="3" t="s">
        <v>7575</v>
      </c>
      <c r="D2292" s="4" t="s">
        <v>8557</v>
      </c>
      <c r="E2292" s="3" t="s">
        <v>8558</v>
      </c>
      <c r="F2292" s="3" t="s">
        <v>7571</v>
      </c>
      <c r="G2292" s="6"/>
      <c r="H2292" s="3" t="s">
        <v>7579</v>
      </c>
    </row>
    <row r="2293" spans="1:8" ht="15.75" customHeight="1">
      <c r="A2293" s="3" t="s">
        <v>9227</v>
      </c>
      <c r="B2293" s="3" t="s">
        <v>9197</v>
      </c>
      <c r="C2293" s="3" t="s">
        <v>9198</v>
      </c>
      <c r="D2293" s="4" t="s">
        <v>9228</v>
      </c>
      <c r="E2293" s="3" t="s">
        <v>9229</v>
      </c>
      <c r="F2293" s="34" t="s">
        <v>8934</v>
      </c>
      <c r="G2293" s="6"/>
      <c r="H2293" s="3" t="s">
        <v>8935</v>
      </c>
    </row>
    <row r="2294" spans="1:8" ht="15.75" customHeight="1">
      <c r="A2294" s="3" t="s">
        <v>9230</v>
      </c>
      <c r="B2294" s="3" t="s">
        <v>9231</v>
      </c>
      <c r="C2294" s="3" t="s">
        <v>9232</v>
      </c>
      <c r="D2294" s="4" t="s">
        <v>9233</v>
      </c>
      <c r="E2294" s="3" t="s">
        <v>9234</v>
      </c>
      <c r="F2294" s="34" t="s">
        <v>8934</v>
      </c>
      <c r="G2294" s="6"/>
      <c r="H2294" s="3" t="s">
        <v>8935</v>
      </c>
    </row>
    <row r="2295" spans="1:8" ht="15.75" customHeight="1">
      <c r="A2295" s="3" t="s">
        <v>9237</v>
      </c>
      <c r="B2295" s="3" t="s">
        <v>9238</v>
      </c>
      <c r="C2295" s="3" t="s">
        <v>9239</v>
      </c>
      <c r="D2295" s="4" t="s">
        <v>9240</v>
      </c>
      <c r="E2295" s="3" t="s">
        <v>9241</v>
      </c>
      <c r="F2295" s="34" t="s">
        <v>8934</v>
      </c>
      <c r="G2295" s="6"/>
      <c r="H2295" s="3" t="s">
        <v>8935</v>
      </c>
    </row>
    <row r="2296" spans="1:8" ht="15.75" customHeight="1">
      <c r="A2296" s="3" t="s">
        <v>9632</v>
      </c>
      <c r="B2296" s="3" t="s">
        <v>9633</v>
      </c>
      <c r="C2296" s="3" t="s">
        <v>6172</v>
      </c>
      <c r="D2296" s="4" t="s">
        <v>9634</v>
      </c>
      <c r="E2296" s="3" t="s">
        <v>9635</v>
      </c>
      <c r="F2296" s="34" t="s">
        <v>9340</v>
      </c>
      <c r="G2296" s="6"/>
      <c r="H2296" s="3" t="s">
        <v>9341</v>
      </c>
    </row>
    <row r="2297" spans="1:8" ht="15.75" customHeight="1">
      <c r="A2297" s="3" t="s">
        <v>1669</v>
      </c>
      <c r="B2297" s="3" t="s">
        <v>7381</v>
      </c>
      <c r="C2297" s="3" t="s">
        <v>7568</v>
      </c>
      <c r="D2297" s="4" t="s">
        <v>9636</v>
      </c>
      <c r="E2297" s="3" t="s">
        <v>9637</v>
      </c>
      <c r="F2297" s="6"/>
      <c r="G2297" s="6"/>
      <c r="H2297" s="3" t="s">
        <v>9638</v>
      </c>
    </row>
    <row r="2298" spans="1:8" ht="15.75" customHeight="1">
      <c r="A2298" s="3" t="s">
        <v>9639</v>
      </c>
      <c r="B2298" s="3" t="s">
        <v>9354</v>
      </c>
      <c r="C2298" s="3" t="s">
        <v>4300</v>
      </c>
      <c r="D2298" s="4" t="s">
        <v>9640</v>
      </c>
      <c r="E2298" s="3" t="s">
        <v>9641</v>
      </c>
      <c r="F2298" s="34" t="s">
        <v>9642</v>
      </c>
      <c r="G2298" s="6"/>
      <c r="H2298" s="3" t="s">
        <v>9514</v>
      </c>
    </row>
    <row r="2299" spans="1:8" ht="15.75" customHeight="1">
      <c r="A2299" s="3" t="s">
        <v>9643</v>
      </c>
      <c r="B2299" s="3" t="s">
        <v>9644</v>
      </c>
      <c r="C2299" s="3" t="s">
        <v>9645</v>
      </c>
      <c r="D2299" s="4" t="s">
        <v>9646</v>
      </c>
      <c r="E2299" s="3" t="s">
        <v>9647</v>
      </c>
      <c r="F2299" s="34" t="s">
        <v>9648</v>
      </c>
      <c r="G2299" s="6"/>
      <c r="H2299" s="3" t="s">
        <v>9649</v>
      </c>
    </row>
    <row r="2300" spans="1:8" ht="15.75" customHeight="1">
      <c r="A2300" s="3" t="s">
        <v>2528</v>
      </c>
      <c r="B2300" s="3" t="s">
        <v>8461</v>
      </c>
      <c r="C2300" s="3" t="s">
        <v>8462</v>
      </c>
      <c r="D2300" s="4" t="s">
        <v>8463</v>
      </c>
      <c r="E2300" s="3" t="s">
        <v>8464</v>
      </c>
      <c r="F2300" s="34" t="s">
        <v>8460</v>
      </c>
      <c r="G2300" s="6"/>
      <c r="H2300" s="3" t="s">
        <v>7579</v>
      </c>
    </row>
    <row r="2301" spans="1:8" ht="15.75" customHeight="1">
      <c r="A2301" s="3" t="s">
        <v>721</v>
      </c>
      <c r="B2301" s="3" t="s">
        <v>394</v>
      </c>
      <c r="C2301" s="3" t="s">
        <v>7575</v>
      </c>
      <c r="D2301" s="4" t="s">
        <v>8480</v>
      </c>
      <c r="E2301" s="3" t="s">
        <v>8481</v>
      </c>
      <c r="F2301" s="3" t="s">
        <v>7571</v>
      </c>
      <c r="G2301" s="6"/>
      <c r="H2301" s="3" t="s">
        <v>7579</v>
      </c>
    </row>
    <row r="2302" spans="1:8" ht="15.75" customHeight="1">
      <c r="A2302" s="3" t="s">
        <v>8494</v>
      </c>
      <c r="B2302" s="3" t="s">
        <v>8495</v>
      </c>
      <c r="C2302" s="3" t="s">
        <v>8496</v>
      </c>
      <c r="D2302" s="4" t="s">
        <v>8497</v>
      </c>
      <c r="E2302" s="3" t="s">
        <v>8498</v>
      </c>
      <c r="F2302" s="3" t="s">
        <v>7571</v>
      </c>
      <c r="G2302" s="6"/>
      <c r="H2302" s="3" t="s">
        <v>7579</v>
      </c>
    </row>
    <row r="2303" spans="1:8" ht="15.75" customHeight="1">
      <c r="A2303" s="3" t="s">
        <v>528</v>
      </c>
      <c r="B2303" s="3" t="s">
        <v>3722</v>
      </c>
      <c r="C2303" s="3" t="s">
        <v>3723</v>
      </c>
      <c r="D2303" s="4" t="s">
        <v>9125</v>
      </c>
      <c r="E2303" s="3" t="s">
        <v>9126</v>
      </c>
      <c r="F2303" s="34" t="s">
        <v>8934</v>
      </c>
      <c r="G2303" s="6"/>
      <c r="H2303" s="3" t="s">
        <v>8935</v>
      </c>
    </row>
    <row r="2304" spans="1:8" ht="15.75" customHeight="1">
      <c r="A2304" s="3" t="s">
        <v>473</v>
      </c>
      <c r="B2304" s="3" t="s">
        <v>2751</v>
      </c>
      <c r="C2304" s="3" t="s">
        <v>9650</v>
      </c>
      <c r="D2304" s="4" t="s">
        <v>9651</v>
      </c>
      <c r="E2304" s="3" t="s">
        <v>9652</v>
      </c>
      <c r="F2304" s="34" t="s">
        <v>9653</v>
      </c>
      <c r="G2304" s="6"/>
      <c r="H2304" s="3" t="s">
        <v>9654</v>
      </c>
    </row>
    <row r="2305" spans="1:8" ht="15.75" customHeight="1">
      <c r="A2305" s="3" t="s">
        <v>1312</v>
      </c>
      <c r="B2305" s="3" t="s">
        <v>1313</v>
      </c>
      <c r="C2305" s="3" t="s">
        <v>1314</v>
      </c>
      <c r="D2305" s="4" t="s">
        <v>9655</v>
      </c>
      <c r="E2305" s="3" t="s">
        <v>9656</v>
      </c>
      <c r="F2305" s="34" t="s">
        <v>9340</v>
      </c>
      <c r="G2305" s="6"/>
      <c r="H2305" s="3" t="s">
        <v>9341</v>
      </c>
    </row>
    <row r="2306" spans="1:8" ht="15.75" customHeight="1">
      <c r="A2306" s="3" t="s">
        <v>6259</v>
      </c>
      <c r="B2306" s="3" t="s">
        <v>5543</v>
      </c>
      <c r="C2306" s="3" t="s">
        <v>9163</v>
      </c>
      <c r="D2306" s="4" t="s">
        <v>9164</v>
      </c>
      <c r="E2306" s="3" t="s">
        <v>9165</v>
      </c>
      <c r="F2306" s="34" t="s">
        <v>8934</v>
      </c>
      <c r="G2306" s="6"/>
      <c r="H2306" s="3" t="s">
        <v>8935</v>
      </c>
    </row>
    <row r="2307" spans="1:8" ht="15.75" customHeight="1">
      <c r="A2307" s="3" t="s">
        <v>44</v>
      </c>
      <c r="B2307" s="3" t="s">
        <v>9657</v>
      </c>
      <c r="C2307" s="3" t="s">
        <v>9658</v>
      </c>
      <c r="D2307" s="4" t="s">
        <v>9659</v>
      </c>
      <c r="E2307" s="3" t="s">
        <v>9660</v>
      </c>
      <c r="F2307" s="34" t="s">
        <v>9661</v>
      </c>
      <c r="G2307" s="6"/>
      <c r="H2307" s="3" t="s">
        <v>9662</v>
      </c>
    </row>
    <row r="2308" spans="1:8" ht="15.75" customHeight="1">
      <c r="A2308" s="3" t="s">
        <v>1475</v>
      </c>
      <c r="B2308" s="3" t="s">
        <v>282</v>
      </c>
      <c r="C2308" s="3" t="s">
        <v>9663</v>
      </c>
      <c r="D2308" s="4" t="s">
        <v>9664</v>
      </c>
      <c r="E2308" s="3" t="s">
        <v>9665</v>
      </c>
      <c r="F2308" s="6"/>
      <c r="G2308" s="6"/>
      <c r="H2308" s="3" t="s">
        <v>9489</v>
      </c>
    </row>
    <row r="2309" spans="1:8" ht="15.75" customHeight="1">
      <c r="A2309" s="3" t="s">
        <v>44</v>
      </c>
      <c r="B2309" s="3" t="s">
        <v>1277</v>
      </c>
      <c r="C2309" s="3" t="s">
        <v>9666</v>
      </c>
      <c r="D2309" s="4" t="s">
        <v>9667</v>
      </c>
      <c r="E2309" s="3" t="s">
        <v>9668</v>
      </c>
      <c r="F2309" s="34" t="s">
        <v>9669</v>
      </c>
      <c r="G2309" s="6"/>
      <c r="H2309" s="3" t="s">
        <v>9670</v>
      </c>
    </row>
    <row r="2310" spans="1:8" ht="15.75" customHeight="1">
      <c r="A2310" s="3" t="s">
        <v>9671</v>
      </c>
      <c r="B2310" s="3" t="s">
        <v>2917</v>
      </c>
      <c r="C2310" s="3" t="s">
        <v>9289</v>
      </c>
      <c r="D2310" s="6"/>
      <c r="E2310" s="3" t="s">
        <v>9672</v>
      </c>
      <c r="F2310" s="3" t="s">
        <v>9292</v>
      </c>
      <c r="G2310" s="6"/>
      <c r="H2310" s="3" t="s">
        <v>9293</v>
      </c>
    </row>
    <row r="2311" spans="1:8" ht="15.75" customHeight="1">
      <c r="A2311" s="3" t="s">
        <v>9673</v>
      </c>
      <c r="B2311" s="3" t="s">
        <v>9674</v>
      </c>
      <c r="C2311" s="3" t="s">
        <v>229</v>
      </c>
      <c r="D2311" s="4" t="s">
        <v>9675</v>
      </c>
      <c r="E2311" s="3" t="s">
        <v>9676</v>
      </c>
      <c r="F2311" s="34" t="s">
        <v>9677</v>
      </c>
      <c r="G2311" s="6"/>
      <c r="H2311" s="3" t="s">
        <v>9678</v>
      </c>
    </row>
    <row r="2312" spans="1:8" ht="15.75" customHeight="1">
      <c r="A2312" s="3" t="s">
        <v>155</v>
      </c>
      <c r="B2312" s="3" t="s">
        <v>4001</v>
      </c>
      <c r="C2312" s="3" t="s">
        <v>8204</v>
      </c>
      <c r="D2312" s="4" t="s">
        <v>8205</v>
      </c>
      <c r="E2312" s="3" t="s">
        <v>8206</v>
      </c>
      <c r="F2312" s="3" t="s">
        <v>7571</v>
      </c>
      <c r="G2312" s="6"/>
      <c r="H2312" s="3" t="s">
        <v>7579</v>
      </c>
    </row>
    <row r="2313" spans="1:8" ht="15.75" customHeight="1">
      <c r="A2313" s="3" t="s">
        <v>9679</v>
      </c>
      <c r="B2313" s="3" t="s">
        <v>5089</v>
      </c>
      <c r="C2313" s="3" t="s">
        <v>6033</v>
      </c>
      <c r="D2313" s="4" t="s">
        <v>9680</v>
      </c>
      <c r="E2313" s="3" t="s">
        <v>9681</v>
      </c>
      <c r="F2313" s="34" t="s">
        <v>9322</v>
      </c>
      <c r="G2313" s="6"/>
      <c r="H2313" s="3" t="s">
        <v>9323</v>
      </c>
    </row>
    <row r="2314" spans="1:8" ht="15.75" customHeight="1">
      <c r="A2314" s="3" t="s">
        <v>9682</v>
      </c>
      <c r="B2314" s="3" t="s">
        <v>9683</v>
      </c>
      <c r="C2314" s="3" t="s">
        <v>6495</v>
      </c>
      <c r="D2314" s="4" t="s">
        <v>9684</v>
      </c>
      <c r="E2314" s="3" t="s">
        <v>9685</v>
      </c>
      <c r="F2314" s="6"/>
      <c r="G2314" s="6"/>
      <c r="H2314" s="3" t="s">
        <v>9352</v>
      </c>
    </row>
    <row r="2315" spans="1:8" ht="15.75" customHeight="1">
      <c r="A2315" s="3" t="s">
        <v>155</v>
      </c>
      <c r="B2315" s="3" t="s">
        <v>116</v>
      </c>
      <c r="C2315" s="3" t="s">
        <v>9686</v>
      </c>
      <c r="D2315" s="4" t="s">
        <v>9687</v>
      </c>
      <c r="E2315" s="3" t="s">
        <v>9688</v>
      </c>
      <c r="F2315" s="34" t="s">
        <v>9689</v>
      </c>
      <c r="G2315" s="6"/>
      <c r="H2315" s="3" t="s">
        <v>9690</v>
      </c>
    </row>
    <row r="2316" spans="1:8" ht="15.75" customHeight="1">
      <c r="A2316" s="3" t="s">
        <v>9691</v>
      </c>
      <c r="B2316" s="3" t="s">
        <v>9692</v>
      </c>
      <c r="C2316" s="3" t="s">
        <v>9693</v>
      </c>
      <c r="D2316" s="4" t="s">
        <v>9694</v>
      </c>
      <c r="E2316" s="3" t="s">
        <v>9695</v>
      </c>
      <c r="F2316" s="6"/>
      <c r="G2316" s="6"/>
      <c r="H2316" s="3" t="s">
        <v>9696</v>
      </c>
    </row>
    <row r="2317" spans="1:8" ht="15.75" customHeight="1">
      <c r="A2317" s="3" t="s">
        <v>4489</v>
      </c>
      <c r="B2317" s="6"/>
      <c r="C2317" s="3" t="s">
        <v>4830</v>
      </c>
      <c r="D2317" s="6"/>
      <c r="E2317" s="3" t="s">
        <v>9697</v>
      </c>
      <c r="F2317" s="6"/>
      <c r="G2317" s="6"/>
      <c r="H2317" s="3" t="s">
        <v>9698</v>
      </c>
    </row>
    <row r="2318" spans="1:8" ht="15.75" customHeight="1">
      <c r="A2318" s="3" t="s">
        <v>8508</v>
      </c>
      <c r="B2318" s="3" t="s">
        <v>8509</v>
      </c>
      <c r="C2318" s="3" t="s">
        <v>8510</v>
      </c>
      <c r="D2318" s="4" t="s">
        <v>8511</v>
      </c>
      <c r="E2318" s="3" t="s">
        <v>8512</v>
      </c>
      <c r="F2318" s="34" t="s">
        <v>7617</v>
      </c>
      <c r="G2318" s="6"/>
      <c r="H2318" s="3" t="s">
        <v>8514</v>
      </c>
    </row>
    <row r="2319" spans="1:8" ht="15.75" customHeight="1">
      <c r="A2319" s="3" t="s">
        <v>9196</v>
      </c>
      <c r="B2319" s="3" t="s">
        <v>9197</v>
      </c>
      <c r="C2319" s="3" t="s">
        <v>9198</v>
      </c>
      <c r="D2319" s="4" t="s">
        <v>9199</v>
      </c>
      <c r="E2319" s="3" t="s">
        <v>9200</v>
      </c>
      <c r="F2319" s="34" t="s">
        <v>8934</v>
      </c>
      <c r="G2319" s="6"/>
      <c r="H2319" s="3" t="s">
        <v>8935</v>
      </c>
    </row>
    <row r="2320" spans="1:8" ht="15.75" customHeight="1">
      <c r="A2320" s="3" t="s">
        <v>9699</v>
      </c>
      <c r="B2320" s="3" t="s">
        <v>9700</v>
      </c>
      <c r="C2320" s="3" t="s">
        <v>6172</v>
      </c>
      <c r="D2320" s="4" t="s">
        <v>9701</v>
      </c>
      <c r="E2320" s="3" t="s">
        <v>9702</v>
      </c>
      <c r="F2320" s="34" t="s">
        <v>9340</v>
      </c>
      <c r="G2320" s="6"/>
      <c r="H2320" s="3" t="s">
        <v>9341</v>
      </c>
    </row>
    <row r="2321" spans="1:8" ht="15.75" customHeight="1">
      <c r="A2321" s="3" t="s">
        <v>7686</v>
      </c>
      <c r="B2321" s="3" t="s">
        <v>883</v>
      </c>
      <c r="C2321" s="3" t="s">
        <v>5263</v>
      </c>
      <c r="D2321" s="4" t="s">
        <v>9703</v>
      </c>
      <c r="E2321" s="3" t="s">
        <v>9704</v>
      </c>
      <c r="F2321" s="34" t="s">
        <v>9705</v>
      </c>
      <c r="G2321" s="6"/>
      <c r="H2321" s="3" t="s">
        <v>9706</v>
      </c>
    </row>
    <row r="2322" spans="1:8" ht="15.75" customHeight="1">
      <c r="A2322" s="3" t="s">
        <v>721</v>
      </c>
      <c r="B2322" s="3" t="s">
        <v>8373</v>
      </c>
      <c r="C2322" s="3" t="s">
        <v>8374</v>
      </c>
      <c r="D2322" s="4" t="s">
        <v>8375</v>
      </c>
      <c r="E2322" s="3" t="s">
        <v>8376</v>
      </c>
      <c r="F2322" s="3" t="s">
        <v>7571</v>
      </c>
      <c r="G2322" s="6"/>
      <c r="H2322" s="3" t="s">
        <v>7579</v>
      </c>
    </row>
    <row r="2323" spans="1:8" ht="15.75" customHeight="1">
      <c r="A2323" s="3" t="s">
        <v>1475</v>
      </c>
      <c r="B2323" s="3" t="s">
        <v>282</v>
      </c>
      <c r="C2323" s="3" t="s">
        <v>9707</v>
      </c>
      <c r="D2323" s="4" t="s">
        <v>9708</v>
      </c>
      <c r="E2323" s="3" t="s">
        <v>9665</v>
      </c>
      <c r="F2323" s="6"/>
      <c r="G2323" s="6"/>
      <c r="H2323" s="3" t="s">
        <v>9489</v>
      </c>
    </row>
    <row r="2324" spans="1:8" ht="15.75" customHeight="1">
      <c r="A2324" s="3" t="s">
        <v>955</v>
      </c>
      <c r="B2324" s="3" t="s">
        <v>9709</v>
      </c>
      <c r="C2324" s="3" t="s">
        <v>5263</v>
      </c>
      <c r="D2324" s="4" t="s">
        <v>9710</v>
      </c>
      <c r="E2324" s="3" t="s">
        <v>9711</v>
      </c>
      <c r="F2324" s="34" t="s">
        <v>9712</v>
      </c>
      <c r="G2324" s="6"/>
      <c r="H2324" s="3" t="s">
        <v>9713</v>
      </c>
    </row>
    <row r="2325" spans="1:8" ht="15.75" customHeight="1">
      <c r="A2325" s="3" t="s">
        <v>2162</v>
      </c>
      <c r="B2325" s="3" t="s">
        <v>4216</v>
      </c>
      <c r="C2325" s="3" t="s">
        <v>9714</v>
      </c>
      <c r="D2325" s="4" t="s">
        <v>9715</v>
      </c>
      <c r="E2325" s="3" t="s">
        <v>9716</v>
      </c>
      <c r="F2325" s="34" t="s">
        <v>9717</v>
      </c>
      <c r="G2325" s="6"/>
      <c r="H2325" s="3" t="s">
        <v>9718</v>
      </c>
    </row>
    <row r="2326" spans="1:8" ht="15.75" customHeight="1">
      <c r="A2326" s="3" t="s">
        <v>100</v>
      </c>
      <c r="B2326" s="3" t="s">
        <v>59</v>
      </c>
      <c r="C2326" s="3" t="s">
        <v>6495</v>
      </c>
      <c r="D2326" s="4" t="s">
        <v>9719</v>
      </c>
      <c r="E2326" s="3" t="s">
        <v>9720</v>
      </c>
      <c r="F2326" s="6"/>
      <c r="G2326" s="6"/>
      <c r="H2326" s="3" t="s">
        <v>9721</v>
      </c>
    </row>
    <row r="2327" spans="1:8" ht="15.75" customHeight="1">
      <c r="A2327" s="3" t="s">
        <v>7550</v>
      </c>
      <c r="B2327" s="3" t="s">
        <v>2245</v>
      </c>
      <c r="C2327" s="3" t="s">
        <v>9400</v>
      </c>
      <c r="D2327" s="4" t="s">
        <v>9401</v>
      </c>
      <c r="E2327" s="3" t="s">
        <v>9402</v>
      </c>
      <c r="F2327" s="34" t="s">
        <v>9403</v>
      </c>
      <c r="G2327" s="6"/>
      <c r="H2327" s="3" t="s">
        <v>9309</v>
      </c>
    </row>
    <row r="2328" spans="1:8" ht="15.75" customHeight="1">
      <c r="A2328" s="3" t="s">
        <v>4000</v>
      </c>
      <c r="B2328" s="3" t="s">
        <v>7592</v>
      </c>
      <c r="C2328" s="3" t="s">
        <v>7126</v>
      </c>
      <c r="D2328" s="4" t="s">
        <v>9722</v>
      </c>
      <c r="E2328" s="3" t="s">
        <v>9723</v>
      </c>
      <c r="F2328" s="34" t="s">
        <v>9724</v>
      </c>
      <c r="G2328" s="6"/>
      <c r="H2328" s="3" t="s">
        <v>9725</v>
      </c>
    </row>
    <row r="2329" spans="1:8" ht="15.75" customHeight="1">
      <c r="A2329" s="3" t="s">
        <v>1214</v>
      </c>
      <c r="B2329" s="3" t="s">
        <v>1716</v>
      </c>
      <c r="C2329" s="3" t="s">
        <v>5263</v>
      </c>
      <c r="D2329" s="4" t="s">
        <v>9726</v>
      </c>
      <c r="E2329" s="3" t="s">
        <v>9727</v>
      </c>
      <c r="F2329" s="6"/>
      <c r="G2329" s="6"/>
      <c r="H2329" s="3" t="s">
        <v>9728</v>
      </c>
    </row>
    <row r="2330" spans="1:8" ht="15.75" customHeight="1">
      <c r="A2330" s="3" t="s">
        <v>422</v>
      </c>
      <c r="B2330" s="3" t="s">
        <v>1387</v>
      </c>
      <c r="C2330" s="3" t="s">
        <v>91</v>
      </c>
      <c r="D2330" s="4" t="s">
        <v>9729</v>
      </c>
      <c r="E2330" s="3" t="s">
        <v>9730</v>
      </c>
      <c r="F2330" s="6"/>
      <c r="G2330" s="6"/>
      <c r="H2330" s="3" t="s">
        <v>9731</v>
      </c>
    </row>
    <row r="2331" spans="1:8" ht="15.75" customHeight="1">
      <c r="A2331" s="3" t="s">
        <v>1768</v>
      </c>
      <c r="B2331" s="3" t="s">
        <v>9732</v>
      </c>
      <c r="C2331" s="3" t="s">
        <v>5182</v>
      </c>
      <c r="D2331" s="4" t="s">
        <v>9733</v>
      </c>
      <c r="E2331" s="3" t="s">
        <v>9734</v>
      </c>
      <c r="F2331" s="34" t="s">
        <v>9735</v>
      </c>
      <c r="G2331" s="6"/>
      <c r="H2331" s="3" t="s">
        <v>9736</v>
      </c>
    </row>
    <row r="2332" spans="1:8" ht="15.75" customHeight="1">
      <c r="A2332" s="3" t="s">
        <v>1600</v>
      </c>
      <c r="B2332" s="3" t="s">
        <v>1051</v>
      </c>
      <c r="C2332" s="3" t="s">
        <v>9737</v>
      </c>
      <c r="D2332" s="4" t="s">
        <v>9738</v>
      </c>
      <c r="E2332" s="3" t="s">
        <v>9739</v>
      </c>
      <c r="F2332" s="34" t="s">
        <v>9740</v>
      </c>
      <c r="G2332" s="6"/>
      <c r="H2332" s="3" t="s">
        <v>9741</v>
      </c>
    </row>
    <row r="2333" spans="1:8" ht="15.75" customHeight="1">
      <c r="A2333" s="3" t="s">
        <v>9742</v>
      </c>
      <c r="B2333" s="3" t="s">
        <v>9743</v>
      </c>
      <c r="C2333" s="3" t="s">
        <v>9744</v>
      </c>
      <c r="D2333" s="4" t="s">
        <v>9745</v>
      </c>
      <c r="E2333" s="3" t="s">
        <v>9746</v>
      </c>
      <c r="F2333" s="6"/>
      <c r="G2333" s="6"/>
      <c r="H2333" s="3" t="s">
        <v>9747</v>
      </c>
    </row>
    <row r="2334" spans="1:8" ht="15.75" customHeight="1">
      <c r="A2334" s="3" t="s">
        <v>1338</v>
      </c>
      <c r="B2334" s="3" t="s">
        <v>479</v>
      </c>
      <c r="C2334" s="3" t="s">
        <v>1858</v>
      </c>
      <c r="D2334" s="4" t="s">
        <v>9748</v>
      </c>
      <c r="E2334" s="3" t="s">
        <v>9749</v>
      </c>
      <c r="F2334" s="6"/>
      <c r="G2334" s="6"/>
      <c r="H2334" s="3" t="s">
        <v>9750</v>
      </c>
    </row>
    <row r="2335" spans="1:8" ht="15.75" customHeight="1">
      <c r="A2335" s="3" t="s">
        <v>763</v>
      </c>
      <c r="B2335" s="3" t="s">
        <v>9751</v>
      </c>
      <c r="C2335" s="3" t="s">
        <v>8266</v>
      </c>
      <c r="D2335" s="6"/>
      <c r="E2335" s="3" t="s">
        <v>9752</v>
      </c>
      <c r="F2335" s="6"/>
      <c r="G2335" s="6"/>
      <c r="H2335" s="3" t="s">
        <v>9753</v>
      </c>
    </row>
    <row r="2336" spans="1:8" ht="15.75" customHeight="1">
      <c r="A2336" s="3" t="s">
        <v>9754</v>
      </c>
      <c r="B2336" s="3" t="s">
        <v>2497</v>
      </c>
      <c r="C2336" s="3" t="s">
        <v>109</v>
      </c>
      <c r="D2336" s="6"/>
      <c r="E2336" s="3" t="s">
        <v>9755</v>
      </c>
      <c r="F2336" s="3" t="s">
        <v>9756</v>
      </c>
      <c r="G2336" s="6"/>
      <c r="H2336" s="3" t="s">
        <v>9757</v>
      </c>
    </row>
    <row r="2337" spans="1:8" ht="15.75" customHeight="1">
      <c r="A2337" s="3" t="s">
        <v>1953</v>
      </c>
      <c r="B2337" s="3" t="s">
        <v>1381</v>
      </c>
      <c r="C2337" s="3" t="s">
        <v>9758</v>
      </c>
      <c r="D2337" s="6"/>
      <c r="E2337" s="3" t="s">
        <v>9759</v>
      </c>
      <c r="F2337" s="3" t="s">
        <v>9760</v>
      </c>
      <c r="G2337" s="6"/>
      <c r="H2337" s="3" t="s">
        <v>9761</v>
      </c>
    </row>
    <row r="2338" spans="1:8" ht="15.75" customHeight="1">
      <c r="A2338" s="3" t="s">
        <v>295</v>
      </c>
      <c r="B2338" s="3" t="s">
        <v>865</v>
      </c>
      <c r="C2338" s="3" t="s">
        <v>9762</v>
      </c>
      <c r="D2338" s="4" t="s">
        <v>9763</v>
      </c>
      <c r="E2338" s="3" t="s">
        <v>9764</v>
      </c>
      <c r="F2338" s="34" t="s">
        <v>9765</v>
      </c>
      <c r="G2338" s="6"/>
      <c r="H2338" s="3" t="s">
        <v>9766</v>
      </c>
    </row>
    <row r="2339" spans="1:8" ht="15.75" customHeight="1">
      <c r="A2339" s="3" t="s">
        <v>1600</v>
      </c>
      <c r="B2339" s="3" t="s">
        <v>59</v>
      </c>
      <c r="C2339" s="3" t="s">
        <v>9737</v>
      </c>
      <c r="D2339" s="4" t="s">
        <v>9767</v>
      </c>
      <c r="E2339" s="3" t="s">
        <v>9739</v>
      </c>
      <c r="F2339" s="34" t="s">
        <v>9740</v>
      </c>
      <c r="G2339" s="6"/>
      <c r="H2339" s="3" t="s">
        <v>9741</v>
      </c>
    </row>
    <row r="2340" spans="1:8" ht="15.75" customHeight="1">
      <c r="A2340" s="3" t="s">
        <v>2509</v>
      </c>
      <c r="B2340" s="3" t="s">
        <v>9768</v>
      </c>
      <c r="C2340" s="3" t="s">
        <v>6048</v>
      </c>
      <c r="D2340" s="4" t="s">
        <v>9769</v>
      </c>
      <c r="E2340" s="3" t="s">
        <v>9770</v>
      </c>
      <c r="F2340" s="34" t="s">
        <v>9771</v>
      </c>
      <c r="G2340" s="6"/>
      <c r="H2340" s="3" t="s">
        <v>9772</v>
      </c>
    </row>
    <row r="2341" spans="1:8" ht="15.75" customHeight="1">
      <c r="A2341" s="3" t="s">
        <v>457</v>
      </c>
      <c r="B2341" s="3" t="s">
        <v>458</v>
      </c>
      <c r="C2341" s="3" t="s">
        <v>459</v>
      </c>
      <c r="D2341" s="4" t="s">
        <v>9773</v>
      </c>
      <c r="E2341" s="3" t="s">
        <v>461</v>
      </c>
      <c r="F2341" s="34" t="s">
        <v>9774</v>
      </c>
      <c r="G2341" s="6"/>
      <c r="H2341" s="3" t="s">
        <v>9775</v>
      </c>
    </row>
    <row r="2342" spans="1:8" ht="15.75" customHeight="1">
      <c r="A2342" s="3" t="s">
        <v>4162</v>
      </c>
      <c r="B2342" s="3" t="s">
        <v>9776</v>
      </c>
      <c r="C2342" s="3" t="s">
        <v>9777</v>
      </c>
      <c r="D2342" s="4" t="s">
        <v>9778</v>
      </c>
      <c r="E2342" s="3" t="s">
        <v>9779</v>
      </c>
      <c r="F2342" s="6"/>
      <c r="G2342" s="6"/>
      <c r="H2342" s="3" t="s">
        <v>9780</v>
      </c>
    </row>
    <row r="2343" spans="1:8" ht="15.75" customHeight="1">
      <c r="A2343" s="3" t="s">
        <v>3725</v>
      </c>
      <c r="B2343" s="3" t="s">
        <v>718</v>
      </c>
      <c r="C2343" s="3" t="s">
        <v>9781</v>
      </c>
      <c r="D2343" s="4" t="s">
        <v>9782</v>
      </c>
      <c r="E2343" s="3" t="s">
        <v>9783</v>
      </c>
      <c r="F2343" s="6"/>
      <c r="G2343" s="6"/>
      <c r="H2343" s="3" t="s">
        <v>9728</v>
      </c>
    </row>
    <row r="2344" spans="1:8" ht="15.75" customHeight="1">
      <c r="A2344" s="3" t="s">
        <v>2463</v>
      </c>
      <c r="B2344" s="3" t="s">
        <v>9784</v>
      </c>
      <c r="C2344" s="3" t="s">
        <v>9785</v>
      </c>
      <c r="D2344" s="4" t="s">
        <v>9786</v>
      </c>
      <c r="E2344" s="3" t="s">
        <v>9787</v>
      </c>
      <c r="F2344" s="34" t="s">
        <v>9788</v>
      </c>
      <c r="G2344" s="6"/>
      <c r="H2344" s="3" t="s">
        <v>9789</v>
      </c>
    </row>
    <row r="2345" spans="1:8" ht="15.75" customHeight="1">
      <c r="A2345" s="3" t="s">
        <v>721</v>
      </c>
      <c r="B2345" s="3" t="s">
        <v>394</v>
      </c>
      <c r="C2345" s="3" t="s">
        <v>9790</v>
      </c>
      <c r="D2345" s="4" t="s">
        <v>9791</v>
      </c>
      <c r="E2345" s="3" t="s">
        <v>9792</v>
      </c>
      <c r="F2345" s="34" t="s">
        <v>9793</v>
      </c>
      <c r="G2345" s="6"/>
      <c r="H2345" s="3" t="s">
        <v>9794</v>
      </c>
    </row>
    <row r="2346" spans="1:8" ht="15.75" customHeight="1">
      <c r="A2346" s="3" t="s">
        <v>1530</v>
      </c>
      <c r="B2346" s="3" t="s">
        <v>1965</v>
      </c>
      <c r="C2346" s="3" t="s">
        <v>6495</v>
      </c>
      <c r="D2346" s="4" t="s">
        <v>9795</v>
      </c>
      <c r="E2346" s="3" t="s">
        <v>9796</v>
      </c>
      <c r="F2346" s="34" t="s">
        <v>9797</v>
      </c>
      <c r="G2346" s="6"/>
      <c r="H2346" s="3" t="s">
        <v>9798</v>
      </c>
    </row>
    <row r="2347" spans="1:8" ht="15.75" customHeight="1">
      <c r="A2347" s="3" t="s">
        <v>8961</v>
      </c>
      <c r="B2347" s="3" t="s">
        <v>185</v>
      </c>
      <c r="C2347" s="3" t="s">
        <v>7045</v>
      </c>
      <c r="D2347" s="4" t="s">
        <v>9799</v>
      </c>
      <c r="E2347" s="3" t="s">
        <v>9800</v>
      </c>
      <c r="F2347" s="34" t="s">
        <v>9801</v>
      </c>
      <c r="G2347" s="6"/>
      <c r="H2347" s="3" t="s">
        <v>9802</v>
      </c>
    </row>
    <row r="2348" spans="1:8" ht="15.75" customHeight="1">
      <c r="A2348" s="3" t="s">
        <v>600</v>
      </c>
      <c r="B2348" s="3" t="s">
        <v>9803</v>
      </c>
      <c r="C2348" s="3" t="s">
        <v>8215</v>
      </c>
      <c r="D2348" s="4" t="s">
        <v>9804</v>
      </c>
      <c r="E2348" s="3" t="s">
        <v>9805</v>
      </c>
      <c r="F2348" s="6"/>
      <c r="G2348" s="6"/>
      <c r="H2348" s="3" t="s">
        <v>9806</v>
      </c>
    </row>
    <row r="2349" spans="1:8" ht="15.75" customHeight="1">
      <c r="A2349" s="3" t="s">
        <v>1157</v>
      </c>
      <c r="B2349" s="3" t="s">
        <v>198</v>
      </c>
      <c r="C2349" s="3" t="s">
        <v>9807</v>
      </c>
      <c r="D2349" s="4" t="s">
        <v>9808</v>
      </c>
      <c r="E2349" s="3" t="s">
        <v>9809</v>
      </c>
      <c r="F2349" s="6"/>
      <c r="G2349" s="6"/>
      <c r="H2349" s="3" t="s">
        <v>9810</v>
      </c>
    </row>
    <row r="2350" spans="1:8" ht="15.75" customHeight="1">
      <c r="A2350" s="3" t="s">
        <v>381</v>
      </c>
      <c r="B2350" s="3" t="s">
        <v>9811</v>
      </c>
      <c r="C2350" s="3" t="s">
        <v>9812</v>
      </c>
      <c r="D2350" s="4" t="s">
        <v>9813</v>
      </c>
      <c r="E2350" s="3" t="s">
        <v>9814</v>
      </c>
      <c r="F2350" s="6"/>
      <c r="G2350" s="6"/>
      <c r="H2350" s="3" t="s">
        <v>9815</v>
      </c>
    </row>
    <row r="2351" spans="1:8" ht="15.75" customHeight="1">
      <c r="A2351" s="3" t="s">
        <v>763</v>
      </c>
      <c r="B2351" s="3" t="s">
        <v>3665</v>
      </c>
      <c r="C2351" s="3" t="s">
        <v>6572</v>
      </c>
      <c r="D2351" s="4" t="s">
        <v>9816</v>
      </c>
      <c r="E2351" s="3" t="s">
        <v>9817</v>
      </c>
      <c r="F2351" s="34" t="s">
        <v>9818</v>
      </c>
      <c r="G2351" s="6"/>
      <c r="H2351" s="3" t="s">
        <v>9819</v>
      </c>
    </row>
    <row r="2352" spans="1:8" ht="15.75" customHeight="1">
      <c r="A2352" s="3" t="s">
        <v>9820</v>
      </c>
      <c r="B2352" s="6"/>
      <c r="C2352" s="3" t="s">
        <v>4321</v>
      </c>
      <c r="D2352" s="6"/>
      <c r="E2352" s="3" t="s">
        <v>9821</v>
      </c>
      <c r="F2352" s="3" t="s">
        <v>9822</v>
      </c>
      <c r="G2352" s="6"/>
      <c r="H2352" s="3" t="s">
        <v>9823</v>
      </c>
    </row>
    <row r="2353" spans="1:8" ht="15.75" customHeight="1">
      <c r="A2353" s="3" t="s">
        <v>1557</v>
      </c>
      <c r="B2353" s="3" t="s">
        <v>9824</v>
      </c>
      <c r="C2353" s="3" t="s">
        <v>1684</v>
      </c>
      <c r="D2353" s="4" t="s">
        <v>9825</v>
      </c>
      <c r="E2353" s="3" t="s">
        <v>9826</v>
      </c>
      <c r="F2353" s="6"/>
      <c r="G2353" s="6"/>
      <c r="H2353" s="3" t="s">
        <v>9810</v>
      </c>
    </row>
    <row r="2354" spans="1:8" ht="15.75" customHeight="1">
      <c r="A2354" s="3" t="s">
        <v>9827</v>
      </c>
      <c r="B2354" s="3" t="s">
        <v>902</v>
      </c>
      <c r="C2354" s="3" t="s">
        <v>5263</v>
      </c>
      <c r="D2354" s="4" t="s">
        <v>9828</v>
      </c>
      <c r="E2354" s="3" t="s">
        <v>9829</v>
      </c>
      <c r="F2354" s="34" t="s">
        <v>9830</v>
      </c>
      <c r="G2354" s="6"/>
      <c r="H2354" s="3" t="s">
        <v>9831</v>
      </c>
    </row>
    <row r="2355" spans="1:8" ht="15.75" customHeight="1">
      <c r="A2355" s="3" t="s">
        <v>955</v>
      </c>
      <c r="B2355" s="3" t="s">
        <v>6387</v>
      </c>
      <c r="C2355" s="3" t="s">
        <v>9832</v>
      </c>
      <c r="D2355" s="4" t="s">
        <v>9833</v>
      </c>
      <c r="E2355" s="3" t="s">
        <v>9834</v>
      </c>
      <c r="F2355" s="34" t="s">
        <v>9835</v>
      </c>
      <c r="G2355" s="6"/>
      <c r="H2355" s="3" t="s">
        <v>9836</v>
      </c>
    </row>
    <row r="2356" spans="1:8" ht="15.75" customHeight="1">
      <c r="A2356" s="3" t="s">
        <v>572</v>
      </c>
      <c r="B2356" s="3" t="s">
        <v>2952</v>
      </c>
      <c r="C2356" s="3" t="s">
        <v>4364</v>
      </c>
      <c r="D2356" s="4" t="s">
        <v>9837</v>
      </c>
      <c r="E2356" s="3" t="s">
        <v>9838</v>
      </c>
      <c r="F2356" s="34" t="s">
        <v>9839</v>
      </c>
      <c r="G2356" s="6"/>
      <c r="H2356" s="3" t="s">
        <v>9840</v>
      </c>
    </row>
    <row r="2357" spans="1:8" ht="15.75" customHeight="1">
      <c r="A2357" s="3" t="s">
        <v>5115</v>
      </c>
      <c r="B2357" s="3" t="s">
        <v>9841</v>
      </c>
      <c r="C2357" s="3" t="s">
        <v>9842</v>
      </c>
      <c r="D2357" s="4" t="s">
        <v>9843</v>
      </c>
      <c r="E2357" s="3" t="s">
        <v>9844</v>
      </c>
      <c r="F2357" s="34" t="s">
        <v>9774</v>
      </c>
      <c r="G2357" s="6"/>
      <c r="H2357" s="3" t="s">
        <v>9775</v>
      </c>
    </row>
    <row r="2358" spans="1:8" ht="15.75" customHeight="1">
      <c r="A2358" s="3" t="s">
        <v>2251</v>
      </c>
      <c r="B2358" s="3" t="s">
        <v>3149</v>
      </c>
      <c r="C2358" s="3" t="s">
        <v>46</v>
      </c>
      <c r="D2358" s="4" t="s">
        <v>9845</v>
      </c>
      <c r="E2358" s="3" t="s">
        <v>9846</v>
      </c>
      <c r="F2358" s="34" t="s">
        <v>9847</v>
      </c>
      <c r="G2358" s="6"/>
      <c r="H2358" s="3" t="s">
        <v>9848</v>
      </c>
    </row>
    <row r="2359" spans="1:8" ht="15.75" customHeight="1">
      <c r="A2359" s="3" t="s">
        <v>1768</v>
      </c>
      <c r="B2359" s="3" t="s">
        <v>5335</v>
      </c>
      <c r="C2359" s="3" t="s">
        <v>229</v>
      </c>
      <c r="D2359" s="4" t="s">
        <v>9849</v>
      </c>
      <c r="E2359" s="3" t="s">
        <v>9850</v>
      </c>
      <c r="F2359" s="6"/>
      <c r="G2359" s="6"/>
      <c r="H2359" s="3" t="s">
        <v>9851</v>
      </c>
    </row>
    <row r="2360" spans="1:8" ht="15.75" customHeight="1">
      <c r="A2360" s="3" t="s">
        <v>656</v>
      </c>
      <c r="B2360" s="3" t="s">
        <v>657</v>
      </c>
      <c r="C2360" s="3" t="s">
        <v>7914</v>
      </c>
      <c r="D2360" s="4" t="s">
        <v>9852</v>
      </c>
      <c r="E2360" s="3" t="s">
        <v>9853</v>
      </c>
      <c r="F2360" s="34" t="s">
        <v>9854</v>
      </c>
      <c r="G2360" s="6"/>
      <c r="H2360" s="3" t="s">
        <v>9855</v>
      </c>
    </row>
    <row r="2361" spans="1:8" ht="15.75" customHeight="1">
      <c r="A2361" s="3" t="s">
        <v>2027</v>
      </c>
      <c r="B2361" s="3" t="s">
        <v>3146</v>
      </c>
      <c r="C2361" s="3" t="s">
        <v>9856</v>
      </c>
      <c r="D2361" s="6"/>
      <c r="E2361" s="3" t="s">
        <v>9857</v>
      </c>
      <c r="F2361" s="3" t="s">
        <v>9858</v>
      </c>
      <c r="G2361" s="6"/>
      <c r="H2361" s="3" t="s">
        <v>9859</v>
      </c>
    </row>
    <row r="2362" spans="1:8" ht="15.75" customHeight="1">
      <c r="A2362" s="3" t="s">
        <v>8250</v>
      </c>
      <c r="B2362" s="3" t="s">
        <v>9860</v>
      </c>
      <c r="C2362" s="3" t="s">
        <v>9861</v>
      </c>
      <c r="D2362" s="4" t="s">
        <v>9862</v>
      </c>
      <c r="E2362" s="3" t="s">
        <v>9863</v>
      </c>
      <c r="F2362" s="6"/>
      <c r="G2362" s="6"/>
      <c r="H2362" s="3" t="s">
        <v>9864</v>
      </c>
    </row>
    <row r="2363" spans="1:8" ht="15.75" customHeight="1">
      <c r="A2363" s="3" t="s">
        <v>721</v>
      </c>
      <c r="B2363" s="3" t="s">
        <v>589</v>
      </c>
      <c r="C2363" s="3" t="s">
        <v>9865</v>
      </c>
      <c r="D2363" s="4" t="s">
        <v>9866</v>
      </c>
      <c r="E2363" s="3" t="s">
        <v>9867</v>
      </c>
      <c r="F2363" s="6"/>
      <c r="G2363" s="6"/>
      <c r="H2363" s="3" t="s">
        <v>9868</v>
      </c>
    </row>
    <row r="2364" spans="1:8" ht="15.75" customHeight="1">
      <c r="A2364" s="3" t="s">
        <v>9869</v>
      </c>
      <c r="B2364" s="3" t="s">
        <v>4001</v>
      </c>
      <c r="C2364" s="3" t="s">
        <v>8270</v>
      </c>
      <c r="D2364" s="4" t="s">
        <v>9870</v>
      </c>
      <c r="E2364" s="3" t="s">
        <v>9871</v>
      </c>
      <c r="F2364" s="6"/>
      <c r="G2364" s="6"/>
      <c r="H2364" s="3" t="s">
        <v>9806</v>
      </c>
    </row>
    <row r="2365" spans="1:8" ht="15.75" customHeight="1">
      <c r="A2365" s="3" t="s">
        <v>9872</v>
      </c>
      <c r="B2365" s="3" t="s">
        <v>172</v>
      </c>
      <c r="C2365" s="3" t="s">
        <v>229</v>
      </c>
      <c r="D2365" s="4" t="s">
        <v>9873</v>
      </c>
      <c r="E2365" s="3" t="s">
        <v>9874</v>
      </c>
      <c r="F2365" s="34" t="s">
        <v>9875</v>
      </c>
      <c r="G2365" s="6"/>
      <c r="H2365" s="3" t="s">
        <v>9876</v>
      </c>
    </row>
    <row r="2366" spans="1:8" ht="15.75" customHeight="1">
      <c r="A2366" s="3" t="s">
        <v>1557</v>
      </c>
      <c r="B2366" s="3" t="s">
        <v>7044</v>
      </c>
      <c r="C2366" s="3" t="s">
        <v>5275</v>
      </c>
      <c r="D2366" s="4" t="s">
        <v>7873</v>
      </c>
      <c r="E2366" s="3" t="s">
        <v>7874</v>
      </c>
      <c r="F2366" s="34" t="s">
        <v>7872</v>
      </c>
      <c r="G2366" s="6"/>
      <c r="H2366" s="3" t="s">
        <v>7876</v>
      </c>
    </row>
    <row r="2367" spans="1:8" ht="15.75" customHeight="1">
      <c r="A2367" s="3" t="s">
        <v>2435</v>
      </c>
      <c r="B2367" s="3" t="s">
        <v>9877</v>
      </c>
      <c r="C2367" s="3" t="s">
        <v>229</v>
      </c>
      <c r="D2367" s="4" t="s">
        <v>9878</v>
      </c>
      <c r="E2367" s="3" t="s">
        <v>9879</v>
      </c>
      <c r="F2367" s="6"/>
      <c r="G2367" s="6"/>
      <c r="H2367" s="3" t="s">
        <v>9880</v>
      </c>
    </row>
    <row r="2368" spans="1:8" ht="15.75" customHeight="1">
      <c r="A2368" s="3" t="s">
        <v>394</v>
      </c>
      <c r="B2368" s="3" t="s">
        <v>738</v>
      </c>
      <c r="C2368" s="3" t="s">
        <v>9881</v>
      </c>
      <c r="D2368" s="4" t="s">
        <v>9882</v>
      </c>
      <c r="E2368" s="3" t="s">
        <v>9883</v>
      </c>
      <c r="F2368" s="6"/>
      <c r="G2368" s="6"/>
      <c r="H2368" s="3" t="s">
        <v>9884</v>
      </c>
    </row>
    <row r="2369" spans="1:8" ht="15.75" customHeight="1">
      <c r="A2369" s="3" t="s">
        <v>9885</v>
      </c>
      <c r="B2369" s="3" t="s">
        <v>59</v>
      </c>
      <c r="C2369" s="3" t="s">
        <v>8270</v>
      </c>
      <c r="D2369" s="4" t="s">
        <v>9886</v>
      </c>
      <c r="E2369" s="3" t="s">
        <v>9887</v>
      </c>
      <c r="F2369" s="34" t="s">
        <v>9888</v>
      </c>
      <c r="G2369" s="6"/>
      <c r="H2369" s="3" t="s">
        <v>9889</v>
      </c>
    </row>
    <row r="2370" spans="1:8" ht="15.75" customHeight="1">
      <c r="A2370" s="3" t="s">
        <v>1286</v>
      </c>
      <c r="B2370" s="3" t="s">
        <v>7699</v>
      </c>
      <c r="C2370" s="3" t="s">
        <v>9890</v>
      </c>
      <c r="D2370" s="4" t="s">
        <v>9891</v>
      </c>
      <c r="E2370" s="3" t="s">
        <v>9892</v>
      </c>
      <c r="F2370" s="34" t="s">
        <v>9893</v>
      </c>
      <c r="G2370" s="6"/>
      <c r="H2370" s="3" t="s">
        <v>9736</v>
      </c>
    </row>
    <row r="2371" spans="1:8" ht="15.75" customHeight="1">
      <c r="A2371" s="3" t="s">
        <v>1286</v>
      </c>
      <c r="B2371" s="3" t="s">
        <v>9894</v>
      </c>
      <c r="C2371" s="3" t="s">
        <v>5641</v>
      </c>
      <c r="D2371" s="4" t="s">
        <v>9895</v>
      </c>
      <c r="E2371" s="3" t="s">
        <v>9896</v>
      </c>
      <c r="F2371" s="34" t="s">
        <v>9897</v>
      </c>
      <c r="G2371" s="6"/>
      <c r="H2371" s="3" t="s">
        <v>9898</v>
      </c>
    </row>
    <row r="2372" spans="1:8" ht="15.75" customHeight="1">
      <c r="A2372" s="3" t="s">
        <v>394</v>
      </c>
      <c r="B2372" s="3" t="s">
        <v>4471</v>
      </c>
      <c r="C2372" s="3" t="s">
        <v>9306</v>
      </c>
      <c r="D2372" s="4" t="s">
        <v>9307</v>
      </c>
      <c r="E2372" s="3" t="s">
        <v>9308</v>
      </c>
      <c r="F2372" s="6"/>
      <c r="G2372" s="6"/>
      <c r="H2372" s="3" t="s">
        <v>9309</v>
      </c>
    </row>
    <row r="2373" spans="1:8" ht="15.75" customHeight="1">
      <c r="A2373" s="3" t="s">
        <v>143</v>
      </c>
      <c r="B2373" s="3" t="s">
        <v>2245</v>
      </c>
      <c r="C2373" s="3" t="s">
        <v>6572</v>
      </c>
      <c r="D2373" s="4" t="s">
        <v>9899</v>
      </c>
      <c r="E2373" s="3" t="s">
        <v>9900</v>
      </c>
      <c r="F2373" s="6"/>
      <c r="G2373" s="6"/>
      <c r="H2373" s="3" t="s">
        <v>9901</v>
      </c>
    </row>
    <row r="2374" spans="1:8" ht="15.75" customHeight="1">
      <c r="A2374" s="3" t="s">
        <v>962</v>
      </c>
      <c r="B2374" s="3" t="s">
        <v>6985</v>
      </c>
      <c r="C2374" s="3" t="s">
        <v>7100</v>
      </c>
      <c r="D2374" s="4" t="s">
        <v>9902</v>
      </c>
      <c r="E2374" s="3" t="s">
        <v>9903</v>
      </c>
      <c r="F2374" s="6"/>
      <c r="G2374" s="6"/>
      <c r="H2374" s="3" t="s">
        <v>9904</v>
      </c>
    </row>
    <row r="2375" spans="1:8" ht="15.75" customHeight="1">
      <c r="A2375" s="3" t="s">
        <v>9905</v>
      </c>
      <c r="B2375" s="3" t="s">
        <v>8278</v>
      </c>
      <c r="C2375" s="3" t="s">
        <v>9906</v>
      </c>
      <c r="D2375" s="4" t="s">
        <v>9907</v>
      </c>
      <c r="E2375" s="3" t="s">
        <v>9908</v>
      </c>
      <c r="F2375" s="34" t="s">
        <v>9909</v>
      </c>
      <c r="G2375" s="6"/>
      <c r="H2375" s="3" t="s">
        <v>9910</v>
      </c>
    </row>
    <row r="2376" spans="1:8" ht="15.75" customHeight="1">
      <c r="A2376" s="3" t="s">
        <v>517</v>
      </c>
      <c r="B2376" s="3" t="s">
        <v>9911</v>
      </c>
      <c r="C2376" s="3" t="s">
        <v>5263</v>
      </c>
      <c r="D2376" s="4" t="s">
        <v>9912</v>
      </c>
      <c r="E2376" s="3" t="s">
        <v>9913</v>
      </c>
      <c r="F2376" s="34" t="s">
        <v>9914</v>
      </c>
      <c r="G2376" s="6"/>
      <c r="H2376" s="3" t="s">
        <v>9915</v>
      </c>
    </row>
    <row r="2377" spans="1:8" ht="15.75" customHeight="1">
      <c r="A2377" s="3" t="s">
        <v>9916</v>
      </c>
      <c r="B2377" s="3" t="s">
        <v>790</v>
      </c>
      <c r="C2377" s="3" t="s">
        <v>9917</v>
      </c>
      <c r="D2377" s="4" t="s">
        <v>9918</v>
      </c>
      <c r="E2377" s="3" t="s">
        <v>9919</v>
      </c>
      <c r="F2377" s="34" t="s">
        <v>9793</v>
      </c>
      <c r="G2377" s="6"/>
      <c r="H2377" s="3" t="s">
        <v>9794</v>
      </c>
    </row>
    <row r="2378" spans="1:8" ht="15.75" customHeight="1">
      <c r="A2378" s="3" t="s">
        <v>1501</v>
      </c>
      <c r="B2378" s="3" t="s">
        <v>4471</v>
      </c>
      <c r="C2378" s="3" t="s">
        <v>9920</v>
      </c>
      <c r="D2378" s="4" t="s">
        <v>9921</v>
      </c>
      <c r="E2378" s="3" t="s">
        <v>9922</v>
      </c>
      <c r="F2378" s="34" t="s">
        <v>9793</v>
      </c>
      <c r="G2378" s="6"/>
      <c r="H2378" s="3" t="s">
        <v>9794</v>
      </c>
    </row>
    <row r="2379" spans="1:8" ht="15.75" customHeight="1">
      <c r="A2379" s="3" t="s">
        <v>7907</v>
      </c>
      <c r="B2379" s="3" t="s">
        <v>9923</v>
      </c>
      <c r="C2379" s="3" t="s">
        <v>9924</v>
      </c>
      <c r="D2379" s="6"/>
      <c r="E2379" s="3" t="s">
        <v>9925</v>
      </c>
      <c r="F2379" s="6"/>
      <c r="G2379" s="6"/>
      <c r="H2379" s="3" t="s">
        <v>9884</v>
      </c>
    </row>
    <row r="2380" spans="1:8" ht="15.75" customHeight="1">
      <c r="A2380" s="3" t="s">
        <v>1286</v>
      </c>
      <c r="B2380" s="3" t="s">
        <v>1651</v>
      </c>
      <c r="C2380" s="3" t="s">
        <v>9926</v>
      </c>
      <c r="D2380" s="4" t="s">
        <v>9927</v>
      </c>
      <c r="E2380" s="3" t="s">
        <v>9928</v>
      </c>
      <c r="F2380" s="34" t="s">
        <v>9793</v>
      </c>
      <c r="G2380" s="6"/>
      <c r="H2380" s="3" t="s">
        <v>9794</v>
      </c>
    </row>
    <row r="2381" spans="1:8" ht="15.75" customHeight="1">
      <c r="A2381" s="3" t="s">
        <v>2463</v>
      </c>
      <c r="B2381" s="3" t="s">
        <v>6436</v>
      </c>
      <c r="C2381" s="3" t="s">
        <v>9929</v>
      </c>
      <c r="D2381" s="4" t="s">
        <v>9930</v>
      </c>
      <c r="E2381" s="3" t="s">
        <v>9931</v>
      </c>
      <c r="F2381" s="34" t="s">
        <v>9793</v>
      </c>
      <c r="G2381" s="6"/>
      <c r="H2381" s="3" t="s">
        <v>9794</v>
      </c>
    </row>
    <row r="2382" spans="1:8" ht="15.75" customHeight="1">
      <c r="A2382" s="3" t="s">
        <v>1615</v>
      </c>
      <c r="B2382" s="3" t="s">
        <v>9932</v>
      </c>
      <c r="C2382" s="3" t="s">
        <v>6495</v>
      </c>
      <c r="D2382" s="4" t="s">
        <v>9933</v>
      </c>
      <c r="E2382" s="3" t="s">
        <v>9934</v>
      </c>
      <c r="F2382" s="34" t="s">
        <v>9935</v>
      </c>
      <c r="G2382" s="6"/>
      <c r="H2382" s="3" t="s">
        <v>9936</v>
      </c>
    </row>
    <row r="2383" spans="1:8" ht="15.75" customHeight="1">
      <c r="A2383" s="3" t="s">
        <v>1530</v>
      </c>
      <c r="B2383" s="3" t="s">
        <v>9937</v>
      </c>
      <c r="C2383" s="3" t="s">
        <v>5182</v>
      </c>
      <c r="D2383" s="4" t="s">
        <v>9938</v>
      </c>
      <c r="E2383" s="3" t="s">
        <v>9939</v>
      </c>
      <c r="F2383" s="6"/>
      <c r="G2383" s="6"/>
      <c r="H2383" s="3" t="s">
        <v>9940</v>
      </c>
    </row>
    <row r="2384" spans="1:8" ht="15.75" customHeight="1">
      <c r="A2384" s="3" t="s">
        <v>462</v>
      </c>
      <c r="B2384" s="3" t="s">
        <v>801</v>
      </c>
      <c r="C2384" s="3" t="s">
        <v>9941</v>
      </c>
      <c r="D2384" s="4" t="s">
        <v>9942</v>
      </c>
      <c r="E2384" s="3" t="s">
        <v>9943</v>
      </c>
      <c r="F2384" s="34" t="s">
        <v>9793</v>
      </c>
      <c r="G2384" s="6"/>
      <c r="H2384" s="3" t="s">
        <v>9794</v>
      </c>
    </row>
    <row r="2385" spans="1:8" ht="15.75" customHeight="1">
      <c r="A2385" s="3" t="s">
        <v>5845</v>
      </c>
      <c r="B2385" s="3" t="s">
        <v>9944</v>
      </c>
      <c r="C2385" s="3" t="s">
        <v>4203</v>
      </c>
      <c r="D2385" s="6"/>
      <c r="E2385" s="3" t="s">
        <v>9945</v>
      </c>
      <c r="F2385" s="34" t="s">
        <v>9946</v>
      </c>
      <c r="G2385" s="6"/>
      <c r="H2385" s="3" t="s">
        <v>9947</v>
      </c>
    </row>
    <row r="2386" spans="1:8" ht="15.75" customHeight="1">
      <c r="A2386" s="3" t="s">
        <v>301</v>
      </c>
      <c r="B2386" s="3" t="s">
        <v>907</v>
      </c>
      <c r="C2386" s="3" t="s">
        <v>9948</v>
      </c>
      <c r="D2386" s="4" t="s">
        <v>9949</v>
      </c>
      <c r="E2386" s="3" t="s">
        <v>9950</v>
      </c>
      <c r="F2386" s="34" t="s">
        <v>9951</v>
      </c>
      <c r="G2386" s="6"/>
      <c r="H2386" s="3" t="s">
        <v>9952</v>
      </c>
    </row>
    <row r="2387" spans="1:8" ht="15.75" customHeight="1">
      <c r="A2387" s="3" t="s">
        <v>240</v>
      </c>
      <c r="B2387" s="3" t="s">
        <v>1794</v>
      </c>
      <c r="C2387" s="3" t="s">
        <v>9953</v>
      </c>
      <c r="D2387" s="4" t="s">
        <v>9954</v>
      </c>
      <c r="E2387" s="3" t="s">
        <v>9955</v>
      </c>
      <c r="F2387" s="34" t="s">
        <v>9956</v>
      </c>
      <c r="G2387" s="6"/>
      <c r="H2387" s="3" t="s">
        <v>9957</v>
      </c>
    </row>
    <row r="2388" spans="1:8" ht="15.75" customHeight="1">
      <c r="A2388" s="3" t="s">
        <v>1768</v>
      </c>
      <c r="B2388" s="6"/>
      <c r="C2388" s="3" t="s">
        <v>9777</v>
      </c>
      <c r="D2388" s="4" t="s">
        <v>9958</v>
      </c>
      <c r="E2388" s="3" t="s">
        <v>9959</v>
      </c>
      <c r="F2388" s="34" t="s">
        <v>9960</v>
      </c>
      <c r="G2388" s="6"/>
      <c r="H2388" s="3" t="s">
        <v>9961</v>
      </c>
    </row>
    <row r="2389" spans="1:8" ht="15.75" customHeight="1">
      <c r="A2389" s="3" t="s">
        <v>9962</v>
      </c>
      <c r="B2389" s="3" t="s">
        <v>657</v>
      </c>
      <c r="C2389" s="3" t="s">
        <v>6888</v>
      </c>
      <c r="D2389" s="6"/>
      <c r="E2389" s="3" t="s">
        <v>9963</v>
      </c>
      <c r="F2389" s="6"/>
      <c r="G2389" s="6"/>
      <c r="H2389" s="4" t="s">
        <v>9964</v>
      </c>
    </row>
    <row r="2390" spans="1:8" ht="15.75" customHeight="1">
      <c r="A2390" s="3" t="s">
        <v>4611</v>
      </c>
      <c r="B2390" s="3" t="s">
        <v>9965</v>
      </c>
      <c r="C2390" s="3" t="s">
        <v>9434</v>
      </c>
      <c r="D2390" s="4" t="s">
        <v>9966</v>
      </c>
      <c r="E2390" s="3" t="s">
        <v>9967</v>
      </c>
      <c r="F2390" s="34" t="s">
        <v>9956</v>
      </c>
      <c r="G2390" s="6"/>
      <c r="H2390" s="3" t="s">
        <v>9957</v>
      </c>
    </row>
    <row r="2391" spans="1:8" ht="15.75" customHeight="1">
      <c r="A2391" s="3" t="s">
        <v>1338</v>
      </c>
      <c r="B2391" s="3" t="s">
        <v>479</v>
      </c>
      <c r="C2391" s="3" t="s">
        <v>1858</v>
      </c>
      <c r="D2391" s="4" t="s">
        <v>9968</v>
      </c>
      <c r="E2391" s="3" t="s">
        <v>9749</v>
      </c>
      <c r="F2391" s="6"/>
      <c r="G2391" s="6"/>
      <c r="H2391" s="3" t="s">
        <v>9750</v>
      </c>
    </row>
    <row r="2392" spans="1:8" ht="15.75" customHeight="1">
      <c r="A2392" s="3" t="s">
        <v>9969</v>
      </c>
      <c r="B2392" s="3" t="s">
        <v>45</v>
      </c>
      <c r="C2392" s="3" t="s">
        <v>6033</v>
      </c>
      <c r="D2392" s="4" t="s">
        <v>9970</v>
      </c>
      <c r="E2392" s="3" t="s">
        <v>9971</v>
      </c>
      <c r="F2392" s="34" t="s">
        <v>9835</v>
      </c>
      <c r="G2392" s="6"/>
      <c r="H2392" s="3" t="s">
        <v>9836</v>
      </c>
    </row>
    <row r="2393" spans="1:8" ht="15.75" customHeight="1">
      <c r="A2393" s="3" t="s">
        <v>69</v>
      </c>
      <c r="B2393" s="3" t="s">
        <v>9972</v>
      </c>
      <c r="C2393" s="3" t="s">
        <v>9973</v>
      </c>
      <c r="D2393" s="4" t="s">
        <v>9974</v>
      </c>
      <c r="E2393" s="3" t="s">
        <v>9975</v>
      </c>
      <c r="F2393" s="34" t="s">
        <v>9976</v>
      </c>
      <c r="G2393" s="6"/>
      <c r="H2393" s="3" t="s">
        <v>9977</v>
      </c>
    </row>
    <row r="2394" spans="1:8" ht="15.75" customHeight="1">
      <c r="A2394" s="3" t="s">
        <v>8281</v>
      </c>
      <c r="B2394" s="3" t="s">
        <v>8282</v>
      </c>
      <c r="C2394" s="3" t="s">
        <v>4617</v>
      </c>
      <c r="D2394" s="4" t="s">
        <v>8283</v>
      </c>
      <c r="E2394" s="3" t="s">
        <v>8284</v>
      </c>
      <c r="F2394" s="34" t="s">
        <v>7933</v>
      </c>
      <c r="G2394" s="6"/>
      <c r="H2394" s="3" t="s">
        <v>8286</v>
      </c>
    </row>
    <row r="2395" spans="1:8" ht="15.75" customHeight="1">
      <c r="A2395" s="3" t="s">
        <v>5475</v>
      </c>
      <c r="B2395" s="3" t="s">
        <v>9978</v>
      </c>
      <c r="C2395" s="3" t="s">
        <v>9979</v>
      </c>
      <c r="D2395" s="4" t="s">
        <v>9980</v>
      </c>
      <c r="E2395" s="3" t="s">
        <v>9981</v>
      </c>
      <c r="F2395" s="34" t="s">
        <v>9982</v>
      </c>
      <c r="G2395" s="6"/>
      <c r="H2395" s="3" t="s">
        <v>9983</v>
      </c>
    </row>
    <row r="2396" spans="1:8" ht="15.75" customHeight="1">
      <c r="A2396" s="3" t="s">
        <v>1768</v>
      </c>
      <c r="B2396" s="3" t="s">
        <v>9984</v>
      </c>
      <c r="C2396" s="3" t="s">
        <v>9985</v>
      </c>
      <c r="D2396" s="4" t="s">
        <v>9986</v>
      </c>
      <c r="E2396" s="3" t="s">
        <v>9987</v>
      </c>
      <c r="F2396" s="34" t="s">
        <v>9801</v>
      </c>
      <c r="G2396" s="6"/>
      <c r="H2396" s="3" t="s">
        <v>9802</v>
      </c>
    </row>
    <row r="2397" spans="1:8" ht="15.75" customHeight="1">
      <c r="A2397" s="3" t="s">
        <v>1209</v>
      </c>
      <c r="B2397" s="3" t="s">
        <v>614</v>
      </c>
      <c r="C2397" s="3" t="s">
        <v>91</v>
      </c>
      <c r="D2397" s="6"/>
      <c r="E2397" s="3" t="s">
        <v>9988</v>
      </c>
      <c r="F2397" s="34" t="s">
        <v>9989</v>
      </c>
      <c r="G2397" s="6"/>
      <c r="H2397" s="3" t="s">
        <v>9990</v>
      </c>
    </row>
    <row r="2398" spans="1:8" ht="15.75" customHeight="1">
      <c r="A2398" s="3" t="s">
        <v>9991</v>
      </c>
      <c r="B2398" s="3" t="s">
        <v>9992</v>
      </c>
      <c r="C2398" s="3" t="s">
        <v>9993</v>
      </c>
      <c r="D2398" s="4" t="s">
        <v>9994</v>
      </c>
      <c r="E2398" s="3" t="s">
        <v>9995</v>
      </c>
      <c r="F2398" s="34" t="s">
        <v>9996</v>
      </c>
      <c r="G2398" s="6"/>
      <c r="H2398" s="3" t="s">
        <v>9997</v>
      </c>
    </row>
    <row r="2399" spans="1:8" ht="15.75" customHeight="1">
      <c r="A2399" s="3" t="s">
        <v>1689</v>
      </c>
      <c r="B2399" s="3" t="s">
        <v>5941</v>
      </c>
      <c r="C2399" s="3" t="s">
        <v>9998</v>
      </c>
      <c r="D2399" s="4" t="s">
        <v>9999</v>
      </c>
      <c r="E2399" s="3" t="s">
        <v>10000</v>
      </c>
      <c r="F2399" s="6"/>
      <c r="G2399" s="6"/>
      <c r="H2399" s="3" t="s">
        <v>10001</v>
      </c>
    </row>
    <row r="2400" spans="1:8" ht="15.75" customHeight="1">
      <c r="A2400" s="3" t="s">
        <v>8255</v>
      </c>
      <c r="B2400" s="3" t="s">
        <v>1277</v>
      </c>
      <c r="C2400" s="3" t="s">
        <v>7100</v>
      </c>
      <c r="D2400" s="4" t="s">
        <v>8256</v>
      </c>
      <c r="E2400" s="3" t="s">
        <v>8257</v>
      </c>
      <c r="F2400" s="34" t="s">
        <v>7872</v>
      </c>
      <c r="G2400" s="6"/>
      <c r="H2400" s="3" t="s">
        <v>7876</v>
      </c>
    </row>
    <row r="2401" spans="1:8" ht="15.75" customHeight="1">
      <c r="A2401" s="3" t="s">
        <v>10002</v>
      </c>
      <c r="B2401" s="3" t="s">
        <v>10003</v>
      </c>
      <c r="C2401" s="3" t="s">
        <v>10004</v>
      </c>
      <c r="D2401" s="4" t="s">
        <v>10005</v>
      </c>
      <c r="E2401" s="3" t="s">
        <v>10006</v>
      </c>
      <c r="F2401" s="6"/>
      <c r="G2401" s="6"/>
      <c r="H2401" s="3" t="s">
        <v>10007</v>
      </c>
    </row>
    <row r="2402" spans="1:8" ht="15.75" customHeight="1">
      <c r="A2402" s="3" t="s">
        <v>10008</v>
      </c>
      <c r="B2402" s="3" t="s">
        <v>290</v>
      </c>
      <c r="C2402" s="3" t="s">
        <v>6773</v>
      </c>
      <c r="D2402" s="4" t="s">
        <v>10009</v>
      </c>
      <c r="E2402" s="3" t="s">
        <v>10010</v>
      </c>
      <c r="F2402" s="6"/>
      <c r="G2402" s="6"/>
      <c r="H2402" s="3" t="s">
        <v>10011</v>
      </c>
    </row>
    <row r="2403" spans="1:8" ht="15.75" customHeight="1">
      <c r="A2403" s="3" t="s">
        <v>8116</v>
      </c>
      <c r="B2403" s="3" t="s">
        <v>10012</v>
      </c>
      <c r="C2403" s="3" t="s">
        <v>10013</v>
      </c>
      <c r="D2403" s="4" t="s">
        <v>10014</v>
      </c>
      <c r="E2403" s="3" t="s">
        <v>10015</v>
      </c>
      <c r="F2403" s="34" t="s">
        <v>10016</v>
      </c>
      <c r="G2403" s="6"/>
      <c r="H2403" s="3" t="s">
        <v>10017</v>
      </c>
    </row>
    <row r="2404" spans="1:8" ht="15.75" customHeight="1">
      <c r="A2404" s="3" t="s">
        <v>10018</v>
      </c>
      <c r="B2404" s="3" t="s">
        <v>10019</v>
      </c>
      <c r="C2404" s="3" t="s">
        <v>10020</v>
      </c>
      <c r="D2404" s="4" t="s">
        <v>10021</v>
      </c>
      <c r="E2404" s="3" t="s">
        <v>10022</v>
      </c>
      <c r="F2404" s="6"/>
      <c r="G2404" s="6"/>
      <c r="H2404" s="3" t="s">
        <v>10023</v>
      </c>
    </row>
    <row r="2405" spans="1:8" ht="15.75" customHeight="1">
      <c r="A2405" s="3" t="s">
        <v>10024</v>
      </c>
      <c r="B2405" s="3" t="s">
        <v>10025</v>
      </c>
      <c r="C2405" s="3" t="s">
        <v>390</v>
      </c>
      <c r="D2405" s="4" t="s">
        <v>10026</v>
      </c>
      <c r="E2405" s="3" t="s">
        <v>10027</v>
      </c>
      <c r="F2405" s="35">
        <v>5.25541E+16</v>
      </c>
      <c r="G2405" s="6"/>
      <c r="H2405" s="3" t="s">
        <v>10028</v>
      </c>
    </row>
    <row r="2406" spans="1:8" ht="15.75" customHeight="1">
      <c r="A2406" s="3" t="s">
        <v>1019</v>
      </c>
      <c r="B2406" s="3" t="s">
        <v>10029</v>
      </c>
      <c r="C2406" s="3" t="s">
        <v>140</v>
      </c>
      <c r="D2406" s="4" t="s">
        <v>10030</v>
      </c>
      <c r="E2406" s="3" t="s">
        <v>10031</v>
      </c>
      <c r="F2406" s="34" t="s">
        <v>10032</v>
      </c>
      <c r="G2406" s="6"/>
      <c r="H2406" s="3" t="s">
        <v>10033</v>
      </c>
    </row>
    <row r="2407" spans="1:8" ht="15.75" customHeight="1">
      <c r="A2407" s="3" t="s">
        <v>1530</v>
      </c>
      <c r="B2407" s="3" t="s">
        <v>3261</v>
      </c>
      <c r="C2407" s="3" t="s">
        <v>5263</v>
      </c>
      <c r="D2407" s="4" t="s">
        <v>10034</v>
      </c>
      <c r="E2407" s="3" t="s">
        <v>10035</v>
      </c>
      <c r="F2407" s="6"/>
      <c r="G2407" s="6"/>
      <c r="H2407" s="3" t="s">
        <v>10036</v>
      </c>
    </row>
    <row r="2408" spans="1:8" ht="15.75" customHeight="1">
      <c r="A2408" s="3" t="s">
        <v>1530</v>
      </c>
      <c r="B2408" s="3" t="s">
        <v>185</v>
      </c>
      <c r="C2408" s="3" t="s">
        <v>5410</v>
      </c>
      <c r="D2408" s="4" t="s">
        <v>10037</v>
      </c>
      <c r="E2408" s="3" t="s">
        <v>10038</v>
      </c>
      <c r="F2408" s="34" t="s">
        <v>10039</v>
      </c>
      <c r="G2408" s="6"/>
      <c r="H2408" s="3" t="s">
        <v>10040</v>
      </c>
    </row>
    <row r="2409" spans="1:8" ht="15.75" customHeight="1">
      <c r="A2409" s="3" t="s">
        <v>10041</v>
      </c>
      <c r="B2409" s="3" t="s">
        <v>161</v>
      </c>
      <c r="C2409" s="3" t="s">
        <v>229</v>
      </c>
      <c r="D2409" s="4" t="s">
        <v>10042</v>
      </c>
      <c r="E2409" s="3" t="s">
        <v>10043</v>
      </c>
      <c r="F2409" s="3" t="s">
        <v>10044</v>
      </c>
      <c r="G2409" s="6"/>
      <c r="H2409" s="3" t="s">
        <v>9889</v>
      </c>
    </row>
    <row r="2410" spans="1:8" ht="15.75" customHeight="1">
      <c r="A2410" s="3" t="s">
        <v>422</v>
      </c>
      <c r="B2410" s="3" t="s">
        <v>4299</v>
      </c>
      <c r="C2410" s="3" t="s">
        <v>10045</v>
      </c>
      <c r="D2410" s="4" t="s">
        <v>10046</v>
      </c>
      <c r="E2410" s="3" t="s">
        <v>10047</v>
      </c>
      <c r="F2410" s="34" t="s">
        <v>9793</v>
      </c>
      <c r="G2410" s="6"/>
      <c r="H2410" s="3" t="s">
        <v>9794</v>
      </c>
    </row>
    <row r="2411" spans="1:8" ht="15.75" customHeight="1">
      <c r="A2411" s="3" t="s">
        <v>10048</v>
      </c>
      <c r="B2411" s="3" t="s">
        <v>10049</v>
      </c>
      <c r="C2411" s="3" t="s">
        <v>1684</v>
      </c>
      <c r="D2411" s="6"/>
      <c r="E2411" s="3" t="s">
        <v>10050</v>
      </c>
      <c r="F2411" s="34" t="s">
        <v>10051</v>
      </c>
      <c r="G2411" s="6"/>
      <c r="H2411" s="3" t="s">
        <v>10052</v>
      </c>
    </row>
    <row r="2412" spans="1:8" ht="15.75" customHeight="1">
      <c r="A2412" s="3" t="s">
        <v>203</v>
      </c>
      <c r="B2412" s="3" t="s">
        <v>849</v>
      </c>
      <c r="C2412" s="3" t="s">
        <v>10053</v>
      </c>
      <c r="D2412" s="4" t="s">
        <v>10054</v>
      </c>
      <c r="E2412" s="3" t="s">
        <v>10055</v>
      </c>
      <c r="F2412" s="34" t="s">
        <v>9793</v>
      </c>
      <c r="G2412" s="6"/>
      <c r="H2412" s="3" t="s">
        <v>9794</v>
      </c>
    </row>
    <row r="2413" spans="1:8" ht="15.75" customHeight="1">
      <c r="A2413" s="3" t="s">
        <v>3260</v>
      </c>
      <c r="B2413" s="3" t="s">
        <v>10056</v>
      </c>
      <c r="C2413" s="3" t="s">
        <v>10057</v>
      </c>
      <c r="D2413" s="4" t="s">
        <v>10058</v>
      </c>
      <c r="E2413" s="3" t="s">
        <v>10059</v>
      </c>
      <c r="F2413" s="34" t="s">
        <v>9793</v>
      </c>
      <c r="G2413" s="6"/>
      <c r="H2413" s="3" t="s">
        <v>9794</v>
      </c>
    </row>
    <row r="2414" spans="1:8" ht="15.75" customHeight="1">
      <c r="A2414" s="3" t="s">
        <v>721</v>
      </c>
      <c r="B2414" s="3" t="s">
        <v>10060</v>
      </c>
      <c r="C2414" s="3" t="s">
        <v>10061</v>
      </c>
      <c r="D2414" s="4" t="s">
        <v>10062</v>
      </c>
      <c r="E2414" s="3" t="s">
        <v>10063</v>
      </c>
      <c r="F2414" s="34" t="s">
        <v>9801</v>
      </c>
      <c r="G2414" s="6"/>
      <c r="H2414" s="3" t="s">
        <v>9802</v>
      </c>
    </row>
    <row r="2415" spans="1:8" ht="15.75" customHeight="1">
      <c r="A2415" s="3" t="s">
        <v>10064</v>
      </c>
      <c r="B2415" s="3" t="s">
        <v>2968</v>
      </c>
      <c r="C2415" s="3" t="s">
        <v>5942</v>
      </c>
      <c r="D2415" s="4" t="s">
        <v>10065</v>
      </c>
      <c r="E2415" s="3" t="s">
        <v>10066</v>
      </c>
      <c r="F2415" s="6"/>
      <c r="G2415" s="6"/>
      <c r="H2415" s="3" t="s">
        <v>10067</v>
      </c>
    </row>
    <row r="2416" spans="1:8" ht="15.75" customHeight="1">
      <c r="A2416" s="36" t="s">
        <v>2251</v>
      </c>
      <c r="B2416" s="36" t="s">
        <v>3149</v>
      </c>
      <c r="C2416" s="36" t="s">
        <v>46</v>
      </c>
      <c r="D2416" s="37" t="s">
        <v>9845</v>
      </c>
      <c r="E2416" s="36" t="s">
        <v>9846</v>
      </c>
      <c r="F2416" s="38" t="s">
        <v>9847</v>
      </c>
      <c r="G2416" s="6"/>
      <c r="H2416" s="36" t="s">
        <v>9848</v>
      </c>
    </row>
    <row r="2417" spans="1:8" ht="15.75" customHeight="1">
      <c r="A2417" s="36" t="s">
        <v>2940</v>
      </c>
      <c r="B2417" s="36" t="s">
        <v>1415</v>
      </c>
      <c r="C2417" s="36" t="s">
        <v>6055</v>
      </c>
      <c r="D2417" s="6"/>
      <c r="E2417" s="36" t="s">
        <v>9552</v>
      </c>
      <c r="F2417" s="6"/>
      <c r="G2417" s="6"/>
      <c r="H2417" s="36" t="s">
        <v>9358</v>
      </c>
    </row>
    <row r="2418" spans="1:8" ht="15.75" customHeight="1">
      <c r="A2418" s="36" t="s">
        <v>7573</v>
      </c>
      <c r="B2418" s="36" t="s">
        <v>7574</v>
      </c>
      <c r="C2418" s="36" t="s">
        <v>7575</v>
      </c>
      <c r="D2418" s="37" t="s">
        <v>7576</v>
      </c>
      <c r="E2418" s="36" t="s">
        <v>7577</v>
      </c>
      <c r="F2418" s="36" t="s">
        <v>7571</v>
      </c>
      <c r="G2418" s="6"/>
      <c r="H2418" s="36" t="s">
        <v>7579</v>
      </c>
    </row>
    <row r="2419" spans="1:8" ht="15.75" customHeight="1">
      <c r="A2419" s="36" t="s">
        <v>1228</v>
      </c>
      <c r="B2419" s="36" t="s">
        <v>9553</v>
      </c>
      <c r="C2419" s="36" t="s">
        <v>46</v>
      </c>
      <c r="D2419" s="37" t="s">
        <v>9554</v>
      </c>
      <c r="E2419" s="36" t="s">
        <v>9555</v>
      </c>
      <c r="F2419" s="38" t="s">
        <v>9556</v>
      </c>
      <c r="G2419" s="6"/>
      <c r="H2419" s="36" t="s">
        <v>9557</v>
      </c>
    </row>
    <row r="2420" spans="1:8" ht="15.75" customHeight="1">
      <c r="A2420" s="36" t="s">
        <v>1768</v>
      </c>
      <c r="B2420" s="36" t="s">
        <v>5335</v>
      </c>
      <c r="C2420" s="36" t="s">
        <v>229</v>
      </c>
      <c r="D2420" s="37" t="s">
        <v>9849</v>
      </c>
      <c r="E2420" s="36" t="s">
        <v>9850</v>
      </c>
      <c r="F2420" s="6"/>
      <c r="G2420" s="6"/>
      <c r="H2420" s="36" t="s">
        <v>9851</v>
      </c>
    </row>
    <row r="2421" spans="1:8" ht="15.75" customHeight="1">
      <c r="A2421" s="36" t="s">
        <v>9287</v>
      </c>
      <c r="B2421" s="36" t="s">
        <v>9288</v>
      </c>
      <c r="C2421" s="36" t="s">
        <v>9289</v>
      </c>
      <c r="D2421" s="37" t="s">
        <v>9290</v>
      </c>
      <c r="E2421" s="36" t="s">
        <v>9291</v>
      </c>
      <c r="F2421" s="36" t="s">
        <v>9292</v>
      </c>
      <c r="G2421" s="6"/>
      <c r="H2421" s="36" t="s">
        <v>9293</v>
      </c>
    </row>
    <row r="2422" spans="1:8" ht="15.75" customHeight="1">
      <c r="A2422" s="36" t="s">
        <v>8050</v>
      </c>
      <c r="B2422" s="36" t="s">
        <v>6397</v>
      </c>
      <c r="C2422" s="36" t="s">
        <v>8051</v>
      </c>
      <c r="D2422" s="37" t="s">
        <v>8052</v>
      </c>
      <c r="E2422" s="36" t="s">
        <v>8053</v>
      </c>
      <c r="F2422" s="36" t="s">
        <v>7571</v>
      </c>
      <c r="G2422" s="6"/>
      <c r="H2422" s="36" t="s">
        <v>7579</v>
      </c>
    </row>
    <row r="2423" spans="1:8" ht="15.75" customHeight="1">
      <c r="A2423" s="36" t="s">
        <v>8929</v>
      </c>
      <c r="B2423" s="36" t="s">
        <v>8930</v>
      </c>
      <c r="C2423" s="36" t="s">
        <v>8931</v>
      </c>
      <c r="D2423" s="37" t="s">
        <v>8932</v>
      </c>
      <c r="E2423" s="36" t="s">
        <v>8933</v>
      </c>
      <c r="F2423" s="38" t="s">
        <v>8934</v>
      </c>
      <c r="G2423" s="6"/>
      <c r="H2423" s="36" t="s">
        <v>8935</v>
      </c>
    </row>
    <row r="2424" spans="1:8" ht="15.75" customHeight="1">
      <c r="A2424" s="36" t="s">
        <v>763</v>
      </c>
      <c r="B2424" s="36" t="s">
        <v>3665</v>
      </c>
      <c r="C2424" s="36" t="s">
        <v>6572</v>
      </c>
      <c r="D2424" s="37" t="s">
        <v>9816</v>
      </c>
      <c r="E2424" s="36" t="s">
        <v>9817</v>
      </c>
      <c r="F2424" s="38" t="s">
        <v>9818</v>
      </c>
      <c r="G2424" s="6"/>
      <c r="H2424" s="36" t="s">
        <v>9819</v>
      </c>
    </row>
    <row r="2425" spans="1:8" ht="15.75" customHeight="1">
      <c r="A2425" s="36" t="s">
        <v>9509</v>
      </c>
      <c r="B2425" s="36" t="s">
        <v>2245</v>
      </c>
      <c r="C2425" s="36" t="s">
        <v>229</v>
      </c>
      <c r="D2425" s="37" t="s">
        <v>9510</v>
      </c>
      <c r="E2425" s="36" t="s">
        <v>9511</v>
      </c>
      <c r="F2425" s="36" t="s">
        <v>9512</v>
      </c>
      <c r="G2425" s="6"/>
      <c r="H2425" s="37" t="s">
        <v>9513</v>
      </c>
    </row>
    <row r="2426" spans="1:8" ht="15.75" customHeight="1">
      <c r="A2426" s="36" t="s">
        <v>2384</v>
      </c>
      <c r="B2426" s="36" t="s">
        <v>7699</v>
      </c>
      <c r="C2426" s="36" t="s">
        <v>7812</v>
      </c>
      <c r="D2426" s="37" t="s">
        <v>7813</v>
      </c>
      <c r="E2426" s="36" t="s">
        <v>7814</v>
      </c>
      <c r="F2426" s="36" t="s">
        <v>7571</v>
      </c>
      <c r="G2426" s="6"/>
      <c r="H2426" s="36" t="s">
        <v>7579</v>
      </c>
    </row>
    <row r="2427" spans="1:8" ht="15.75" customHeight="1">
      <c r="A2427" s="36" t="s">
        <v>3799</v>
      </c>
      <c r="B2427" s="36" t="s">
        <v>9016</v>
      </c>
      <c r="C2427" s="36" t="s">
        <v>9017</v>
      </c>
      <c r="D2427" s="37" t="s">
        <v>9018</v>
      </c>
      <c r="E2427" s="36" t="s">
        <v>9019</v>
      </c>
      <c r="F2427" s="38" t="s">
        <v>8934</v>
      </c>
      <c r="G2427" s="6"/>
      <c r="H2427" s="36" t="s">
        <v>8935</v>
      </c>
    </row>
    <row r="2428" spans="1:8" ht="15.75" customHeight="1">
      <c r="A2428" s="36" t="s">
        <v>295</v>
      </c>
      <c r="B2428" s="36" t="s">
        <v>9514</v>
      </c>
      <c r="C2428" s="36" t="s">
        <v>9515</v>
      </c>
      <c r="D2428" s="37" t="s">
        <v>9516</v>
      </c>
      <c r="E2428" s="36" t="s">
        <v>9517</v>
      </c>
      <c r="F2428" s="6"/>
      <c r="G2428" s="6"/>
      <c r="H2428" s="36" t="s">
        <v>9518</v>
      </c>
    </row>
    <row r="2429" spans="1:8" ht="15.75" customHeight="1">
      <c r="A2429" s="36" t="s">
        <v>9175</v>
      </c>
      <c r="B2429" s="36" t="s">
        <v>9176</v>
      </c>
      <c r="C2429" s="36" t="s">
        <v>9177</v>
      </c>
      <c r="D2429" s="37" t="s">
        <v>9178</v>
      </c>
      <c r="E2429" s="36" t="s">
        <v>9179</v>
      </c>
      <c r="F2429" s="38" t="s">
        <v>8934</v>
      </c>
      <c r="G2429" s="6"/>
      <c r="H2429" s="36" t="s">
        <v>8935</v>
      </c>
    </row>
    <row r="2430" spans="1:8" ht="15.75" customHeight="1">
      <c r="A2430" s="36" t="s">
        <v>9180</v>
      </c>
      <c r="B2430" s="36" t="s">
        <v>9181</v>
      </c>
      <c r="C2430" s="36" t="s">
        <v>9182</v>
      </c>
      <c r="D2430" s="37" t="s">
        <v>9183</v>
      </c>
      <c r="E2430" s="36" t="s">
        <v>9184</v>
      </c>
      <c r="F2430" s="38" t="s">
        <v>8934</v>
      </c>
      <c r="G2430" s="6"/>
      <c r="H2430" s="36" t="s">
        <v>8935</v>
      </c>
    </row>
    <row r="2431" spans="1:8" ht="15.75" customHeight="1">
      <c r="A2431" s="36" t="s">
        <v>9318</v>
      </c>
      <c r="B2431" s="36" t="s">
        <v>9319</v>
      </c>
      <c r="C2431" s="36" t="s">
        <v>5263</v>
      </c>
      <c r="D2431" s="37" t="s">
        <v>9320</v>
      </c>
      <c r="E2431" s="36" t="s">
        <v>9321</v>
      </c>
      <c r="F2431" s="38" t="s">
        <v>9322</v>
      </c>
      <c r="G2431" s="6"/>
      <c r="H2431" s="36" t="s">
        <v>9323</v>
      </c>
    </row>
    <row r="2432" spans="1:8" ht="15.75" customHeight="1">
      <c r="A2432" s="36" t="s">
        <v>1768</v>
      </c>
      <c r="B2432" s="36" t="s">
        <v>7451</v>
      </c>
      <c r="C2432" s="36" t="s">
        <v>9324</v>
      </c>
      <c r="D2432" s="37" t="s">
        <v>9325</v>
      </c>
      <c r="E2432" s="36" t="s">
        <v>9326</v>
      </c>
      <c r="F2432" s="6"/>
      <c r="G2432" s="6"/>
      <c r="H2432" s="36" t="s">
        <v>9327</v>
      </c>
    </row>
    <row r="2433" spans="1:8" ht="15.75" customHeight="1">
      <c r="A2433" s="36" t="s">
        <v>281</v>
      </c>
      <c r="B2433" s="36" t="s">
        <v>7421</v>
      </c>
      <c r="C2433" s="36" t="s">
        <v>9328</v>
      </c>
      <c r="D2433" s="37" t="s">
        <v>9329</v>
      </c>
      <c r="E2433" s="36" t="s">
        <v>9330</v>
      </c>
      <c r="F2433" s="38" t="s">
        <v>9331</v>
      </c>
      <c r="G2433" s="6"/>
      <c r="H2433" s="36" t="s">
        <v>9332</v>
      </c>
    </row>
    <row r="2434" spans="1:8" ht="15.75" customHeight="1">
      <c r="A2434" s="36" t="s">
        <v>7907</v>
      </c>
      <c r="B2434" s="36" t="s">
        <v>9923</v>
      </c>
      <c r="C2434" s="36" t="s">
        <v>9924</v>
      </c>
      <c r="D2434" s="6"/>
      <c r="E2434" s="36" t="s">
        <v>9925</v>
      </c>
      <c r="F2434" s="6"/>
      <c r="G2434" s="6"/>
      <c r="H2434" s="36" t="s">
        <v>9884</v>
      </c>
    </row>
    <row r="2435" spans="1:8" ht="15.75" customHeight="1">
      <c r="A2435" s="36" t="s">
        <v>5739</v>
      </c>
      <c r="B2435" s="36" t="s">
        <v>5740</v>
      </c>
      <c r="C2435" s="36" t="s">
        <v>5227</v>
      </c>
      <c r="D2435" s="6"/>
      <c r="E2435" s="36" t="s">
        <v>5741</v>
      </c>
      <c r="F2435" s="6"/>
      <c r="G2435" s="6"/>
      <c r="H2435" s="36" t="s">
        <v>5742</v>
      </c>
    </row>
    <row r="2436" spans="1:8" ht="15.75" customHeight="1">
      <c r="A2436" s="36" t="s">
        <v>1482</v>
      </c>
      <c r="B2436" s="36" t="s">
        <v>5181</v>
      </c>
      <c r="C2436" s="36" t="s">
        <v>9464</v>
      </c>
      <c r="D2436" s="37" t="s">
        <v>9465</v>
      </c>
      <c r="E2436" s="36" t="s">
        <v>9466</v>
      </c>
      <c r="F2436" s="6"/>
      <c r="G2436" s="6"/>
      <c r="H2436" s="36" t="s">
        <v>9317</v>
      </c>
    </row>
    <row r="2437" spans="1:8" ht="15.75" customHeight="1">
      <c r="A2437" s="36" t="s">
        <v>1615</v>
      </c>
      <c r="B2437" s="36" t="s">
        <v>9932</v>
      </c>
      <c r="C2437" s="36" t="s">
        <v>6495</v>
      </c>
      <c r="D2437" s="37" t="s">
        <v>9933</v>
      </c>
      <c r="E2437" s="36" t="s">
        <v>9934</v>
      </c>
      <c r="F2437" s="38" t="s">
        <v>9935</v>
      </c>
      <c r="G2437" s="6"/>
      <c r="H2437" s="36" t="s">
        <v>9936</v>
      </c>
    </row>
    <row r="2438" spans="1:8" ht="15.75" customHeight="1">
      <c r="A2438" s="36" t="s">
        <v>3041</v>
      </c>
      <c r="B2438" s="36" t="s">
        <v>9467</v>
      </c>
      <c r="C2438" s="36" t="s">
        <v>303</v>
      </c>
      <c r="D2438" s="37" t="s">
        <v>9468</v>
      </c>
      <c r="E2438" s="36" t="s">
        <v>9469</v>
      </c>
      <c r="F2438" s="38" t="s">
        <v>9470</v>
      </c>
      <c r="G2438" s="6"/>
      <c r="H2438" s="36" t="s">
        <v>9471</v>
      </c>
    </row>
    <row r="2439" spans="1:8" ht="15.75" customHeight="1">
      <c r="A2439" s="36" t="s">
        <v>6700</v>
      </c>
      <c r="B2439" s="36" t="s">
        <v>2245</v>
      </c>
      <c r="C2439" s="36" t="s">
        <v>944</v>
      </c>
      <c r="D2439" s="37" t="s">
        <v>9472</v>
      </c>
      <c r="E2439" s="36" t="s">
        <v>9473</v>
      </c>
      <c r="F2439" s="6"/>
      <c r="G2439" s="6"/>
      <c r="H2439" s="36" t="s">
        <v>9474</v>
      </c>
    </row>
    <row r="2440" spans="1:8" ht="15.75" customHeight="1">
      <c r="A2440" s="36" t="s">
        <v>2313</v>
      </c>
      <c r="B2440" s="36" t="s">
        <v>883</v>
      </c>
      <c r="C2440" s="36" t="s">
        <v>5965</v>
      </c>
      <c r="D2440" s="37" t="s">
        <v>8072</v>
      </c>
      <c r="E2440" s="36" t="s">
        <v>8073</v>
      </c>
      <c r="F2440" s="36" t="s">
        <v>7571</v>
      </c>
      <c r="G2440" s="6"/>
      <c r="H2440" s="36" t="s">
        <v>7579</v>
      </c>
    </row>
    <row r="2441" spans="1:8" ht="15.75" customHeight="1">
      <c r="A2441" s="36" t="s">
        <v>9475</v>
      </c>
      <c r="B2441" s="36" t="s">
        <v>9476</v>
      </c>
      <c r="C2441" s="36" t="s">
        <v>9477</v>
      </c>
      <c r="D2441" s="37" t="s">
        <v>9478</v>
      </c>
      <c r="E2441" s="36" t="s">
        <v>9479</v>
      </c>
      <c r="F2441" s="38" t="s">
        <v>9340</v>
      </c>
      <c r="G2441" s="6"/>
      <c r="H2441" s="36" t="s">
        <v>9341</v>
      </c>
    </row>
    <row r="2442" spans="1:8" ht="15.75" customHeight="1">
      <c r="A2442" s="36" t="s">
        <v>8026</v>
      </c>
      <c r="B2442" s="36" t="s">
        <v>8741</v>
      </c>
      <c r="C2442" s="36" t="s">
        <v>9480</v>
      </c>
      <c r="D2442" s="37" t="s">
        <v>9481</v>
      </c>
      <c r="E2442" s="36" t="s">
        <v>9482</v>
      </c>
      <c r="F2442" s="38" t="s">
        <v>9483</v>
      </c>
      <c r="G2442" s="6"/>
      <c r="H2442" s="36" t="s">
        <v>9484</v>
      </c>
    </row>
    <row r="2443" spans="1:8" ht="15.75" customHeight="1">
      <c r="A2443" s="36" t="s">
        <v>812</v>
      </c>
      <c r="B2443" s="36" t="s">
        <v>7959</v>
      </c>
      <c r="C2443" s="36" t="s">
        <v>7960</v>
      </c>
      <c r="D2443" s="37" t="s">
        <v>7961</v>
      </c>
      <c r="E2443" s="36" t="s">
        <v>7962</v>
      </c>
      <c r="F2443" s="38" t="s">
        <v>7881</v>
      </c>
      <c r="G2443" s="6"/>
      <c r="H2443" s="36" t="s">
        <v>7579</v>
      </c>
    </row>
    <row r="2444" spans="1:8" ht="15.75" customHeight="1">
      <c r="A2444" s="36" t="s">
        <v>2804</v>
      </c>
      <c r="B2444" s="36" t="s">
        <v>4349</v>
      </c>
      <c r="C2444" s="36" t="s">
        <v>5263</v>
      </c>
      <c r="D2444" s="37" t="s">
        <v>10068</v>
      </c>
      <c r="E2444" s="36" t="s">
        <v>10069</v>
      </c>
      <c r="F2444" s="38" t="s">
        <v>10070</v>
      </c>
      <c r="G2444" s="6"/>
      <c r="H2444" s="36" t="s">
        <v>10071</v>
      </c>
    </row>
    <row r="2445" spans="1:8" ht="15.75" customHeight="1">
      <c r="A2445" s="36" t="s">
        <v>345</v>
      </c>
      <c r="B2445" s="36" t="s">
        <v>9375</v>
      </c>
      <c r="C2445" s="36" t="s">
        <v>6048</v>
      </c>
      <c r="D2445" s="37" t="s">
        <v>9376</v>
      </c>
      <c r="E2445" s="36" t="s">
        <v>9377</v>
      </c>
      <c r="F2445" s="38" t="s">
        <v>9378</v>
      </c>
      <c r="G2445" s="6"/>
      <c r="H2445" s="36" t="s">
        <v>9379</v>
      </c>
    </row>
    <row r="2446" spans="1:8" ht="15.75" customHeight="1">
      <c r="A2446" s="36" t="s">
        <v>1557</v>
      </c>
      <c r="B2446" s="36" t="s">
        <v>9485</v>
      </c>
      <c r="C2446" s="36" t="s">
        <v>5182</v>
      </c>
      <c r="D2446" s="37" t="s">
        <v>9486</v>
      </c>
      <c r="E2446" s="36" t="s">
        <v>9487</v>
      </c>
      <c r="F2446" s="38" t="s">
        <v>9488</v>
      </c>
      <c r="G2446" s="6"/>
      <c r="H2446" s="36" t="s">
        <v>9489</v>
      </c>
    </row>
    <row r="2447" spans="1:8" ht="15.75" customHeight="1">
      <c r="A2447" s="36" t="s">
        <v>9490</v>
      </c>
      <c r="B2447" s="36" t="s">
        <v>9491</v>
      </c>
      <c r="C2447" s="36" t="s">
        <v>9492</v>
      </c>
      <c r="D2447" s="37" t="s">
        <v>9493</v>
      </c>
      <c r="E2447" s="36" t="s">
        <v>9494</v>
      </c>
      <c r="F2447" s="6"/>
      <c r="G2447" s="6"/>
      <c r="H2447" s="36" t="s">
        <v>9495</v>
      </c>
    </row>
    <row r="2448" spans="1:8" ht="15.75" customHeight="1">
      <c r="A2448" s="36" t="s">
        <v>8528</v>
      </c>
      <c r="B2448" s="36" t="s">
        <v>1415</v>
      </c>
      <c r="C2448" s="36" t="s">
        <v>6495</v>
      </c>
      <c r="D2448" s="37" t="s">
        <v>9496</v>
      </c>
      <c r="E2448" s="36" t="s">
        <v>9497</v>
      </c>
      <c r="F2448" s="6"/>
      <c r="G2448" s="6"/>
      <c r="H2448" s="36" t="s">
        <v>9498</v>
      </c>
    </row>
    <row r="2449" spans="1:8" ht="15.75" customHeight="1">
      <c r="A2449" s="36" t="s">
        <v>8992</v>
      </c>
      <c r="B2449" s="36" t="s">
        <v>8993</v>
      </c>
      <c r="C2449" s="36" t="s">
        <v>8994</v>
      </c>
      <c r="D2449" s="37" t="s">
        <v>8995</v>
      </c>
      <c r="E2449" s="36" t="s">
        <v>8996</v>
      </c>
      <c r="F2449" s="38" t="s">
        <v>8934</v>
      </c>
      <c r="G2449" s="6"/>
      <c r="H2449" s="36" t="s">
        <v>8935</v>
      </c>
    </row>
    <row r="2450" spans="1:8" ht="15.75" customHeight="1">
      <c r="A2450" s="36" t="s">
        <v>3725</v>
      </c>
      <c r="B2450" s="36" t="s">
        <v>6365</v>
      </c>
      <c r="C2450" s="36" t="s">
        <v>3237</v>
      </c>
      <c r="D2450" s="37" t="s">
        <v>9000</v>
      </c>
      <c r="E2450" s="36" t="s">
        <v>9001</v>
      </c>
      <c r="F2450" s="38" t="s">
        <v>8934</v>
      </c>
      <c r="G2450" s="6"/>
      <c r="H2450" s="36" t="s">
        <v>8935</v>
      </c>
    </row>
    <row r="2451" spans="1:8" ht="15.75" customHeight="1">
      <c r="A2451" s="36" t="s">
        <v>1517</v>
      </c>
      <c r="B2451" s="36" t="s">
        <v>9499</v>
      </c>
      <c r="C2451" s="36" t="s">
        <v>109</v>
      </c>
      <c r="D2451" s="37" t="s">
        <v>9500</v>
      </c>
      <c r="E2451" s="36" t="s">
        <v>9501</v>
      </c>
      <c r="F2451" s="38" t="s">
        <v>9502</v>
      </c>
      <c r="G2451" s="6"/>
      <c r="H2451" s="36" t="s">
        <v>9503</v>
      </c>
    </row>
    <row r="2452" spans="1:8" ht="15.75" customHeight="1">
      <c r="A2452" s="36" t="s">
        <v>2463</v>
      </c>
      <c r="B2452" s="36" t="s">
        <v>9504</v>
      </c>
      <c r="C2452" s="36" t="s">
        <v>6191</v>
      </c>
      <c r="D2452" s="37" t="s">
        <v>9505</v>
      </c>
      <c r="E2452" s="36" t="s">
        <v>9506</v>
      </c>
      <c r="F2452" s="38" t="s">
        <v>9507</v>
      </c>
      <c r="G2452" s="6"/>
      <c r="H2452" s="36" t="s">
        <v>9508</v>
      </c>
    </row>
    <row r="2453" spans="1:8" ht="15.75" customHeight="1">
      <c r="A2453" s="36" t="s">
        <v>4348</v>
      </c>
      <c r="B2453" s="36" t="s">
        <v>10072</v>
      </c>
      <c r="C2453" s="36" t="s">
        <v>691</v>
      </c>
      <c r="D2453" s="37" t="s">
        <v>10073</v>
      </c>
      <c r="E2453" s="36" t="s">
        <v>10074</v>
      </c>
      <c r="F2453" s="38" t="s">
        <v>10075</v>
      </c>
      <c r="G2453" s="6"/>
      <c r="H2453" s="36" t="s">
        <v>10076</v>
      </c>
    </row>
    <row r="2454" spans="1:8" ht="15.75" customHeight="1">
      <c r="A2454" s="36" t="s">
        <v>1669</v>
      </c>
      <c r="B2454" s="36" t="s">
        <v>9558</v>
      </c>
      <c r="C2454" s="36" t="s">
        <v>91</v>
      </c>
      <c r="D2454" s="37" t="s">
        <v>9559</v>
      </c>
      <c r="E2454" s="36" t="s">
        <v>9560</v>
      </c>
      <c r="F2454" s="6"/>
      <c r="G2454" s="6"/>
      <c r="H2454" s="36" t="s">
        <v>9561</v>
      </c>
    </row>
    <row r="2455" spans="1:8" ht="15.75" customHeight="1">
      <c r="A2455" s="36" t="s">
        <v>656</v>
      </c>
      <c r="B2455" s="36" t="s">
        <v>657</v>
      </c>
      <c r="C2455" s="36" t="s">
        <v>7914</v>
      </c>
      <c r="D2455" s="37" t="s">
        <v>9852</v>
      </c>
      <c r="E2455" s="36" t="s">
        <v>9853</v>
      </c>
      <c r="F2455" s="38" t="s">
        <v>9854</v>
      </c>
      <c r="G2455" s="6"/>
      <c r="H2455" s="36" t="s">
        <v>9855</v>
      </c>
    </row>
    <row r="2456" spans="1:8" ht="15.75" customHeight="1">
      <c r="A2456" s="36" t="s">
        <v>3725</v>
      </c>
      <c r="B2456" s="36" t="s">
        <v>3726</v>
      </c>
      <c r="C2456" s="36" t="s">
        <v>9201</v>
      </c>
      <c r="D2456" s="37" t="s">
        <v>9202</v>
      </c>
      <c r="E2456" s="36" t="s">
        <v>9203</v>
      </c>
      <c r="F2456" s="38" t="s">
        <v>9204</v>
      </c>
      <c r="G2456" s="6"/>
      <c r="H2456" s="36" t="s">
        <v>8935</v>
      </c>
    </row>
    <row r="2457" spans="1:8" ht="15.75" customHeight="1">
      <c r="A2457" s="36" t="s">
        <v>9562</v>
      </c>
      <c r="B2457" s="36" t="s">
        <v>3866</v>
      </c>
      <c r="C2457" s="36" t="s">
        <v>9563</v>
      </c>
      <c r="D2457" s="6"/>
      <c r="E2457" s="36" t="s">
        <v>9564</v>
      </c>
      <c r="F2457" s="6"/>
      <c r="G2457" s="6"/>
      <c r="H2457" s="36" t="s">
        <v>9565</v>
      </c>
    </row>
    <row r="2458" spans="1:8" ht="15.75" customHeight="1">
      <c r="A2458" s="36" t="s">
        <v>8250</v>
      </c>
      <c r="B2458" s="36" t="s">
        <v>9860</v>
      </c>
      <c r="C2458" s="36" t="s">
        <v>9861</v>
      </c>
      <c r="D2458" s="37" t="s">
        <v>9862</v>
      </c>
      <c r="E2458" s="36" t="s">
        <v>9863</v>
      </c>
      <c r="F2458" s="6"/>
      <c r="G2458" s="6"/>
      <c r="H2458" s="36" t="s">
        <v>9864</v>
      </c>
    </row>
    <row r="2459" spans="1:8" ht="15.75" customHeight="1">
      <c r="A2459" s="36" t="s">
        <v>2619</v>
      </c>
      <c r="B2459" s="36" t="s">
        <v>185</v>
      </c>
      <c r="C2459" s="36" t="s">
        <v>9566</v>
      </c>
      <c r="D2459" s="37" t="s">
        <v>9567</v>
      </c>
      <c r="E2459" s="36" t="s">
        <v>9568</v>
      </c>
      <c r="F2459" s="38" t="s">
        <v>9569</v>
      </c>
      <c r="G2459" s="6"/>
      <c r="H2459" s="36" t="s">
        <v>9570</v>
      </c>
    </row>
    <row r="2460" spans="1:8" ht="15.75" customHeight="1">
      <c r="A2460" s="36" t="s">
        <v>721</v>
      </c>
      <c r="B2460" s="36" t="s">
        <v>589</v>
      </c>
      <c r="C2460" s="36" t="s">
        <v>9865</v>
      </c>
      <c r="D2460" s="37" t="s">
        <v>9866</v>
      </c>
      <c r="E2460" s="36" t="s">
        <v>9867</v>
      </c>
      <c r="F2460" s="6"/>
      <c r="G2460" s="6"/>
      <c r="H2460" s="36" t="s">
        <v>9868</v>
      </c>
    </row>
    <row r="2461" spans="1:8" ht="15.75" customHeight="1">
      <c r="A2461" s="36" t="s">
        <v>9820</v>
      </c>
      <c r="B2461" s="6"/>
      <c r="C2461" s="36" t="s">
        <v>4321</v>
      </c>
      <c r="D2461" s="6"/>
      <c r="E2461" s="36" t="s">
        <v>9821</v>
      </c>
      <c r="F2461" s="36" t="s">
        <v>9822</v>
      </c>
      <c r="G2461" s="6"/>
      <c r="H2461" s="36" t="s">
        <v>9823</v>
      </c>
    </row>
    <row r="2462" spans="1:8" ht="15.75" customHeight="1">
      <c r="A2462" s="36" t="s">
        <v>1303</v>
      </c>
      <c r="B2462" s="36" t="s">
        <v>1304</v>
      </c>
      <c r="C2462" s="36" t="s">
        <v>210</v>
      </c>
      <c r="D2462" s="37" t="s">
        <v>9338</v>
      </c>
      <c r="E2462" s="36" t="s">
        <v>9339</v>
      </c>
      <c r="F2462" s="38" t="s">
        <v>9340</v>
      </c>
      <c r="G2462" s="6"/>
      <c r="H2462" s="36" t="s">
        <v>9341</v>
      </c>
    </row>
    <row r="2463" spans="1:8" ht="15.75" customHeight="1">
      <c r="A2463" s="36" t="s">
        <v>1517</v>
      </c>
      <c r="B2463" s="36" t="s">
        <v>7699</v>
      </c>
      <c r="C2463" s="36" t="s">
        <v>5308</v>
      </c>
      <c r="D2463" s="37" t="s">
        <v>9342</v>
      </c>
      <c r="E2463" s="36" t="s">
        <v>9343</v>
      </c>
      <c r="F2463" s="6"/>
      <c r="G2463" s="6"/>
      <c r="H2463" s="36" t="s">
        <v>9344</v>
      </c>
    </row>
    <row r="2464" spans="1:8" ht="15.75" customHeight="1">
      <c r="A2464" s="36" t="s">
        <v>44</v>
      </c>
      <c r="B2464" s="36" t="s">
        <v>6027</v>
      </c>
      <c r="C2464" s="36" t="s">
        <v>1684</v>
      </c>
      <c r="D2464" s="37" t="s">
        <v>9345</v>
      </c>
      <c r="E2464" s="36" t="s">
        <v>9346</v>
      </c>
      <c r="F2464" s="38" t="s">
        <v>9347</v>
      </c>
      <c r="G2464" s="6"/>
      <c r="H2464" s="36" t="s">
        <v>9348</v>
      </c>
    </row>
    <row r="2465" spans="1:8" ht="15.75" customHeight="1">
      <c r="A2465" s="36" t="s">
        <v>6159</v>
      </c>
      <c r="B2465" s="36" t="s">
        <v>9349</v>
      </c>
      <c r="C2465" s="36" t="s">
        <v>7100</v>
      </c>
      <c r="D2465" s="37" t="s">
        <v>9350</v>
      </c>
      <c r="E2465" s="36" t="s">
        <v>9351</v>
      </c>
      <c r="F2465" s="6"/>
      <c r="G2465" s="6"/>
      <c r="H2465" s="36" t="s">
        <v>9352</v>
      </c>
    </row>
    <row r="2466" spans="1:8" ht="15.75" customHeight="1">
      <c r="A2466" s="36" t="s">
        <v>955</v>
      </c>
      <c r="B2466" s="36" t="s">
        <v>6387</v>
      </c>
      <c r="C2466" s="36" t="s">
        <v>9832</v>
      </c>
      <c r="D2466" s="37" t="s">
        <v>9833</v>
      </c>
      <c r="E2466" s="36" t="s">
        <v>9834</v>
      </c>
      <c r="F2466" s="38" t="s">
        <v>9835</v>
      </c>
      <c r="G2466" s="6"/>
      <c r="H2466" s="36" t="s">
        <v>9836</v>
      </c>
    </row>
    <row r="2467" spans="1:8" ht="15.75" customHeight="1">
      <c r="A2467" s="36" t="s">
        <v>9353</v>
      </c>
      <c r="B2467" s="36" t="s">
        <v>9354</v>
      </c>
      <c r="C2467" s="36" t="s">
        <v>229</v>
      </c>
      <c r="D2467" s="37" t="s">
        <v>9355</v>
      </c>
      <c r="E2467" s="36" t="s">
        <v>9356</v>
      </c>
      <c r="F2467" s="38" t="s">
        <v>9357</v>
      </c>
      <c r="G2467" s="6"/>
      <c r="H2467" s="36" t="s">
        <v>9358</v>
      </c>
    </row>
    <row r="2468" spans="1:8" ht="15.75" customHeight="1">
      <c r="A2468" s="36" t="s">
        <v>2528</v>
      </c>
      <c r="B2468" s="36" t="s">
        <v>934</v>
      </c>
      <c r="C2468" s="36" t="s">
        <v>7883</v>
      </c>
      <c r="D2468" s="37" t="s">
        <v>7884</v>
      </c>
      <c r="E2468" s="36" t="s">
        <v>7885</v>
      </c>
      <c r="F2468" s="38" t="s">
        <v>7881</v>
      </c>
      <c r="G2468" s="6"/>
      <c r="H2468" s="36" t="s">
        <v>7579</v>
      </c>
    </row>
    <row r="2469" spans="1:8" ht="15.75" customHeight="1">
      <c r="A2469" s="36" t="s">
        <v>8026</v>
      </c>
      <c r="B2469" s="36" t="s">
        <v>5085</v>
      </c>
      <c r="C2469" s="36" t="s">
        <v>9270</v>
      </c>
      <c r="D2469" s="37" t="s">
        <v>9271</v>
      </c>
      <c r="E2469" s="36" t="s">
        <v>9272</v>
      </c>
      <c r="F2469" s="38" t="s">
        <v>8934</v>
      </c>
      <c r="G2469" s="6"/>
      <c r="H2469" s="36" t="s">
        <v>8935</v>
      </c>
    </row>
    <row r="2470" spans="1:8" ht="15.75" customHeight="1">
      <c r="A2470" s="36" t="s">
        <v>3716</v>
      </c>
      <c r="B2470" s="36" t="s">
        <v>3717</v>
      </c>
      <c r="C2470" s="36" t="s">
        <v>3850</v>
      </c>
      <c r="D2470" s="37" t="s">
        <v>9276</v>
      </c>
      <c r="E2470" s="36" t="s">
        <v>9277</v>
      </c>
      <c r="F2470" s="38" t="s">
        <v>8934</v>
      </c>
      <c r="G2470" s="6"/>
      <c r="H2470" s="36" t="s">
        <v>8935</v>
      </c>
    </row>
    <row r="2471" spans="1:8" ht="15.75" customHeight="1">
      <c r="A2471" s="36" t="s">
        <v>6782</v>
      </c>
      <c r="B2471" s="36" t="s">
        <v>9278</v>
      </c>
      <c r="C2471" s="36" t="s">
        <v>4826</v>
      </c>
      <c r="D2471" s="37" t="s">
        <v>9279</v>
      </c>
      <c r="E2471" s="36" t="s">
        <v>9280</v>
      </c>
      <c r="F2471" s="38" t="s">
        <v>8934</v>
      </c>
      <c r="G2471" s="6"/>
      <c r="H2471" s="36" t="s">
        <v>8935</v>
      </c>
    </row>
    <row r="2472" spans="1:8" ht="15.75" customHeight="1">
      <c r="A2472" s="36" t="s">
        <v>9281</v>
      </c>
      <c r="B2472" s="36" t="s">
        <v>9282</v>
      </c>
      <c r="C2472" s="36" t="s">
        <v>9283</v>
      </c>
      <c r="D2472" s="37" t="s">
        <v>9284</v>
      </c>
      <c r="E2472" s="36" t="s">
        <v>9285</v>
      </c>
      <c r="F2472" s="38" t="s">
        <v>8934</v>
      </c>
      <c r="G2472" s="6"/>
      <c r="H2472" s="36" t="s">
        <v>8935</v>
      </c>
    </row>
    <row r="2473" spans="1:8" ht="15.75" customHeight="1">
      <c r="A2473" s="36" t="s">
        <v>1615</v>
      </c>
      <c r="B2473" s="36" t="s">
        <v>2036</v>
      </c>
      <c r="C2473" s="36" t="s">
        <v>7100</v>
      </c>
      <c r="D2473" s="37" t="s">
        <v>9359</v>
      </c>
      <c r="E2473" s="36" t="s">
        <v>9360</v>
      </c>
      <c r="F2473" s="38" t="s">
        <v>9361</v>
      </c>
      <c r="G2473" s="6"/>
      <c r="H2473" s="36" t="s">
        <v>9362</v>
      </c>
    </row>
    <row r="2474" spans="1:8" ht="15.75" customHeight="1">
      <c r="A2474" s="36" t="s">
        <v>143</v>
      </c>
      <c r="B2474" s="36" t="s">
        <v>5482</v>
      </c>
      <c r="C2474" s="36" t="s">
        <v>229</v>
      </c>
      <c r="D2474" s="37" t="s">
        <v>9363</v>
      </c>
      <c r="E2474" s="36" t="s">
        <v>9364</v>
      </c>
      <c r="F2474" s="6"/>
      <c r="G2474" s="6"/>
      <c r="H2474" s="36" t="s">
        <v>9365</v>
      </c>
    </row>
    <row r="2475" spans="1:8" ht="15.75" customHeight="1">
      <c r="A2475" s="36" t="s">
        <v>4470</v>
      </c>
      <c r="B2475" s="36" t="s">
        <v>221</v>
      </c>
      <c r="C2475" s="36" t="s">
        <v>1684</v>
      </c>
      <c r="D2475" s="37" t="s">
        <v>9371</v>
      </c>
      <c r="E2475" s="36" t="s">
        <v>9372</v>
      </c>
      <c r="F2475" s="38" t="s">
        <v>9373</v>
      </c>
      <c r="G2475" s="6"/>
      <c r="H2475" s="36" t="s">
        <v>9374</v>
      </c>
    </row>
    <row r="2476" spans="1:8" ht="15.75" customHeight="1">
      <c r="A2476" s="36" t="s">
        <v>301</v>
      </c>
      <c r="B2476" s="36" t="s">
        <v>8099</v>
      </c>
      <c r="C2476" s="36" t="s">
        <v>8100</v>
      </c>
      <c r="D2476" s="37" t="s">
        <v>8101</v>
      </c>
      <c r="E2476" s="36" t="s">
        <v>8102</v>
      </c>
      <c r="F2476" s="36" t="s">
        <v>8704</v>
      </c>
      <c r="G2476" s="6"/>
      <c r="H2476" s="36" t="s">
        <v>7579</v>
      </c>
    </row>
    <row r="2477" spans="1:8" ht="15.75" customHeight="1">
      <c r="A2477" s="36" t="s">
        <v>9057</v>
      </c>
      <c r="B2477" s="36" t="s">
        <v>9058</v>
      </c>
      <c r="C2477" s="36" t="s">
        <v>9017</v>
      </c>
      <c r="D2477" s="37" t="s">
        <v>9059</v>
      </c>
      <c r="E2477" s="36" t="s">
        <v>9060</v>
      </c>
      <c r="F2477" s="38" t="s">
        <v>8934</v>
      </c>
      <c r="G2477" s="6"/>
      <c r="H2477" s="36" t="s">
        <v>8935</v>
      </c>
    </row>
    <row r="2478" spans="1:8" ht="15.75" customHeight="1">
      <c r="A2478" s="36" t="s">
        <v>1768</v>
      </c>
      <c r="B2478" s="36" t="s">
        <v>2968</v>
      </c>
      <c r="C2478" s="36" t="s">
        <v>9061</v>
      </c>
      <c r="D2478" s="37" t="s">
        <v>9062</v>
      </c>
      <c r="E2478" s="36" t="s">
        <v>9063</v>
      </c>
      <c r="F2478" s="38" t="s">
        <v>8934</v>
      </c>
      <c r="G2478" s="6"/>
      <c r="H2478" s="36" t="s">
        <v>8935</v>
      </c>
    </row>
    <row r="2479" spans="1:8" ht="15.75" customHeight="1">
      <c r="A2479" s="36" t="s">
        <v>384</v>
      </c>
      <c r="B2479" s="36" t="s">
        <v>801</v>
      </c>
      <c r="C2479" s="36" t="s">
        <v>6495</v>
      </c>
      <c r="D2479" s="37" t="s">
        <v>9294</v>
      </c>
      <c r="E2479" s="36" t="s">
        <v>9295</v>
      </c>
      <c r="F2479" s="38" t="s">
        <v>9296</v>
      </c>
      <c r="G2479" s="6"/>
      <c r="H2479" s="36" t="s">
        <v>9297</v>
      </c>
    </row>
    <row r="2480" spans="1:8" ht="15.75" customHeight="1">
      <c r="A2480" s="36" t="s">
        <v>9298</v>
      </c>
      <c r="B2480" s="36" t="s">
        <v>9299</v>
      </c>
      <c r="C2480" s="36" t="s">
        <v>1684</v>
      </c>
      <c r="D2480" s="37" t="s">
        <v>9300</v>
      </c>
      <c r="E2480" s="36" t="s">
        <v>9301</v>
      </c>
      <c r="F2480" s="6"/>
      <c r="G2480" s="6"/>
      <c r="H2480" s="36" t="s">
        <v>9302</v>
      </c>
    </row>
    <row r="2481" spans="1:8" ht="15.75" customHeight="1">
      <c r="A2481" s="36" t="s">
        <v>913</v>
      </c>
      <c r="B2481" s="36" t="s">
        <v>801</v>
      </c>
      <c r="C2481" s="36" t="s">
        <v>1684</v>
      </c>
      <c r="D2481" s="37" t="s">
        <v>9303</v>
      </c>
      <c r="E2481" s="36" t="s">
        <v>9304</v>
      </c>
      <c r="F2481" s="6"/>
      <c r="G2481" s="6"/>
      <c r="H2481" s="36" t="s">
        <v>9305</v>
      </c>
    </row>
    <row r="2482" spans="1:8" ht="15.75" customHeight="1">
      <c r="A2482" s="36" t="s">
        <v>1600</v>
      </c>
      <c r="B2482" s="36" t="s">
        <v>1051</v>
      </c>
      <c r="C2482" s="36" t="s">
        <v>9737</v>
      </c>
      <c r="D2482" s="37" t="s">
        <v>9738</v>
      </c>
      <c r="E2482" s="36" t="s">
        <v>9739</v>
      </c>
      <c r="F2482" s="38" t="s">
        <v>9740</v>
      </c>
      <c r="G2482" s="6"/>
      <c r="H2482" s="36" t="s">
        <v>9741</v>
      </c>
    </row>
    <row r="2483" spans="1:8" ht="15.75" customHeight="1">
      <c r="A2483" s="36" t="s">
        <v>394</v>
      </c>
      <c r="B2483" s="36" t="s">
        <v>4471</v>
      </c>
      <c r="C2483" s="36" t="s">
        <v>9306</v>
      </c>
      <c r="D2483" s="37" t="s">
        <v>9307</v>
      </c>
      <c r="E2483" s="36" t="s">
        <v>9308</v>
      </c>
      <c r="F2483" s="6"/>
      <c r="G2483" s="6"/>
      <c r="H2483" s="36" t="s">
        <v>9309</v>
      </c>
    </row>
    <row r="2484" spans="1:8" ht="15.75" customHeight="1">
      <c r="A2484" s="36" t="s">
        <v>9155</v>
      </c>
      <c r="B2484" s="36" t="s">
        <v>9156</v>
      </c>
      <c r="C2484" s="36" t="s">
        <v>9157</v>
      </c>
      <c r="D2484" s="37" t="s">
        <v>9158</v>
      </c>
      <c r="E2484" s="36" t="s">
        <v>9159</v>
      </c>
      <c r="F2484" s="38" t="s">
        <v>8934</v>
      </c>
      <c r="G2484" s="6"/>
      <c r="H2484" s="36" t="s">
        <v>8935</v>
      </c>
    </row>
    <row r="2485" spans="1:8" ht="15.75" customHeight="1">
      <c r="A2485" s="36" t="s">
        <v>2463</v>
      </c>
      <c r="B2485" s="36" t="s">
        <v>3995</v>
      </c>
      <c r="C2485" s="36" t="s">
        <v>9310</v>
      </c>
      <c r="D2485" s="37" t="s">
        <v>9311</v>
      </c>
      <c r="E2485" s="36" t="s">
        <v>9312</v>
      </c>
      <c r="F2485" s="6"/>
      <c r="G2485" s="6"/>
      <c r="H2485" s="36" t="s">
        <v>9313</v>
      </c>
    </row>
    <row r="2486" spans="1:8" ht="15.75" customHeight="1">
      <c r="A2486" s="36" t="s">
        <v>9314</v>
      </c>
      <c r="B2486" s="36" t="s">
        <v>3047</v>
      </c>
      <c r="C2486" s="36" t="s">
        <v>46</v>
      </c>
      <c r="D2486" s="37" t="s">
        <v>9315</v>
      </c>
      <c r="E2486" s="36" t="s">
        <v>9316</v>
      </c>
      <c r="F2486" s="6"/>
      <c r="G2486" s="6"/>
      <c r="H2486" s="36" t="s">
        <v>9317</v>
      </c>
    </row>
    <row r="2487" spans="1:8" ht="15.75" customHeight="1">
      <c r="A2487" s="36" t="s">
        <v>8586</v>
      </c>
      <c r="B2487" s="36" t="s">
        <v>849</v>
      </c>
      <c r="C2487" s="36" t="s">
        <v>10077</v>
      </c>
      <c r="D2487" s="37" t="s">
        <v>10078</v>
      </c>
      <c r="E2487" s="36" t="s">
        <v>10079</v>
      </c>
      <c r="F2487" s="38" t="s">
        <v>10080</v>
      </c>
      <c r="G2487" s="6"/>
      <c r="H2487" s="36" t="s">
        <v>10081</v>
      </c>
    </row>
    <row r="2488" spans="1:8" ht="15.75" customHeight="1">
      <c r="A2488" s="36" t="s">
        <v>600</v>
      </c>
      <c r="B2488" s="36" t="s">
        <v>3961</v>
      </c>
      <c r="C2488" s="36" t="s">
        <v>9548</v>
      </c>
      <c r="D2488" s="37" t="s">
        <v>9549</v>
      </c>
      <c r="E2488" s="36" t="s">
        <v>9550</v>
      </c>
      <c r="F2488" s="6"/>
      <c r="G2488" s="6"/>
      <c r="H2488" s="36" t="s">
        <v>9551</v>
      </c>
    </row>
    <row r="2489" spans="1:8" ht="15.75" customHeight="1">
      <c r="A2489" s="36" t="s">
        <v>7550</v>
      </c>
      <c r="B2489" s="36" t="s">
        <v>2245</v>
      </c>
      <c r="C2489" s="36" t="s">
        <v>9400</v>
      </c>
      <c r="D2489" s="37" t="s">
        <v>9401</v>
      </c>
      <c r="E2489" s="36" t="s">
        <v>9402</v>
      </c>
      <c r="F2489" s="38" t="s">
        <v>9403</v>
      </c>
      <c r="G2489" s="6"/>
      <c r="H2489" s="36" t="s">
        <v>9309</v>
      </c>
    </row>
    <row r="2490" spans="1:8" ht="15.75" customHeight="1">
      <c r="A2490" s="36" t="s">
        <v>4000</v>
      </c>
      <c r="B2490" s="36" t="s">
        <v>7592</v>
      </c>
      <c r="C2490" s="36" t="s">
        <v>7126</v>
      </c>
      <c r="D2490" s="37" t="s">
        <v>9722</v>
      </c>
      <c r="E2490" s="36" t="s">
        <v>9723</v>
      </c>
      <c r="F2490" s="38" t="s">
        <v>9724</v>
      </c>
      <c r="G2490" s="6"/>
      <c r="H2490" s="36" t="s">
        <v>9725</v>
      </c>
    </row>
    <row r="2491" spans="1:8" ht="15.75" customHeight="1">
      <c r="A2491" s="36" t="s">
        <v>359</v>
      </c>
      <c r="B2491" s="36" t="s">
        <v>1277</v>
      </c>
      <c r="C2491" s="36" t="s">
        <v>1580</v>
      </c>
      <c r="D2491" s="37" t="s">
        <v>7937</v>
      </c>
      <c r="E2491" s="36" t="s">
        <v>7938</v>
      </c>
      <c r="F2491" s="36" t="s">
        <v>7571</v>
      </c>
      <c r="G2491" s="6"/>
      <c r="H2491" s="36" t="s">
        <v>7579</v>
      </c>
    </row>
    <row r="2492" spans="1:8" ht="15.75" customHeight="1">
      <c r="A2492" s="36" t="s">
        <v>1501</v>
      </c>
      <c r="B2492" s="36" t="s">
        <v>452</v>
      </c>
      <c r="C2492" s="36" t="s">
        <v>9404</v>
      </c>
      <c r="D2492" s="37" t="s">
        <v>9405</v>
      </c>
      <c r="E2492" s="36" t="s">
        <v>9406</v>
      </c>
      <c r="F2492" s="38" t="s">
        <v>9407</v>
      </c>
      <c r="G2492" s="6"/>
      <c r="H2492" s="36" t="s">
        <v>9408</v>
      </c>
    </row>
    <row r="2493" spans="1:8" ht="15.75" customHeight="1">
      <c r="A2493" s="36" t="s">
        <v>227</v>
      </c>
      <c r="B2493" s="36" t="s">
        <v>9409</v>
      </c>
      <c r="C2493" s="36" t="s">
        <v>9410</v>
      </c>
      <c r="D2493" s="37" t="s">
        <v>9411</v>
      </c>
      <c r="E2493" s="36" t="s">
        <v>9412</v>
      </c>
      <c r="F2493" s="38" t="s">
        <v>9413</v>
      </c>
      <c r="G2493" s="6"/>
      <c r="H2493" s="36" t="s">
        <v>9414</v>
      </c>
    </row>
    <row r="2494" spans="1:8" ht="15.75" customHeight="1">
      <c r="A2494" s="36" t="s">
        <v>1217</v>
      </c>
      <c r="B2494" s="36" t="s">
        <v>221</v>
      </c>
      <c r="C2494" s="36" t="s">
        <v>9415</v>
      </c>
      <c r="D2494" s="37" t="s">
        <v>9416</v>
      </c>
      <c r="E2494" s="36" t="s">
        <v>9417</v>
      </c>
      <c r="F2494" s="38" t="s">
        <v>9418</v>
      </c>
      <c r="G2494" s="6"/>
      <c r="H2494" s="36" t="s">
        <v>9419</v>
      </c>
    </row>
    <row r="2495" spans="1:8" ht="15.75" customHeight="1">
      <c r="A2495" s="36" t="s">
        <v>2027</v>
      </c>
      <c r="B2495" s="36" t="s">
        <v>9532</v>
      </c>
      <c r="C2495" s="36" t="s">
        <v>9533</v>
      </c>
      <c r="D2495" s="39">
        <v>0</v>
      </c>
      <c r="E2495" s="36" t="s">
        <v>9535</v>
      </c>
      <c r="F2495" s="38" t="s">
        <v>9536</v>
      </c>
      <c r="G2495" s="6"/>
      <c r="H2495" s="36" t="s">
        <v>9388</v>
      </c>
    </row>
    <row r="2496" spans="1:8" ht="15.75" customHeight="1">
      <c r="A2496" s="36" t="s">
        <v>8418</v>
      </c>
      <c r="B2496" s="36" t="s">
        <v>59</v>
      </c>
      <c r="C2496" s="36" t="s">
        <v>8419</v>
      </c>
      <c r="D2496" s="37" t="s">
        <v>8420</v>
      </c>
      <c r="E2496" s="36" t="s">
        <v>8421</v>
      </c>
      <c r="F2496" s="36" t="s">
        <v>7571</v>
      </c>
      <c r="G2496" s="6"/>
      <c r="H2496" s="36" t="s">
        <v>7579</v>
      </c>
    </row>
    <row r="2497" spans="1:8" ht="15.75" customHeight="1">
      <c r="A2497" s="36" t="s">
        <v>8971</v>
      </c>
      <c r="B2497" s="36" t="s">
        <v>8972</v>
      </c>
      <c r="C2497" s="36" t="s">
        <v>8973</v>
      </c>
      <c r="D2497" s="37" t="s">
        <v>8974</v>
      </c>
      <c r="E2497" s="36" t="s">
        <v>8975</v>
      </c>
      <c r="F2497" s="38" t="s">
        <v>8934</v>
      </c>
      <c r="G2497" s="6"/>
      <c r="H2497" s="36" t="s">
        <v>8935</v>
      </c>
    </row>
    <row r="2498" spans="1:8" ht="15.75" customHeight="1">
      <c r="A2498" s="36" t="s">
        <v>1307</v>
      </c>
      <c r="B2498" s="36" t="s">
        <v>1308</v>
      </c>
      <c r="C2498" s="36" t="s">
        <v>229</v>
      </c>
      <c r="D2498" s="37" t="s">
        <v>9537</v>
      </c>
      <c r="E2498" s="36" t="s">
        <v>9538</v>
      </c>
      <c r="F2498" s="38" t="s">
        <v>9340</v>
      </c>
      <c r="G2498" s="6"/>
      <c r="H2498" s="36" t="s">
        <v>9341</v>
      </c>
    </row>
    <row r="2499" spans="1:8" ht="15.75" customHeight="1">
      <c r="A2499" s="36" t="s">
        <v>721</v>
      </c>
      <c r="B2499" s="36" t="s">
        <v>2501</v>
      </c>
      <c r="C2499" s="36" t="s">
        <v>4357</v>
      </c>
      <c r="D2499" s="37" t="s">
        <v>9539</v>
      </c>
      <c r="E2499" s="36" t="s">
        <v>9540</v>
      </c>
      <c r="F2499" s="38" t="s">
        <v>9541</v>
      </c>
      <c r="G2499" s="6"/>
      <c r="H2499" s="36" t="s">
        <v>9542</v>
      </c>
    </row>
    <row r="2500" spans="1:8" ht="15.75" customHeight="1">
      <c r="A2500" s="36" t="s">
        <v>1517</v>
      </c>
      <c r="B2500" s="36" t="s">
        <v>9543</v>
      </c>
      <c r="C2500" s="36" t="s">
        <v>6495</v>
      </c>
      <c r="D2500" s="37" t="s">
        <v>9544</v>
      </c>
      <c r="E2500" s="36" t="s">
        <v>9545</v>
      </c>
      <c r="F2500" s="38" t="s">
        <v>9546</v>
      </c>
      <c r="G2500" s="6"/>
      <c r="H2500" s="36" t="s">
        <v>9547</v>
      </c>
    </row>
    <row r="2501" spans="1:8" ht="15.75" customHeight="1">
      <c r="A2501" s="36" t="s">
        <v>3810</v>
      </c>
      <c r="B2501" s="36" t="s">
        <v>3811</v>
      </c>
      <c r="C2501" s="36" t="s">
        <v>229</v>
      </c>
      <c r="D2501" s="37" t="s">
        <v>10082</v>
      </c>
      <c r="E2501" s="36" t="s">
        <v>3813</v>
      </c>
      <c r="F2501" s="38" t="s">
        <v>10075</v>
      </c>
      <c r="G2501" s="6"/>
      <c r="H2501" s="36" t="s">
        <v>10076</v>
      </c>
    </row>
    <row r="2502" spans="1:8" ht="15.75" customHeight="1">
      <c r="A2502" s="36" t="s">
        <v>1768</v>
      </c>
      <c r="B2502" s="6"/>
      <c r="C2502" s="36" t="s">
        <v>9777</v>
      </c>
      <c r="D2502" s="37" t="s">
        <v>9958</v>
      </c>
      <c r="E2502" s="36" t="s">
        <v>9959</v>
      </c>
      <c r="F2502" s="38" t="s">
        <v>9960</v>
      </c>
      <c r="G2502" s="6"/>
      <c r="H2502" s="36" t="s">
        <v>9961</v>
      </c>
    </row>
    <row r="2503" spans="1:8" ht="15.75" customHeight="1">
      <c r="A2503" s="36" t="s">
        <v>3974</v>
      </c>
      <c r="B2503" s="36" t="s">
        <v>3457</v>
      </c>
      <c r="C2503" s="36" t="s">
        <v>9420</v>
      </c>
      <c r="D2503" s="37" t="s">
        <v>9421</v>
      </c>
      <c r="E2503" s="36" t="s">
        <v>9422</v>
      </c>
      <c r="F2503" s="6"/>
      <c r="G2503" s="6"/>
      <c r="H2503" s="36" t="s">
        <v>9423</v>
      </c>
    </row>
    <row r="2504" spans="1:8" ht="15.75" customHeight="1">
      <c r="A2504" s="36" t="s">
        <v>1286</v>
      </c>
      <c r="B2504" s="36" t="s">
        <v>2245</v>
      </c>
      <c r="C2504" s="36" t="s">
        <v>9424</v>
      </c>
      <c r="D2504" s="37" t="s">
        <v>9425</v>
      </c>
      <c r="E2504" s="36" t="s">
        <v>9426</v>
      </c>
      <c r="F2504" s="36" t="s">
        <v>9427</v>
      </c>
      <c r="G2504" s="6"/>
      <c r="H2504" s="36" t="s">
        <v>9428</v>
      </c>
    </row>
    <row r="2505" spans="1:8" ht="15.75" customHeight="1">
      <c r="A2505" s="36" t="s">
        <v>8190</v>
      </c>
      <c r="B2505" s="36" t="s">
        <v>907</v>
      </c>
      <c r="C2505" s="36" t="s">
        <v>8191</v>
      </c>
      <c r="D2505" s="37" t="s">
        <v>8192</v>
      </c>
      <c r="E2505" s="36" t="s">
        <v>8193</v>
      </c>
      <c r="F2505" s="36" t="s">
        <v>7571</v>
      </c>
      <c r="G2505" s="6"/>
      <c r="H2505" s="36" t="s">
        <v>7579</v>
      </c>
    </row>
    <row r="2506" spans="1:8" ht="15.75" customHeight="1">
      <c r="A2506" s="36" t="s">
        <v>2804</v>
      </c>
      <c r="B2506" s="36" t="s">
        <v>849</v>
      </c>
      <c r="C2506" s="36" t="s">
        <v>8834</v>
      </c>
      <c r="D2506" s="37" t="s">
        <v>8835</v>
      </c>
      <c r="E2506" s="36" t="s">
        <v>8836</v>
      </c>
      <c r="F2506" s="38" t="s">
        <v>8837</v>
      </c>
      <c r="G2506" s="6"/>
      <c r="H2506" s="36" t="s">
        <v>8838</v>
      </c>
    </row>
    <row r="2507" spans="1:8" ht="15.75" customHeight="1">
      <c r="A2507" s="36" t="s">
        <v>1286</v>
      </c>
      <c r="B2507" s="36" t="s">
        <v>9429</v>
      </c>
      <c r="C2507" s="36" t="s">
        <v>1684</v>
      </c>
      <c r="D2507" s="37" t="s">
        <v>9430</v>
      </c>
      <c r="E2507" s="36" t="s">
        <v>9431</v>
      </c>
      <c r="F2507" s="6"/>
      <c r="G2507" s="6"/>
      <c r="H2507" s="36" t="s">
        <v>9432</v>
      </c>
    </row>
    <row r="2508" spans="1:8" ht="15.75" customHeight="1">
      <c r="A2508" s="36" t="s">
        <v>9433</v>
      </c>
      <c r="B2508" s="36" t="s">
        <v>198</v>
      </c>
      <c r="C2508" s="36" t="s">
        <v>9434</v>
      </c>
      <c r="D2508" s="37" t="s">
        <v>9435</v>
      </c>
      <c r="E2508" s="36" t="s">
        <v>9436</v>
      </c>
      <c r="F2508" s="38" t="s">
        <v>9437</v>
      </c>
      <c r="G2508" s="6"/>
      <c r="H2508" s="36" t="s">
        <v>9438</v>
      </c>
    </row>
    <row r="2509" spans="1:8" ht="15.75" customHeight="1">
      <c r="A2509" s="36" t="s">
        <v>1988</v>
      </c>
      <c r="B2509" s="36" t="s">
        <v>593</v>
      </c>
      <c r="C2509" s="36" t="s">
        <v>5282</v>
      </c>
      <c r="D2509" s="37" t="s">
        <v>10083</v>
      </c>
      <c r="E2509" s="36" t="s">
        <v>10084</v>
      </c>
      <c r="F2509" s="6"/>
      <c r="G2509" s="6"/>
      <c r="H2509" s="36" t="s">
        <v>10085</v>
      </c>
    </row>
    <row r="2510" spans="1:8" ht="15.75" customHeight="1">
      <c r="A2510" s="36" t="s">
        <v>1157</v>
      </c>
      <c r="B2510" s="36" t="s">
        <v>7648</v>
      </c>
      <c r="C2510" s="36" t="s">
        <v>4446</v>
      </c>
      <c r="D2510" s="37" t="s">
        <v>7649</v>
      </c>
      <c r="E2510" s="36" t="s">
        <v>7650</v>
      </c>
      <c r="F2510" s="36" t="s">
        <v>7571</v>
      </c>
      <c r="G2510" s="6"/>
      <c r="H2510" s="36" t="s">
        <v>7579</v>
      </c>
    </row>
    <row r="2511" spans="1:8" ht="15.75" customHeight="1">
      <c r="A2511" s="36" t="s">
        <v>301</v>
      </c>
      <c r="B2511" s="36" t="s">
        <v>907</v>
      </c>
      <c r="C2511" s="36" t="s">
        <v>9948</v>
      </c>
      <c r="D2511" s="37" t="s">
        <v>9949</v>
      </c>
      <c r="E2511" s="36" t="s">
        <v>9950</v>
      </c>
      <c r="F2511" s="38" t="s">
        <v>9951</v>
      </c>
      <c r="G2511" s="6"/>
      <c r="H2511" s="36" t="s">
        <v>9952</v>
      </c>
    </row>
    <row r="2512" spans="1:8" ht="15.75" customHeight="1">
      <c r="A2512" s="36" t="s">
        <v>171</v>
      </c>
      <c r="B2512" s="36" t="s">
        <v>1372</v>
      </c>
      <c r="C2512" s="36" t="s">
        <v>4203</v>
      </c>
      <c r="D2512" s="6"/>
      <c r="E2512" s="36" t="s">
        <v>9439</v>
      </c>
      <c r="F2512" s="38" t="s">
        <v>9440</v>
      </c>
      <c r="G2512" s="6"/>
      <c r="H2512" s="36" t="s">
        <v>9441</v>
      </c>
    </row>
    <row r="2513" spans="1:8" ht="15.75" customHeight="1">
      <c r="A2513" s="36" t="s">
        <v>1517</v>
      </c>
      <c r="B2513" s="36" t="s">
        <v>9442</v>
      </c>
      <c r="C2513" s="36" t="s">
        <v>5771</v>
      </c>
      <c r="D2513" s="37" t="s">
        <v>9443</v>
      </c>
      <c r="E2513" s="36" t="s">
        <v>9444</v>
      </c>
      <c r="F2513" s="38" t="s">
        <v>9445</v>
      </c>
      <c r="G2513" s="6"/>
      <c r="H2513" s="36" t="s">
        <v>9446</v>
      </c>
    </row>
    <row r="2514" spans="1:8" ht="15.75" customHeight="1">
      <c r="A2514" s="36" t="s">
        <v>4470</v>
      </c>
      <c r="B2514" s="36" t="s">
        <v>2721</v>
      </c>
      <c r="C2514" s="36" t="s">
        <v>8736</v>
      </c>
      <c r="D2514" s="37" t="s">
        <v>9447</v>
      </c>
      <c r="E2514" s="36" t="s">
        <v>9448</v>
      </c>
      <c r="F2514" s="38" t="s">
        <v>9449</v>
      </c>
      <c r="G2514" s="6"/>
      <c r="H2514" s="36" t="s">
        <v>9450</v>
      </c>
    </row>
    <row r="2515" spans="1:8" ht="15.75" customHeight="1">
      <c r="A2515" s="36" t="s">
        <v>9451</v>
      </c>
      <c r="B2515" s="36" t="s">
        <v>6863</v>
      </c>
      <c r="C2515" s="36" t="s">
        <v>7100</v>
      </c>
      <c r="D2515" s="37" t="s">
        <v>9452</v>
      </c>
      <c r="E2515" s="36" t="s">
        <v>9453</v>
      </c>
      <c r="F2515" s="6"/>
      <c r="G2515" s="6"/>
      <c r="H2515" s="36" t="s">
        <v>9454</v>
      </c>
    </row>
    <row r="2516" spans="1:8" ht="15.75" customHeight="1">
      <c r="A2516" s="36" t="s">
        <v>9455</v>
      </c>
      <c r="B2516" s="36" t="s">
        <v>9456</v>
      </c>
      <c r="C2516" s="36" t="s">
        <v>2225</v>
      </c>
      <c r="D2516" s="37" t="s">
        <v>9457</v>
      </c>
      <c r="E2516" s="36" t="s">
        <v>9458</v>
      </c>
      <c r="F2516" s="38" t="s">
        <v>9340</v>
      </c>
      <c r="G2516" s="6"/>
      <c r="H2516" s="36" t="s">
        <v>9341</v>
      </c>
    </row>
    <row r="2517" spans="1:8" ht="15.75" customHeight="1">
      <c r="A2517" s="36" t="s">
        <v>44</v>
      </c>
      <c r="B2517" s="36" t="s">
        <v>7381</v>
      </c>
      <c r="C2517" s="36" t="s">
        <v>6048</v>
      </c>
      <c r="D2517" s="37" t="s">
        <v>9522</v>
      </c>
      <c r="E2517" s="36" t="s">
        <v>9523</v>
      </c>
      <c r="F2517" s="6"/>
      <c r="G2517" s="6"/>
      <c r="H2517" s="36" t="s">
        <v>9524</v>
      </c>
    </row>
    <row r="2518" spans="1:8" ht="15.75" customHeight="1">
      <c r="A2518" s="36" t="s">
        <v>7585</v>
      </c>
      <c r="B2518" s="36" t="s">
        <v>3517</v>
      </c>
      <c r="C2518" s="36" t="s">
        <v>8083</v>
      </c>
      <c r="D2518" s="37" t="s">
        <v>8084</v>
      </c>
      <c r="E2518" s="36" t="s">
        <v>8085</v>
      </c>
      <c r="F2518" s="36" t="s">
        <v>7571</v>
      </c>
      <c r="G2518" s="6"/>
      <c r="H2518" s="36" t="s">
        <v>7579</v>
      </c>
    </row>
    <row r="2519" spans="1:8" ht="15.75" customHeight="1">
      <c r="A2519" s="36" t="s">
        <v>5851</v>
      </c>
      <c r="B2519" s="36" t="s">
        <v>9048</v>
      </c>
      <c r="C2519" s="36" t="s">
        <v>9049</v>
      </c>
      <c r="D2519" s="37" t="s">
        <v>9050</v>
      </c>
      <c r="E2519" s="36" t="s">
        <v>9051</v>
      </c>
      <c r="F2519" s="38" t="s">
        <v>8934</v>
      </c>
      <c r="G2519" s="6"/>
      <c r="H2519" s="36" t="s">
        <v>8935</v>
      </c>
    </row>
    <row r="2520" spans="1:8" ht="15.75" customHeight="1">
      <c r="A2520" s="36" t="s">
        <v>9525</v>
      </c>
      <c r="B2520" s="36" t="s">
        <v>9526</v>
      </c>
      <c r="C2520" s="36" t="s">
        <v>9527</v>
      </c>
      <c r="D2520" s="37" t="s">
        <v>9528</v>
      </c>
      <c r="E2520" s="36" t="s">
        <v>9529</v>
      </c>
      <c r="F2520" s="38" t="s">
        <v>9530</v>
      </c>
      <c r="G2520" s="6"/>
      <c r="H2520" s="36" t="s">
        <v>9531</v>
      </c>
    </row>
    <row r="2521" spans="1:8" ht="15.75" customHeight="1">
      <c r="A2521" s="36" t="s">
        <v>9754</v>
      </c>
      <c r="B2521" s="36" t="s">
        <v>2497</v>
      </c>
      <c r="C2521" s="36" t="s">
        <v>109</v>
      </c>
      <c r="D2521" s="6"/>
      <c r="E2521" s="36" t="s">
        <v>9755</v>
      </c>
      <c r="F2521" s="36" t="s">
        <v>9756</v>
      </c>
      <c r="G2521" s="6"/>
      <c r="H2521" s="36" t="s">
        <v>9757</v>
      </c>
    </row>
    <row r="2522" spans="1:8" ht="15.75" customHeight="1">
      <c r="A2522" s="36" t="s">
        <v>517</v>
      </c>
      <c r="B2522" s="36" t="s">
        <v>2084</v>
      </c>
      <c r="C2522" s="36" t="s">
        <v>91</v>
      </c>
      <c r="D2522" s="37" t="s">
        <v>9380</v>
      </c>
      <c r="E2522" s="36" t="s">
        <v>9381</v>
      </c>
      <c r="F2522" s="6"/>
      <c r="G2522" s="6"/>
      <c r="H2522" s="36" t="s">
        <v>9382</v>
      </c>
    </row>
    <row r="2523" spans="1:8" ht="15.75" customHeight="1">
      <c r="A2523" s="36" t="s">
        <v>1419</v>
      </c>
      <c r="B2523" s="36" t="s">
        <v>9383</v>
      </c>
      <c r="C2523" s="36" t="s">
        <v>9384</v>
      </c>
      <c r="D2523" s="37" t="s">
        <v>9385</v>
      </c>
      <c r="E2523" s="36" t="s">
        <v>9386</v>
      </c>
      <c r="F2523" s="38" t="s">
        <v>9387</v>
      </c>
      <c r="G2523" s="6"/>
      <c r="H2523" s="36" t="s">
        <v>9388</v>
      </c>
    </row>
    <row r="2524" spans="1:8" ht="15.75" customHeight="1">
      <c r="A2524" s="36" t="s">
        <v>7686</v>
      </c>
      <c r="B2524" s="36" t="s">
        <v>7687</v>
      </c>
      <c r="C2524" s="36" t="s">
        <v>7688</v>
      </c>
      <c r="D2524" s="37" t="s">
        <v>7689</v>
      </c>
      <c r="E2524" s="36" t="s">
        <v>7690</v>
      </c>
      <c r="F2524" s="36" t="s">
        <v>7571</v>
      </c>
      <c r="G2524" s="6"/>
      <c r="H2524" s="36" t="s">
        <v>7579</v>
      </c>
    </row>
    <row r="2525" spans="1:8" ht="15.75" customHeight="1">
      <c r="A2525" s="36" t="s">
        <v>4582</v>
      </c>
      <c r="B2525" s="36" t="s">
        <v>1249</v>
      </c>
      <c r="C2525" s="36" t="s">
        <v>7695</v>
      </c>
      <c r="D2525" s="37" t="s">
        <v>7696</v>
      </c>
      <c r="E2525" s="36" t="s">
        <v>7697</v>
      </c>
      <c r="F2525" s="36" t="s">
        <v>7571</v>
      </c>
      <c r="G2525" s="6"/>
      <c r="H2525" s="36" t="s">
        <v>7579</v>
      </c>
    </row>
    <row r="2526" spans="1:8" ht="15.75" customHeight="1">
      <c r="A2526" s="36" t="s">
        <v>462</v>
      </c>
      <c r="B2526" s="36" t="s">
        <v>9389</v>
      </c>
      <c r="C2526" s="36" t="s">
        <v>9390</v>
      </c>
      <c r="D2526" s="37" t="s">
        <v>9391</v>
      </c>
      <c r="E2526" s="36" t="s">
        <v>9392</v>
      </c>
      <c r="F2526" s="38" t="s">
        <v>9393</v>
      </c>
      <c r="G2526" s="6"/>
      <c r="H2526" s="36" t="s">
        <v>9394</v>
      </c>
    </row>
    <row r="2527" spans="1:8" ht="15.75" customHeight="1">
      <c r="A2527" s="36" t="s">
        <v>9395</v>
      </c>
      <c r="B2527" s="36" t="s">
        <v>9396</v>
      </c>
      <c r="C2527" s="36" t="s">
        <v>4364</v>
      </c>
      <c r="D2527" s="37" t="s">
        <v>9397</v>
      </c>
      <c r="E2527" s="36" t="s">
        <v>9398</v>
      </c>
      <c r="F2527" s="6"/>
      <c r="G2527" s="6"/>
      <c r="H2527" s="36" t="s">
        <v>9399</v>
      </c>
    </row>
    <row r="2528" spans="1:8" ht="15.75" customHeight="1">
      <c r="A2528" s="36" t="s">
        <v>295</v>
      </c>
      <c r="B2528" s="36" t="s">
        <v>865</v>
      </c>
      <c r="C2528" s="36" t="s">
        <v>9762</v>
      </c>
      <c r="D2528" s="37" t="s">
        <v>9763</v>
      </c>
      <c r="E2528" s="36" t="s">
        <v>9764</v>
      </c>
      <c r="F2528" s="38" t="s">
        <v>9765</v>
      </c>
      <c r="G2528" s="6"/>
      <c r="H2528" s="36" t="s">
        <v>9766</v>
      </c>
    </row>
    <row r="2529" spans="1:8" ht="15.75" customHeight="1">
      <c r="A2529" s="36" t="s">
        <v>1600</v>
      </c>
      <c r="B2529" s="36" t="s">
        <v>59</v>
      </c>
      <c r="C2529" s="36" t="s">
        <v>9737</v>
      </c>
      <c r="D2529" s="37" t="s">
        <v>9767</v>
      </c>
      <c r="E2529" s="36" t="s">
        <v>9739</v>
      </c>
      <c r="F2529" s="38" t="s">
        <v>9740</v>
      </c>
      <c r="G2529" s="6"/>
      <c r="H2529" s="36" t="s">
        <v>9741</v>
      </c>
    </row>
    <row r="2530" spans="1:8" ht="15.75" customHeight="1">
      <c r="A2530" s="36" t="s">
        <v>4162</v>
      </c>
      <c r="B2530" s="36" t="s">
        <v>9776</v>
      </c>
      <c r="C2530" s="36" t="s">
        <v>9777</v>
      </c>
      <c r="D2530" s="37" t="s">
        <v>9778</v>
      </c>
      <c r="E2530" s="36" t="s">
        <v>9779</v>
      </c>
      <c r="F2530" s="6"/>
      <c r="G2530" s="6"/>
      <c r="H2530" s="36" t="s">
        <v>9780</v>
      </c>
    </row>
    <row r="2531" spans="1:8" ht="15.75" customHeight="1">
      <c r="A2531" s="36" t="s">
        <v>1014</v>
      </c>
      <c r="B2531" s="36" t="s">
        <v>763</v>
      </c>
      <c r="C2531" s="36" t="s">
        <v>6033</v>
      </c>
      <c r="D2531" s="37" t="s">
        <v>9600</v>
      </c>
      <c r="E2531" s="36" t="s">
        <v>9601</v>
      </c>
      <c r="F2531" s="38" t="s">
        <v>9602</v>
      </c>
      <c r="G2531" s="6"/>
      <c r="H2531" s="36" t="s">
        <v>9603</v>
      </c>
    </row>
    <row r="2532" spans="1:8" ht="15.75" customHeight="1">
      <c r="A2532" s="36" t="s">
        <v>301</v>
      </c>
      <c r="B2532" s="36" t="s">
        <v>8250</v>
      </c>
      <c r="C2532" s="36" t="s">
        <v>8251</v>
      </c>
      <c r="D2532" s="37" t="s">
        <v>8252</v>
      </c>
      <c r="E2532" s="36" t="s">
        <v>8253</v>
      </c>
      <c r="F2532" s="36" t="s">
        <v>7571</v>
      </c>
      <c r="G2532" s="6"/>
      <c r="H2532" s="36" t="s">
        <v>7579</v>
      </c>
    </row>
    <row r="2533" spans="1:8" ht="15.75" customHeight="1">
      <c r="A2533" s="36" t="s">
        <v>8265</v>
      </c>
      <c r="B2533" s="36" t="s">
        <v>2245</v>
      </c>
      <c r="C2533" s="36" t="s">
        <v>8266</v>
      </c>
      <c r="D2533" s="37" t="s">
        <v>8267</v>
      </c>
      <c r="E2533" s="36" t="s">
        <v>8268</v>
      </c>
      <c r="F2533" s="36" t="s">
        <v>7571</v>
      </c>
      <c r="G2533" s="6"/>
      <c r="H2533" s="36" t="s">
        <v>7579</v>
      </c>
    </row>
    <row r="2534" spans="1:8" ht="15.75" customHeight="1">
      <c r="A2534" s="36" t="s">
        <v>2011</v>
      </c>
      <c r="B2534" s="36" t="s">
        <v>1277</v>
      </c>
      <c r="C2534" s="36" t="s">
        <v>8120</v>
      </c>
      <c r="D2534" s="37" t="s">
        <v>9604</v>
      </c>
      <c r="E2534" s="36" t="s">
        <v>9605</v>
      </c>
      <c r="F2534" s="38" t="s">
        <v>9606</v>
      </c>
      <c r="G2534" s="6"/>
      <c r="H2534" s="36" t="s">
        <v>9607</v>
      </c>
    </row>
    <row r="2535" spans="1:8" ht="15.75" customHeight="1">
      <c r="A2535" s="36" t="s">
        <v>7632</v>
      </c>
      <c r="B2535" s="36" t="s">
        <v>9613</v>
      </c>
      <c r="C2535" s="36" t="s">
        <v>6495</v>
      </c>
      <c r="D2535" s="37" t="s">
        <v>9614</v>
      </c>
      <c r="E2535" s="36" t="s">
        <v>9615</v>
      </c>
      <c r="F2535" s="6"/>
      <c r="G2535" s="6"/>
      <c r="H2535" s="36" t="s">
        <v>9616</v>
      </c>
    </row>
    <row r="2536" spans="1:8" ht="15.75" customHeight="1">
      <c r="A2536" s="36" t="s">
        <v>10002</v>
      </c>
      <c r="B2536" s="36" t="s">
        <v>10003</v>
      </c>
      <c r="C2536" s="36" t="s">
        <v>10004</v>
      </c>
      <c r="D2536" s="37" t="s">
        <v>10005</v>
      </c>
      <c r="E2536" s="36" t="s">
        <v>10006</v>
      </c>
      <c r="F2536" s="6"/>
      <c r="G2536" s="6"/>
      <c r="H2536" s="36" t="s">
        <v>10007</v>
      </c>
    </row>
    <row r="2537" spans="1:8" ht="15.75" customHeight="1">
      <c r="A2537" s="36" t="s">
        <v>2292</v>
      </c>
      <c r="B2537" s="36" t="s">
        <v>1293</v>
      </c>
      <c r="C2537" s="36" t="s">
        <v>9625</v>
      </c>
      <c r="D2537" s="6"/>
      <c r="E2537" s="36" t="s">
        <v>9626</v>
      </c>
      <c r="F2537" s="38" t="s">
        <v>9627</v>
      </c>
      <c r="G2537" s="6"/>
      <c r="H2537" s="36" t="s">
        <v>9628</v>
      </c>
    </row>
    <row r="2538" spans="1:8" ht="15.75" customHeight="1">
      <c r="A2538" s="36" t="s">
        <v>9629</v>
      </c>
      <c r="B2538" s="36" t="s">
        <v>3149</v>
      </c>
      <c r="C2538" s="36" t="s">
        <v>4766</v>
      </c>
      <c r="D2538" s="37" t="s">
        <v>9630</v>
      </c>
      <c r="E2538" s="36" t="s">
        <v>9631</v>
      </c>
      <c r="F2538" s="38" t="s">
        <v>9536</v>
      </c>
      <c r="G2538" s="6"/>
      <c r="H2538" s="36" t="s">
        <v>9388</v>
      </c>
    </row>
    <row r="2539" spans="1:8" ht="15.75" customHeight="1">
      <c r="A2539" s="36" t="s">
        <v>8543</v>
      </c>
      <c r="B2539" s="36" t="s">
        <v>8544</v>
      </c>
      <c r="C2539" s="36" t="s">
        <v>8545</v>
      </c>
      <c r="D2539" s="37" t="s">
        <v>8546</v>
      </c>
      <c r="E2539" s="36" t="s">
        <v>8547</v>
      </c>
      <c r="F2539" s="36" t="s">
        <v>7571</v>
      </c>
      <c r="G2539" s="6"/>
      <c r="H2539" s="36" t="s">
        <v>7579</v>
      </c>
    </row>
    <row r="2540" spans="1:8" ht="15.75" customHeight="1">
      <c r="A2540" s="36" t="s">
        <v>8555</v>
      </c>
      <c r="B2540" s="36" t="s">
        <v>8556</v>
      </c>
      <c r="C2540" s="36" t="s">
        <v>7575</v>
      </c>
      <c r="D2540" s="37" t="s">
        <v>8557</v>
      </c>
      <c r="E2540" s="36" t="s">
        <v>8558</v>
      </c>
      <c r="F2540" s="36" t="s">
        <v>7571</v>
      </c>
      <c r="G2540" s="6"/>
      <c r="H2540" s="36" t="s">
        <v>7579</v>
      </c>
    </row>
    <row r="2541" spans="1:8" ht="15.75" customHeight="1">
      <c r="A2541" s="36" t="s">
        <v>9227</v>
      </c>
      <c r="B2541" s="36" t="s">
        <v>9197</v>
      </c>
      <c r="C2541" s="36" t="s">
        <v>9198</v>
      </c>
      <c r="D2541" s="37" t="s">
        <v>9228</v>
      </c>
      <c r="E2541" s="36" t="s">
        <v>9229</v>
      </c>
      <c r="F2541" s="38" t="s">
        <v>8934</v>
      </c>
      <c r="G2541" s="6"/>
      <c r="H2541" s="36" t="s">
        <v>8935</v>
      </c>
    </row>
    <row r="2542" spans="1:8" ht="15.75" customHeight="1">
      <c r="A2542" s="36" t="s">
        <v>9230</v>
      </c>
      <c r="B2542" s="36" t="s">
        <v>9231</v>
      </c>
      <c r="C2542" s="36" t="s">
        <v>9232</v>
      </c>
      <c r="D2542" s="37" t="s">
        <v>9233</v>
      </c>
      <c r="E2542" s="36" t="s">
        <v>9234</v>
      </c>
      <c r="F2542" s="38" t="s">
        <v>8934</v>
      </c>
      <c r="G2542" s="6"/>
      <c r="H2542" s="36" t="s">
        <v>8935</v>
      </c>
    </row>
    <row r="2543" spans="1:8" ht="15.75" customHeight="1">
      <c r="A2543" s="36" t="s">
        <v>9237</v>
      </c>
      <c r="B2543" s="36" t="s">
        <v>9238</v>
      </c>
      <c r="C2543" s="36" t="s">
        <v>9239</v>
      </c>
      <c r="D2543" s="37" t="s">
        <v>9240</v>
      </c>
      <c r="E2543" s="36" t="s">
        <v>9241</v>
      </c>
      <c r="F2543" s="38" t="s">
        <v>8934</v>
      </c>
      <c r="G2543" s="6"/>
      <c r="H2543" s="36" t="s">
        <v>8935</v>
      </c>
    </row>
    <row r="2544" spans="1:8" ht="15.75" customHeight="1">
      <c r="A2544" s="36" t="s">
        <v>9632</v>
      </c>
      <c r="B2544" s="36" t="s">
        <v>9633</v>
      </c>
      <c r="C2544" s="36" t="s">
        <v>6172</v>
      </c>
      <c r="D2544" s="37" t="s">
        <v>9634</v>
      </c>
      <c r="E2544" s="36" t="s">
        <v>9635</v>
      </c>
      <c r="F2544" s="38" t="s">
        <v>9340</v>
      </c>
      <c r="G2544" s="6"/>
      <c r="H2544" s="36" t="s">
        <v>9341</v>
      </c>
    </row>
    <row r="2545" spans="1:8" ht="15.75" customHeight="1">
      <c r="A2545" s="36" t="s">
        <v>1669</v>
      </c>
      <c r="B2545" s="36" t="s">
        <v>7381</v>
      </c>
      <c r="C2545" s="36" t="s">
        <v>7568</v>
      </c>
      <c r="D2545" s="37" t="s">
        <v>9636</v>
      </c>
      <c r="E2545" s="36" t="s">
        <v>9637</v>
      </c>
      <c r="F2545" s="6"/>
      <c r="G2545" s="6"/>
      <c r="H2545" s="36" t="s">
        <v>9638</v>
      </c>
    </row>
    <row r="2546" spans="1:8" ht="15.75" customHeight="1">
      <c r="A2546" s="36" t="s">
        <v>9639</v>
      </c>
      <c r="B2546" s="36" t="s">
        <v>9354</v>
      </c>
      <c r="C2546" s="36" t="s">
        <v>4300</v>
      </c>
      <c r="D2546" s="37" t="s">
        <v>9640</v>
      </c>
      <c r="E2546" s="36" t="s">
        <v>9641</v>
      </c>
      <c r="F2546" s="38" t="s">
        <v>9642</v>
      </c>
      <c r="G2546" s="6"/>
      <c r="H2546" s="36" t="s">
        <v>9514</v>
      </c>
    </row>
    <row r="2547" spans="1:8" ht="15.75" customHeight="1">
      <c r="A2547" s="36" t="s">
        <v>5475</v>
      </c>
      <c r="B2547" s="36" t="s">
        <v>9978</v>
      </c>
      <c r="C2547" s="36" t="s">
        <v>9979</v>
      </c>
      <c r="D2547" s="37" t="s">
        <v>9980</v>
      </c>
      <c r="E2547" s="36" t="s">
        <v>9981</v>
      </c>
      <c r="F2547" s="38" t="s">
        <v>9982</v>
      </c>
      <c r="G2547" s="6"/>
      <c r="H2547" s="36" t="s">
        <v>9983</v>
      </c>
    </row>
    <row r="2548" spans="1:8" ht="15.75" customHeight="1">
      <c r="A2548" s="36" t="s">
        <v>9962</v>
      </c>
      <c r="B2548" s="36" t="s">
        <v>10086</v>
      </c>
      <c r="C2548" s="36" t="s">
        <v>6812</v>
      </c>
      <c r="D2548" s="6"/>
      <c r="E2548" s="36" t="s">
        <v>10087</v>
      </c>
      <c r="F2548" s="38" t="s">
        <v>10088</v>
      </c>
      <c r="G2548" s="6"/>
      <c r="H2548" s="36" t="s">
        <v>10089</v>
      </c>
    </row>
    <row r="2549" spans="1:8" ht="15.75" customHeight="1">
      <c r="A2549" s="36" t="s">
        <v>6259</v>
      </c>
      <c r="B2549" s="36" t="s">
        <v>5543</v>
      </c>
      <c r="C2549" s="36" t="s">
        <v>9163</v>
      </c>
      <c r="D2549" s="37" t="s">
        <v>9164</v>
      </c>
      <c r="E2549" s="36" t="s">
        <v>9165</v>
      </c>
      <c r="F2549" s="38" t="s">
        <v>8934</v>
      </c>
      <c r="G2549" s="6"/>
      <c r="H2549" s="36" t="s">
        <v>8935</v>
      </c>
    </row>
    <row r="2550" spans="1:8" ht="15.75" customHeight="1">
      <c r="A2550" s="36" t="s">
        <v>44</v>
      </c>
      <c r="B2550" s="36" t="s">
        <v>9657</v>
      </c>
      <c r="C2550" s="36" t="s">
        <v>9658</v>
      </c>
      <c r="D2550" s="37" t="s">
        <v>9659</v>
      </c>
      <c r="E2550" s="36" t="s">
        <v>9660</v>
      </c>
      <c r="F2550" s="38" t="s">
        <v>9661</v>
      </c>
      <c r="G2550" s="6"/>
      <c r="H2550" s="36" t="s">
        <v>9662</v>
      </c>
    </row>
    <row r="2551" spans="1:8" ht="15.75" customHeight="1">
      <c r="A2551" s="36" t="s">
        <v>1475</v>
      </c>
      <c r="B2551" s="36" t="s">
        <v>282</v>
      </c>
      <c r="C2551" s="36" t="s">
        <v>9663</v>
      </c>
      <c r="D2551" s="37" t="s">
        <v>9664</v>
      </c>
      <c r="E2551" s="36" t="s">
        <v>9665</v>
      </c>
      <c r="F2551" s="6"/>
      <c r="G2551" s="6"/>
      <c r="H2551" s="36" t="s">
        <v>9489</v>
      </c>
    </row>
    <row r="2552" spans="1:8" ht="15.75" customHeight="1">
      <c r="A2552" s="36" t="s">
        <v>44</v>
      </c>
      <c r="B2552" s="36" t="s">
        <v>1277</v>
      </c>
      <c r="C2552" s="36" t="s">
        <v>9666</v>
      </c>
      <c r="D2552" s="37" t="s">
        <v>9667</v>
      </c>
      <c r="E2552" s="36" t="s">
        <v>9668</v>
      </c>
      <c r="F2552" s="38" t="s">
        <v>9669</v>
      </c>
      <c r="G2552" s="6"/>
      <c r="H2552" s="36" t="s">
        <v>9670</v>
      </c>
    </row>
    <row r="2553" spans="1:8" ht="15.75" customHeight="1">
      <c r="A2553" s="36" t="s">
        <v>39</v>
      </c>
      <c r="B2553" s="36" t="s">
        <v>4261</v>
      </c>
      <c r="C2553" s="36" t="s">
        <v>91</v>
      </c>
      <c r="D2553" s="37" t="s">
        <v>9571</v>
      </c>
      <c r="E2553" s="36" t="s">
        <v>9572</v>
      </c>
      <c r="F2553" s="38" t="s">
        <v>9573</v>
      </c>
      <c r="G2553" s="6"/>
      <c r="H2553" s="36" t="s">
        <v>9574</v>
      </c>
    </row>
    <row r="2554" spans="1:8" ht="15.75" customHeight="1">
      <c r="A2554" s="36" t="s">
        <v>1192</v>
      </c>
      <c r="B2554" s="6"/>
      <c r="C2554" s="36" t="s">
        <v>9575</v>
      </c>
      <c r="D2554" s="6"/>
      <c r="E2554" s="36" t="s">
        <v>9576</v>
      </c>
      <c r="F2554" s="38" t="s">
        <v>9577</v>
      </c>
      <c r="G2554" s="6"/>
      <c r="H2554" s="36" t="s">
        <v>9578</v>
      </c>
    </row>
    <row r="2555" spans="1:8" ht="15.75" customHeight="1">
      <c r="A2555" s="36" t="s">
        <v>8436</v>
      </c>
      <c r="B2555" s="36" t="s">
        <v>801</v>
      </c>
      <c r="C2555" s="36" t="s">
        <v>8437</v>
      </c>
      <c r="D2555" s="37" t="s">
        <v>8438</v>
      </c>
      <c r="E2555" s="36" t="s">
        <v>8439</v>
      </c>
      <c r="F2555" s="36" t="s">
        <v>7571</v>
      </c>
      <c r="G2555" s="6"/>
      <c r="H2555" s="36" t="s">
        <v>7579</v>
      </c>
    </row>
    <row r="2556" spans="1:8" ht="15.75" customHeight="1">
      <c r="A2556" s="36" t="s">
        <v>155</v>
      </c>
      <c r="B2556" s="36" t="s">
        <v>2036</v>
      </c>
      <c r="C2556" s="36" t="s">
        <v>9579</v>
      </c>
      <c r="D2556" s="37" t="s">
        <v>9580</v>
      </c>
      <c r="E2556" s="36" t="s">
        <v>9581</v>
      </c>
      <c r="F2556" s="38" t="s">
        <v>9582</v>
      </c>
      <c r="G2556" s="6"/>
      <c r="H2556" s="36" t="s">
        <v>9583</v>
      </c>
    </row>
    <row r="2557" spans="1:8" ht="15.75" customHeight="1">
      <c r="A2557" s="36" t="s">
        <v>8224</v>
      </c>
      <c r="B2557" s="36" t="s">
        <v>116</v>
      </c>
      <c r="C2557" s="36" t="s">
        <v>8225</v>
      </c>
      <c r="D2557" s="37" t="s">
        <v>8226</v>
      </c>
      <c r="E2557" s="36" t="s">
        <v>8227</v>
      </c>
      <c r="F2557" s="38" t="s">
        <v>7881</v>
      </c>
      <c r="G2557" s="6"/>
      <c r="H2557" s="36" t="s">
        <v>7579</v>
      </c>
    </row>
    <row r="2558" spans="1:8" ht="15.75" customHeight="1">
      <c r="A2558" s="36" t="s">
        <v>3709</v>
      </c>
      <c r="B2558" s="36" t="s">
        <v>3710</v>
      </c>
      <c r="C2558" s="36" t="s">
        <v>3237</v>
      </c>
      <c r="D2558" s="37" t="s">
        <v>9082</v>
      </c>
      <c r="E2558" s="36" t="s">
        <v>3712</v>
      </c>
      <c r="F2558" s="38" t="s">
        <v>8934</v>
      </c>
      <c r="G2558" s="6"/>
      <c r="H2558" s="36" t="s">
        <v>8935</v>
      </c>
    </row>
    <row r="2559" spans="1:8" ht="15.75" customHeight="1">
      <c r="A2559" s="36" t="s">
        <v>1228</v>
      </c>
      <c r="B2559" s="36" t="s">
        <v>3984</v>
      </c>
      <c r="C2559" s="36" t="s">
        <v>5054</v>
      </c>
      <c r="D2559" s="37" t="s">
        <v>9617</v>
      </c>
      <c r="E2559" s="36" t="s">
        <v>3986</v>
      </c>
      <c r="F2559" s="6"/>
      <c r="G2559" s="6"/>
      <c r="H2559" s="36" t="s">
        <v>9618</v>
      </c>
    </row>
    <row r="2560" spans="1:8" ht="15.75" customHeight="1">
      <c r="A2560" s="36" t="s">
        <v>9619</v>
      </c>
      <c r="B2560" s="36" t="s">
        <v>9620</v>
      </c>
      <c r="C2560" s="36" t="s">
        <v>1684</v>
      </c>
      <c r="D2560" s="37" t="s">
        <v>9621</v>
      </c>
      <c r="E2560" s="36" t="s">
        <v>9622</v>
      </c>
      <c r="F2560" s="38" t="s">
        <v>9623</v>
      </c>
      <c r="G2560" s="6"/>
      <c r="H2560" s="36" t="s">
        <v>9624</v>
      </c>
    </row>
    <row r="2561" spans="1:8" ht="15.75" customHeight="1">
      <c r="A2561" s="36" t="s">
        <v>9671</v>
      </c>
      <c r="B2561" s="36" t="s">
        <v>2917</v>
      </c>
      <c r="C2561" s="36" t="s">
        <v>9289</v>
      </c>
      <c r="D2561" s="6"/>
      <c r="E2561" s="36" t="s">
        <v>9672</v>
      </c>
      <c r="F2561" s="36" t="s">
        <v>9292</v>
      </c>
      <c r="G2561" s="6"/>
      <c r="H2561" s="36" t="s">
        <v>9293</v>
      </c>
    </row>
    <row r="2562" spans="1:8" ht="15.75" customHeight="1">
      <c r="A2562" s="36" t="s">
        <v>9673</v>
      </c>
      <c r="B2562" s="36" t="s">
        <v>9674</v>
      </c>
      <c r="C2562" s="36" t="s">
        <v>229</v>
      </c>
      <c r="D2562" s="37" t="s">
        <v>9675</v>
      </c>
      <c r="E2562" s="36" t="s">
        <v>9676</v>
      </c>
      <c r="F2562" s="38" t="s">
        <v>9677</v>
      </c>
      <c r="G2562" s="6"/>
      <c r="H2562" s="36" t="s">
        <v>9678</v>
      </c>
    </row>
    <row r="2563" spans="1:8" ht="15.75" customHeight="1">
      <c r="A2563" s="36" t="s">
        <v>155</v>
      </c>
      <c r="B2563" s="36" t="s">
        <v>4001</v>
      </c>
      <c r="C2563" s="36" t="s">
        <v>8204</v>
      </c>
      <c r="D2563" s="37" t="s">
        <v>8205</v>
      </c>
      <c r="E2563" s="36" t="s">
        <v>8206</v>
      </c>
      <c r="F2563" s="36" t="s">
        <v>7571</v>
      </c>
      <c r="G2563" s="6"/>
      <c r="H2563" s="36" t="s">
        <v>7579</v>
      </c>
    </row>
    <row r="2564" spans="1:8" ht="15.75" customHeight="1">
      <c r="A2564" s="36" t="s">
        <v>9679</v>
      </c>
      <c r="B2564" s="36" t="s">
        <v>5089</v>
      </c>
      <c r="C2564" s="36" t="s">
        <v>6033</v>
      </c>
      <c r="D2564" s="37" t="s">
        <v>9680</v>
      </c>
      <c r="E2564" s="36" t="s">
        <v>9681</v>
      </c>
      <c r="F2564" s="38" t="s">
        <v>9322</v>
      </c>
      <c r="G2564" s="6"/>
      <c r="H2564" s="36" t="s">
        <v>9323</v>
      </c>
    </row>
    <row r="2565" spans="1:8" ht="15.75" customHeight="1">
      <c r="A2565" s="36" t="s">
        <v>9682</v>
      </c>
      <c r="B2565" s="36" t="s">
        <v>9683</v>
      </c>
      <c r="C2565" s="36" t="s">
        <v>6495</v>
      </c>
      <c r="D2565" s="37" t="s">
        <v>9684</v>
      </c>
      <c r="E2565" s="36" t="s">
        <v>9685</v>
      </c>
      <c r="F2565" s="6"/>
      <c r="G2565" s="6"/>
      <c r="H2565" s="36" t="s">
        <v>9352</v>
      </c>
    </row>
    <row r="2566" spans="1:8" ht="15.75" customHeight="1">
      <c r="A2566" s="36" t="s">
        <v>155</v>
      </c>
      <c r="B2566" s="36" t="s">
        <v>116</v>
      </c>
      <c r="C2566" s="36" t="s">
        <v>9686</v>
      </c>
      <c r="D2566" s="37" t="s">
        <v>9687</v>
      </c>
      <c r="E2566" s="36" t="s">
        <v>9688</v>
      </c>
      <c r="F2566" s="38" t="s">
        <v>9689</v>
      </c>
      <c r="G2566" s="6"/>
      <c r="H2566" s="36" t="s">
        <v>9690</v>
      </c>
    </row>
    <row r="2567" spans="1:8" ht="15.75" customHeight="1">
      <c r="A2567" s="36" t="s">
        <v>9691</v>
      </c>
      <c r="B2567" s="36" t="s">
        <v>9692</v>
      </c>
      <c r="C2567" s="36" t="s">
        <v>9693</v>
      </c>
      <c r="D2567" s="37" t="s">
        <v>9694</v>
      </c>
      <c r="E2567" s="36" t="s">
        <v>9695</v>
      </c>
      <c r="F2567" s="6"/>
      <c r="G2567" s="6"/>
      <c r="H2567" s="36" t="s">
        <v>9696</v>
      </c>
    </row>
    <row r="2568" spans="1:8" ht="15.75" customHeight="1">
      <c r="A2568" s="36" t="s">
        <v>4489</v>
      </c>
      <c r="B2568" s="6"/>
      <c r="C2568" s="36" t="s">
        <v>4830</v>
      </c>
      <c r="D2568" s="6"/>
      <c r="E2568" s="36" t="s">
        <v>9697</v>
      </c>
      <c r="F2568" s="6"/>
      <c r="G2568" s="6"/>
      <c r="H2568" s="36" t="s">
        <v>9698</v>
      </c>
    </row>
    <row r="2569" spans="1:8" ht="15.75" customHeight="1">
      <c r="A2569" s="36" t="s">
        <v>8508</v>
      </c>
      <c r="B2569" s="36" t="s">
        <v>8509</v>
      </c>
      <c r="C2569" s="36" t="s">
        <v>8510</v>
      </c>
      <c r="D2569" s="37" t="s">
        <v>8511</v>
      </c>
      <c r="E2569" s="36" t="s">
        <v>8512</v>
      </c>
      <c r="F2569" s="38" t="s">
        <v>7617</v>
      </c>
      <c r="G2569" s="6"/>
      <c r="H2569" s="36" t="s">
        <v>8514</v>
      </c>
    </row>
    <row r="2570" spans="1:8" ht="15.75" customHeight="1">
      <c r="A2570" s="36" t="s">
        <v>9196</v>
      </c>
      <c r="B2570" s="36" t="s">
        <v>9197</v>
      </c>
      <c r="C2570" s="36" t="s">
        <v>9198</v>
      </c>
      <c r="D2570" s="37" t="s">
        <v>9199</v>
      </c>
      <c r="E2570" s="36" t="s">
        <v>9200</v>
      </c>
      <c r="F2570" s="38" t="s">
        <v>8934</v>
      </c>
      <c r="G2570" s="6"/>
      <c r="H2570" s="36" t="s">
        <v>8935</v>
      </c>
    </row>
    <row r="2571" spans="1:8" ht="15.75" customHeight="1">
      <c r="A2571" s="36" t="s">
        <v>9699</v>
      </c>
      <c r="B2571" s="36" t="s">
        <v>9700</v>
      </c>
      <c r="C2571" s="36" t="s">
        <v>6172</v>
      </c>
      <c r="D2571" s="37" t="s">
        <v>9701</v>
      </c>
      <c r="E2571" s="36" t="s">
        <v>9702</v>
      </c>
      <c r="F2571" s="38" t="s">
        <v>9340</v>
      </c>
      <c r="G2571" s="6"/>
      <c r="H2571" s="36" t="s">
        <v>9341</v>
      </c>
    </row>
    <row r="2572" spans="1:8" ht="15.75" customHeight="1">
      <c r="A2572" s="36" t="s">
        <v>7686</v>
      </c>
      <c r="B2572" s="36" t="s">
        <v>883</v>
      </c>
      <c r="C2572" s="36" t="s">
        <v>5263</v>
      </c>
      <c r="D2572" s="37" t="s">
        <v>9703</v>
      </c>
      <c r="E2572" s="36" t="s">
        <v>9704</v>
      </c>
      <c r="F2572" s="38" t="s">
        <v>9705</v>
      </c>
      <c r="G2572" s="6"/>
      <c r="H2572" s="36" t="s">
        <v>9706</v>
      </c>
    </row>
    <row r="2573" spans="1:8" ht="15.75" customHeight="1">
      <c r="A2573" s="36" t="s">
        <v>6386</v>
      </c>
      <c r="B2573" s="36" t="s">
        <v>10090</v>
      </c>
      <c r="C2573" s="36" t="s">
        <v>10091</v>
      </c>
      <c r="D2573" s="37" t="s">
        <v>10092</v>
      </c>
      <c r="E2573" s="36" t="s">
        <v>10093</v>
      </c>
      <c r="F2573" s="38" t="s">
        <v>10094</v>
      </c>
      <c r="G2573" s="6"/>
      <c r="H2573" s="36" t="s">
        <v>10095</v>
      </c>
    </row>
    <row r="2574" spans="1:8" ht="15.75" customHeight="1">
      <c r="A2574" s="36" t="s">
        <v>14</v>
      </c>
      <c r="B2574" s="36" t="s">
        <v>977</v>
      </c>
      <c r="C2574" s="36" t="s">
        <v>4241</v>
      </c>
      <c r="D2574" s="37" t="s">
        <v>10096</v>
      </c>
      <c r="E2574" s="36" t="s">
        <v>10097</v>
      </c>
      <c r="F2574" s="6"/>
      <c r="G2574" s="6"/>
      <c r="H2574" s="36" t="s">
        <v>10098</v>
      </c>
    </row>
    <row r="2575" spans="1:8" ht="15.75" customHeight="1">
      <c r="A2575" s="36" t="s">
        <v>955</v>
      </c>
      <c r="B2575" s="36" t="s">
        <v>10099</v>
      </c>
      <c r="C2575" s="36" t="s">
        <v>6191</v>
      </c>
      <c r="D2575" s="37" t="s">
        <v>10100</v>
      </c>
      <c r="E2575" s="36" t="s">
        <v>10101</v>
      </c>
      <c r="F2575" s="38" t="s">
        <v>10102</v>
      </c>
      <c r="G2575" s="6"/>
      <c r="H2575" s="36" t="s">
        <v>10103</v>
      </c>
    </row>
    <row r="2576" spans="1:8" ht="15.75" customHeight="1">
      <c r="A2576" s="36" t="s">
        <v>9643</v>
      </c>
      <c r="B2576" s="36" t="s">
        <v>9644</v>
      </c>
      <c r="C2576" s="36" t="s">
        <v>9645</v>
      </c>
      <c r="D2576" s="37" t="s">
        <v>9646</v>
      </c>
      <c r="E2576" s="36" t="s">
        <v>9647</v>
      </c>
      <c r="F2576" s="38" t="s">
        <v>9648</v>
      </c>
      <c r="G2576" s="6"/>
      <c r="H2576" s="36" t="s">
        <v>9649</v>
      </c>
    </row>
    <row r="2577" spans="1:8" ht="15.75" customHeight="1">
      <c r="A2577" s="36" t="s">
        <v>2528</v>
      </c>
      <c r="B2577" s="36" t="s">
        <v>8461</v>
      </c>
      <c r="C2577" s="36" t="s">
        <v>8462</v>
      </c>
      <c r="D2577" s="37" t="s">
        <v>8463</v>
      </c>
      <c r="E2577" s="36" t="s">
        <v>8464</v>
      </c>
      <c r="F2577" s="38" t="s">
        <v>8460</v>
      </c>
      <c r="G2577" s="6"/>
      <c r="H2577" s="36" t="s">
        <v>7579</v>
      </c>
    </row>
    <row r="2578" spans="1:8" ht="15.75" customHeight="1">
      <c r="A2578" s="36" t="s">
        <v>721</v>
      </c>
      <c r="B2578" s="36" t="s">
        <v>394</v>
      </c>
      <c r="C2578" s="36" t="s">
        <v>7575</v>
      </c>
      <c r="D2578" s="37" t="s">
        <v>8480</v>
      </c>
      <c r="E2578" s="36" t="s">
        <v>8481</v>
      </c>
      <c r="F2578" s="36" t="s">
        <v>7571</v>
      </c>
      <c r="G2578" s="6"/>
      <c r="H2578" s="36" t="s">
        <v>7579</v>
      </c>
    </row>
    <row r="2579" spans="1:8" ht="15.75" customHeight="1">
      <c r="A2579" s="36" t="s">
        <v>8494</v>
      </c>
      <c r="B2579" s="36" t="s">
        <v>8495</v>
      </c>
      <c r="C2579" s="36" t="s">
        <v>8496</v>
      </c>
      <c r="D2579" s="37" t="s">
        <v>8497</v>
      </c>
      <c r="E2579" s="36" t="s">
        <v>8498</v>
      </c>
      <c r="F2579" s="36" t="s">
        <v>7571</v>
      </c>
      <c r="G2579" s="6"/>
      <c r="H2579" s="36" t="s">
        <v>7579</v>
      </c>
    </row>
    <row r="2580" spans="1:8" ht="15.75" customHeight="1">
      <c r="A2580" s="36" t="s">
        <v>528</v>
      </c>
      <c r="B2580" s="36" t="s">
        <v>3722</v>
      </c>
      <c r="C2580" s="36" t="s">
        <v>3723</v>
      </c>
      <c r="D2580" s="37" t="s">
        <v>9125</v>
      </c>
      <c r="E2580" s="36" t="s">
        <v>9126</v>
      </c>
      <c r="F2580" s="38" t="s">
        <v>8934</v>
      </c>
      <c r="G2580" s="6"/>
      <c r="H2580" s="36" t="s">
        <v>8935</v>
      </c>
    </row>
    <row r="2581" spans="1:8" ht="15.75" customHeight="1">
      <c r="A2581" s="36" t="s">
        <v>473</v>
      </c>
      <c r="B2581" s="36" t="s">
        <v>2751</v>
      </c>
      <c r="C2581" s="36" t="s">
        <v>9650</v>
      </c>
      <c r="D2581" s="37" t="s">
        <v>9651</v>
      </c>
      <c r="E2581" s="36" t="s">
        <v>9652</v>
      </c>
      <c r="F2581" s="38" t="s">
        <v>9653</v>
      </c>
      <c r="G2581" s="6"/>
      <c r="H2581" s="36" t="s">
        <v>9654</v>
      </c>
    </row>
    <row r="2582" spans="1:8" ht="15.75" customHeight="1">
      <c r="A2582" s="36" t="s">
        <v>1312</v>
      </c>
      <c r="B2582" s="36" t="s">
        <v>1313</v>
      </c>
      <c r="C2582" s="36" t="s">
        <v>1314</v>
      </c>
      <c r="D2582" s="37" t="s">
        <v>9655</v>
      </c>
      <c r="E2582" s="36" t="s">
        <v>9656</v>
      </c>
      <c r="F2582" s="38" t="s">
        <v>9340</v>
      </c>
      <c r="G2582" s="6"/>
      <c r="H2582" s="36" t="s">
        <v>9341</v>
      </c>
    </row>
    <row r="2583" spans="1:8" ht="15.75" customHeight="1">
      <c r="A2583" s="36" t="s">
        <v>9969</v>
      </c>
      <c r="B2583" s="36" t="s">
        <v>45</v>
      </c>
      <c r="C2583" s="36" t="s">
        <v>6033</v>
      </c>
      <c r="D2583" s="37" t="s">
        <v>9970</v>
      </c>
      <c r="E2583" s="36" t="s">
        <v>9971</v>
      </c>
      <c r="F2583" s="38" t="s">
        <v>9835</v>
      </c>
      <c r="G2583" s="6"/>
      <c r="H2583" s="36" t="s">
        <v>9836</v>
      </c>
    </row>
    <row r="2584" spans="1:8" ht="15.75" customHeight="1">
      <c r="A2584" s="36" t="s">
        <v>3810</v>
      </c>
      <c r="B2584" s="36" t="s">
        <v>10104</v>
      </c>
      <c r="C2584" s="36" t="s">
        <v>10105</v>
      </c>
      <c r="D2584" s="37" t="s">
        <v>10106</v>
      </c>
      <c r="E2584" s="36" t="s">
        <v>3813</v>
      </c>
      <c r="F2584" s="38" t="s">
        <v>10075</v>
      </c>
      <c r="G2584" s="6"/>
      <c r="H2584" s="36" t="s">
        <v>10076</v>
      </c>
    </row>
    <row r="2585" spans="1:8" ht="15.75" customHeight="1">
      <c r="A2585" s="36" t="s">
        <v>69</v>
      </c>
      <c r="B2585" s="36" t="s">
        <v>9972</v>
      </c>
      <c r="C2585" s="36" t="s">
        <v>9973</v>
      </c>
      <c r="D2585" s="37" t="s">
        <v>9974</v>
      </c>
      <c r="E2585" s="36" t="s">
        <v>9975</v>
      </c>
      <c r="F2585" s="38" t="s">
        <v>9976</v>
      </c>
      <c r="G2585" s="6"/>
      <c r="H2585" s="36" t="s">
        <v>9977</v>
      </c>
    </row>
    <row r="2586" spans="1:8" ht="15.75" customHeight="1">
      <c r="A2586" s="36" t="s">
        <v>5125</v>
      </c>
      <c r="B2586" s="36" t="s">
        <v>9584</v>
      </c>
      <c r="C2586" s="36" t="s">
        <v>9585</v>
      </c>
      <c r="D2586" s="37" t="s">
        <v>9586</v>
      </c>
      <c r="E2586" s="36" t="s">
        <v>9587</v>
      </c>
      <c r="F2586" s="38" t="s">
        <v>9588</v>
      </c>
      <c r="G2586" s="6"/>
      <c r="H2586" s="36" t="s">
        <v>9341</v>
      </c>
    </row>
    <row r="2587" spans="1:8" ht="15.75" customHeight="1">
      <c r="A2587" s="36" t="s">
        <v>1501</v>
      </c>
      <c r="B2587" s="36" t="s">
        <v>10107</v>
      </c>
      <c r="C2587" s="36" t="s">
        <v>10108</v>
      </c>
      <c r="D2587" s="37" t="s">
        <v>10109</v>
      </c>
      <c r="E2587" s="36" t="s">
        <v>10110</v>
      </c>
      <c r="F2587" s="38" t="s">
        <v>10111</v>
      </c>
      <c r="G2587" s="6"/>
      <c r="H2587" s="36" t="s">
        <v>10112</v>
      </c>
    </row>
    <row r="2588" spans="1:8" ht="15.75" customHeight="1">
      <c r="A2588" s="36" t="s">
        <v>1192</v>
      </c>
      <c r="B2588" s="36" t="s">
        <v>9589</v>
      </c>
      <c r="C2588" s="36" t="s">
        <v>91</v>
      </c>
      <c r="D2588" s="37" t="s">
        <v>9590</v>
      </c>
      <c r="E2588" s="36" t="s">
        <v>9591</v>
      </c>
      <c r="F2588" s="38" t="s">
        <v>9592</v>
      </c>
      <c r="G2588" s="6"/>
      <c r="H2588" s="36" t="s">
        <v>9593</v>
      </c>
    </row>
    <row r="2589" spans="1:8" ht="15.75" customHeight="1">
      <c r="A2589" s="36" t="s">
        <v>9594</v>
      </c>
      <c r="B2589" s="36" t="s">
        <v>9595</v>
      </c>
      <c r="C2589" s="36" t="s">
        <v>9596</v>
      </c>
      <c r="D2589" s="37" t="s">
        <v>9597</v>
      </c>
      <c r="E2589" s="36" t="s">
        <v>9598</v>
      </c>
      <c r="F2589" s="6"/>
      <c r="G2589" s="6"/>
      <c r="H2589" s="36" t="s">
        <v>9599</v>
      </c>
    </row>
    <row r="2590" spans="1:8" ht="15.75" customHeight="1">
      <c r="A2590" s="36" t="s">
        <v>721</v>
      </c>
      <c r="B2590" s="36" t="s">
        <v>8373</v>
      </c>
      <c r="C2590" s="36" t="s">
        <v>8374</v>
      </c>
      <c r="D2590" s="37" t="s">
        <v>8375</v>
      </c>
      <c r="E2590" s="36" t="s">
        <v>8376</v>
      </c>
      <c r="F2590" s="36" t="s">
        <v>7571</v>
      </c>
      <c r="G2590" s="6"/>
      <c r="H2590" s="36" t="s">
        <v>7579</v>
      </c>
    </row>
    <row r="2591" spans="1:8" ht="15.75" customHeight="1">
      <c r="A2591" s="36" t="s">
        <v>1475</v>
      </c>
      <c r="B2591" s="36" t="s">
        <v>282</v>
      </c>
      <c r="C2591" s="36" t="s">
        <v>9707</v>
      </c>
      <c r="D2591" s="37" t="s">
        <v>9708</v>
      </c>
      <c r="E2591" s="36" t="s">
        <v>9665</v>
      </c>
      <c r="F2591" s="6"/>
      <c r="G2591" s="6"/>
      <c r="H2591" s="36" t="s">
        <v>9489</v>
      </c>
    </row>
    <row r="2592" spans="1:8" ht="15.75" customHeight="1">
      <c r="A2592" s="36" t="s">
        <v>955</v>
      </c>
      <c r="B2592" s="36" t="s">
        <v>9709</v>
      </c>
      <c r="C2592" s="36" t="s">
        <v>5263</v>
      </c>
      <c r="D2592" s="37" t="s">
        <v>9710</v>
      </c>
      <c r="E2592" s="36" t="s">
        <v>9711</v>
      </c>
      <c r="F2592" s="38" t="s">
        <v>9712</v>
      </c>
      <c r="G2592" s="6"/>
      <c r="H2592" s="36" t="s">
        <v>9713</v>
      </c>
    </row>
    <row r="2593" spans="1:8" ht="15.75" customHeight="1">
      <c r="A2593" s="36" t="s">
        <v>39</v>
      </c>
      <c r="B2593" s="36" t="s">
        <v>2245</v>
      </c>
      <c r="C2593" s="36" t="s">
        <v>10113</v>
      </c>
      <c r="D2593" s="37" t="s">
        <v>10114</v>
      </c>
      <c r="E2593" s="36" t="s">
        <v>10115</v>
      </c>
      <c r="F2593" s="38" t="s">
        <v>10116</v>
      </c>
      <c r="G2593" s="6"/>
      <c r="H2593" s="36" t="s">
        <v>10117</v>
      </c>
    </row>
    <row r="2594" spans="1:8" ht="15.75" customHeight="1">
      <c r="A2594" s="36" t="s">
        <v>9872</v>
      </c>
      <c r="B2594" s="36" t="s">
        <v>172</v>
      </c>
      <c r="C2594" s="36" t="s">
        <v>229</v>
      </c>
      <c r="D2594" s="37" t="s">
        <v>9873</v>
      </c>
      <c r="E2594" s="36" t="s">
        <v>9874</v>
      </c>
      <c r="F2594" s="38" t="s">
        <v>9875</v>
      </c>
      <c r="G2594" s="6"/>
      <c r="H2594" s="36" t="s">
        <v>9876</v>
      </c>
    </row>
    <row r="2595" spans="1:8" ht="15.75" customHeight="1">
      <c r="A2595" s="36" t="s">
        <v>1557</v>
      </c>
      <c r="B2595" s="36" t="s">
        <v>7044</v>
      </c>
      <c r="C2595" s="36" t="s">
        <v>5275</v>
      </c>
      <c r="D2595" s="37" t="s">
        <v>7873</v>
      </c>
      <c r="E2595" s="36" t="s">
        <v>7874</v>
      </c>
      <c r="F2595" s="38" t="s">
        <v>7872</v>
      </c>
      <c r="G2595" s="6"/>
      <c r="H2595" s="36" t="s">
        <v>7876</v>
      </c>
    </row>
    <row r="2596" spans="1:8" ht="15.75" customHeight="1">
      <c r="A2596" s="36" t="s">
        <v>433</v>
      </c>
      <c r="B2596" s="36" t="s">
        <v>1344</v>
      </c>
      <c r="C2596" s="36" t="s">
        <v>1345</v>
      </c>
      <c r="D2596" s="37" t="s">
        <v>10118</v>
      </c>
      <c r="E2596" s="36" t="s">
        <v>10119</v>
      </c>
      <c r="F2596" s="6"/>
      <c r="G2596" s="6"/>
      <c r="H2596" s="36" t="s">
        <v>10117</v>
      </c>
    </row>
    <row r="2597" spans="1:8" ht="15.75" customHeight="1">
      <c r="A2597" s="36" t="s">
        <v>160</v>
      </c>
      <c r="B2597" s="36" t="s">
        <v>764</v>
      </c>
      <c r="C2597" s="36" t="s">
        <v>538</v>
      </c>
      <c r="D2597" s="37" t="s">
        <v>10120</v>
      </c>
      <c r="E2597" s="36" t="s">
        <v>10121</v>
      </c>
      <c r="F2597" s="6"/>
      <c r="G2597" s="6"/>
      <c r="H2597" s="36" t="s">
        <v>10117</v>
      </c>
    </row>
    <row r="2598" spans="1:8" ht="15.75" customHeight="1">
      <c r="A2598" s="36" t="s">
        <v>381</v>
      </c>
      <c r="B2598" s="36" t="s">
        <v>9811</v>
      </c>
      <c r="C2598" s="36" t="s">
        <v>9812</v>
      </c>
      <c r="D2598" s="37" t="s">
        <v>9813</v>
      </c>
      <c r="E2598" s="36" t="s">
        <v>9814</v>
      </c>
      <c r="F2598" s="6"/>
      <c r="G2598" s="6"/>
      <c r="H2598" s="36" t="s">
        <v>9815</v>
      </c>
    </row>
    <row r="2599" spans="1:8" ht="15.75" customHeight="1">
      <c r="A2599" s="36" t="s">
        <v>10122</v>
      </c>
      <c r="B2599" s="36" t="s">
        <v>874</v>
      </c>
      <c r="C2599" s="36" t="s">
        <v>10123</v>
      </c>
      <c r="D2599" s="37" t="s">
        <v>10124</v>
      </c>
      <c r="E2599" s="36" t="s">
        <v>10125</v>
      </c>
      <c r="F2599" s="6"/>
      <c r="G2599" s="6"/>
      <c r="H2599" s="36" t="s">
        <v>10117</v>
      </c>
    </row>
    <row r="2600" spans="1:8" ht="15.75" customHeight="1">
      <c r="A2600" s="36" t="s">
        <v>2027</v>
      </c>
      <c r="B2600" s="36" t="s">
        <v>3146</v>
      </c>
      <c r="C2600" s="36" t="s">
        <v>9856</v>
      </c>
      <c r="D2600" s="6"/>
      <c r="E2600" s="36" t="s">
        <v>9857</v>
      </c>
      <c r="F2600" s="36" t="s">
        <v>9858</v>
      </c>
      <c r="G2600" s="6"/>
      <c r="H2600" s="36" t="s">
        <v>9859</v>
      </c>
    </row>
    <row r="2601" spans="1:8" ht="15.75" customHeight="1">
      <c r="A2601" s="36" t="s">
        <v>9869</v>
      </c>
      <c r="B2601" s="36" t="s">
        <v>4001</v>
      </c>
      <c r="C2601" s="36" t="s">
        <v>8270</v>
      </c>
      <c r="D2601" s="37" t="s">
        <v>9870</v>
      </c>
      <c r="E2601" s="36" t="s">
        <v>9871</v>
      </c>
      <c r="F2601" s="6"/>
      <c r="G2601" s="6"/>
      <c r="H2601" s="36" t="s">
        <v>9806</v>
      </c>
    </row>
    <row r="2602" spans="1:8" ht="15.75" customHeight="1">
      <c r="A2602" s="36" t="s">
        <v>7550</v>
      </c>
      <c r="B2602" s="36" t="s">
        <v>2245</v>
      </c>
      <c r="C2602" s="36" t="s">
        <v>9400</v>
      </c>
      <c r="D2602" s="37" t="s">
        <v>9401</v>
      </c>
      <c r="E2602" s="36" t="s">
        <v>9402</v>
      </c>
      <c r="F2602" s="38" t="s">
        <v>9403</v>
      </c>
      <c r="G2602" s="6"/>
      <c r="H2602" s="36" t="s">
        <v>9309</v>
      </c>
    </row>
    <row r="2603" spans="1:8" ht="15.75" customHeight="1">
      <c r="A2603" s="36" t="s">
        <v>997</v>
      </c>
      <c r="B2603" s="36" t="s">
        <v>4471</v>
      </c>
      <c r="C2603" s="36" t="s">
        <v>2643</v>
      </c>
      <c r="D2603" s="37" t="s">
        <v>10126</v>
      </c>
      <c r="E2603" s="36" t="s">
        <v>10127</v>
      </c>
      <c r="F2603" s="38" t="s">
        <v>10128</v>
      </c>
      <c r="G2603" s="6"/>
      <c r="H2603" s="36" t="s">
        <v>10117</v>
      </c>
    </row>
    <row r="2604" spans="1:8" ht="15.75" customHeight="1">
      <c r="A2604" s="36" t="s">
        <v>600</v>
      </c>
      <c r="B2604" s="36" t="s">
        <v>1324</v>
      </c>
      <c r="C2604" s="36" t="s">
        <v>2717</v>
      </c>
      <c r="D2604" s="37" t="s">
        <v>10129</v>
      </c>
      <c r="E2604" s="36" t="s">
        <v>10130</v>
      </c>
      <c r="F2604" s="38" t="s">
        <v>10131</v>
      </c>
      <c r="G2604" s="6"/>
      <c r="H2604" s="36" t="s">
        <v>10117</v>
      </c>
    </row>
    <row r="2605" spans="1:8" ht="15.75" customHeight="1">
      <c r="A2605" s="36" t="s">
        <v>1486</v>
      </c>
      <c r="B2605" s="36" t="s">
        <v>59</v>
      </c>
      <c r="C2605" s="36" t="s">
        <v>10132</v>
      </c>
      <c r="D2605" s="37" t="s">
        <v>10133</v>
      </c>
      <c r="E2605" s="36" t="s">
        <v>10134</v>
      </c>
      <c r="F2605" s="38" t="s">
        <v>10128</v>
      </c>
      <c r="G2605" s="6"/>
      <c r="H2605" s="36" t="s">
        <v>10117</v>
      </c>
    </row>
    <row r="2606" spans="1:8" ht="15.75" customHeight="1">
      <c r="A2606" s="36" t="s">
        <v>1338</v>
      </c>
      <c r="B2606" s="36" t="s">
        <v>479</v>
      </c>
      <c r="C2606" s="36" t="s">
        <v>1858</v>
      </c>
      <c r="D2606" s="37" t="s">
        <v>9748</v>
      </c>
      <c r="E2606" s="36" t="s">
        <v>9749</v>
      </c>
      <c r="F2606" s="6"/>
      <c r="G2606" s="6"/>
      <c r="H2606" s="36" t="s">
        <v>9750</v>
      </c>
    </row>
    <row r="2607" spans="1:8" ht="15.75" customHeight="1">
      <c r="A2607" s="36" t="s">
        <v>1228</v>
      </c>
      <c r="B2607" s="36" t="s">
        <v>9146</v>
      </c>
      <c r="C2607" s="36" t="s">
        <v>10135</v>
      </c>
      <c r="D2607" s="37" t="s">
        <v>10136</v>
      </c>
      <c r="E2607" s="36" t="s">
        <v>10137</v>
      </c>
      <c r="F2607" s="36" t="s">
        <v>10138</v>
      </c>
      <c r="G2607" s="6"/>
      <c r="H2607" s="36" t="s">
        <v>10139</v>
      </c>
    </row>
    <row r="2608" spans="1:8" ht="15.75" customHeight="1">
      <c r="A2608" s="36" t="s">
        <v>1348</v>
      </c>
      <c r="B2608" s="36" t="s">
        <v>59</v>
      </c>
      <c r="C2608" s="36" t="s">
        <v>10140</v>
      </c>
      <c r="D2608" s="37" t="s">
        <v>10141</v>
      </c>
      <c r="E2608" s="36" t="s">
        <v>10142</v>
      </c>
      <c r="F2608" s="38" t="s">
        <v>10116</v>
      </c>
      <c r="G2608" s="6"/>
      <c r="H2608" s="36" t="s">
        <v>10117</v>
      </c>
    </row>
    <row r="2609" spans="1:8" ht="15.75" customHeight="1">
      <c r="A2609" s="36" t="s">
        <v>763</v>
      </c>
      <c r="B2609" s="36" t="s">
        <v>9751</v>
      </c>
      <c r="C2609" s="36" t="s">
        <v>8266</v>
      </c>
      <c r="D2609" s="6"/>
      <c r="E2609" s="36" t="s">
        <v>9752</v>
      </c>
      <c r="F2609" s="6"/>
      <c r="G2609" s="6"/>
      <c r="H2609" s="36" t="s">
        <v>9753</v>
      </c>
    </row>
    <row r="2610" spans="1:8" ht="15.75" customHeight="1">
      <c r="A2610" s="36" t="s">
        <v>1348</v>
      </c>
      <c r="B2610" s="36" t="s">
        <v>59</v>
      </c>
      <c r="C2610" s="36" t="s">
        <v>10143</v>
      </c>
      <c r="D2610" s="37" t="s">
        <v>10141</v>
      </c>
      <c r="E2610" s="36" t="s">
        <v>10142</v>
      </c>
      <c r="F2610" s="38" t="s">
        <v>10144</v>
      </c>
      <c r="G2610" s="6"/>
      <c r="H2610" s="36" t="s">
        <v>10139</v>
      </c>
    </row>
    <row r="2611" spans="1:8" ht="15.75" customHeight="1">
      <c r="A2611" s="36" t="s">
        <v>1953</v>
      </c>
      <c r="B2611" s="36" t="s">
        <v>1381</v>
      </c>
      <c r="C2611" s="36" t="s">
        <v>9758</v>
      </c>
      <c r="D2611" s="6"/>
      <c r="E2611" s="36" t="s">
        <v>9759</v>
      </c>
      <c r="F2611" s="36" t="s">
        <v>9760</v>
      </c>
      <c r="G2611" s="6"/>
      <c r="H2611" s="36" t="s">
        <v>9761</v>
      </c>
    </row>
    <row r="2612" spans="1:8" ht="15.75" customHeight="1">
      <c r="A2612" s="36" t="s">
        <v>2509</v>
      </c>
      <c r="B2612" s="36" t="s">
        <v>9768</v>
      </c>
      <c r="C2612" s="36" t="s">
        <v>6048</v>
      </c>
      <c r="D2612" s="37" t="s">
        <v>9769</v>
      </c>
      <c r="E2612" s="36" t="s">
        <v>9770</v>
      </c>
      <c r="F2612" s="38" t="s">
        <v>9771</v>
      </c>
      <c r="G2612" s="6"/>
      <c r="H2612" s="36" t="s">
        <v>9772</v>
      </c>
    </row>
    <row r="2613" spans="1:8" ht="15.75" customHeight="1">
      <c r="A2613" s="36" t="s">
        <v>457</v>
      </c>
      <c r="B2613" s="36" t="s">
        <v>458</v>
      </c>
      <c r="C2613" s="36" t="s">
        <v>459</v>
      </c>
      <c r="D2613" s="37" t="s">
        <v>9773</v>
      </c>
      <c r="E2613" s="36" t="s">
        <v>461</v>
      </c>
      <c r="F2613" s="38" t="s">
        <v>9774</v>
      </c>
      <c r="G2613" s="6"/>
      <c r="H2613" s="36" t="s">
        <v>9775</v>
      </c>
    </row>
    <row r="2614" spans="1:8" ht="15.75" customHeight="1">
      <c r="A2614" s="36" t="s">
        <v>3725</v>
      </c>
      <c r="B2614" s="36" t="s">
        <v>718</v>
      </c>
      <c r="C2614" s="36" t="s">
        <v>9781</v>
      </c>
      <c r="D2614" s="37" t="s">
        <v>9782</v>
      </c>
      <c r="E2614" s="36" t="s">
        <v>9783</v>
      </c>
      <c r="F2614" s="6"/>
      <c r="G2614" s="6"/>
      <c r="H2614" s="36" t="s">
        <v>9728</v>
      </c>
    </row>
    <row r="2615" spans="1:8" ht="15.75" customHeight="1">
      <c r="A2615" s="36" t="s">
        <v>1768</v>
      </c>
      <c r="B2615" s="36" t="s">
        <v>9732</v>
      </c>
      <c r="C2615" s="36" t="s">
        <v>5182</v>
      </c>
      <c r="D2615" s="37" t="s">
        <v>9733</v>
      </c>
      <c r="E2615" s="36" t="s">
        <v>9734</v>
      </c>
      <c r="F2615" s="38" t="s">
        <v>9735</v>
      </c>
      <c r="G2615" s="6"/>
      <c r="H2615" s="36" t="s">
        <v>9736</v>
      </c>
    </row>
    <row r="2616" spans="1:8" ht="15.75" customHeight="1">
      <c r="A2616" s="36" t="s">
        <v>14</v>
      </c>
      <c r="B2616" s="36" t="s">
        <v>2245</v>
      </c>
      <c r="C2616" s="36" t="s">
        <v>1102</v>
      </c>
      <c r="D2616" s="6"/>
      <c r="E2616" s="36" t="s">
        <v>10145</v>
      </c>
      <c r="F2616" s="38" t="s">
        <v>10146</v>
      </c>
      <c r="G2616" s="6"/>
      <c r="H2616" s="36" t="s">
        <v>10139</v>
      </c>
    </row>
    <row r="2617" spans="1:8" ht="15.75" customHeight="1">
      <c r="A2617" s="36" t="s">
        <v>9742</v>
      </c>
      <c r="B2617" s="36" t="s">
        <v>9743</v>
      </c>
      <c r="C2617" s="36" t="s">
        <v>9744</v>
      </c>
      <c r="D2617" s="37" t="s">
        <v>9745</v>
      </c>
      <c r="E2617" s="36" t="s">
        <v>9746</v>
      </c>
      <c r="F2617" s="6"/>
      <c r="G2617" s="6"/>
      <c r="H2617" s="36" t="s">
        <v>9747</v>
      </c>
    </row>
    <row r="2618" spans="1:8" ht="15.75" customHeight="1">
      <c r="A2618" s="36" t="s">
        <v>1501</v>
      </c>
      <c r="B2618" s="36" t="s">
        <v>4471</v>
      </c>
      <c r="C2618" s="36" t="s">
        <v>9920</v>
      </c>
      <c r="D2618" s="37" t="s">
        <v>9921</v>
      </c>
      <c r="E2618" s="36" t="s">
        <v>9922</v>
      </c>
      <c r="F2618" s="38" t="s">
        <v>9793</v>
      </c>
      <c r="G2618" s="6"/>
      <c r="H2618" s="36" t="s">
        <v>9794</v>
      </c>
    </row>
    <row r="2619" spans="1:8" ht="15.75" customHeight="1">
      <c r="A2619" s="36" t="s">
        <v>1209</v>
      </c>
      <c r="B2619" s="36" t="s">
        <v>1415</v>
      </c>
      <c r="C2619" s="36" t="s">
        <v>46</v>
      </c>
      <c r="D2619" s="37" t="s">
        <v>10147</v>
      </c>
      <c r="E2619" s="36" t="s">
        <v>2740</v>
      </c>
      <c r="F2619" s="6"/>
      <c r="G2619" s="6"/>
      <c r="H2619" s="36" t="s">
        <v>10148</v>
      </c>
    </row>
    <row r="2620" spans="1:8" ht="15.75" customHeight="1">
      <c r="A2620" s="36" t="s">
        <v>1286</v>
      </c>
      <c r="B2620" s="36" t="s">
        <v>1651</v>
      </c>
      <c r="C2620" s="36" t="s">
        <v>9926</v>
      </c>
      <c r="D2620" s="37" t="s">
        <v>9927</v>
      </c>
      <c r="E2620" s="36" t="s">
        <v>9928</v>
      </c>
      <c r="F2620" s="38" t="s">
        <v>9793</v>
      </c>
      <c r="G2620" s="6"/>
      <c r="H2620" s="36" t="s">
        <v>9794</v>
      </c>
    </row>
    <row r="2621" spans="1:8" ht="15.75" customHeight="1">
      <c r="A2621" s="36" t="s">
        <v>2463</v>
      </c>
      <c r="B2621" s="36" t="s">
        <v>6436</v>
      </c>
      <c r="C2621" s="36" t="s">
        <v>9929</v>
      </c>
      <c r="D2621" s="37" t="s">
        <v>9930</v>
      </c>
      <c r="E2621" s="36" t="s">
        <v>9931</v>
      </c>
      <c r="F2621" s="38" t="s">
        <v>9793</v>
      </c>
      <c r="G2621" s="6"/>
      <c r="H2621" s="36" t="s">
        <v>9794</v>
      </c>
    </row>
    <row r="2622" spans="1:8" ht="15.75" customHeight="1">
      <c r="A2622" s="36" t="s">
        <v>44</v>
      </c>
      <c r="B2622" s="36" t="s">
        <v>10149</v>
      </c>
      <c r="C2622" s="36" t="s">
        <v>10150</v>
      </c>
      <c r="D2622" s="37" t="s">
        <v>10151</v>
      </c>
      <c r="E2622" s="36" t="s">
        <v>10152</v>
      </c>
      <c r="F2622" s="6"/>
      <c r="G2622" s="6"/>
      <c r="H2622" s="36" t="s">
        <v>10139</v>
      </c>
    </row>
    <row r="2623" spans="1:8" ht="15.75" customHeight="1">
      <c r="A2623" s="36" t="s">
        <v>1307</v>
      </c>
      <c r="B2623" s="36" t="s">
        <v>1308</v>
      </c>
      <c r="C2623" s="36" t="s">
        <v>229</v>
      </c>
      <c r="D2623" s="37" t="s">
        <v>9537</v>
      </c>
      <c r="E2623" s="36" t="s">
        <v>9538</v>
      </c>
      <c r="F2623" s="38" t="s">
        <v>9340</v>
      </c>
      <c r="G2623" s="6"/>
      <c r="H2623" s="36" t="s">
        <v>9341</v>
      </c>
    </row>
    <row r="2624" spans="1:8" ht="15.75" customHeight="1">
      <c r="A2624" s="36" t="s">
        <v>1214</v>
      </c>
      <c r="B2624" s="36" t="s">
        <v>1716</v>
      </c>
      <c r="C2624" s="36" t="s">
        <v>5263</v>
      </c>
      <c r="D2624" s="37" t="s">
        <v>9726</v>
      </c>
      <c r="E2624" s="36" t="s">
        <v>9727</v>
      </c>
      <c r="F2624" s="6"/>
      <c r="G2624" s="6"/>
      <c r="H2624" s="36" t="s">
        <v>9728</v>
      </c>
    </row>
    <row r="2625" spans="1:8" ht="15.75" customHeight="1">
      <c r="A2625" s="36" t="s">
        <v>2388</v>
      </c>
      <c r="B2625" s="36" t="s">
        <v>2245</v>
      </c>
      <c r="C2625" s="36" t="s">
        <v>10153</v>
      </c>
      <c r="D2625" s="37" t="s">
        <v>10154</v>
      </c>
      <c r="E2625" s="36" t="s">
        <v>10155</v>
      </c>
      <c r="F2625" s="6"/>
      <c r="G2625" s="6"/>
      <c r="H2625" s="36" t="s">
        <v>10117</v>
      </c>
    </row>
    <row r="2626" spans="1:8" ht="15.75" customHeight="1">
      <c r="A2626" s="36" t="s">
        <v>301</v>
      </c>
      <c r="B2626" s="36" t="s">
        <v>2245</v>
      </c>
      <c r="C2626" s="36" t="s">
        <v>10156</v>
      </c>
      <c r="D2626" s="37" t="s">
        <v>10157</v>
      </c>
      <c r="E2626" s="36" t="s">
        <v>10158</v>
      </c>
      <c r="F2626" s="38" t="s">
        <v>10159</v>
      </c>
      <c r="G2626" s="6"/>
      <c r="H2626" s="36" t="s">
        <v>10117</v>
      </c>
    </row>
    <row r="2627" spans="1:8" ht="15.75" customHeight="1">
      <c r="A2627" s="36" t="s">
        <v>422</v>
      </c>
      <c r="B2627" s="36" t="s">
        <v>1387</v>
      </c>
      <c r="C2627" s="36" t="s">
        <v>91</v>
      </c>
      <c r="D2627" s="37" t="s">
        <v>9729</v>
      </c>
      <c r="E2627" s="36" t="s">
        <v>9730</v>
      </c>
      <c r="F2627" s="6"/>
      <c r="G2627" s="6"/>
      <c r="H2627" s="36" t="s">
        <v>9731</v>
      </c>
    </row>
    <row r="2628" spans="1:8" ht="15.75" customHeight="1">
      <c r="A2628" s="36" t="s">
        <v>1303</v>
      </c>
      <c r="B2628" s="36" t="s">
        <v>1304</v>
      </c>
      <c r="C2628" s="36" t="s">
        <v>210</v>
      </c>
      <c r="D2628" s="37" t="s">
        <v>9338</v>
      </c>
      <c r="E2628" s="36" t="s">
        <v>9339</v>
      </c>
      <c r="F2628" s="38" t="s">
        <v>9340</v>
      </c>
      <c r="G2628" s="6"/>
      <c r="H2628" s="36" t="s">
        <v>9341</v>
      </c>
    </row>
    <row r="2629" spans="1:8" ht="15.75" customHeight="1">
      <c r="A2629" s="36" t="s">
        <v>1557</v>
      </c>
      <c r="B2629" s="36" t="s">
        <v>9824</v>
      </c>
      <c r="C2629" s="36" t="s">
        <v>1684</v>
      </c>
      <c r="D2629" s="37" t="s">
        <v>9825</v>
      </c>
      <c r="E2629" s="36" t="s">
        <v>9826</v>
      </c>
      <c r="F2629" s="6"/>
      <c r="G2629" s="6"/>
      <c r="H2629" s="36" t="s">
        <v>9810</v>
      </c>
    </row>
    <row r="2630" spans="1:8" ht="15.75" customHeight="1">
      <c r="A2630" s="36" t="s">
        <v>9827</v>
      </c>
      <c r="B2630" s="36" t="s">
        <v>902</v>
      </c>
      <c r="C2630" s="36" t="s">
        <v>5263</v>
      </c>
      <c r="D2630" s="37" t="s">
        <v>9828</v>
      </c>
      <c r="E2630" s="36" t="s">
        <v>9829</v>
      </c>
      <c r="F2630" s="38" t="s">
        <v>9830</v>
      </c>
      <c r="G2630" s="6"/>
      <c r="H2630" s="36" t="s">
        <v>9831</v>
      </c>
    </row>
    <row r="2631" spans="1:8" ht="15.75" customHeight="1">
      <c r="A2631" s="36" t="s">
        <v>721</v>
      </c>
      <c r="B2631" s="36" t="s">
        <v>49</v>
      </c>
      <c r="C2631" s="36" t="s">
        <v>6172</v>
      </c>
      <c r="D2631" s="37" t="s">
        <v>10160</v>
      </c>
      <c r="E2631" s="36" t="s">
        <v>10161</v>
      </c>
      <c r="F2631" s="6"/>
      <c r="G2631" s="6"/>
      <c r="H2631" s="36" t="s">
        <v>10117</v>
      </c>
    </row>
    <row r="2632" spans="1:8" ht="15.75" customHeight="1">
      <c r="A2632" s="36" t="s">
        <v>10162</v>
      </c>
      <c r="B2632" s="36" t="s">
        <v>9038</v>
      </c>
      <c r="C2632" s="36" t="s">
        <v>10163</v>
      </c>
      <c r="D2632" s="37" t="s">
        <v>10164</v>
      </c>
      <c r="E2632" s="36" t="s">
        <v>10165</v>
      </c>
      <c r="F2632" s="6"/>
      <c r="G2632" s="6"/>
      <c r="H2632" s="36" t="s">
        <v>10117</v>
      </c>
    </row>
    <row r="2633" spans="1:8" ht="15.75" customHeight="1">
      <c r="A2633" s="36" t="s">
        <v>9962</v>
      </c>
      <c r="B2633" s="36" t="s">
        <v>657</v>
      </c>
      <c r="C2633" s="36" t="s">
        <v>6888</v>
      </c>
      <c r="D2633" s="6"/>
      <c r="E2633" s="36" t="s">
        <v>9963</v>
      </c>
      <c r="F2633" s="6"/>
      <c r="G2633" s="6"/>
      <c r="H2633" s="37" t="s">
        <v>9964</v>
      </c>
    </row>
    <row r="2634" spans="1:8" ht="15.75" customHeight="1">
      <c r="A2634" s="36" t="s">
        <v>4611</v>
      </c>
      <c r="B2634" s="36" t="s">
        <v>9965</v>
      </c>
      <c r="C2634" s="36" t="s">
        <v>9434</v>
      </c>
      <c r="D2634" s="37" t="s">
        <v>9966</v>
      </c>
      <c r="E2634" s="36" t="s">
        <v>9967</v>
      </c>
      <c r="F2634" s="38" t="s">
        <v>9956</v>
      </c>
      <c r="G2634" s="6"/>
      <c r="H2634" s="36" t="s">
        <v>9957</v>
      </c>
    </row>
    <row r="2635" spans="1:8" ht="15.75" customHeight="1">
      <c r="A2635" s="36" t="s">
        <v>394</v>
      </c>
      <c r="B2635" s="36" t="s">
        <v>4471</v>
      </c>
      <c r="C2635" s="36" t="s">
        <v>9306</v>
      </c>
      <c r="D2635" s="37" t="s">
        <v>9307</v>
      </c>
      <c r="E2635" s="36" t="s">
        <v>9308</v>
      </c>
      <c r="F2635" s="6"/>
      <c r="G2635" s="6"/>
      <c r="H2635" s="36" t="s">
        <v>9309</v>
      </c>
    </row>
    <row r="2636" spans="1:8" ht="15.75" customHeight="1">
      <c r="A2636" s="36" t="s">
        <v>143</v>
      </c>
      <c r="B2636" s="36" t="s">
        <v>2245</v>
      </c>
      <c r="C2636" s="36" t="s">
        <v>6572</v>
      </c>
      <c r="D2636" s="37" t="s">
        <v>9899</v>
      </c>
      <c r="E2636" s="36" t="s">
        <v>9900</v>
      </c>
      <c r="F2636" s="6"/>
      <c r="G2636" s="6"/>
      <c r="H2636" s="36" t="s">
        <v>9901</v>
      </c>
    </row>
    <row r="2637" spans="1:8" ht="15.75" customHeight="1">
      <c r="A2637" s="36" t="s">
        <v>962</v>
      </c>
      <c r="B2637" s="36" t="s">
        <v>6985</v>
      </c>
      <c r="C2637" s="36" t="s">
        <v>7100</v>
      </c>
      <c r="D2637" s="37" t="s">
        <v>9902</v>
      </c>
      <c r="E2637" s="36" t="s">
        <v>9903</v>
      </c>
      <c r="F2637" s="6"/>
      <c r="G2637" s="6"/>
      <c r="H2637" s="36" t="s">
        <v>9904</v>
      </c>
    </row>
    <row r="2638" spans="1:8" ht="15.75" customHeight="1">
      <c r="A2638" s="36" t="s">
        <v>1241</v>
      </c>
      <c r="B2638" s="36" t="s">
        <v>10166</v>
      </c>
      <c r="C2638" s="36" t="s">
        <v>1416</v>
      </c>
      <c r="D2638" s="37" t="s">
        <v>10167</v>
      </c>
      <c r="E2638" s="36" t="s">
        <v>10168</v>
      </c>
      <c r="F2638" s="38" t="s">
        <v>10169</v>
      </c>
      <c r="G2638" s="6"/>
      <c r="H2638" s="36" t="s">
        <v>10117</v>
      </c>
    </row>
    <row r="2639" spans="1:8" ht="15.75" customHeight="1">
      <c r="A2639" s="36" t="s">
        <v>2463</v>
      </c>
      <c r="B2639" s="36" t="s">
        <v>9784</v>
      </c>
      <c r="C2639" s="36" t="s">
        <v>9785</v>
      </c>
      <c r="D2639" s="37" t="s">
        <v>9786</v>
      </c>
      <c r="E2639" s="36" t="s">
        <v>9787</v>
      </c>
      <c r="F2639" s="38" t="s">
        <v>9788</v>
      </c>
      <c r="G2639" s="6"/>
      <c r="H2639" s="36" t="s">
        <v>9789</v>
      </c>
    </row>
    <row r="2640" spans="1:8" ht="15.75" customHeight="1">
      <c r="A2640" s="36" t="s">
        <v>301</v>
      </c>
      <c r="B2640" s="36" t="s">
        <v>5671</v>
      </c>
      <c r="C2640" s="36" t="s">
        <v>91</v>
      </c>
      <c r="D2640" s="37" t="s">
        <v>10170</v>
      </c>
      <c r="E2640" s="36" t="s">
        <v>10171</v>
      </c>
      <c r="F2640" s="6"/>
      <c r="G2640" s="6"/>
      <c r="H2640" s="36" t="s">
        <v>10139</v>
      </c>
    </row>
    <row r="2641" spans="1:8" ht="15.75" customHeight="1">
      <c r="A2641" s="36" t="s">
        <v>721</v>
      </c>
      <c r="B2641" s="36" t="s">
        <v>394</v>
      </c>
      <c r="C2641" s="36" t="s">
        <v>9790</v>
      </c>
      <c r="D2641" s="37" t="s">
        <v>9791</v>
      </c>
      <c r="E2641" s="36" t="s">
        <v>9792</v>
      </c>
      <c r="F2641" s="38" t="s">
        <v>9793</v>
      </c>
      <c r="G2641" s="6"/>
      <c r="H2641" s="36" t="s">
        <v>9794</v>
      </c>
    </row>
    <row r="2642" spans="1:8" ht="15.75" customHeight="1">
      <c r="A2642" s="36" t="s">
        <v>1530</v>
      </c>
      <c r="B2642" s="36" t="s">
        <v>1965</v>
      </c>
      <c r="C2642" s="36" t="s">
        <v>6495</v>
      </c>
      <c r="D2642" s="37" t="s">
        <v>9795</v>
      </c>
      <c r="E2642" s="36" t="s">
        <v>9796</v>
      </c>
      <c r="F2642" s="38" t="s">
        <v>9797</v>
      </c>
      <c r="G2642" s="6"/>
      <c r="H2642" s="36" t="s">
        <v>9798</v>
      </c>
    </row>
    <row r="2643" spans="1:8" ht="15.75" customHeight="1">
      <c r="A2643" s="36" t="s">
        <v>8961</v>
      </c>
      <c r="B2643" s="36" t="s">
        <v>185</v>
      </c>
      <c r="C2643" s="36" t="s">
        <v>7045</v>
      </c>
      <c r="D2643" s="37" t="s">
        <v>9799</v>
      </c>
      <c r="E2643" s="36" t="s">
        <v>9800</v>
      </c>
      <c r="F2643" s="38" t="s">
        <v>9801</v>
      </c>
      <c r="G2643" s="6"/>
      <c r="H2643" s="36" t="s">
        <v>9802</v>
      </c>
    </row>
    <row r="2644" spans="1:8" ht="15.75" customHeight="1">
      <c r="A2644" s="36" t="s">
        <v>600</v>
      </c>
      <c r="B2644" s="36" t="s">
        <v>9803</v>
      </c>
      <c r="C2644" s="36" t="s">
        <v>8215</v>
      </c>
      <c r="D2644" s="37" t="s">
        <v>9804</v>
      </c>
      <c r="E2644" s="36" t="s">
        <v>9805</v>
      </c>
      <c r="F2644" s="6"/>
      <c r="G2644" s="6"/>
      <c r="H2644" s="36" t="s">
        <v>9806</v>
      </c>
    </row>
    <row r="2645" spans="1:8" ht="15.75" customHeight="1">
      <c r="A2645" s="36" t="s">
        <v>1157</v>
      </c>
      <c r="B2645" s="36" t="s">
        <v>198</v>
      </c>
      <c r="C2645" s="36" t="s">
        <v>9807</v>
      </c>
      <c r="D2645" s="37" t="s">
        <v>9808</v>
      </c>
      <c r="E2645" s="36" t="s">
        <v>9809</v>
      </c>
      <c r="F2645" s="6"/>
      <c r="G2645" s="6"/>
      <c r="H2645" s="36" t="s">
        <v>9810</v>
      </c>
    </row>
    <row r="2646" spans="1:8" ht="15.75" customHeight="1">
      <c r="A2646" s="36" t="s">
        <v>710</v>
      </c>
      <c r="B2646" s="36" t="s">
        <v>49</v>
      </c>
      <c r="C2646" s="36" t="s">
        <v>691</v>
      </c>
      <c r="D2646" s="37" t="s">
        <v>10172</v>
      </c>
      <c r="E2646" s="36" t="s">
        <v>10173</v>
      </c>
      <c r="F2646" s="6"/>
      <c r="G2646" s="6"/>
      <c r="H2646" s="36" t="s">
        <v>10117</v>
      </c>
    </row>
    <row r="2647" spans="1:8" ht="15.75" customHeight="1">
      <c r="A2647" s="36" t="s">
        <v>572</v>
      </c>
      <c r="B2647" s="36" t="s">
        <v>2952</v>
      </c>
      <c r="C2647" s="36" t="s">
        <v>4364</v>
      </c>
      <c r="D2647" s="37" t="s">
        <v>9837</v>
      </c>
      <c r="E2647" s="36" t="s">
        <v>9838</v>
      </c>
      <c r="F2647" s="38" t="s">
        <v>9839</v>
      </c>
      <c r="G2647" s="6"/>
      <c r="H2647" s="36" t="s">
        <v>9840</v>
      </c>
    </row>
    <row r="2648" spans="1:8" ht="15.75" customHeight="1">
      <c r="A2648" s="36" t="s">
        <v>5115</v>
      </c>
      <c r="B2648" s="36" t="s">
        <v>9841</v>
      </c>
      <c r="C2648" s="36" t="s">
        <v>9842</v>
      </c>
      <c r="D2648" s="37" t="s">
        <v>9843</v>
      </c>
      <c r="E2648" s="36" t="s">
        <v>9844</v>
      </c>
      <c r="F2648" s="38" t="s">
        <v>9774</v>
      </c>
      <c r="G2648" s="6"/>
      <c r="H2648" s="36" t="s">
        <v>9775</v>
      </c>
    </row>
    <row r="2649" spans="1:8" ht="15.75" customHeight="1">
      <c r="A2649" s="36" t="s">
        <v>9905</v>
      </c>
      <c r="B2649" s="36" t="s">
        <v>8278</v>
      </c>
      <c r="C2649" s="36" t="s">
        <v>9906</v>
      </c>
      <c r="D2649" s="37" t="s">
        <v>9907</v>
      </c>
      <c r="E2649" s="36" t="s">
        <v>9908</v>
      </c>
      <c r="F2649" s="38" t="s">
        <v>9909</v>
      </c>
      <c r="G2649" s="6"/>
      <c r="H2649" s="36" t="s">
        <v>9910</v>
      </c>
    </row>
    <row r="2650" spans="1:8" ht="15.75" customHeight="1">
      <c r="A2650" s="36" t="s">
        <v>9475</v>
      </c>
      <c r="B2650" s="36" t="s">
        <v>9476</v>
      </c>
      <c r="C2650" s="36" t="s">
        <v>9477</v>
      </c>
      <c r="D2650" s="37" t="s">
        <v>9478</v>
      </c>
      <c r="E2650" s="36" t="s">
        <v>9479</v>
      </c>
      <c r="F2650" s="38" t="s">
        <v>9340</v>
      </c>
      <c r="G2650" s="6"/>
      <c r="H2650" s="36" t="s">
        <v>9341</v>
      </c>
    </row>
    <row r="2651" spans="1:8" ht="15.75" customHeight="1">
      <c r="A2651" s="36" t="s">
        <v>517</v>
      </c>
      <c r="B2651" s="36" t="s">
        <v>9911</v>
      </c>
      <c r="C2651" s="36" t="s">
        <v>5263</v>
      </c>
      <c r="D2651" s="37" t="s">
        <v>9912</v>
      </c>
      <c r="E2651" s="36" t="s">
        <v>9913</v>
      </c>
      <c r="F2651" s="38" t="s">
        <v>9914</v>
      </c>
      <c r="G2651" s="6"/>
      <c r="H2651" s="36" t="s">
        <v>9915</v>
      </c>
    </row>
    <row r="2652" spans="1:8" ht="15.75" customHeight="1">
      <c r="A2652" s="36" t="s">
        <v>9916</v>
      </c>
      <c r="B2652" s="36" t="s">
        <v>790</v>
      </c>
      <c r="C2652" s="36" t="s">
        <v>9917</v>
      </c>
      <c r="D2652" s="37" t="s">
        <v>9918</v>
      </c>
      <c r="E2652" s="36" t="s">
        <v>9919</v>
      </c>
      <c r="F2652" s="38" t="s">
        <v>9793</v>
      </c>
      <c r="G2652" s="6"/>
      <c r="H2652" s="36" t="s">
        <v>9794</v>
      </c>
    </row>
    <row r="2653" spans="1:8" ht="15.75" customHeight="1">
      <c r="A2653" s="36" t="s">
        <v>1161</v>
      </c>
      <c r="B2653" s="36" t="s">
        <v>10174</v>
      </c>
      <c r="C2653" s="36" t="s">
        <v>10175</v>
      </c>
      <c r="D2653" s="37" t="s">
        <v>10176</v>
      </c>
      <c r="E2653" s="36" t="s">
        <v>10177</v>
      </c>
      <c r="F2653" s="6"/>
      <c r="G2653" s="6"/>
      <c r="H2653" s="36" t="s">
        <v>10117</v>
      </c>
    </row>
    <row r="2654" spans="1:8" ht="15.75" customHeight="1">
      <c r="A2654" s="36" t="s">
        <v>1530</v>
      </c>
      <c r="B2654" s="36" t="s">
        <v>9937</v>
      </c>
      <c r="C2654" s="36" t="s">
        <v>5182</v>
      </c>
      <c r="D2654" s="37" t="s">
        <v>9938</v>
      </c>
      <c r="E2654" s="36" t="s">
        <v>9939</v>
      </c>
      <c r="F2654" s="6"/>
      <c r="G2654" s="6"/>
      <c r="H2654" s="36" t="s">
        <v>9940</v>
      </c>
    </row>
    <row r="2655" spans="1:8" ht="15.75" customHeight="1">
      <c r="A2655" s="36" t="s">
        <v>462</v>
      </c>
      <c r="B2655" s="36" t="s">
        <v>801</v>
      </c>
      <c r="C2655" s="36" t="s">
        <v>9941</v>
      </c>
      <c r="D2655" s="37" t="s">
        <v>9942</v>
      </c>
      <c r="E2655" s="36" t="s">
        <v>9943</v>
      </c>
      <c r="F2655" s="38" t="s">
        <v>9793</v>
      </c>
      <c r="G2655" s="6"/>
      <c r="H2655" s="36" t="s">
        <v>9794</v>
      </c>
    </row>
    <row r="2656" spans="1:8" ht="15.75" customHeight="1">
      <c r="A2656" s="36" t="s">
        <v>5845</v>
      </c>
      <c r="B2656" s="36" t="s">
        <v>9944</v>
      </c>
      <c r="C2656" s="36" t="s">
        <v>4203</v>
      </c>
      <c r="D2656" s="6"/>
      <c r="E2656" s="36" t="s">
        <v>9945</v>
      </c>
      <c r="F2656" s="38" t="s">
        <v>9946</v>
      </c>
      <c r="G2656" s="6"/>
      <c r="H2656" s="36" t="s">
        <v>9947</v>
      </c>
    </row>
    <row r="2657" spans="1:8" ht="15.75" customHeight="1">
      <c r="A2657" s="36" t="s">
        <v>240</v>
      </c>
      <c r="B2657" s="36" t="s">
        <v>1794</v>
      </c>
      <c r="C2657" s="36" t="s">
        <v>9953</v>
      </c>
      <c r="D2657" s="37" t="s">
        <v>9954</v>
      </c>
      <c r="E2657" s="36" t="s">
        <v>9955</v>
      </c>
      <c r="F2657" s="38" t="s">
        <v>9956</v>
      </c>
      <c r="G2657" s="6"/>
      <c r="H2657" s="36" t="s">
        <v>9957</v>
      </c>
    </row>
    <row r="2658" spans="1:8" ht="15.75" customHeight="1">
      <c r="A2658" s="36" t="s">
        <v>1768</v>
      </c>
      <c r="B2658" s="36" t="s">
        <v>9984</v>
      </c>
      <c r="C2658" s="36" t="s">
        <v>9985</v>
      </c>
      <c r="D2658" s="37" t="s">
        <v>9986</v>
      </c>
      <c r="E2658" s="36" t="s">
        <v>9987</v>
      </c>
      <c r="F2658" s="38" t="s">
        <v>9801</v>
      </c>
      <c r="G2658" s="6"/>
      <c r="H2658" s="36" t="s">
        <v>9802</v>
      </c>
    </row>
    <row r="2659" spans="1:8" ht="15.75" customHeight="1">
      <c r="A2659" s="36" t="s">
        <v>8116</v>
      </c>
      <c r="B2659" s="36" t="s">
        <v>10012</v>
      </c>
      <c r="C2659" s="36" t="s">
        <v>10013</v>
      </c>
      <c r="D2659" s="37" t="s">
        <v>10014</v>
      </c>
      <c r="E2659" s="36" t="s">
        <v>10015</v>
      </c>
      <c r="F2659" s="38" t="s">
        <v>10016</v>
      </c>
      <c r="G2659" s="6"/>
      <c r="H2659" s="36" t="s">
        <v>10017</v>
      </c>
    </row>
    <row r="2660" spans="1:8" ht="15.75" customHeight="1">
      <c r="A2660" s="36" t="s">
        <v>10018</v>
      </c>
      <c r="B2660" s="36" t="s">
        <v>10019</v>
      </c>
      <c r="C2660" s="36" t="s">
        <v>10020</v>
      </c>
      <c r="D2660" s="37" t="s">
        <v>10021</v>
      </c>
      <c r="E2660" s="36" t="s">
        <v>10022</v>
      </c>
      <c r="F2660" s="6"/>
      <c r="G2660" s="6"/>
      <c r="H2660" s="36" t="s">
        <v>10023</v>
      </c>
    </row>
    <row r="2661" spans="1:8" ht="15.75" customHeight="1">
      <c r="A2661" s="36" t="s">
        <v>58</v>
      </c>
      <c r="B2661" s="36" t="s">
        <v>801</v>
      </c>
      <c r="C2661" s="36" t="s">
        <v>10178</v>
      </c>
      <c r="D2661" s="37" t="s">
        <v>10179</v>
      </c>
      <c r="E2661" s="36" t="s">
        <v>10180</v>
      </c>
      <c r="F2661" s="6"/>
      <c r="G2661" s="6"/>
      <c r="H2661" s="36" t="s">
        <v>10117</v>
      </c>
    </row>
    <row r="2662" spans="1:8" ht="15.75" customHeight="1">
      <c r="A2662" s="36" t="s">
        <v>5125</v>
      </c>
      <c r="B2662" s="36" t="s">
        <v>9584</v>
      </c>
      <c r="C2662" s="36" t="s">
        <v>9585</v>
      </c>
      <c r="D2662" s="37" t="s">
        <v>9586</v>
      </c>
      <c r="E2662" s="36" t="s">
        <v>9587</v>
      </c>
      <c r="F2662" s="38" t="s">
        <v>9588</v>
      </c>
      <c r="G2662" s="6"/>
      <c r="H2662" s="36" t="s">
        <v>9341</v>
      </c>
    </row>
    <row r="2663" spans="1:8" ht="15.75" customHeight="1">
      <c r="A2663" s="36" t="s">
        <v>8281</v>
      </c>
      <c r="B2663" s="36" t="s">
        <v>8282</v>
      </c>
      <c r="C2663" s="36" t="s">
        <v>4617</v>
      </c>
      <c r="D2663" s="37" t="s">
        <v>8283</v>
      </c>
      <c r="E2663" s="36" t="s">
        <v>8284</v>
      </c>
      <c r="F2663" s="38" t="s">
        <v>7933</v>
      </c>
      <c r="G2663" s="6"/>
      <c r="H2663" s="36" t="s">
        <v>8286</v>
      </c>
    </row>
    <row r="2664" spans="1:8" ht="15.75" customHeight="1">
      <c r="A2664" s="36" t="s">
        <v>1312</v>
      </c>
      <c r="B2664" s="36" t="s">
        <v>1313</v>
      </c>
      <c r="C2664" s="36" t="s">
        <v>1314</v>
      </c>
      <c r="D2664" s="37" t="s">
        <v>9655</v>
      </c>
      <c r="E2664" s="36" t="s">
        <v>9656</v>
      </c>
      <c r="F2664" s="38" t="s">
        <v>9340</v>
      </c>
      <c r="G2664" s="6"/>
      <c r="H2664" s="36" t="s">
        <v>9341</v>
      </c>
    </row>
    <row r="2665" spans="1:8" ht="15.75" customHeight="1">
      <c r="A2665" s="36" t="s">
        <v>1338</v>
      </c>
      <c r="B2665" s="36" t="s">
        <v>479</v>
      </c>
      <c r="C2665" s="36" t="s">
        <v>1858</v>
      </c>
      <c r="D2665" s="37" t="s">
        <v>9968</v>
      </c>
      <c r="E2665" s="36" t="s">
        <v>9749</v>
      </c>
      <c r="F2665" s="6"/>
      <c r="G2665" s="6"/>
      <c r="H2665" s="36" t="s">
        <v>9750</v>
      </c>
    </row>
    <row r="2666" spans="1:8" ht="15.75" customHeight="1">
      <c r="A2666" s="36" t="s">
        <v>2931</v>
      </c>
      <c r="B2666" s="36" t="s">
        <v>7592</v>
      </c>
      <c r="C2666" s="36" t="s">
        <v>10181</v>
      </c>
      <c r="D2666" s="37" t="s">
        <v>10182</v>
      </c>
      <c r="E2666" s="36" t="s">
        <v>10183</v>
      </c>
      <c r="F2666" s="38" t="s">
        <v>10184</v>
      </c>
      <c r="G2666" s="6"/>
      <c r="H2666" s="36" t="s">
        <v>10117</v>
      </c>
    </row>
    <row r="2667" spans="1:8" ht="15.75" customHeight="1">
      <c r="A2667" s="36" t="s">
        <v>3251</v>
      </c>
      <c r="B2667" s="36" t="s">
        <v>452</v>
      </c>
      <c r="C2667" s="36" t="s">
        <v>10185</v>
      </c>
      <c r="D2667" s="6"/>
      <c r="E2667" s="36" t="s">
        <v>10186</v>
      </c>
      <c r="F2667" s="36" t="s">
        <v>10187</v>
      </c>
      <c r="G2667" s="6"/>
      <c r="H2667" s="36" t="s">
        <v>10188</v>
      </c>
    </row>
    <row r="2668" spans="1:8" ht="15.75" customHeight="1">
      <c r="A2668" s="36" t="s">
        <v>8255</v>
      </c>
      <c r="B2668" s="36" t="s">
        <v>1277</v>
      </c>
      <c r="C2668" s="36" t="s">
        <v>7100</v>
      </c>
      <c r="D2668" s="37" t="s">
        <v>8256</v>
      </c>
      <c r="E2668" s="36" t="s">
        <v>8257</v>
      </c>
      <c r="F2668" s="38" t="s">
        <v>7872</v>
      </c>
      <c r="G2668" s="6"/>
      <c r="H2668" s="36" t="s">
        <v>7876</v>
      </c>
    </row>
    <row r="2669" spans="1:8" ht="15.75" customHeight="1">
      <c r="A2669" s="36" t="s">
        <v>10008</v>
      </c>
      <c r="B2669" s="36" t="s">
        <v>290</v>
      </c>
      <c r="C2669" s="36" t="s">
        <v>6773</v>
      </c>
      <c r="D2669" s="37" t="s">
        <v>10009</v>
      </c>
      <c r="E2669" s="36" t="s">
        <v>10010</v>
      </c>
      <c r="F2669" s="6"/>
      <c r="G2669" s="6"/>
      <c r="H2669" s="36" t="s">
        <v>10011</v>
      </c>
    </row>
    <row r="2670" spans="1:8" ht="15.75" customHeight="1">
      <c r="A2670" s="36" t="s">
        <v>227</v>
      </c>
      <c r="B2670" s="36" t="s">
        <v>764</v>
      </c>
      <c r="C2670" s="36" t="s">
        <v>10189</v>
      </c>
      <c r="D2670" s="37" t="s">
        <v>10190</v>
      </c>
      <c r="E2670" s="36" t="s">
        <v>10191</v>
      </c>
      <c r="F2670" s="6"/>
      <c r="G2670" s="6"/>
      <c r="H2670" s="36" t="s">
        <v>10117</v>
      </c>
    </row>
    <row r="2671" spans="1:8" ht="15.75" customHeight="1">
      <c r="A2671" s="36" t="s">
        <v>1286</v>
      </c>
      <c r="B2671" s="36" t="s">
        <v>9894</v>
      </c>
      <c r="C2671" s="36" t="s">
        <v>5641</v>
      </c>
      <c r="D2671" s="37" t="s">
        <v>9895</v>
      </c>
      <c r="E2671" s="36" t="s">
        <v>9896</v>
      </c>
      <c r="F2671" s="38" t="s">
        <v>9897</v>
      </c>
      <c r="G2671" s="6"/>
      <c r="H2671" s="36" t="s">
        <v>9898</v>
      </c>
    </row>
    <row r="2672" spans="1:8" ht="15.75" customHeight="1">
      <c r="A2672" s="36" t="s">
        <v>301</v>
      </c>
      <c r="B2672" s="36" t="s">
        <v>10192</v>
      </c>
      <c r="C2672" s="36" t="s">
        <v>2401</v>
      </c>
      <c r="D2672" s="37" t="s">
        <v>10170</v>
      </c>
      <c r="E2672" s="36" t="s">
        <v>10193</v>
      </c>
      <c r="F2672" s="38" t="s">
        <v>10194</v>
      </c>
      <c r="G2672" s="6"/>
      <c r="H2672" s="36" t="s">
        <v>10117</v>
      </c>
    </row>
    <row r="2673" spans="1:8" ht="15.75" customHeight="1">
      <c r="A2673" s="36" t="s">
        <v>422</v>
      </c>
      <c r="B2673" s="36" t="s">
        <v>10195</v>
      </c>
      <c r="C2673" s="36" t="s">
        <v>10196</v>
      </c>
      <c r="D2673" s="37" t="s">
        <v>10197</v>
      </c>
      <c r="E2673" s="36" t="s">
        <v>10198</v>
      </c>
      <c r="F2673" s="6"/>
      <c r="G2673" s="6"/>
      <c r="H2673" s="36" t="s">
        <v>10117</v>
      </c>
    </row>
    <row r="2674" spans="1:8" ht="15.75" customHeight="1">
      <c r="A2674" s="36" t="s">
        <v>721</v>
      </c>
      <c r="B2674" s="36" t="s">
        <v>10060</v>
      </c>
      <c r="C2674" s="36" t="s">
        <v>10061</v>
      </c>
      <c r="D2674" s="37" t="s">
        <v>10062</v>
      </c>
      <c r="E2674" s="36" t="s">
        <v>10063</v>
      </c>
      <c r="F2674" s="38" t="s">
        <v>9801</v>
      </c>
      <c r="G2674" s="6"/>
      <c r="H2674" s="36" t="s">
        <v>9802</v>
      </c>
    </row>
    <row r="2675" spans="1:8" ht="15.75" customHeight="1">
      <c r="A2675" s="36" t="s">
        <v>2435</v>
      </c>
      <c r="B2675" s="36" t="s">
        <v>9877</v>
      </c>
      <c r="C2675" s="36" t="s">
        <v>229</v>
      </c>
      <c r="D2675" s="37" t="s">
        <v>9878</v>
      </c>
      <c r="E2675" s="36" t="s">
        <v>9879</v>
      </c>
      <c r="F2675" s="6"/>
      <c r="G2675" s="6"/>
      <c r="H2675" s="36" t="s">
        <v>9880</v>
      </c>
    </row>
    <row r="2676" spans="1:8" ht="15.75" customHeight="1">
      <c r="A2676" s="36" t="s">
        <v>9885</v>
      </c>
      <c r="B2676" s="36" t="s">
        <v>59</v>
      </c>
      <c r="C2676" s="36" t="s">
        <v>8270</v>
      </c>
      <c r="D2676" s="37" t="s">
        <v>9886</v>
      </c>
      <c r="E2676" s="36" t="s">
        <v>9887</v>
      </c>
      <c r="F2676" s="38" t="s">
        <v>9888</v>
      </c>
      <c r="G2676" s="6"/>
      <c r="H2676" s="36" t="s">
        <v>9889</v>
      </c>
    </row>
    <row r="2677" spans="1:8" ht="15.75" customHeight="1">
      <c r="A2677" s="36" t="s">
        <v>1286</v>
      </c>
      <c r="B2677" s="36" t="s">
        <v>7699</v>
      </c>
      <c r="C2677" s="36" t="s">
        <v>9890</v>
      </c>
      <c r="D2677" s="37" t="s">
        <v>9891</v>
      </c>
      <c r="E2677" s="36" t="s">
        <v>9892</v>
      </c>
      <c r="F2677" s="38" t="s">
        <v>9893</v>
      </c>
      <c r="G2677" s="6"/>
      <c r="H2677" s="36" t="s">
        <v>9736</v>
      </c>
    </row>
    <row r="2678" spans="1:8" ht="15.75" customHeight="1">
      <c r="A2678" s="36" t="s">
        <v>10041</v>
      </c>
      <c r="B2678" s="36" t="s">
        <v>161</v>
      </c>
      <c r="C2678" s="36" t="s">
        <v>229</v>
      </c>
      <c r="D2678" s="37" t="s">
        <v>10042</v>
      </c>
      <c r="E2678" s="36" t="s">
        <v>10043</v>
      </c>
      <c r="F2678" s="36" t="s">
        <v>10044</v>
      </c>
      <c r="G2678" s="6"/>
      <c r="H2678" s="36" t="s">
        <v>9889</v>
      </c>
    </row>
    <row r="2679" spans="1:8" ht="15.75" customHeight="1">
      <c r="A2679" s="36" t="s">
        <v>422</v>
      </c>
      <c r="B2679" s="36" t="s">
        <v>4299</v>
      </c>
      <c r="C2679" s="36" t="s">
        <v>10045</v>
      </c>
      <c r="D2679" s="37" t="s">
        <v>10046</v>
      </c>
      <c r="E2679" s="36" t="s">
        <v>10047</v>
      </c>
      <c r="F2679" s="38" t="s">
        <v>9793</v>
      </c>
      <c r="G2679" s="6"/>
      <c r="H2679" s="36" t="s">
        <v>9794</v>
      </c>
    </row>
    <row r="2680" spans="1:8" ht="15.75" customHeight="1">
      <c r="A2680" s="36" t="s">
        <v>10048</v>
      </c>
      <c r="B2680" s="36" t="s">
        <v>10049</v>
      </c>
      <c r="C2680" s="36" t="s">
        <v>1684</v>
      </c>
      <c r="D2680" s="6"/>
      <c r="E2680" s="36" t="s">
        <v>10050</v>
      </c>
      <c r="F2680" s="38" t="s">
        <v>10051</v>
      </c>
      <c r="G2680" s="6"/>
      <c r="H2680" s="36" t="s">
        <v>10052</v>
      </c>
    </row>
    <row r="2681" spans="1:8" ht="15.75" customHeight="1">
      <c r="A2681" s="36" t="s">
        <v>203</v>
      </c>
      <c r="B2681" s="36" t="s">
        <v>849</v>
      </c>
      <c r="C2681" s="36" t="s">
        <v>10053</v>
      </c>
      <c r="D2681" s="37" t="s">
        <v>10054</v>
      </c>
      <c r="E2681" s="36" t="s">
        <v>10055</v>
      </c>
      <c r="F2681" s="38" t="s">
        <v>9793</v>
      </c>
      <c r="G2681" s="6"/>
      <c r="H2681" s="36" t="s">
        <v>9794</v>
      </c>
    </row>
    <row r="2682" spans="1:8" ht="15.75" customHeight="1">
      <c r="A2682" s="36" t="s">
        <v>3260</v>
      </c>
      <c r="B2682" s="36" t="s">
        <v>10056</v>
      </c>
      <c r="C2682" s="36" t="s">
        <v>10057</v>
      </c>
      <c r="D2682" s="37" t="s">
        <v>10058</v>
      </c>
      <c r="E2682" s="36" t="s">
        <v>10059</v>
      </c>
      <c r="F2682" s="38" t="s">
        <v>9793</v>
      </c>
      <c r="G2682" s="6"/>
      <c r="H2682" s="36" t="s">
        <v>9794</v>
      </c>
    </row>
    <row r="2683" spans="1:8" ht="15.75" customHeight="1">
      <c r="A2683" s="36" t="s">
        <v>9632</v>
      </c>
      <c r="B2683" s="36" t="s">
        <v>9633</v>
      </c>
      <c r="C2683" s="36" t="s">
        <v>6172</v>
      </c>
      <c r="D2683" s="37" t="s">
        <v>9634</v>
      </c>
      <c r="E2683" s="36" t="s">
        <v>9635</v>
      </c>
      <c r="F2683" s="38" t="s">
        <v>9340</v>
      </c>
      <c r="G2683" s="6"/>
      <c r="H2683" s="36" t="s">
        <v>9341</v>
      </c>
    </row>
    <row r="2684" spans="1:8" ht="15.75" customHeight="1">
      <c r="A2684" s="36" t="s">
        <v>10199</v>
      </c>
      <c r="B2684" s="36" t="s">
        <v>10200</v>
      </c>
      <c r="C2684" s="36" t="s">
        <v>229</v>
      </c>
      <c r="D2684" s="37" t="s">
        <v>10201</v>
      </c>
      <c r="E2684" s="36" t="s">
        <v>10202</v>
      </c>
      <c r="F2684" s="38" t="s">
        <v>10203</v>
      </c>
      <c r="G2684" s="6"/>
      <c r="H2684" s="36" t="s">
        <v>10139</v>
      </c>
    </row>
    <row r="2685" spans="1:8" ht="15.75" customHeight="1">
      <c r="A2685" s="36" t="s">
        <v>2162</v>
      </c>
      <c r="B2685" s="36" t="s">
        <v>4216</v>
      </c>
      <c r="C2685" s="36" t="s">
        <v>9714</v>
      </c>
      <c r="D2685" s="37" t="s">
        <v>9715</v>
      </c>
      <c r="E2685" s="36" t="s">
        <v>9716</v>
      </c>
      <c r="F2685" s="38" t="s">
        <v>9717</v>
      </c>
      <c r="G2685" s="6"/>
      <c r="H2685" s="36" t="s">
        <v>9718</v>
      </c>
    </row>
    <row r="2686" spans="1:8" ht="15.75" customHeight="1">
      <c r="A2686" s="36" t="s">
        <v>100</v>
      </c>
      <c r="B2686" s="36" t="s">
        <v>59</v>
      </c>
      <c r="C2686" s="36" t="s">
        <v>6495</v>
      </c>
      <c r="D2686" s="37" t="s">
        <v>9719</v>
      </c>
      <c r="E2686" s="36" t="s">
        <v>9720</v>
      </c>
      <c r="F2686" s="6"/>
      <c r="G2686" s="6"/>
      <c r="H2686" s="36" t="s">
        <v>9721</v>
      </c>
    </row>
    <row r="2687" spans="1:8" ht="15.75" customHeight="1">
      <c r="A2687" s="36" t="s">
        <v>1014</v>
      </c>
      <c r="B2687" s="36" t="s">
        <v>185</v>
      </c>
      <c r="C2687" s="36" t="s">
        <v>10204</v>
      </c>
      <c r="D2687" s="37" t="s">
        <v>10205</v>
      </c>
      <c r="E2687" s="36" t="s">
        <v>10206</v>
      </c>
      <c r="F2687" s="6"/>
      <c r="G2687" s="6"/>
      <c r="H2687" s="36" t="s">
        <v>10117</v>
      </c>
    </row>
    <row r="2688" spans="1:8" ht="15.75" customHeight="1">
      <c r="A2688" s="36" t="s">
        <v>10024</v>
      </c>
      <c r="B2688" s="36" t="s">
        <v>10025</v>
      </c>
      <c r="C2688" s="36" t="s">
        <v>390</v>
      </c>
      <c r="D2688" s="37" t="s">
        <v>10026</v>
      </c>
      <c r="E2688" s="36" t="s">
        <v>10027</v>
      </c>
      <c r="F2688" s="40">
        <v>5.25541E+16</v>
      </c>
      <c r="G2688" s="6"/>
      <c r="H2688" s="36" t="s">
        <v>10028</v>
      </c>
    </row>
    <row r="2689" spans="1:8" ht="15.75" customHeight="1">
      <c r="A2689" s="36" t="s">
        <v>1019</v>
      </c>
      <c r="B2689" s="36" t="s">
        <v>10029</v>
      </c>
      <c r="C2689" s="36" t="s">
        <v>140</v>
      </c>
      <c r="D2689" s="37" t="s">
        <v>10030</v>
      </c>
      <c r="E2689" s="36" t="s">
        <v>10031</v>
      </c>
      <c r="F2689" s="38" t="s">
        <v>10032</v>
      </c>
      <c r="G2689" s="6"/>
      <c r="H2689" s="36" t="s">
        <v>10033</v>
      </c>
    </row>
    <row r="2690" spans="1:8" ht="15.75" customHeight="1">
      <c r="A2690" s="36" t="s">
        <v>1530</v>
      </c>
      <c r="B2690" s="36" t="s">
        <v>3261</v>
      </c>
      <c r="C2690" s="36" t="s">
        <v>5263</v>
      </c>
      <c r="D2690" s="37" t="s">
        <v>10034</v>
      </c>
      <c r="E2690" s="36" t="s">
        <v>10035</v>
      </c>
      <c r="F2690" s="6"/>
      <c r="G2690" s="6"/>
      <c r="H2690" s="36" t="s">
        <v>10036</v>
      </c>
    </row>
    <row r="2691" spans="1:8" ht="15.75" customHeight="1">
      <c r="A2691" s="36" t="s">
        <v>1530</v>
      </c>
      <c r="B2691" s="36" t="s">
        <v>185</v>
      </c>
      <c r="C2691" s="36" t="s">
        <v>5410</v>
      </c>
      <c r="D2691" s="37" t="s">
        <v>10037</v>
      </c>
      <c r="E2691" s="36" t="s">
        <v>10038</v>
      </c>
      <c r="F2691" s="38" t="s">
        <v>10039</v>
      </c>
      <c r="G2691" s="6"/>
      <c r="H2691" s="36" t="s">
        <v>10040</v>
      </c>
    </row>
    <row r="2692" spans="1:8" ht="15.75" customHeight="1">
      <c r="A2692" s="36" t="s">
        <v>10207</v>
      </c>
      <c r="B2692" s="36" t="s">
        <v>221</v>
      </c>
      <c r="C2692" s="36" t="s">
        <v>5275</v>
      </c>
      <c r="D2692" s="37" t="s">
        <v>10208</v>
      </c>
      <c r="E2692" s="36" t="s">
        <v>10209</v>
      </c>
      <c r="F2692" s="38" t="s">
        <v>10128</v>
      </c>
      <c r="G2692" s="6"/>
      <c r="H2692" s="36" t="s">
        <v>10117</v>
      </c>
    </row>
    <row r="2693" spans="1:8" ht="15.75" customHeight="1">
      <c r="A2693" s="36" t="s">
        <v>9455</v>
      </c>
      <c r="B2693" s="36" t="s">
        <v>9456</v>
      </c>
      <c r="C2693" s="36" t="s">
        <v>2225</v>
      </c>
      <c r="D2693" s="37" t="s">
        <v>9457</v>
      </c>
      <c r="E2693" s="36" t="s">
        <v>9458</v>
      </c>
      <c r="F2693" s="38" t="s">
        <v>9340</v>
      </c>
      <c r="G2693" s="6"/>
      <c r="H2693" s="36" t="s">
        <v>9341</v>
      </c>
    </row>
    <row r="2694" spans="1:8" ht="15.75" customHeight="1">
      <c r="A2694" s="36" t="s">
        <v>417</v>
      </c>
      <c r="B2694" s="36" t="s">
        <v>10210</v>
      </c>
      <c r="C2694" s="36" t="s">
        <v>10211</v>
      </c>
      <c r="D2694" s="37" t="s">
        <v>10212</v>
      </c>
      <c r="E2694" s="36" t="s">
        <v>10213</v>
      </c>
      <c r="F2694" s="6"/>
      <c r="G2694" s="6"/>
      <c r="H2694" s="36" t="s">
        <v>10117</v>
      </c>
    </row>
    <row r="2695" spans="1:8" ht="15.75" customHeight="1">
      <c r="A2695" s="36" t="s">
        <v>295</v>
      </c>
      <c r="B2695" s="36" t="s">
        <v>185</v>
      </c>
      <c r="C2695" s="36" t="s">
        <v>10214</v>
      </c>
      <c r="D2695" s="37" t="s">
        <v>10215</v>
      </c>
      <c r="E2695" s="36" t="s">
        <v>10216</v>
      </c>
      <c r="F2695" s="6"/>
      <c r="G2695" s="6"/>
      <c r="H2695" s="36" t="s">
        <v>10117</v>
      </c>
    </row>
    <row r="2696" spans="1:8" ht="15.75" customHeight="1">
      <c r="A2696" s="36" t="s">
        <v>1209</v>
      </c>
      <c r="B2696" s="36" t="s">
        <v>614</v>
      </c>
      <c r="C2696" s="36" t="s">
        <v>91</v>
      </c>
      <c r="D2696" s="6"/>
      <c r="E2696" s="36" t="s">
        <v>9988</v>
      </c>
      <c r="F2696" s="38" t="s">
        <v>9989</v>
      </c>
      <c r="G2696" s="6"/>
      <c r="H2696" s="36" t="s">
        <v>9990</v>
      </c>
    </row>
    <row r="2697" spans="1:8" ht="15.75" customHeight="1">
      <c r="A2697" s="36" t="s">
        <v>9991</v>
      </c>
      <c r="B2697" s="36" t="s">
        <v>9992</v>
      </c>
      <c r="C2697" s="36" t="s">
        <v>9993</v>
      </c>
      <c r="D2697" s="37" t="s">
        <v>9994</v>
      </c>
      <c r="E2697" s="36" t="s">
        <v>9995</v>
      </c>
      <c r="F2697" s="38" t="s">
        <v>9996</v>
      </c>
      <c r="G2697" s="6"/>
      <c r="H2697" s="36" t="s">
        <v>9997</v>
      </c>
    </row>
    <row r="2698" spans="1:8" ht="15.75" customHeight="1">
      <c r="A2698" s="36" t="s">
        <v>9699</v>
      </c>
      <c r="B2698" s="36" t="s">
        <v>9700</v>
      </c>
      <c r="C2698" s="36" t="s">
        <v>6172</v>
      </c>
      <c r="D2698" s="37" t="s">
        <v>9701</v>
      </c>
      <c r="E2698" s="36" t="s">
        <v>9702</v>
      </c>
      <c r="F2698" s="38" t="s">
        <v>9340</v>
      </c>
      <c r="G2698" s="6"/>
      <c r="H2698" s="36" t="s">
        <v>9341</v>
      </c>
    </row>
    <row r="2699" spans="1:8" ht="15.75" customHeight="1">
      <c r="A2699" s="36" t="s">
        <v>1689</v>
      </c>
      <c r="B2699" s="36" t="s">
        <v>5941</v>
      </c>
      <c r="C2699" s="36" t="s">
        <v>9998</v>
      </c>
      <c r="D2699" s="37" t="s">
        <v>9999</v>
      </c>
      <c r="E2699" s="36" t="s">
        <v>10000</v>
      </c>
      <c r="F2699" s="6"/>
      <c r="G2699" s="6"/>
      <c r="H2699" s="36" t="s">
        <v>10001</v>
      </c>
    </row>
  </sheetData>
  <autoFilter ref="A1:Z2699" xr:uid="{00000000-0009-0000-0000-000000000000}">
    <filterColumn colId="7">
      <filters blank="1">
        <filter val="/vertiche"/>
        <filter val="16lots.com"/>
        <filter val="1nprotelecom.com"/>
        <filter val="Abastecedora de Oficinas, SA de CV"/>
        <filter val="abitu.mx"/>
        <filter val="ABREMAQ"/>
        <filter val="ACAN MÃ‰XICO"/>
        <filter val="Acapella"/>
        <filter val="accentprone.com"/>
        <filter val="accesoriosavemaria.com"/>
        <filter val="Achemex"/>
        <filter val="AcMax de Mexico S.A. de C.V."/>
        <filter val="Actitus"/>
        <filter val="adecoco.com"/>
        <filter val="Aditivo"/>
        <filter val="Adivor"/>
        <filter val="adwebsolutions.com"/>
        <filter val="AEI"/>
        <filter val="AEROSOL MEDICAL SYSTEMS"/>
        <filter val="AfosaMX"/>
        <filter val="AG ElectrÃ³nica"/>
        <filter val="Ah Kim Pech"/>
        <filter val="Ahal Bio CosmÃ©tica"/>
        <filter val="Air Design"/>
        <filter val="Ajolotius"/>
        <filter val="akron.com.mx"/>
        <filter val="Alamex"/>
        <filter val="Alanika"/>
        <filter val="Alcione | A Sonepar Company"/>
        <filter val="aldoconti.com"/>
        <filter val="ALESCA Productividad"/>
        <filter val="Alfaomega Grupo Editor"/>
        <filter val="alfredgiraudwhisky.com"/>
        <filter val="AliBio"/>
        <filter val="alldora.com.mx"/>
        <filter val="Alliance Hose de MÃ©xico"/>
        <filter val="Almacenes Anfora"/>
        <filter val="Alrid Sport"/>
        <filter val="amatruck.com.mx"/>
        <filter val="amazfit.com"/>
        <filter val="Ambient21"/>
        <filter val="AmbrosÃ­a"/>
        <filter val="AMEDWEB"/>
        <filter val="AMERIC AC"/>
        <filter val="amvo.org.mx"/>
        <filter val="Ana Pazos Life Coach"/>
        <filter val="Andely Solutions"/>
        <filter val="andishere.com"/>
        <filter val="andrea.com"/>
        <filter val="Anguiplast"/>
        <filter val="anierm.org.mx"/>
        <filter val="aomc.mx"/>
        <filter val="Apartacel"/>
        <filter val="AppCore Power"/>
        <filter val="applecosmetics.com.mx"/>
        <filter val="Aprendamos Marketing"/>
        <filter val="apsa.com.mx"/>
        <filter val="ARANZAZU"/>
        <filter val="ARAUCO"/>
        <filter val="arenaswim.com.mx"/>
        <filter val="Argenparts"/>
        <filter val="Argos Electrica"/>
        <filter val="Ark Studios MÃ©xico"/>
        <filter val="armatura.com.co"/>
        <filter val="aromaria.mx"/>
        <filter val="arrobasystem.com"/>
        <filter val="Artecola MÃ©xico"/>
        <filter val="AsantÃ© Foods"/>
        <filter val="ascm.org"/>
        <filter val="Ashley Furniture"/>
        <filter val="Asia RobÃ³tica"/>
        <filter val="AsociaciÃ³n de Fabricantes de Muebles de Jalisco A.C."/>
        <filter val="aspelab"/>
        <filter val="Assertus Comunicaciones"/>
        <filter val="At&amp;t MÃ©xico"/>
        <filter val="Ataho"/>
        <filter val="atfil.com.mx"/>
        <filter val="Atlesia"/>
        <filter val="atom-academy.mx"/>
        <filter val="atx.mx"/>
        <filter val="Audi Center Toluca"/>
        <filter val="audi.com.mx"/>
        <filter val="Audio AcÃºstica y ElectrÃ³nica, S.A. de C.V."/>
        <filter val="audioonline.com.mx"/>
        <filter val="Aurela.18k Jewelry"/>
        <filter val="austromex.com.mx"/>
        <filter val="Autentico Corajillo"/>
        <filter val="Autenticocorajillo"/>
        <filter val="autycom.com"/>
        <filter val="avantorsciences.com"/>
        <filter val="avis.mx"/>
        <filter val="Aviso de Privacidad"/>
        <filter val="awasa.com.mx"/>
        <filter val="azconsulting.mx"/>
        <filter val="Azulemex"/>
        <filter val="azulik.com"/>
        <filter val="Baby Creysi"/>
        <filter val="Baja Bikes"/>
        <filter val="baladigala.com.mx"/>
        <filter val="balamdenim.com"/>
        <filter val="BANDAI"/>
        <filter val="BANDAI NAMCO Mexico"/>
        <filter val="bariswimwear.com"/>
        <filter val="Basculas Noval"/>
        <filter val="BD Media Academy | Cursos On Demand"/>
        <filter val="Beautiful Wish"/>
        <filter val="beautyart.com.mx"/>
        <filter val="Bebidas Primordiales"/>
        <filter val="Belfort Bikes"/>
        <filter val="bellisima.mx"/>
        <filter val="Bemis de MÃ©xico"/>
        <filter val="benandfrank.com"/>
        <filter val="BENEDEV"/>
        <filter val="berger.com.mx"/>
        <filter val="Bering de MÃ©xico"/>
        <filter val="berrendo"/>
        <filter val="betterware.com.mx"/>
        <filter val="bfit.mx"/>
        <filter val="Bgpartners"/>
        <filter val="BH Fitness MÃ©xico"/>
        <filter val="BiG ideas mx"/>
        <filter val="bigcartel.com"/>
        <filter val="bim.mx"/>
        <filter val="bind.com.mx"/>
        <filter val="binden.mx"/>
        <filter val="biob.com.mx"/>
        <filter val="biutest"/>
        <filter val="Blife suplementos alimenticios"/>
        <filter val="BLIP"/>
        <filter val="Bludotmexico"/>
        <filter val="blueyonder.com"/>
        <filter val="bmw.com.mx"/>
        <filter val="bodegasalianza.com"/>
        <filter val="BODESA SAPI de CV"/>
        <filter val="Bolteam"/>
        <filter val="Bonafont"/>
        <filter val="bonafont.com.mx"/>
        <filter val="Bossa Muebles"/>
        <filter val="Braggao"/>
        <filter val="BrandMe"/>
        <filter val="brantano.com.mx"/>
        <filter val="Bravo"/>
        <filter val="brnds.mx"/>
        <filter val="brooksrunning.com"/>
        <filter val="Brother MÃ©xico"/>
        <filter val="brother.com.mx"/>
        <filter val="broxel.com"/>
        <filter val="By Organica y Saludable"/>
        <filter val="BYRNE ELECTRICAL SPECIALISTS MÃ‰XICO"/>
        <filter val="cade.com.mx"/>
        <filter val="cadeco.com.mx"/>
        <filter val="CafÃ© GILA"/>
        <filter val="CAFESCA - CafÃ©s de Especialidad de Chiapas SAPI de CV"/>
        <filter val="Caffenio"/>
        <filter val="cafiver.com"/>
        <filter val="calahua.com.mx"/>
        <filter val="calimax.com.mx"/>
        <filter val="CALUX"/>
        <filter val="Calzado Vanvien"/>
        <filter val="CAMASHA"/>
        <filter val="CANACINTRA ESTADO DE MÃ‰XICO"/>
        <filter val="canvaslab.com"/>
        <filter val="Capptu"/>
        <filter val="Car Motion"/>
        <filter val="Caralarga"/>
        <filter val="Carbotecnia"/>
        <filter val="CÃ­rculo De Belleza"/>
        <filter val="carethy.net"/>
        <filter val="CARGO LIFT, S.A. DE C.V."/>
        <filter val="Casa Ahued"/>
        <filter val="Casa de las Lomas"/>
        <filter val="Casa Diaz"/>
        <filter val="Casa Elena"/>
        <filter val="casamaestri.com"/>
        <filter val="cassavaroots.com"/>
        <filter val="castel.com.mx"/>
        <filter val="Caudalie"/>
        <filter val="Cavana"/>
        <filter val="Cay"/>
        <filter val="CBD Life"/>
        <filter val="cbrands.mx"/>
        <filter val="CEFI SLP"/>
        <filter val="Ceico ITT"/>
        <filter val="celex.com"/>
        <filter val="CELLBOOST"/>
        <filter val="Celulandia Store"/>
        <filter val="celupal.com.mx"/>
        <filter val="cemix.com"/>
        <filter val="Censa Industrial"/>
        <filter val="centromedicoabc.com"/>
        <filter val="century3d.com.mx"/>
        <filter val="Cepage | Vino Escuela Sommelier"/>
        <filter val="Ceramat"/>
        <filter val="CervecerÃ­a de la Costa"/>
        <filter val="CervecerÃ­a Wendlandt De MÃ©xico"/>
        <filter val="cerveceriadecolima.com"/>
        <filter val="Cervexxa"/>
        <filter val="cervezaminerva.mx"/>
        <filter val="Cesarfer S.A. de C.V."/>
        <filter val="CETYS Universidad"/>
        <filter val="Chedraui"/>
        <filter val="Chefclub"/>
        <filter val="chenson.com.mx"/>
        <filter val="cherish.mx"/>
        <filter val="chintglobal.mx"/>
        <filter val="Chiqui Mundo"/>
        <filter val="Chocolates Picard"/>
        <filter val="chopchopbikes.com"/>
        <filter val="chopo.com.mx"/>
        <filter val="CIAGRO - CENTRO INTEGRAL DE SERVICIOS AGROPECUARIOS, S.A. DE C.V."/>
        <filter val="Ciasa MÃ©xico"/>
        <filter val="CiclÃ³polis"/>
        <filter val="Cielito Drone"/>
        <filter val="cimaco.com.mx"/>
        <filter val="cinsa.com.mx"/>
        <filter val="Circuit Banks"/>
        <filter val="City Toys / Step2"/>
        <filter val="Clarins"/>
        <filter val="class.com.mx"/>
        <filter val="ClÅe"/>
        <filter val="Cleto Reyes"/>
        <filter val="CLOE"/>
        <filter val="Club del Gourmet (PAMTOS S.A. de C.V)"/>
        <filter val="cmegroup.com"/>
        <filter val="cnci.edu.mx"/>
        <filter val="Co-Madre"/>
        <filter val="Coach"/>
        <filter val="Colegio Hebreo Maguen David"/>
        <filter val="Colegio Reims"/>
        <filter val="colgatepalmolive.com"/>
        <filter val="collectivaconcepcion.com.mx"/>
        <filter val="Color Cassettes MÃ©xico"/>
        <filter val="columbia.edu"/>
        <filter val="comeme.com.mx"/>
        <filter val="COMERCIAL ENCANTO S.A. DE C.V."/>
        <filter val="Comercializadora JC System Advance de Mexico S.A. de C.V."/>
        <filter val="comex.com.mx"/>
        <filter val="CompaÃ±ia Cyrnos SA de CV"/>
        <filter val="Compliance and Projects MX"/>
        <filter val="Conair Mx"/>
        <filter val="conekta.com"/>
        <filter val="ConfianzaCarsÂ®"/>
        <filter val="Consultores CPM S.A. de C.V."/>
        <filter val="contemporani.com"/>
        <filter val="convergram.com"/>
        <filter val="Converse MÃ©xico"/>
        <filter val="COPARMEX Ciudad de MÃ©xico"/>
        <filter val="Copilaser"/>
        <filter val="coquetayaudaz.com.mx"/>
        <filter val="coralprincess.com"/>
        <filter val="COREV DE MEXICO S.A DE C.V"/>
        <filter val="Corporativo Meraki"/>
        <filter val="CORPORATIVO PANOLI"/>
        <filter val="CORPORATIVO PARUNO"/>
        <filter val="cosmos.com.mx"/>
        <filter val="costco.com.mx"/>
        <filter val="COVINTEC"/>
        <filter val="CR Mexico"/>
        <filter val="Creditas"/>
        <filter val="crickex.com.mx"/>
        <filter val="Crisa Libbey Mexico S de RL de CV"/>
        <filter val="CristalerÃ­a la Ãšnica"/>
        <filter val="cristaljoyas.com"/>
        <filter val="Croquetero"/>
        <filter val="Cross Mountain MÃ©xico"/>
        <filter val="crownbaccara.com"/>
        <filter val="cu4dra.com"/>
        <filter val="cuadra.com.mx"/>
        <filter val="cuidadoconelperro.com.mx"/>
        <filter val="cuponerapp.com"/>
        <filter val="Cuponzote"/>
        <filter val="curatif.com"/>
        <filter val="Cuttiecup"/>
        <filter val="cvdirectomexico.com"/>
        <filter val="cyamoda.com"/>
        <filter val="cymaq.mx"/>
        <filter val="cynthus.com.mx"/>
        <filter val="D'Europe Muebles"/>
        <filter val="dacodes.com"/>
        <filter val="DÃ­diamant"/>
        <filter val="Dalia Empower"/>
        <filter val="danielasalcedo.com"/>
        <filter val="danpex.com.mx"/>
        <filter val="daonsa.com"/>
        <filter val="daraju.com"/>
        <filter val="Darco"/>
        <filter val="dargenta.com"/>
        <filter val="DarsisÂ®"/>
        <filter val="davines.com"/>
        <filter val="Dax"/>
        <filter val="deacero.com"/>
        <filter val="decathlon.com.mx"/>
        <filter val="Del Corona &amp; Scardigli Mexico"/>
        <filter val="Delher"/>
        <filter val="Delphinus"/>
        <filter val="delrecords.com"/>
        <filter val="DEMENTES by Diego Barrazas"/>
        <filter val="demesa.com.mx"/>
        <filter val="dentalia.com"/>
        <filter val="Deporprive"/>
        <filter val="Deporte HÃ¡bitat"/>
        <filter val="DESEGO"/>
        <filter val="DestilerÃ­a RevÃ©s"/>
        <filter val="devlyn.com.mx"/>
        <filter val="Diabetes-Club MÃ©xico"/>
        <filter val="DiagnÃ³stica Internacional"/>
        <filter val="Diako"/>
        <filter val="dicipa.com.mx"/>
        <filter val="dico.com.mx"/>
        <filter val="dielsa.com"/>
        <filter val="Distribuidora de Bicicletas Benotto Oficial"/>
        <filter val="Distribuidora Maico de MÃ©xico"/>
        <filter val="distritomax.com"/>
        <filter val="distroller.com"/>
        <filter val="Do-Business MKT Intel"/>
        <filter val="docolorbrushes.com"/>
        <filter val="DogDay"/>
        <filter val="DOGSMART"/>
        <filter val="dominion.com.mx"/>
        <filter val="doncolchon.com.mx"/>
        <filter val="dontworry"/>
        <filter val="doos estudio"/>
        <filter val="Dormimundo"/>
        <filter val="doto.com.mx"/>
        <filter val="Dportenis"/>
        <filter val="drinkfitzer.com"/>
        <filter val="Drogueria Cosmopolita"/>
        <filter val="dslaboratories.com"/>
        <filter val="duna.com.mx"/>
        <filter val="Dupuis"/>
        <filter val="dupuis.com.mx"/>
        <filter val="dynaproco.com"/>
        <filter val="Dyson MÃ©xico"/>
        <filter val="ECI Guadalajara"/>
        <filter val="ECN Automation"/>
        <filter val="ECOLOGIA DEVIDA, SA DE CV"/>
        <filter val="EcomakerStore"/>
        <filter val="Ecwid by Lightspeed"/>
        <filter val="ecwid.com"/>
        <filter val="edebe.com.mx"/>
        <filter val="Edena Skin Essentials"/>
        <filter val="EDITORIAL LIMUSA"/>
        <filter val="EEM"/>
        <filter val="El Califa"/>
        <filter val="El Cedro - Ferreteria y Hogar"/>
        <filter val="El Palacio de Hierro"/>
        <filter val="elÄ“"/>
        <filter val="ElectrÃ³nica Steren"/>
        <filter val="Elektra"/>
        <filter val="elektra.com.mx"/>
        <filter val="Elektrokabel MÃ©xico"/>
        <filter val="Elektron mx"/>
        <filter val="Elizondo"/>
        <filter val="EmbellÃ©"/>
        <filter val="embridge.mx"/>
        <filter val="empacados.com"/>
        <filter val="emwa.com.mx"/>
        <filter val="Enature"/>
        <filter val="Enco Alimentos"/>
        <filter val="endur"/>
        <filter val="Engen Capital"/>
        <filter val="Enlaza Comunicaciones"/>
        <filter val="entoslingerie.com"/>
        <filter val="envia.com"/>
        <filter val="EnviaFlores.com"/>
        <filter val="epicland.com.mx"/>
        <filter val="EPSON"/>
        <filter val="Equimed MÃ©xico"/>
        <filter val="Equipos ElÃ©ctricos"/>
        <filter val="Equitek"/>
        <filter val="Erotika Love Store"/>
        <filter val="esquimal.mx"/>
        <filter val="EstÃ©tica Canina"/>
        <filter val="Estado Natural"/>
        <filter val="estafeta.com"/>
        <filter val="EternityDiamonds"/>
        <filter val="EuroCentroCamionero"/>
        <filter val="eurocotton.com.mx"/>
        <filter val="Evans"/>
        <filter val="evolue.com"/>
        <filter val="excited.com.mx"/>
        <filter val="exhibipop"/>
        <filter val="explotumarca.com"/>
        <filter val="Extraherbos"/>
        <filter val="fÃ©lix Schorle"/>
        <filter val="famsa.com"/>
        <filter val="fanasa.com"/>
        <filter val="FANTASIAS MIGUEL"/>
        <filter val="Fantasias Miguel Insights"/>
        <filter val="FarmacÃ©utica Racel S.A. DE C.V."/>
        <filter val="Farmacias Gi S.A. de C.V."/>
        <filter val="FARMACIAS ROMA"/>
        <filter val="farmaciasanpablo.com.mx"/>
        <filter val="farmaciasespecializadas.com"/>
        <filter val="farmaciasguadalajara.com.mx"/>
        <filter val="Farmalisto"/>
        <filter val="farmapiel.com"/>
        <filter val="fashionstartup.mx"/>
        <filter val="FedEx"/>
        <filter val="feenicia.com"/>
        <filter val="FERBAQ"/>
        <filter val="Ferrepat"/>
        <filter val="ferrioni.com"/>
        <filter val="Fibras Ã“pticas de MÃ©xico"/>
        <filter val="FILTROS Y MALLAS DE PUEBLA"/>
        <filter val="flamingocancun.com"/>
        <filter val="flexi.com.mx"/>
        <filter val="Florigan"/>
        <filter val="FLUID CONTROL"/>
        <filter val="fmcagroquimica.com.mx"/>
        <filter val="folklore.mx"/>
        <filter val="FOLY MUEBLES MATRIZ"/>
        <filter val="Freedom Investment Club MÃ©xico"/>
        <filter val="FRESH STREET CULTURE"/>
        <filter val="fuller.com.mx"/>
        <filter val="fullsand.com"/>
        <filter val="Fully"/>
        <filter val="FULO DE MEXICO S.A. DE C.V."/>
        <filter val="fundraisingtransformed.com"/>
        <filter val="Gafas (MX)"/>
        <filter val="GAIA Design"/>
        <filter val="GAIA SPA"/>
        <filter val="gaiadesign.com.mx"/>
        <filter val="gamamusic.com"/>
        <filter val="Garken Medical"/>
        <filter val="Gauzz"/>
        <filter val="gazer73.com"/>
        <filter val="GC Medical Mx"/>
        <filter val="Gedeon Richter MÃ©xico"/>
        <filter val="gehealthcare.com"/>
        <filter val="generaclatam.com"/>
        <filter val="georgieboy.com.mx"/>
        <filter val="Gericare, Vida a los aÃ±os."/>
        <filter val="ghg.mx"/>
        <filter val="gideas.com.mx"/>
        <filter val="gilsa.mx"/>
        <filter val="Ginga"/>
        <filter val="gnc.com.mx"/>
        <filter val="GoDaddy Operating Company, LLC"/>
        <filter val="godaddy.com"/>
        <filter val="gofitness.com.mx"/>
        <filter val="Goli Nutrition"/>
        <filter val="Gomeraki"/>
        <filter val="gomexico.travel"/>
        <filter val="Google, INEGI"/>
        <filter val="Govari"/>
        <filter val="gowin.com"/>
        <filter val="Gran Chapur"/>
        <filter val="grancan.mx"/>
        <filter val="Grand Home MueblerÃ­as"/>
        <filter val="granvia.mx"/>
        <filter val="Gravitar"/>
        <filter val="griver.com.mx"/>
        <filter val="groupkps.com"/>
        <filter val="growjet.com.mx"/>
        <filter val="Gruas Gremsa"/>
        <filter val="Grupo Amaya-Astron / Amaya-Astron Seating"/>
        <filter val="Grupo Ascencio"/>
        <filter val="Grupo Avante Llantas y Rines"/>
        <filter val="Grupo C.I Electric"/>
        <filter val="Grupo Chedraui"/>
        <filter val="Grupo Comercial Atlas"/>
        <filter val="Grupo Concordia"/>
        <filter val="Grupo Coresa"/>
        <filter val="Grupo DECME"/>
        <filter val="GRUPO DESMEX"/>
        <filter val="Grupo Dione"/>
        <filter val="Grupo Eclipse Telecomunicaciones"/>
        <filter val="Grupo Encanto"/>
        <filter val="Grupo Jaloma"/>
        <filter val="Grupo JECOR"/>
        <filter val="Grupo Limpro"/>
        <filter val="Grupo Mausoleos"/>
        <filter val="Grupo Parisina"/>
        <filter val="GRUPO SAN CARLOS"/>
        <filter val="Grupo Scropion"/>
        <filter val="Grupo SIM"/>
        <filter val="Grupo Solder"/>
        <filter val="Grupo TELMOV"/>
        <filter val="Grupo Textil 2000"/>
        <filter val="Grupo Trivio"/>
        <filter val="GRUPO VANITY"/>
        <filter val="Grupo Zeyco"/>
        <filter val="grupo-deco.com"/>
        <filter val="grupoabsa.com"/>
        <filter val="grupoalpha.com"/>
        <filter val="grupoandersons.com"/>
        <filter val="grupoexpansion.com"/>
        <filter val="grupoinfra.com"/>
        <filter val="grupomaxima.com"/>
        <filter val="grupomercurio.mx"/>
        <filter val="Gruposar"/>
        <filter val="gruposervex.com"/>
        <filter val="GrupoVeloci"/>
        <filter val="GUAAPA"/>
        <filter val="guinnessworldrecords.com"/>
        <filter val="HÃ¡galo"/>
        <filter val="Hacedores.com"/>
        <filter val="hacienda1800.com"/>
        <filter val="Hagalo"/>
        <filter val="Hammocks RADA"/>
        <filter val="Hanseatik"/>
        <filter val="harmonhall.com"/>
        <filter val="Harris &amp; Frank"/>
        <filter val="Hawkers"/>
        <filter val="heb.com.mx"/>
        <filter val="heelys.com"/>
        <filter val="Hello Skin"/>
        <filter val="helvex.com.mx"/>
        <filter val="Hemsa"/>
        <filter val="Hercom"/>
        <filter val="HIbobi Group"/>
        <filter val="Hierbas Organicas de MÃ©xico"/>
        <filter val="highstreet.com.mx"/>
        <filter val="hillflare.com"/>
        <filter val="homedepot.com.mx"/>
        <filter val="hotch.mx"/>
        <filter val="HRM Consulting Mx"/>
        <filter val="hstcontrols.com"/>
        <filter val="http://www.fahorro.com/"/>
        <filter val="http://www.homedepot.com.mx/"/>
        <filter val="https://cantia.com.mx/"/>
        <filter val="https://cristaljoyas.com/"/>
        <filter val="https://grupodecme.com/"/>
        <filter val="https://guvier.com/"/>
        <filter val="https://soyparrillero.mx/"/>
        <filter val="https://www.costco.com.mx/"/>
        <filter val="hubbell.com.mx"/>
        <filter val="humanquality.com.mx"/>
        <filter val="humbrall.com"/>
        <filter val="HUNDSPORT"/>
        <filter val="HUT Internacional"/>
        <filter val="Hyundai Technology"/>
        <filter val="hyundaicamionesybuses.com"/>
        <filter val="IBERO"/>
        <filter val="ibushak.com"/>
        <filter val="icorp.com.mx"/>
        <filter val="Ideas Dentales"/>
        <filter val="Ideen Stores http://es.shopify.com"/>
        <filter val="Idelec Mexico"/>
        <filter val="IDENTATRONICS DE MEXICO SA DE CV"/>
        <filter val="iexe.edu.mx"/>
        <filter val="IGNUS"/>
        <filter val="igsa.com.mx"/>
        <filter val="iherb.com"/>
        <filter val="iho.com.mx"/>
        <filter val="iktatech.com"/>
        <filter val="illux.com.mx"/>
        <filter val="Ilumileds"/>
        <filter val="IMJ Media"/>
        <filter val="Impermeabilizantes PASAÂ®"/>
        <filter val="imperquimia.mx"/>
        <filter val="importbike.mx"/>
        <filter val="inasa.mx"/>
        <filter val="Inblay Technology"/>
        <filter val="Industrias Fuego Azteca"/>
        <filter val="Industrias GSL"/>
        <filter val="Industrias GSL External ADS"/>
        <filter val="Industrias PlÃ¡sticas NYC"/>
        <filter val="Industrias Tebi"/>
        <filter val="infinitekparis.com"/>
        <filter val="infonavit.org.mx"/>
        <filter val="InformÃ¡tica PrÃ¡ctica Aplicada SA de CV (IPASA)"/>
        <filter val="IngenierÃ­a EnergÃ©tica Integral, S.A. de C.V."/>
        <filter val="INMEZA"/>
        <filter val="INMOBILIARE"/>
        <filter val="innata.mx"/>
        <filter val="Inobella"/>
        <filter val="inova.com.mx"/>
        <filter val="Inoxidables de San Luis SA de CV"/>
        <filter val="Inoximexico"/>
        <filter val="Insane CompaÃ±ia Mexicana"/>
        <filter val="instafit.com"/>
        <filter val="Instituto Universitario del Norte"/>
        <filter val="integritasproviders.com"/>
        <filter val="integrityinsurancear.com"/>
        <filter val="interferenciales.com.mx"/>
        <filter val="intermoda.hn"/>
        <filter val="internationalsecurityjournal.com"/>
        <filter val="INTESC ElectrÃ³nica &amp; Embebidos"/>
        <filter val="Intima Hogar"/>
        <filter val="Intrare"/>
        <filter val="iqos.com"/>
        <filter val="Irradiate More"/>
        <filter val="ISU Universidad"/>
        <filter val="italika.mx"/>
        <filter val="itam.mx"/>
        <filter val="iteso.mx"/>
        <filter val="Itzjana"/>
        <filter val="IUSA"/>
        <filter val="JBTools"/>
        <filter val="jemil.mx"/>
        <filter val="jetstore.com.mx"/>
        <filter val="Jeulia"/>
        <filter val="jmdistribuidores.com"/>
        <filter val="JoyerÃ­a Malandra"/>
        <filter val="Joyeriasbizzaro.com"/>
        <filter val="JTC PROVEEDOR MÃ‰DICO"/>
        <filter val="Juguetibici"/>
        <filter val="Juguetibici SA de CV"/>
        <filter val="Juguetimax"/>
        <filter val="Juguetron"/>
        <filter val="Julio Cepeda Jugueterias"/>
        <filter val="julio.com"/>
        <filter val="Jurame"/>
        <filter val="justformen.com"/>
        <filter val="justo.mx"/>
        <filter val="K-Swiss MÃ©xico"/>
        <filter val="K'puchinos Restaurante-Bar"/>
        <filter val="K1 Speed MÃ©xico"/>
        <filter val="kabrita.com.mx"/>
        <filter val="Kanaus"/>
        <filter val="Karlita Shop"/>
        <filter val="kennethcole.com"/>
        <filter val="Kenworth Del Sur"/>
        <filter val="kfc.com.mx"/>
        <filter val="Kinetic, S.A. de C.V."/>
        <filter val="Kipling"/>
        <filter val="Kipling MÃ©xico"/>
        <filter val="Kiss Internacional"/>
        <filter val="Kitch"/>
        <filter val="kitchenaid.com"/>
        <filter val="klokker.com.mx"/>
        <filter val="Klyns"/>
        <filter val="knova.com.mx"/>
        <filter val="koblenz.com.mx"/>
        <filter val="Kokoro"/>
        <filter val="KOKORO3"/>
        <filter val="Kompass France"/>
        <filter val="kompass.com"/>
        <filter val="korianatural.com"/>
        <filter val="kovparts.com"/>
        <filter val="Kreativa Gourmet"/>
        <filter val="krispykreme.mx"/>
        <filter val="Kuroda"/>
        <filter val="La Casa de la Educadora"/>
        <filter val="La Esmeralda"/>
        <filter val="La Huerta"/>
        <filter val="La Jornada"/>
        <filter val="La Marina"/>
        <filter val="La Naval"/>
        <filter val="la-pasiega.mx"/>
        <filter val="lacastellana.com"/>
        <filter val="lacetto.mx"/>
        <filter val="laeuropea.com.mx"/>
        <filter val="laferre.com.mx"/>
        <filter val="laloma.com.mx"/>
        <filter val="lalur.com.mx"/>
        <filter val="lamarina.com.mx"/>
        <filter val="Landsteiner Scientific"/>
        <filter val="landsteiner.com"/>
        <filter val="Lanza ConfecciÃ³n"/>
        <filter val="LAPCO LATAM"/>
        <filter val="Larousse"/>
        <filter val="Latam Business School"/>
        <filter val="latinweb.com.mx"/>
        <filter val="Lean Construction MÃ©xico Â®"/>
        <filter val="Lego MÃ©xico"/>
        <filter val="Lemancore"/>
        <filter val="Lentematic"/>
        <filter val="lepetitgourmand.mx"/>
        <filter val="leroy.com.mx"/>
        <filter val="Levosim"/>
        <filter val="LibrerÃ­as Gonvill"/>
        <filter val="Librerias Gandhi"/>
        <filter val="lievant.com"/>
        <filter val="Lifex"/>
        <filter val="Limited Edition"/>
        <filter val="Linea Italia"/>
        <filter val="Linea Magna y Grupo Modit"/>
        <filter val="liverpool.com.mx"/>
        <filter val="llanodelatorre.com.mx"/>
        <filter val="LoanCo"/>
        <filter val="loccitane.com"/>
        <filter val="locotequila.mx"/>
        <filter val="Logicbus MÃ©xico"/>
        <filter val="Loly in the Sky"/>
        <filter val="LORENZA"/>
        <filter val="lubtrac.com.mx"/>
        <filter val="LuckyLy"/>
        <filter val="lumen.com.mx"/>
        <filter val="lumimexico.com.mx"/>
        <filter val="Lunalabs MÃ©xico"/>
        <filter val="LUXSA"/>
        <filter val="MA Derma Cosmetic"/>
        <filter val="Mabe MÃ©xico"/>
        <filter val="macaflight.com"/>
        <filter val="macma.com.mx"/>
        <filter val="Macropay Oficial"/>
        <filter val="macstoreonline.com.mx"/>
        <filter val="MADELONA"/>
        <filter val="madisa.com"/>
        <filter val="Magenta"/>
        <filter val="magmalabs.io"/>
        <filter val="Magnum Soluciones Digitales SA de CV"/>
        <filter val="MailEnable Pty."/>
        <filter val="MAINCASA"/>
        <filter val="Maison Peony"/>
        <filter val="Mamut"/>
        <filter val="Mandarina"/>
        <filter val="Mannatech Incorporated"/>
        <filter val="Mano y Madera"/>
        <filter val="maped.com"/>
        <filter val="Maquila Equipment Com S de RL de CV"/>
        <filter val="Maquinaria CNC Stanser"/>
        <filter val="Maquinter"/>
        <filter val="marco.org.mx"/>
        <filter val="marel.com.mx"/>
        <filter val="marinter.com.mx"/>
        <filter val="marti.mx"/>
        <filter val="MartiDerm"/>
        <filter val="Martins Restaurant"/>
        <filter val="marvelsa.com"/>
        <filter val="mascaradelatex.com"/>
        <filter val="Maskota"/>
        <filter val="MassÃ³"/>
        <filter val="Masterfan"/>
        <filter val="masvision.mx"/>
        <filter val="MAVI Comercio Global"/>
        <filter val="Maya Solar"/>
        <filter val="MAZ Autopartes"/>
        <filter val="MazatlÃ¡n F. C."/>
        <filter val="MCE Gamer"/>
        <filter val="MCI AutomationÂ®"/>
        <filter val="MDC Dental"/>
        <filter val="MDH"/>
        <filter val="MDN Sports"/>
        <filter val="meatme.cl"/>
        <filter val="Med Rent S.A. de C.V."/>
        <filter val="Mediapix Agencia de DiseÃ±o y Publicidad"/>
        <filter val="Medias Camelia"/>
        <filter val="megalabs.mx"/>
        <filter val="Megamil"/>
        <filter val="meibi.mx"/>
        <filter val="MejorCompraTV"/>
        <filter val="Memory Foam by CC Espumas"/>
        <filter val="mentori.mx"/>
        <filter val="Merca2.0"/>
        <filter val="Mercado de Vinos"/>
        <filter val="Mercado Libre MX"/>
        <filter val="Mercadro"/>
        <filter val="merco.mx"/>
        <filter val="Mereti - Luchichi"/>
        <filter val="merkatail.com.mx"/>
        <filter val="metricser.com"/>
        <filter val="mezcalamaras.com"/>
        <filter val="MG Muebles de Guadalajara S de RL de CV"/>
        <filter val="MHA Consulting"/>
        <filter val="Mi SofÃ¡ Mx"/>
        <filter val="Mi Tienda del Ahorro"/>
        <filter val="mialegria.com.mx"/>
        <filter val="Michel Domit"/>
        <filter val="MICROIMPORT"/>
        <filter val="mikels.com.mx"/>
        <filter val="milano.com"/>
        <filter val="millora.com.mx"/>
        <filter val="mindbodyonline.com"/>
        <filter val="miniso"/>
        <filter val="Miniso MÃ©xico"/>
        <filter val="Miorganico"/>
        <filter val="Mirage MÃ©xico"/>
        <filter val="Mister Mascotas"/>
        <filter val="mixup.com.mx"/>
        <filter val="mmcitÃ© 9 S. de R.L. de C.V."/>
        <filter val="MOBI Muebles"/>
        <filter val="mobica.com.mx"/>
        <filter val="mobiik.com"/>
        <filter val="mobo.com.mx"/>
        <filter val="Modatelas"/>
        <filter val="Modern Research Laboratorio"/>
        <filter val="moleskine.com"/>
        <filter val="momijibeauty.com"/>
        <filter val="montepiedad.com.mx"/>
        <filter val="mood-agency.com"/>
        <filter val="moramora.mx"/>
        <filter val="moreragrosso.com"/>
        <filter val="mosaic-media.com.mx"/>
        <filter val="Mosere - CafÃ© Gourmet"/>
        <filter val="Motocity"/>
        <filter val="Motorola Mexico"/>
        <filter val="MoXi - A Global Mortgage Company"/>
        <filter val="Mpower"/>
        <filter val="Mr. Volk"/>
        <filter val="Mrchillo"/>
        <filter val="mrtofu.com.mx"/>
        <filter val="mtx.com"/>
        <filter val="muebleria-villarreal.com"/>
        <filter val="Muebles Troncoso"/>
        <filter val="mueblesamerica.mx"/>
        <filter val="mueblespergo.com"/>
        <filter val="mueblesplacencia.com"/>
        <filter val="Multiherramientas"/>
        <filter val="multillantasnieto.mx"/>
        <filter val="Mumuso MX"/>
        <filter val="Mundo In"/>
        <filter val="Mundo Terra"/>
        <filter val="mundoele.com.mx"/>
        <filter val="mundojoven.com"/>
        <filter val="Murban Mobiliario Urbano Inteligente"/>
        <filter val="mvkoen.com"/>
        <filter val="myshopify.com"/>
        <filter val="nap-baby.com"/>
        <filter val="naturalbenefits.mx"/>
        <filter val="naturalscents"/>
        <filter val="Nautica"/>
        <filter val="NC Tech"/>
        <filter val="nephosit.com"/>
        <filter val="Net Copiadoras"/>
        <filter val="netpay.mx"/>
        <filter val="nettbee.com"/>
        <filter val="Never8"/>
        <filter val="neximo.mx"/>
        <filter val="Nichos de MÃ©xico S.A. de C.V."/>
        <filter val="nivelA"/>
        <filter val="northernep.com"/>
        <filter val="novartis.com.mx"/>
        <filter val="novelty.mx"/>
        <filter val="NOVOTECH MX"/>
        <filter val="nubosperta.com"/>
        <filter val="Nuda Est"/>
        <filter val="Nuestro Secreto"/>
        <filter val="Nueva Era Films"/>
        <filter val="nutribits.com"/>
        <filter val="NYCE"/>
        <filter val="o-lab.mx"/>
        <filter val="oasisofhope.com"/>
        <filter val="Occimaq"/>
        <filter val="odoo.com"/>
        <filter val="officedepot.com.mx"/>
        <filter val="officemax.com.mx"/>
        <filter val="Ofix"/>
        <filter val="oggi.mx"/>
        <filter val="Oh My Dog!"/>
        <filter val="OlÃ©ico"/>
        <filter val="olinca.edu.mx"/>
        <filter val="onena.mx"/>
        <filter val="Onix Pinkshop"/>
        <filter val="openpay.mx"/>
        <filter val="OpenPyme"/>
        <filter val="OPERADORA GALLANTDALE S.A. DE C.V."/>
        <filter val="orange.com"/>
        <filter val="pacalli.com"/>
        <filter val="Pacasa"/>
        <filter val="Pacific Pharma"/>
        <filter val="Pacto Mundial MÃ©xico"/>
        <filter val="Pai Pai"/>
        <filter val="Pan Benell"/>
        <filter val="PANDORA"/>
        <filter val="Papa John's MÃ©xico"/>
        <filter val="Papalote Museo del NiÃ±o"/>
        <filter val="paquetexpress.com.mx"/>
        <filter val="pardefrance.com.mx"/>
        <filter val="Parisina"/>
        <filter val="Park Royal Hotels"/>
        <filter val="Paruno Group Brands - Ins - External - Ads"/>
        <filter val="PastelerÃ­a Neufeld"/>
        <filter val="Pasteleria Monchys"/>
        <filter val="paviitaly.com"/>
        <filter val="PAYNAL"/>
        <filter val="Pc Fusion"/>
        <filter val="PC ONE MEXICO"/>
        <filter val="pedrodomecq.com"/>
        <filter val="PEFSA"/>
        <filter val="Pelucheria"/>
        <filter val="penalty.com.br"/>
        <filter val="penetron.mx"/>
        <filter val="pennsylvania.com.mx"/>
        <filter val="Pentel de Mexico"/>
        <filter val="Perfect Choice"/>
        <filter val="Perfumes y Esencias Fraiche SA de CV"/>
        <filter val="permachef.com"/>
        <filter val="Pet Markt"/>
        <filter val="pet n'GO"/>
        <filter val="petco.com.mx"/>
        <filter val="phiten.com.mx"/>
        <filter val="PIECSA"/>
        <filter val="Pied Ã Terre"/>
        <filter val="pikolinos.com"/>
        <filter val="PilgrimÂ´s Food Service"/>
        <filter val="pimiola.com"/>
        <filter val="Pinche Gringo BBQ"/>
        <filter val="pinkrevolver.com.mx"/>
        <filter val="Pinturas Doal"/>
        <filter val="pirma.com.mx"/>
        <filter val="pisa.com.mx"/>
        <filter val="Pitaya JoyerÃ­a"/>
        <filter val="PlatanomelÃ³n"/>
        <filter val="Plato Express"/>
        <filter val="Play Club"/>
        <filter val="Pluxee Mexico"/>
        <filter val="Pochteca"/>
        <filter val="Poliformas PlÃ¡sticas"/>
        <filter val="polymershapes.com.mx"/>
        <filter val="Porcelanite"/>
        <filter val="Portenntum de MÃ©xico"/>
        <filter val="portenntum.com"/>
        <filter val="Porto Blanco"/>
        <filter val="portoalegre.com.mx"/>
        <filter val="prada.mx"/>
        <filter val="Predictiva21"/>
        <filter val="preslow.com"/>
        <filter val="priceshoes.com"/>
        <filter val="PRIDA SERVICIOS CORPORATIVO SAPI DE CV"/>
        <filter val="Prinsel"/>
        <filter val="prinsel.com.mx"/>
        <filter val="Prixz"/>
        <filter val="Probell"/>
        <filter val="Probiotek"/>
        <filter val="PROCARGA"/>
        <filter val="Procomsa"/>
        <filter val="PRODENSA"/>
        <filter val="Prodigia FacturaciÃ³n"/>
        <filter val="Productos Chata SA de CV"/>
        <filter val="prodynamics.com.mx"/>
        <filter val="ProfitlogiQ"/>
        <filter val="Profoto"/>
        <filter val="promoopcion.com"/>
        <filter val="ProMty"/>
        <filter val="prosic.com"/>
        <filter val="prostarcorp.com"/>
        <filter val="proteccionfamiliar.com.mx"/>
        <filter val="Protein World (MX)"/>
        <filter val="Proveedora Industrial Panamericana"/>
        <filter val="Provision Group S.A de C.V."/>
        <filter val="puratos.com.mx"/>
        <filter val="puretabletop.com"/>
        <filter val="qian.mx"/>
        <filter val="RADIADORES DEYAC"/>
        <filter val="Radial Llantas"/>
        <filter val="RADIOL"/>
        <filter val="RadioShack MÃ©xico"/>
        <filter val="RAISA CV"/>
        <filter val="RÃºbrica"/>
        <filter val="Recreativos"/>
        <filter val="redlemon.com.mx"/>
        <filter val="regalresultsllc.com"/>
        <filter val="Regency Overseas SA de CV"/>
        <filter val="Regina Romero"/>
        <filter val="reginaromero.com"/>
        <filter val="REIKO"/>
        <filter val="Reisix"/>
        <filter val="remediosdelbosque.com"/>
        <filter val="renattacosmetics.com"/>
        <filter val="renault.com.mx"/>
        <filter val="renogy.com"/>
        <filter val="republiccosmetics.com"/>
        <filter val="reynera.com.mx"/>
        <filter val="rhino.mx"/>
        <filter val="Richmond ELT MÃ©xico"/>
        <filter val="Risk Top Tactical"/>
        <filter val="Riverline Ergonomic"/>
        <filter val="RMB Maquinaria"/>
        <filter val="Rocket Publicidad"/>
        <filter val="RODHE Security"/>
        <filter val="Roel Comercializadora"/>
        <filter val="Roland Mexico"/>
        <filter val="romwe.com"/>
        <filter val="Rondo del Valle"/>
        <filter val="ror.org"/>
        <filter val="rounderwear.com"/>
        <filter val="RRHH Thermokold"/>
        <filter val="rumex.net"/>
        <filter val="RX Mexico"/>
        <filter val="SABATTER"/>
        <filter val="Sagaon Tech"/>
        <filter val="salamanderpumps.co.uk"/>
        <filter val="Sally Beauty MÃ©xico"/>
        <filter val="Sally Mexico"/>
        <filter val="Salomon MÃ©xico"/>
        <filter val="salud-digna.org"/>
        <filter val="Salyeri SA de CV"/>
        <filter val="Samaraonline"/>
        <filter val="samawifi.com.mx"/>
        <filter val="samsclub.com"/>
        <filter val="Samsonite MÃ©xico"/>
        <filter val="samsonite.com"/>
        <filter val="samsung.com"/>
        <filter val="San Jorge Casa de Cambio"/>
        <filter val="Sanborns"/>
        <filter val="Sanopecado"/>
        <filter val="santory.com.mx"/>
        <filter val="SÃºper Naturista"/>
        <filter val="sarellysarelly.com"/>
        <filter val="SAS CLOUD"/>
        <filter val="SÃšPER SOYA"/>
        <filter val="Schutz Industrial Lubricants and Specialties"/>
        <filter val="scottsbasslessons.com"/>
        <filter val="sdindustrial.com.mx"/>
        <filter val="SEDSA"/>
        <filter val="Seg MÃ©xico"/>
        <filter val="sephora.com.mx"/>
        <filter val="Sersana Method"/>
        <filter val="Servicios Especializados de Monterrey (SEMSA)"/>
        <filter val="Servicios FTS SA de CV"/>
        <filter val="ServiQuim"/>
        <filter val="Sexy Jeans"/>
        <filter val="SGM Safety Group Mexico."/>
        <filter val="shasa.com"/>
        <filter val="shelonabel"/>
        <filter val="shyla.com"/>
        <filter val="SIBIM"/>
        <filter val="sicar.mx"/>
        <filter val="SIEM Industrial"/>
        <filter val="sigmafoodservice.com"/>
        <filter val="signalhire.com"/>
        <filter val="Silvia Carnevali"/>
        <filter val="Silvia GalvÃ¡n Image Studio"/>
        <filter val="sipse.com"/>
        <filter val="sisnova.com.mx"/>
        <filter val="Sistemas Digitales"/>
        <filter val="Sitisa MÃ©xico"/>
        <filter val="Smart Bamboo"/>
        <filter val="smartfilter.com.mx"/>
        <filter val="Smartketing"/>
        <filter val="snowballpartners.mx"/>
        <filter val="soarma.com"/>
        <filter val="Sociedad Mexicana De Parrilleros Smp"/>
        <filter val="sodimac.com.mx"/>
        <filter val="SolÃ³tica MÃ©xico"/>
        <filter val="SOLCELMIX SAS DE CV"/>
        <filter val="someonesomewhere.mx"/>
        <filter val="SOMIB - Sociedad Mexicana de IngenierÃ­a BiomÃ©dica"/>
        <filter val="sony.com.mx"/>
        <filter val="Soriana"/>
        <filter val="souriau.com"/>
        <filter val="Soy Te"/>
        <filter val="Spartan"/>
        <filter val="specialyoga.co.uk"/>
        <filter val="spoiledsweetboutique.com"/>
        <filter val="sporelli.com.mx"/>
        <filter val="Sport City"/>
        <filter val="Sportico"/>
        <filter val="sportsworld.com.mx"/>
        <filter val="springair.com.mx"/>
        <filter val="Squalo Internacional"/>
        <filter val="square.site"/>
        <filter val="squarespace.com"/>
        <filter val="Sr.Smith Publicidad"/>
        <filter val="steelcase.com"/>
        <filter val="Stock365"/>
        <filter val="Stoneway Workforce Culture"/>
        <filter val="Stratia"/>
        <filter val="Studio Vainilla"/>
        <filter val="Stuffactory"/>
        <filter val="subeagenciadigital.com"/>
        <filter val="Subitus S.a. De C.V."/>
        <filter val="Suburbia"/>
        <filter val="Sukabumi stone"/>
        <filter val="SUKSESS"/>
        <filter val="sunbeam.com"/>
        <filter val="sunglasshut.com"/>
        <filter val="sunorabacanora.com"/>
        <filter val="Supa Fresh"/>
        <filter val="Super Aki"/>
        <filter val="Super Materias"/>
        <filter val="supercolchones.com.mx"/>
        <filter val="supermaterias.com"/>
        <filter val="Supermex Digital"/>
        <filter val="Supermexdigital"/>
        <filter val="SUPPORTEK SA DE CV"/>
        <filter val="Surf Mexico"/>
        <filter val="surtidoradepartamental.com"/>
        <filter val="surtidorelectrico.com.mx"/>
        <filter val="SuspensiÃ³n y DirecciÃ³n"/>
        <filter val="Svenska Tecnologia"/>
        <filter val="SW sapienÂ®"/>
        <filter val="SYCSAÂ®ï¸"/>
        <filter val="SYD"/>
        <filter val="syd.com.mx"/>
        <filter val="syscomworld.com"/>
        <filter val="T-fal"/>
        <filter val="taceamusic.com"/>
        <filter val="tane.com"/>
        <filter val="tanyamoss.com"/>
        <filter val="tapni.co"/>
        <filter val="Targus"/>
        <filter val="tec.mx"/>
        <filter val="techzone.com.mx"/>
        <filter val="tecnolite.mx"/>
        <filter val="TecnologÃ­a Alterco, S.A. de C.V."/>
        <filter val="Tecnosinergia"/>
        <filter val="Teikit Sushi &amp; Noodles (MX)"/>
        <filter val="Telmov"/>
        <filter val="Temisa"/>
        <filter val="tendence.com.mx"/>
        <filter val="Tenis 360"/>
        <filter val="Tequila La Joya"/>
        <filter val="The American School of Puerto Vallarta"/>
        <filter val="The Bespoke Club (MX)"/>
        <filter val="The Body Shop"/>
        <filter val="The Little Wine Market"/>
        <filter val="The Original Greenlander"/>
        <filter val="thebarkingbakery.co.uk"/>
        <filter val="thehomestore.com.mx"/>
        <filter val="Thermomix Mexico"/>
        <filter val="Think-e English Mexico"/>
        <filter val="Thinkific"/>
        <filter val="thinkific.com"/>
        <filter val="thomsonreutersmexico.com"/>
        <filter val="Threadless"/>
        <filter val="threadless.com"/>
        <filter val="Ticketmaster Mexico"/>
        <filter val="ticsa.mx"/>
        <filter val="Tienda de la Rosa"/>
        <filter val="Tienda nube"/>
        <filter val="Tienda Panini"/>
        <filter val="tiendas3b.com"/>
        <filter val="tintarella.com.mx"/>
        <filter val="Tock Lock"/>
        <filter val="TodoModa"/>
        <filter val="Todos los derechos reservados"/>
        <filter val="tolucafc.com"/>
        <filter val="Tomateros"/>
        <filter val="Tommy Hilfiger"/>
        <filter val="Tonic"/>
        <filter val="tony.com.mx"/>
        <filter val="topcarestore"/>
        <filter val="TopMusic"/>
        <filter val="Total Spa - Tinas y BaÃ±eras"/>
        <filter val="totto.com"/>
        <filter val="Toyo Kasei Mx"/>
        <filter val="tracsa.com.mx"/>
        <filter val="tramontina.com.mx"/>
        <filter val="transcabo.com"/>
        <filter val="Transforming Technologies"/>
        <filter val="transforming-technologies.com"/>
        <filter val="travers.com.mx"/>
        <filter val="TRESPUNTOS.MX"/>
        <filter val="triciclo.mx"/>
        <filter val="troop"/>
        <filter val="troquer.com.mx"/>
        <filter val="TUIC850813DF5"/>
        <filter val="tupperware.com.mx"/>
        <filter val="TyP RefrigeraciÃ³n"/>
        <filter val="UANL"/>
        <filter val="Ubiquiti Inc."/>
        <filter val="ubits.com"/>
        <filter val="udg.mx"/>
        <filter val="uey.mx"/>
        <filter val="Ufit Wellness Center and Spa"/>
        <filter val="UG"/>
        <filter val="ui.com"/>
        <filter val="Ultrafemme"/>
        <filter val="umov.mx"/>
        <filter val="unam.mx"/>
        <filter val="Under Armour"/>
        <filter val="UniÃ³n Papelera de MÃ©xico, S.A. de C.V."/>
        <filter val="Unifoods, S.A. de C.V."/>
        <filter val="Uniformes Lazzar"/>
        <filter val="UNIT Electronics"/>
        <filter val="unitam.com"/>
        <filter val="United Colors of Benetton India"/>
        <filter val="Universidad Internacional del Liderazgo y Desarrollo"/>
        <filter val="Universidad Latina"/>
        <filter val="Universidad Nacional Autonoma de Mexico"/>
        <filter val="Universidad Panamericana"/>
        <filter val="Universo de Fragancias"/>
        <filter val="up.edu.mx"/>
        <filter val="utel.edu.mx"/>
        <filter val="UUPZ"/>
        <filter val="Uyu Beauty"/>
        <filter val="Valdezbaluarte"/>
        <filter val="Valentin Imperial Riviera Maya"/>
        <filter val="valentinmaya.com"/>
        <filter val="vallen.com.mx"/>
        <filter val="Valsa MX-Valores Alimenticios"/>
        <filter val="Valta"/>
        <filter val="Vans"/>
        <filter val="varlion.com"/>
        <filter val="Velosport.mx"/>
        <filter val="Velsimex"/>
        <filter val="Venados de MazatlÃ¡n"/>
        <filter val="vento.com"/>
        <filter val="Veterinaria Casa Luna."/>
        <filter val="vianney.com.mx"/>
        <filter val="Viastara"/>
        <filter val="Vicky Form"/>
        <filter val="Victoria147"/>
        <filter val="Victorious Accesorios"/>
        <filter val="vidabirdman.com"/>
        <filter val="vidawellnessandbeauty.com"/>
        <filter val="Villa Montefiori"/>
        <filter val="vinneren.com.mx"/>
        <filter val="Vinos America"/>
        <filter val="Vinos ViÃ±edos y Bodegas"/>
        <filter val="vinosamerica.com"/>
        <filter val="vinoselcielo.com"/>
        <filter val="vinoteca.com"/>
        <filter val="viralfeed.mx"/>
        <filter val="Vittorio Forti"/>
        <filter val="VWR, part of Avantor"/>
        <filter val="Vyorsa Insights"/>
        <filter val="wahu.com.mx"/>
        <filter val="waldos.com.mx"/>
        <filter val="Wandernow Adventures"/>
        <filter val="Wayakit - Biotechnology in hygiene"/>
        <filter val="wayakit.com"/>
        <filter val="Wayan Natural Wear"/>
        <filter val="wbcboxing.com"/>
        <filter val="Web360"/>
        <filter val="webnode.com"/>
        <filter val="wiautomation.com"/>
        <filter val="wildfork.mx"/>
        <filter val="williams-sonomainc.com"/>
        <filter val="WIN MÃ©xico"/>
        <filter val="winterhalter.com"/>
        <filter val="wiwiurka.com"/>
        <filter val="wolfsellers.com"/>
        <filter val="Woolworth"/>
        <filter val="Worales"/>
        <filter val="workshoemart.com"/>
        <filter val="worqout.mx"/>
        <filter val="wortev.com"/>
        <filter val="Wse"/>
        <filter val="WSI"/>
        <filter val="x"/>
        <filter val="XADES"/>
        <filter val="Xcaret"/>
        <filter val="XE Seguridad"/>
        <filter val="Xiaomi MÃ©xico"/>
        <filter val="xid.com.mx"/>
        <filter val="xn.com"/>
        <filter val="xnleisure.com"/>
        <filter val="xnlp.com"/>
        <filter val="xnprotel.com"/>
        <filter val="YEMA"/>
        <filter val="yhjglobal.com"/>
        <filter val="Yo pido"/>
        <filter val="ZALOA Languages"/>
        <filter val="Zapaterias Fratello"/>
        <filter val="ZASH"/>
        <filter val="zeb.mx"/>
        <filter val="Zegucom"/>
        <filter val="zele.mx"/>
        <filter val="Zeraus IluminaciÃ³n: El poder de la Luz."/>
        <filter val="Zermat Internacional"/>
        <filter val="zoewater.com.mx"/>
        <filter val="zumbapica.com"/>
        <filter val="ZVEZDA"/>
      </filters>
    </filterColumn>
  </autoFilter>
  <hyperlinks>
    <hyperlink ref="D2" r:id="rId1" xr:uid="{00000000-0004-0000-0000-000000000000}"/>
    <hyperlink ref="H2" r:id="rId2" xr:uid="{00000000-0004-0000-0000-000001000000}"/>
    <hyperlink ref="D3" r:id="rId3" xr:uid="{00000000-0004-0000-0000-000002000000}"/>
    <hyperlink ref="H3" r:id="rId4" xr:uid="{00000000-0004-0000-0000-000003000000}"/>
    <hyperlink ref="D4" r:id="rId5" xr:uid="{00000000-0004-0000-0000-000004000000}"/>
    <hyperlink ref="H4" r:id="rId6" xr:uid="{00000000-0004-0000-0000-000005000000}"/>
    <hyperlink ref="D5" r:id="rId7" xr:uid="{00000000-0004-0000-0000-000006000000}"/>
    <hyperlink ref="H5" r:id="rId8" xr:uid="{00000000-0004-0000-0000-000007000000}"/>
    <hyperlink ref="D6" r:id="rId9" xr:uid="{00000000-0004-0000-0000-000008000000}"/>
    <hyperlink ref="H6" r:id="rId10" xr:uid="{00000000-0004-0000-0000-000009000000}"/>
    <hyperlink ref="D7" r:id="rId11" xr:uid="{00000000-0004-0000-0000-00000A000000}"/>
    <hyperlink ref="H7" r:id="rId12" xr:uid="{00000000-0004-0000-0000-00000B000000}"/>
    <hyperlink ref="H8" r:id="rId13" xr:uid="{00000000-0004-0000-0000-00000C000000}"/>
    <hyperlink ref="D9" r:id="rId14" xr:uid="{00000000-0004-0000-0000-00000D000000}"/>
    <hyperlink ref="H9" r:id="rId15" xr:uid="{00000000-0004-0000-0000-00000E000000}"/>
    <hyperlink ref="D10" r:id="rId16" xr:uid="{00000000-0004-0000-0000-00000F000000}"/>
    <hyperlink ref="H10" r:id="rId17" xr:uid="{00000000-0004-0000-0000-000010000000}"/>
    <hyperlink ref="D11" r:id="rId18" xr:uid="{00000000-0004-0000-0000-000011000000}"/>
    <hyperlink ref="H11" r:id="rId19" xr:uid="{00000000-0004-0000-0000-000012000000}"/>
    <hyperlink ref="H12" r:id="rId20" xr:uid="{00000000-0004-0000-0000-000013000000}"/>
    <hyperlink ref="D13" r:id="rId21" xr:uid="{00000000-0004-0000-0000-000014000000}"/>
    <hyperlink ref="H13" r:id="rId22" xr:uid="{00000000-0004-0000-0000-000015000000}"/>
    <hyperlink ref="D14" r:id="rId23" xr:uid="{00000000-0004-0000-0000-000016000000}"/>
    <hyperlink ref="H14" r:id="rId24" xr:uid="{00000000-0004-0000-0000-000017000000}"/>
    <hyperlink ref="D15" r:id="rId25" xr:uid="{00000000-0004-0000-0000-000018000000}"/>
    <hyperlink ref="H15" r:id="rId26" xr:uid="{00000000-0004-0000-0000-000019000000}"/>
    <hyperlink ref="H16" r:id="rId27" xr:uid="{00000000-0004-0000-0000-00001A000000}"/>
    <hyperlink ref="D17" r:id="rId28" xr:uid="{00000000-0004-0000-0000-00001B000000}"/>
    <hyperlink ref="H17" r:id="rId29" xr:uid="{00000000-0004-0000-0000-00001C000000}"/>
    <hyperlink ref="D18" r:id="rId30" xr:uid="{00000000-0004-0000-0000-00001D000000}"/>
    <hyperlink ref="H18" r:id="rId31" xr:uid="{00000000-0004-0000-0000-00001E000000}"/>
    <hyperlink ref="D19" r:id="rId32" xr:uid="{00000000-0004-0000-0000-00001F000000}"/>
    <hyperlink ref="H19" r:id="rId33" xr:uid="{00000000-0004-0000-0000-000020000000}"/>
    <hyperlink ref="H20" r:id="rId34" xr:uid="{00000000-0004-0000-0000-000021000000}"/>
    <hyperlink ref="D21" r:id="rId35" xr:uid="{00000000-0004-0000-0000-000022000000}"/>
    <hyperlink ref="H21" r:id="rId36" xr:uid="{00000000-0004-0000-0000-000023000000}"/>
    <hyperlink ref="D22" r:id="rId37" xr:uid="{00000000-0004-0000-0000-000024000000}"/>
    <hyperlink ref="H22" r:id="rId38" xr:uid="{00000000-0004-0000-0000-000025000000}"/>
    <hyperlink ref="D23" r:id="rId39" xr:uid="{00000000-0004-0000-0000-000026000000}"/>
    <hyperlink ref="H23" r:id="rId40" xr:uid="{00000000-0004-0000-0000-000027000000}"/>
    <hyperlink ref="D24" r:id="rId41" xr:uid="{00000000-0004-0000-0000-000028000000}"/>
    <hyperlink ref="H24" r:id="rId42" xr:uid="{00000000-0004-0000-0000-000029000000}"/>
    <hyperlink ref="D25" r:id="rId43" xr:uid="{00000000-0004-0000-0000-00002A000000}"/>
    <hyperlink ref="H25" r:id="rId44" xr:uid="{00000000-0004-0000-0000-00002B000000}"/>
    <hyperlink ref="D26" r:id="rId45" xr:uid="{00000000-0004-0000-0000-00002C000000}"/>
    <hyperlink ref="H26" r:id="rId46" xr:uid="{00000000-0004-0000-0000-00002D000000}"/>
    <hyperlink ref="D27" r:id="rId47" xr:uid="{00000000-0004-0000-0000-00002E000000}"/>
    <hyperlink ref="H27" r:id="rId48" xr:uid="{00000000-0004-0000-0000-00002F000000}"/>
    <hyperlink ref="D28" r:id="rId49" xr:uid="{00000000-0004-0000-0000-000030000000}"/>
    <hyperlink ref="H28" r:id="rId50" xr:uid="{00000000-0004-0000-0000-000031000000}"/>
    <hyperlink ref="D29" r:id="rId51" xr:uid="{00000000-0004-0000-0000-000032000000}"/>
    <hyperlink ref="H29" r:id="rId52" xr:uid="{00000000-0004-0000-0000-000033000000}"/>
    <hyperlink ref="D30" r:id="rId53" xr:uid="{00000000-0004-0000-0000-000034000000}"/>
    <hyperlink ref="H30" r:id="rId54" xr:uid="{00000000-0004-0000-0000-000035000000}"/>
    <hyperlink ref="D31" r:id="rId55" xr:uid="{00000000-0004-0000-0000-000036000000}"/>
    <hyperlink ref="H31" r:id="rId56" xr:uid="{00000000-0004-0000-0000-000037000000}"/>
    <hyperlink ref="D32" r:id="rId57" xr:uid="{00000000-0004-0000-0000-000038000000}"/>
    <hyperlink ref="H32" r:id="rId58" xr:uid="{00000000-0004-0000-0000-000039000000}"/>
    <hyperlink ref="D33" r:id="rId59" xr:uid="{00000000-0004-0000-0000-00003A000000}"/>
    <hyperlink ref="H33" r:id="rId60" xr:uid="{00000000-0004-0000-0000-00003B000000}"/>
    <hyperlink ref="D34" r:id="rId61" xr:uid="{00000000-0004-0000-0000-00003C000000}"/>
    <hyperlink ref="H34" r:id="rId62" xr:uid="{00000000-0004-0000-0000-00003D000000}"/>
    <hyperlink ref="D35" r:id="rId63" xr:uid="{00000000-0004-0000-0000-00003E000000}"/>
    <hyperlink ref="H35" r:id="rId64" xr:uid="{00000000-0004-0000-0000-00003F000000}"/>
    <hyperlink ref="D36" r:id="rId65" xr:uid="{00000000-0004-0000-0000-000040000000}"/>
    <hyperlink ref="H36" r:id="rId66" xr:uid="{00000000-0004-0000-0000-000041000000}"/>
    <hyperlink ref="D37" r:id="rId67" xr:uid="{00000000-0004-0000-0000-000042000000}"/>
    <hyperlink ref="H37" r:id="rId68" xr:uid="{00000000-0004-0000-0000-000043000000}"/>
    <hyperlink ref="D38" r:id="rId69" xr:uid="{00000000-0004-0000-0000-000044000000}"/>
    <hyperlink ref="H38" r:id="rId70" xr:uid="{00000000-0004-0000-0000-000045000000}"/>
    <hyperlink ref="D39" r:id="rId71" xr:uid="{00000000-0004-0000-0000-000046000000}"/>
    <hyperlink ref="H39" r:id="rId72" xr:uid="{00000000-0004-0000-0000-000047000000}"/>
    <hyperlink ref="D40" r:id="rId73" xr:uid="{00000000-0004-0000-0000-000048000000}"/>
    <hyperlink ref="H40" r:id="rId74" xr:uid="{00000000-0004-0000-0000-000049000000}"/>
    <hyperlink ref="D41" r:id="rId75" xr:uid="{00000000-0004-0000-0000-00004A000000}"/>
    <hyperlink ref="H41" r:id="rId76" xr:uid="{00000000-0004-0000-0000-00004B000000}"/>
    <hyperlink ref="D42" r:id="rId77" xr:uid="{00000000-0004-0000-0000-00004C000000}"/>
    <hyperlink ref="H42" r:id="rId78" xr:uid="{00000000-0004-0000-0000-00004D000000}"/>
    <hyperlink ref="D43" r:id="rId79" xr:uid="{00000000-0004-0000-0000-00004E000000}"/>
    <hyperlink ref="H43" r:id="rId80" xr:uid="{00000000-0004-0000-0000-00004F000000}"/>
    <hyperlink ref="D44" r:id="rId81" xr:uid="{00000000-0004-0000-0000-000050000000}"/>
    <hyperlink ref="H44" r:id="rId82" xr:uid="{00000000-0004-0000-0000-000051000000}"/>
    <hyperlink ref="D45" r:id="rId83" xr:uid="{00000000-0004-0000-0000-000052000000}"/>
    <hyperlink ref="D47" r:id="rId84" xr:uid="{00000000-0004-0000-0000-000053000000}"/>
    <hyperlink ref="D48" r:id="rId85" xr:uid="{00000000-0004-0000-0000-000054000000}"/>
    <hyperlink ref="H48" r:id="rId86" xr:uid="{00000000-0004-0000-0000-000055000000}"/>
    <hyperlink ref="D49" r:id="rId87" xr:uid="{00000000-0004-0000-0000-000056000000}"/>
    <hyperlink ref="H49" r:id="rId88" xr:uid="{00000000-0004-0000-0000-000057000000}"/>
    <hyperlink ref="D50" r:id="rId89" xr:uid="{00000000-0004-0000-0000-000058000000}"/>
    <hyperlink ref="H50" r:id="rId90" xr:uid="{00000000-0004-0000-0000-000059000000}"/>
    <hyperlink ref="D51" r:id="rId91" xr:uid="{00000000-0004-0000-0000-00005A000000}"/>
    <hyperlink ref="H51" r:id="rId92" xr:uid="{00000000-0004-0000-0000-00005B000000}"/>
    <hyperlink ref="D52" r:id="rId93" xr:uid="{00000000-0004-0000-0000-00005C000000}"/>
    <hyperlink ref="H52" r:id="rId94" xr:uid="{00000000-0004-0000-0000-00005D000000}"/>
    <hyperlink ref="D53" r:id="rId95" xr:uid="{00000000-0004-0000-0000-00005E000000}"/>
    <hyperlink ref="H53" r:id="rId96" xr:uid="{00000000-0004-0000-0000-00005F000000}"/>
    <hyperlink ref="D54" r:id="rId97" xr:uid="{00000000-0004-0000-0000-000060000000}"/>
    <hyperlink ref="H54" r:id="rId98" xr:uid="{00000000-0004-0000-0000-000061000000}"/>
    <hyperlink ref="D55" r:id="rId99" xr:uid="{00000000-0004-0000-0000-000062000000}"/>
    <hyperlink ref="H55" r:id="rId100" xr:uid="{00000000-0004-0000-0000-000063000000}"/>
    <hyperlink ref="D56" r:id="rId101" xr:uid="{00000000-0004-0000-0000-000064000000}"/>
    <hyperlink ref="H56" r:id="rId102" xr:uid="{00000000-0004-0000-0000-000065000000}"/>
    <hyperlink ref="D57" r:id="rId103" xr:uid="{00000000-0004-0000-0000-000066000000}"/>
    <hyperlink ref="H57" r:id="rId104" xr:uid="{00000000-0004-0000-0000-000067000000}"/>
    <hyperlink ref="D58" r:id="rId105" xr:uid="{00000000-0004-0000-0000-000068000000}"/>
    <hyperlink ref="H58" r:id="rId106" xr:uid="{00000000-0004-0000-0000-000069000000}"/>
    <hyperlink ref="D59" r:id="rId107" xr:uid="{00000000-0004-0000-0000-00006A000000}"/>
    <hyperlink ref="H59" r:id="rId108" xr:uid="{00000000-0004-0000-0000-00006B000000}"/>
    <hyperlink ref="D60" r:id="rId109" xr:uid="{00000000-0004-0000-0000-00006C000000}"/>
    <hyperlink ref="H60" r:id="rId110" xr:uid="{00000000-0004-0000-0000-00006D000000}"/>
    <hyperlink ref="D61" r:id="rId111" xr:uid="{00000000-0004-0000-0000-00006E000000}"/>
    <hyperlink ref="H61" r:id="rId112" xr:uid="{00000000-0004-0000-0000-00006F000000}"/>
    <hyperlink ref="D62" r:id="rId113" xr:uid="{00000000-0004-0000-0000-000070000000}"/>
    <hyperlink ref="H62" r:id="rId114" xr:uid="{00000000-0004-0000-0000-000071000000}"/>
    <hyperlink ref="D63" r:id="rId115" xr:uid="{00000000-0004-0000-0000-000072000000}"/>
    <hyperlink ref="H63" r:id="rId116" xr:uid="{00000000-0004-0000-0000-000073000000}"/>
    <hyperlink ref="H64" r:id="rId117" xr:uid="{00000000-0004-0000-0000-000074000000}"/>
    <hyperlink ref="H65" r:id="rId118" xr:uid="{00000000-0004-0000-0000-000075000000}"/>
    <hyperlink ref="H66" r:id="rId119" xr:uid="{00000000-0004-0000-0000-000076000000}"/>
    <hyperlink ref="H67" r:id="rId120" xr:uid="{00000000-0004-0000-0000-000077000000}"/>
    <hyperlink ref="D68" r:id="rId121" xr:uid="{00000000-0004-0000-0000-000078000000}"/>
    <hyperlink ref="H68" r:id="rId122" xr:uid="{00000000-0004-0000-0000-000079000000}"/>
    <hyperlink ref="D69" r:id="rId123" xr:uid="{00000000-0004-0000-0000-00007A000000}"/>
    <hyperlink ref="H69" r:id="rId124" xr:uid="{00000000-0004-0000-0000-00007B000000}"/>
    <hyperlink ref="D70" r:id="rId125" xr:uid="{00000000-0004-0000-0000-00007C000000}"/>
    <hyperlink ref="H70" r:id="rId126" xr:uid="{00000000-0004-0000-0000-00007D000000}"/>
    <hyperlink ref="D71" r:id="rId127" xr:uid="{00000000-0004-0000-0000-00007E000000}"/>
    <hyperlink ref="H71" r:id="rId128" xr:uid="{00000000-0004-0000-0000-00007F000000}"/>
    <hyperlink ref="D72" r:id="rId129" xr:uid="{00000000-0004-0000-0000-000080000000}"/>
    <hyperlink ref="H72" r:id="rId130" xr:uid="{00000000-0004-0000-0000-000081000000}"/>
    <hyperlink ref="H73" r:id="rId131" xr:uid="{00000000-0004-0000-0000-000082000000}"/>
    <hyperlink ref="D74" r:id="rId132" xr:uid="{00000000-0004-0000-0000-000083000000}"/>
    <hyperlink ref="H74" r:id="rId133" xr:uid="{00000000-0004-0000-0000-000084000000}"/>
    <hyperlink ref="D75" r:id="rId134" xr:uid="{00000000-0004-0000-0000-000085000000}"/>
    <hyperlink ref="H75" r:id="rId135" xr:uid="{00000000-0004-0000-0000-000086000000}"/>
    <hyperlink ref="D76" r:id="rId136" xr:uid="{00000000-0004-0000-0000-000087000000}"/>
    <hyperlink ref="H76" r:id="rId137" xr:uid="{00000000-0004-0000-0000-000088000000}"/>
    <hyperlink ref="D77" r:id="rId138" xr:uid="{00000000-0004-0000-0000-000089000000}"/>
    <hyperlink ref="H77" r:id="rId139" xr:uid="{00000000-0004-0000-0000-00008A000000}"/>
    <hyperlink ref="H78" r:id="rId140" xr:uid="{00000000-0004-0000-0000-00008B000000}"/>
    <hyperlink ref="H79" r:id="rId141" xr:uid="{00000000-0004-0000-0000-00008C000000}"/>
    <hyperlink ref="H80" r:id="rId142" xr:uid="{00000000-0004-0000-0000-00008D000000}"/>
    <hyperlink ref="D81" r:id="rId143" xr:uid="{00000000-0004-0000-0000-00008E000000}"/>
    <hyperlink ref="H81" r:id="rId144" xr:uid="{00000000-0004-0000-0000-00008F000000}"/>
    <hyperlink ref="D82" r:id="rId145" xr:uid="{00000000-0004-0000-0000-000090000000}"/>
    <hyperlink ref="H82" r:id="rId146" xr:uid="{00000000-0004-0000-0000-000091000000}"/>
    <hyperlink ref="D83" r:id="rId147" xr:uid="{00000000-0004-0000-0000-000092000000}"/>
    <hyperlink ref="H83" r:id="rId148" xr:uid="{00000000-0004-0000-0000-000093000000}"/>
    <hyperlink ref="D84" r:id="rId149" xr:uid="{00000000-0004-0000-0000-000094000000}"/>
    <hyperlink ref="H84" r:id="rId150" xr:uid="{00000000-0004-0000-0000-000095000000}"/>
    <hyperlink ref="D85" r:id="rId151" xr:uid="{00000000-0004-0000-0000-000096000000}"/>
    <hyperlink ref="H85" r:id="rId152" xr:uid="{00000000-0004-0000-0000-000097000000}"/>
    <hyperlink ref="D86" r:id="rId153" xr:uid="{00000000-0004-0000-0000-000098000000}"/>
    <hyperlink ref="H86" r:id="rId154" xr:uid="{00000000-0004-0000-0000-000099000000}"/>
    <hyperlink ref="D87" r:id="rId155" xr:uid="{00000000-0004-0000-0000-00009A000000}"/>
    <hyperlink ref="H87" r:id="rId156" xr:uid="{00000000-0004-0000-0000-00009B000000}"/>
    <hyperlink ref="D88" r:id="rId157" xr:uid="{00000000-0004-0000-0000-00009C000000}"/>
    <hyperlink ref="H88" r:id="rId158" xr:uid="{00000000-0004-0000-0000-00009D000000}"/>
    <hyperlink ref="D89" r:id="rId159" xr:uid="{00000000-0004-0000-0000-00009E000000}"/>
    <hyperlink ref="H89" r:id="rId160" xr:uid="{00000000-0004-0000-0000-00009F000000}"/>
    <hyperlink ref="D90" r:id="rId161" xr:uid="{00000000-0004-0000-0000-0000A0000000}"/>
    <hyperlink ref="H90" r:id="rId162" xr:uid="{00000000-0004-0000-0000-0000A1000000}"/>
    <hyperlink ref="H91" r:id="rId163" xr:uid="{00000000-0004-0000-0000-0000A2000000}"/>
    <hyperlink ref="H92" r:id="rId164" xr:uid="{00000000-0004-0000-0000-0000A3000000}"/>
    <hyperlink ref="D93" r:id="rId165" xr:uid="{00000000-0004-0000-0000-0000A4000000}"/>
    <hyperlink ref="H93" r:id="rId166" xr:uid="{00000000-0004-0000-0000-0000A5000000}"/>
    <hyperlink ref="D94" r:id="rId167" xr:uid="{00000000-0004-0000-0000-0000A6000000}"/>
    <hyperlink ref="H94" r:id="rId168" xr:uid="{00000000-0004-0000-0000-0000A7000000}"/>
    <hyperlink ref="D95" r:id="rId169" xr:uid="{00000000-0004-0000-0000-0000A8000000}"/>
    <hyperlink ref="H95" r:id="rId170" xr:uid="{00000000-0004-0000-0000-0000A9000000}"/>
    <hyperlink ref="D96" r:id="rId171" xr:uid="{00000000-0004-0000-0000-0000AA000000}"/>
    <hyperlink ref="H96" r:id="rId172" xr:uid="{00000000-0004-0000-0000-0000AB000000}"/>
    <hyperlink ref="D97" r:id="rId173" xr:uid="{00000000-0004-0000-0000-0000AC000000}"/>
    <hyperlink ref="H97" r:id="rId174" xr:uid="{00000000-0004-0000-0000-0000AD000000}"/>
    <hyperlink ref="D98" r:id="rId175" xr:uid="{00000000-0004-0000-0000-0000AE000000}"/>
    <hyperlink ref="H98" r:id="rId176" xr:uid="{00000000-0004-0000-0000-0000AF000000}"/>
    <hyperlink ref="D99" r:id="rId177" xr:uid="{00000000-0004-0000-0000-0000B0000000}"/>
    <hyperlink ref="H99" r:id="rId178" xr:uid="{00000000-0004-0000-0000-0000B1000000}"/>
    <hyperlink ref="D100" r:id="rId179" xr:uid="{00000000-0004-0000-0000-0000B2000000}"/>
    <hyperlink ref="H100" r:id="rId180" xr:uid="{00000000-0004-0000-0000-0000B3000000}"/>
    <hyperlink ref="D101" r:id="rId181" xr:uid="{00000000-0004-0000-0000-0000B4000000}"/>
    <hyperlink ref="H101" r:id="rId182" xr:uid="{00000000-0004-0000-0000-0000B5000000}"/>
    <hyperlink ref="D102" r:id="rId183" xr:uid="{00000000-0004-0000-0000-0000B6000000}"/>
    <hyperlink ref="D103" r:id="rId184" xr:uid="{00000000-0004-0000-0000-0000B7000000}"/>
    <hyperlink ref="D104" r:id="rId185" xr:uid="{00000000-0004-0000-0000-0000B8000000}"/>
    <hyperlink ref="H105" r:id="rId186" xr:uid="{00000000-0004-0000-0000-0000B9000000}"/>
    <hyperlink ref="D106" r:id="rId187" xr:uid="{00000000-0004-0000-0000-0000BA000000}"/>
    <hyperlink ref="H106" r:id="rId188" xr:uid="{00000000-0004-0000-0000-0000BB000000}"/>
    <hyperlink ref="D107" r:id="rId189" xr:uid="{00000000-0004-0000-0000-0000BC000000}"/>
    <hyperlink ref="H107" r:id="rId190" xr:uid="{00000000-0004-0000-0000-0000BD000000}"/>
    <hyperlink ref="D108" r:id="rId191" xr:uid="{00000000-0004-0000-0000-0000BE000000}"/>
    <hyperlink ref="H108" r:id="rId192" xr:uid="{00000000-0004-0000-0000-0000BF000000}"/>
    <hyperlink ref="D109" r:id="rId193" xr:uid="{00000000-0004-0000-0000-0000C0000000}"/>
    <hyperlink ref="H109" r:id="rId194" xr:uid="{00000000-0004-0000-0000-0000C1000000}"/>
    <hyperlink ref="D110" r:id="rId195" xr:uid="{00000000-0004-0000-0000-0000C2000000}"/>
    <hyperlink ref="H110" r:id="rId196" xr:uid="{00000000-0004-0000-0000-0000C3000000}"/>
    <hyperlink ref="D111" r:id="rId197" xr:uid="{00000000-0004-0000-0000-0000C4000000}"/>
    <hyperlink ref="H111" r:id="rId198" xr:uid="{00000000-0004-0000-0000-0000C5000000}"/>
    <hyperlink ref="H112" r:id="rId199" xr:uid="{00000000-0004-0000-0000-0000C6000000}"/>
    <hyperlink ref="H113" r:id="rId200" xr:uid="{00000000-0004-0000-0000-0000C7000000}"/>
    <hyperlink ref="D114" r:id="rId201" xr:uid="{00000000-0004-0000-0000-0000C8000000}"/>
    <hyperlink ref="H114" r:id="rId202" xr:uid="{00000000-0004-0000-0000-0000C9000000}"/>
    <hyperlink ref="H115" r:id="rId203" xr:uid="{00000000-0004-0000-0000-0000CA000000}"/>
    <hyperlink ref="D116" r:id="rId204" xr:uid="{00000000-0004-0000-0000-0000CB000000}"/>
    <hyperlink ref="D117" r:id="rId205" xr:uid="{00000000-0004-0000-0000-0000CC000000}"/>
    <hyperlink ref="H117" r:id="rId206" xr:uid="{00000000-0004-0000-0000-0000CD000000}"/>
    <hyperlink ref="H118" r:id="rId207" xr:uid="{00000000-0004-0000-0000-0000CE000000}"/>
    <hyperlink ref="H119" r:id="rId208" xr:uid="{00000000-0004-0000-0000-0000CF000000}"/>
    <hyperlink ref="D120" r:id="rId209" xr:uid="{00000000-0004-0000-0000-0000D0000000}"/>
    <hyperlink ref="H120" r:id="rId210" xr:uid="{00000000-0004-0000-0000-0000D1000000}"/>
    <hyperlink ref="D121" r:id="rId211" xr:uid="{00000000-0004-0000-0000-0000D2000000}"/>
    <hyperlink ref="H121" r:id="rId212" xr:uid="{00000000-0004-0000-0000-0000D3000000}"/>
    <hyperlink ref="D122" r:id="rId213" xr:uid="{00000000-0004-0000-0000-0000D4000000}"/>
    <hyperlink ref="H122" r:id="rId214" xr:uid="{00000000-0004-0000-0000-0000D5000000}"/>
    <hyperlink ref="D123" r:id="rId215" xr:uid="{00000000-0004-0000-0000-0000D6000000}"/>
    <hyperlink ref="H123" r:id="rId216" xr:uid="{00000000-0004-0000-0000-0000D7000000}"/>
    <hyperlink ref="D124" r:id="rId217" xr:uid="{00000000-0004-0000-0000-0000D8000000}"/>
    <hyperlink ref="H124" r:id="rId218" xr:uid="{00000000-0004-0000-0000-0000D9000000}"/>
    <hyperlink ref="D125" r:id="rId219" xr:uid="{00000000-0004-0000-0000-0000DA000000}"/>
    <hyperlink ref="H125" r:id="rId220" xr:uid="{00000000-0004-0000-0000-0000DB000000}"/>
    <hyperlink ref="D126" r:id="rId221" xr:uid="{00000000-0004-0000-0000-0000DC000000}"/>
    <hyperlink ref="H126" r:id="rId222" xr:uid="{00000000-0004-0000-0000-0000DD000000}"/>
    <hyperlink ref="D127" r:id="rId223" xr:uid="{00000000-0004-0000-0000-0000DE000000}"/>
    <hyperlink ref="H127" r:id="rId224" xr:uid="{00000000-0004-0000-0000-0000DF000000}"/>
    <hyperlink ref="D128" r:id="rId225" xr:uid="{00000000-0004-0000-0000-0000E0000000}"/>
    <hyperlink ref="H128" r:id="rId226" xr:uid="{00000000-0004-0000-0000-0000E1000000}"/>
    <hyperlink ref="H129" r:id="rId227" xr:uid="{00000000-0004-0000-0000-0000E2000000}"/>
    <hyperlink ref="D130" r:id="rId228" xr:uid="{00000000-0004-0000-0000-0000E3000000}"/>
    <hyperlink ref="H130" r:id="rId229" xr:uid="{00000000-0004-0000-0000-0000E4000000}"/>
    <hyperlink ref="D131" r:id="rId230" xr:uid="{00000000-0004-0000-0000-0000E5000000}"/>
    <hyperlink ref="H131" r:id="rId231" xr:uid="{00000000-0004-0000-0000-0000E6000000}"/>
    <hyperlink ref="D132" r:id="rId232" xr:uid="{00000000-0004-0000-0000-0000E7000000}"/>
    <hyperlink ref="H132" r:id="rId233" xr:uid="{00000000-0004-0000-0000-0000E8000000}"/>
    <hyperlink ref="D133" r:id="rId234" xr:uid="{00000000-0004-0000-0000-0000E9000000}"/>
    <hyperlink ref="H133" r:id="rId235" xr:uid="{00000000-0004-0000-0000-0000EA000000}"/>
    <hyperlink ref="D134" r:id="rId236" xr:uid="{00000000-0004-0000-0000-0000EB000000}"/>
    <hyperlink ref="H134" r:id="rId237" xr:uid="{00000000-0004-0000-0000-0000EC000000}"/>
    <hyperlink ref="D135" r:id="rId238" xr:uid="{00000000-0004-0000-0000-0000ED000000}"/>
    <hyperlink ref="H135" r:id="rId239" xr:uid="{00000000-0004-0000-0000-0000EE000000}"/>
    <hyperlink ref="D136" r:id="rId240" xr:uid="{00000000-0004-0000-0000-0000EF000000}"/>
    <hyperlink ref="H136" r:id="rId241" xr:uid="{00000000-0004-0000-0000-0000F0000000}"/>
    <hyperlink ref="H137" r:id="rId242" xr:uid="{00000000-0004-0000-0000-0000F1000000}"/>
    <hyperlink ref="D138" r:id="rId243" xr:uid="{00000000-0004-0000-0000-0000F2000000}"/>
    <hyperlink ref="H138" r:id="rId244" xr:uid="{00000000-0004-0000-0000-0000F3000000}"/>
    <hyperlink ref="D139" r:id="rId245" xr:uid="{00000000-0004-0000-0000-0000F4000000}"/>
    <hyperlink ref="H139" r:id="rId246" xr:uid="{00000000-0004-0000-0000-0000F5000000}"/>
    <hyperlink ref="D140" r:id="rId247" xr:uid="{00000000-0004-0000-0000-0000F6000000}"/>
    <hyperlink ref="H140" r:id="rId248" xr:uid="{00000000-0004-0000-0000-0000F7000000}"/>
    <hyperlink ref="D141" r:id="rId249" xr:uid="{00000000-0004-0000-0000-0000F8000000}"/>
    <hyperlink ref="H141" r:id="rId250" xr:uid="{00000000-0004-0000-0000-0000F9000000}"/>
    <hyperlink ref="H142" r:id="rId251" xr:uid="{00000000-0004-0000-0000-0000FA000000}"/>
    <hyperlink ref="H143" r:id="rId252" xr:uid="{00000000-0004-0000-0000-0000FB000000}"/>
    <hyperlink ref="D144" r:id="rId253" xr:uid="{00000000-0004-0000-0000-0000FC000000}"/>
    <hyperlink ref="H144" r:id="rId254" xr:uid="{00000000-0004-0000-0000-0000FD000000}"/>
    <hyperlink ref="D145" r:id="rId255" xr:uid="{00000000-0004-0000-0000-0000FE000000}"/>
    <hyperlink ref="H145" r:id="rId256" xr:uid="{00000000-0004-0000-0000-0000FF000000}"/>
    <hyperlink ref="D146" r:id="rId257" xr:uid="{00000000-0004-0000-0000-000000010000}"/>
    <hyperlink ref="H146" r:id="rId258" xr:uid="{00000000-0004-0000-0000-000001010000}"/>
    <hyperlink ref="D147" r:id="rId259" xr:uid="{00000000-0004-0000-0000-000002010000}"/>
    <hyperlink ref="H147" r:id="rId260" xr:uid="{00000000-0004-0000-0000-000003010000}"/>
    <hyperlink ref="D148" r:id="rId261" xr:uid="{00000000-0004-0000-0000-000004010000}"/>
    <hyperlink ref="H148" r:id="rId262" xr:uid="{00000000-0004-0000-0000-000005010000}"/>
    <hyperlink ref="D149" r:id="rId263" xr:uid="{00000000-0004-0000-0000-000006010000}"/>
    <hyperlink ref="H149" r:id="rId264" xr:uid="{00000000-0004-0000-0000-000007010000}"/>
    <hyperlink ref="D150" r:id="rId265" xr:uid="{00000000-0004-0000-0000-000008010000}"/>
    <hyperlink ref="H150" r:id="rId266" xr:uid="{00000000-0004-0000-0000-000009010000}"/>
    <hyperlink ref="D151" r:id="rId267" xr:uid="{00000000-0004-0000-0000-00000A010000}"/>
    <hyperlink ref="H151" r:id="rId268" xr:uid="{00000000-0004-0000-0000-00000B010000}"/>
    <hyperlink ref="D152" r:id="rId269" xr:uid="{00000000-0004-0000-0000-00000C010000}"/>
    <hyperlink ref="H152" r:id="rId270" xr:uid="{00000000-0004-0000-0000-00000D010000}"/>
    <hyperlink ref="D153" r:id="rId271" xr:uid="{00000000-0004-0000-0000-00000E010000}"/>
    <hyperlink ref="H153" r:id="rId272" xr:uid="{00000000-0004-0000-0000-00000F010000}"/>
    <hyperlink ref="D154" r:id="rId273" xr:uid="{00000000-0004-0000-0000-000010010000}"/>
    <hyperlink ref="H154" r:id="rId274" xr:uid="{00000000-0004-0000-0000-000011010000}"/>
    <hyperlink ref="D155" r:id="rId275" xr:uid="{00000000-0004-0000-0000-000012010000}"/>
    <hyperlink ref="H155" r:id="rId276" xr:uid="{00000000-0004-0000-0000-000013010000}"/>
    <hyperlink ref="D156" r:id="rId277" xr:uid="{00000000-0004-0000-0000-000014010000}"/>
    <hyperlink ref="H156" r:id="rId278" xr:uid="{00000000-0004-0000-0000-000015010000}"/>
    <hyperlink ref="D157" r:id="rId279" xr:uid="{00000000-0004-0000-0000-000016010000}"/>
    <hyperlink ref="H157" r:id="rId280" xr:uid="{00000000-0004-0000-0000-000017010000}"/>
    <hyperlink ref="D158" r:id="rId281" xr:uid="{00000000-0004-0000-0000-000018010000}"/>
    <hyperlink ref="H158" r:id="rId282" xr:uid="{00000000-0004-0000-0000-000019010000}"/>
    <hyperlink ref="H159" r:id="rId283" xr:uid="{00000000-0004-0000-0000-00001A010000}"/>
    <hyperlink ref="D160" r:id="rId284" xr:uid="{00000000-0004-0000-0000-00001B010000}"/>
    <hyperlink ref="H160" r:id="rId285" xr:uid="{00000000-0004-0000-0000-00001C010000}"/>
    <hyperlink ref="D161" r:id="rId286" xr:uid="{00000000-0004-0000-0000-00001D010000}"/>
    <hyperlink ref="H161" r:id="rId287" xr:uid="{00000000-0004-0000-0000-00001E010000}"/>
    <hyperlink ref="D162" r:id="rId288" xr:uid="{00000000-0004-0000-0000-00001F010000}"/>
    <hyperlink ref="H162" r:id="rId289" xr:uid="{00000000-0004-0000-0000-000020010000}"/>
    <hyperlink ref="D163" r:id="rId290" xr:uid="{00000000-0004-0000-0000-000021010000}"/>
    <hyperlink ref="H163" r:id="rId291" xr:uid="{00000000-0004-0000-0000-000022010000}"/>
    <hyperlink ref="D164" r:id="rId292" xr:uid="{00000000-0004-0000-0000-000023010000}"/>
    <hyperlink ref="H164" r:id="rId293" xr:uid="{00000000-0004-0000-0000-000024010000}"/>
    <hyperlink ref="H165" r:id="rId294" xr:uid="{00000000-0004-0000-0000-000025010000}"/>
    <hyperlink ref="D166" r:id="rId295" xr:uid="{00000000-0004-0000-0000-000026010000}"/>
    <hyperlink ref="H166" r:id="rId296" xr:uid="{00000000-0004-0000-0000-000027010000}"/>
    <hyperlink ref="D167" r:id="rId297" xr:uid="{00000000-0004-0000-0000-000028010000}"/>
    <hyperlink ref="H167" r:id="rId298" xr:uid="{00000000-0004-0000-0000-000029010000}"/>
    <hyperlink ref="D168" r:id="rId299" xr:uid="{00000000-0004-0000-0000-00002A010000}"/>
    <hyperlink ref="H168" r:id="rId300" xr:uid="{00000000-0004-0000-0000-00002B010000}"/>
    <hyperlink ref="D169" r:id="rId301" xr:uid="{00000000-0004-0000-0000-00002C010000}"/>
    <hyperlink ref="H169" r:id="rId302" xr:uid="{00000000-0004-0000-0000-00002D010000}"/>
    <hyperlink ref="D170" r:id="rId303" xr:uid="{00000000-0004-0000-0000-00002E010000}"/>
    <hyperlink ref="H170" r:id="rId304" xr:uid="{00000000-0004-0000-0000-00002F010000}"/>
    <hyperlink ref="D171" r:id="rId305" xr:uid="{00000000-0004-0000-0000-000030010000}"/>
    <hyperlink ref="H171" r:id="rId306" xr:uid="{00000000-0004-0000-0000-000031010000}"/>
    <hyperlink ref="D172" r:id="rId307" xr:uid="{00000000-0004-0000-0000-000032010000}"/>
    <hyperlink ref="H172" r:id="rId308" xr:uid="{00000000-0004-0000-0000-000033010000}"/>
    <hyperlink ref="D173" r:id="rId309" xr:uid="{00000000-0004-0000-0000-000034010000}"/>
    <hyperlink ref="H173" r:id="rId310" xr:uid="{00000000-0004-0000-0000-000035010000}"/>
    <hyperlink ref="D174" r:id="rId311" xr:uid="{00000000-0004-0000-0000-000036010000}"/>
    <hyperlink ref="H174" r:id="rId312" xr:uid="{00000000-0004-0000-0000-000037010000}"/>
    <hyperlink ref="D175" r:id="rId313" xr:uid="{00000000-0004-0000-0000-000038010000}"/>
    <hyperlink ref="H175" r:id="rId314" xr:uid="{00000000-0004-0000-0000-000039010000}"/>
    <hyperlink ref="D176" r:id="rId315" xr:uid="{00000000-0004-0000-0000-00003A010000}"/>
    <hyperlink ref="H176" r:id="rId316" xr:uid="{00000000-0004-0000-0000-00003B010000}"/>
    <hyperlink ref="D177" r:id="rId317" xr:uid="{00000000-0004-0000-0000-00003C010000}"/>
    <hyperlink ref="H177" r:id="rId318" xr:uid="{00000000-0004-0000-0000-00003D010000}"/>
    <hyperlink ref="D178" r:id="rId319" xr:uid="{00000000-0004-0000-0000-00003E010000}"/>
    <hyperlink ref="H178" r:id="rId320" xr:uid="{00000000-0004-0000-0000-00003F010000}"/>
    <hyperlink ref="D179" r:id="rId321" xr:uid="{00000000-0004-0000-0000-000040010000}"/>
    <hyperlink ref="H179" r:id="rId322" xr:uid="{00000000-0004-0000-0000-000041010000}"/>
    <hyperlink ref="D180" r:id="rId323" xr:uid="{00000000-0004-0000-0000-000042010000}"/>
    <hyperlink ref="H180" r:id="rId324" xr:uid="{00000000-0004-0000-0000-000043010000}"/>
    <hyperlink ref="H181" r:id="rId325" xr:uid="{00000000-0004-0000-0000-000044010000}"/>
    <hyperlink ref="D182" r:id="rId326" xr:uid="{00000000-0004-0000-0000-000045010000}"/>
    <hyperlink ref="H182" r:id="rId327" xr:uid="{00000000-0004-0000-0000-000046010000}"/>
    <hyperlink ref="D183" r:id="rId328" xr:uid="{00000000-0004-0000-0000-000047010000}"/>
    <hyperlink ref="H183" r:id="rId329" xr:uid="{00000000-0004-0000-0000-000048010000}"/>
    <hyperlink ref="H184" r:id="rId330" xr:uid="{00000000-0004-0000-0000-000049010000}"/>
    <hyperlink ref="H185" r:id="rId331" xr:uid="{00000000-0004-0000-0000-00004A010000}"/>
    <hyperlink ref="D186" r:id="rId332" xr:uid="{00000000-0004-0000-0000-00004B010000}"/>
    <hyperlink ref="H186" r:id="rId333" xr:uid="{00000000-0004-0000-0000-00004C010000}"/>
    <hyperlink ref="D187" r:id="rId334" xr:uid="{00000000-0004-0000-0000-00004D010000}"/>
    <hyperlink ref="H187" r:id="rId335" xr:uid="{00000000-0004-0000-0000-00004E010000}"/>
    <hyperlink ref="D188" r:id="rId336" xr:uid="{00000000-0004-0000-0000-00004F010000}"/>
    <hyperlink ref="H188" r:id="rId337" xr:uid="{00000000-0004-0000-0000-000050010000}"/>
    <hyperlink ref="D189" r:id="rId338" xr:uid="{00000000-0004-0000-0000-000051010000}"/>
    <hyperlink ref="H189" r:id="rId339" xr:uid="{00000000-0004-0000-0000-000052010000}"/>
    <hyperlink ref="D190" r:id="rId340" xr:uid="{00000000-0004-0000-0000-000053010000}"/>
    <hyperlink ref="H190" r:id="rId341" xr:uid="{00000000-0004-0000-0000-000054010000}"/>
    <hyperlink ref="D191" r:id="rId342" xr:uid="{00000000-0004-0000-0000-000055010000}"/>
    <hyperlink ref="H191" r:id="rId343" xr:uid="{00000000-0004-0000-0000-000056010000}"/>
    <hyperlink ref="D192" r:id="rId344" xr:uid="{00000000-0004-0000-0000-000057010000}"/>
    <hyperlink ref="H192" r:id="rId345" xr:uid="{00000000-0004-0000-0000-000058010000}"/>
    <hyperlink ref="D193" r:id="rId346" xr:uid="{00000000-0004-0000-0000-000059010000}"/>
    <hyperlink ref="H193" r:id="rId347" xr:uid="{00000000-0004-0000-0000-00005A010000}"/>
    <hyperlink ref="D194" r:id="rId348" xr:uid="{00000000-0004-0000-0000-00005B010000}"/>
    <hyperlink ref="H194" r:id="rId349" xr:uid="{00000000-0004-0000-0000-00005C010000}"/>
    <hyperlink ref="D195" r:id="rId350" xr:uid="{00000000-0004-0000-0000-00005D010000}"/>
    <hyperlink ref="H195" r:id="rId351" xr:uid="{00000000-0004-0000-0000-00005E010000}"/>
    <hyperlink ref="D196" r:id="rId352" xr:uid="{00000000-0004-0000-0000-00005F010000}"/>
    <hyperlink ref="H196" r:id="rId353" xr:uid="{00000000-0004-0000-0000-000060010000}"/>
    <hyperlink ref="D197" r:id="rId354" xr:uid="{00000000-0004-0000-0000-000061010000}"/>
    <hyperlink ref="H197" r:id="rId355" xr:uid="{00000000-0004-0000-0000-000062010000}"/>
    <hyperlink ref="D198" r:id="rId356" xr:uid="{00000000-0004-0000-0000-000063010000}"/>
    <hyperlink ref="H198" r:id="rId357" xr:uid="{00000000-0004-0000-0000-000064010000}"/>
    <hyperlink ref="H199" r:id="rId358" xr:uid="{00000000-0004-0000-0000-000065010000}"/>
    <hyperlink ref="D200" r:id="rId359" xr:uid="{00000000-0004-0000-0000-000066010000}"/>
    <hyperlink ref="H200" r:id="rId360" xr:uid="{00000000-0004-0000-0000-000067010000}"/>
    <hyperlink ref="D201" r:id="rId361" xr:uid="{00000000-0004-0000-0000-000068010000}"/>
    <hyperlink ref="H201" r:id="rId362" xr:uid="{00000000-0004-0000-0000-000069010000}"/>
    <hyperlink ref="D202" r:id="rId363" xr:uid="{00000000-0004-0000-0000-00006A010000}"/>
    <hyperlink ref="H202" r:id="rId364" xr:uid="{00000000-0004-0000-0000-00006B010000}"/>
    <hyperlink ref="D203" r:id="rId365" xr:uid="{00000000-0004-0000-0000-00006C010000}"/>
    <hyperlink ref="H203" r:id="rId366" xr:uid="{00000000-0004-0000-0000-00006D010000}"/>
    <hyperlink ref="D204" r:id="rId367" xr:uid="{00000000-0004-0000-0000-00006E010000}"/>
    <hyperlink ref="H204" r:id="rId368" xr:uid="{00000000-0004-0000-0000-00006F010000}"/>
    <hyperlink ref="D205" r:id="rId369" xr:uid="{00000000-0004-0000-0000-000070010000}"/>
    <hyperlink ref="H205" r:id="rId370" xr:uid="{00000000-0004-0000-0000-000071010000}"/>
    <hyperlink ref="D206" r:id="rId371" xr:uid="{00000000-0004-0000-0000-000072010000}"/>
    <hyperlink ref="H206" r:id="rId372" xr:uid="{00000000-0004-0000-0000-000073010000}"/>
    <hyperlink ref="D207" r:id="rId373" xr:uid="{00000000-0004-0000-0000-000074010000}"/>
    <hyperlink ref="H207" r:id="rId374" xr:uid="{00000000-0004-0000-0000-000075010000}"/>
    <hyperlink ref="D208" r:id="rId375" xr:uid="{00000000-0004-0000-0000-000076010000}"/>
    <hyperlink ref="H208" r:id="rId376" xr:uid="{00000000-0004-0000-0000-000077010000}"/>
    <hyperlink ref="D209" r:id="rId377" xr:uid="{00000000-0004-0000-0000-000078010000}"/>
    <hyperlink ref="H209" r:id="rId378" xr:uid="{00000000-0004-0000-0000-000079010000}"/>
    <hyperlink ref="D210" r:id="rId379" xr:uid="{00000000-0004-0000-0000-00007A010000}"/>
    <hyperlink ref="H210" r:id="rId380" xr:uid="{00000000-0004-0000-0000-00007B010000}"/>
    <hyperlink ref="D211" r:id="rId381" xr:uid="{00000000-0004-0000-0000-00007C010000}"/>
    <hyperlink ref="H211" r:id="rId382" xr:uid="{00000000-0004-0000-0000-00007D010000}"/>
    <hyperlink ref="D212" r:id="rId383" xr:uid="{00000000-0004-0000-0000-00007E010000}"/>
    <hyperlink ref="H212" r:id="rId384" xr:uid="{00000000-0004-0000-0000-00007F010000}"/>
    <hyperlink ref="D213" r:id="rId385" xr:uid="{00000000-0004-0000-0000-000080010000}"/>
    <hyperlink ref="H213" r:id="rId386" xr:uid="{00000000-0004-0000-0000-000081010000}"/>
    <hyperlink ref="D214" r:id="rId387" xr:uid="{00000000-0004-0000-0000-000082010000}"/>
    <hyperlink ref="H214" r:id="rId388" xr:uid="{00000000-0004-0000-0000-000083010000}"/>
    <hyperlink ref="D215" r:id="rId389" xr:uid="{00000000-0004-0000-0000-000084010000}"/>
    <hyperlink ref="H215" r:id="rId390" xr:uid="{00000000-0004-0000-0000-000085010000}"/>
    <hyperlink ref="D216" r:id="rId391" xr:uid="{00000000-0004-0000-0000-000086010000}"/>
    <hyperlink ref="H216" r:id="rId392" xr:uid="{00000000-0004-0000-0000-000087010000}"/>
    <hyperlink ref="D217" r:id="rId393" xr:uid="{00000000-0004-0000-0000-000088010000}"/>
    <hyperlink ref="H217" r:id="rId394" xr:uid="{00000000-0004-0000-0000-000089010000}"/>
    <hyperlink ref="D218" r:id="rId395" xr:uid="{00000000-0004-0000-0000-00008A010000}"/>
    <hyperlink ref="H218" r:id="rId396" xr:uid="{00000000-0004-0000-0000-00008B010000}"/>
    <hyperlink ref="D219" r:id="rId397" xr:uid="{00000000-0004-0000-0000-00008C010000}"/>
    <hyperlink ref="H219" r:id="rId398" xr:uid="{00000000-0004-0000-0000-00008D010000}"/>
    <hyperlink ref="D220" r:id="rId399" xr:uid="{00000000-0004-0000-0000-00008E010000}"/>
    <hyperlink ref="H220" r:id="rId400" xr:uid="{00000000-0004-0000-0000-00008F010000}"/>
    <hyperlink ref="H221" r:id="rId401" xr:uid="{00000000-0004-0000-0000-000090010000}"/>
    <hyperlink ref="H222" r:id="rId402" xr:uid="{00000000-0004-0000-0000-000091010000}"/>
    <hyperlink ref="D223" r:id="rId403" xr:uid="{00000000-0004-0000-0000-000092010000}"/>
    <hyperlink ref="H223" r:id="rId404" xr:uid="{00000000-0004-0000-0000-000093010000}"/>
    <hyperlink ref="D224" r:id="rId405" xr:uid="{00000000-0004-0000-0000-000094010000}"/>
    <hyperlink ref="H225" r:id="rId406" xr:uid="{00000000-0004-0000-0000-000095010000}"/>
    <hyperlink ref="H226" r:id="rId407" xr:uid="{00000000-0004-0000-0000-000096010000}"/>
    <hyperlink ref="D227" r:id="rId408" xr:uid="{00000000-0004-0000-0000-000097010000}"/>
    <hyperlink ref="H227" r:id="rId409" xr:uid="{00000000-0004-0000-0000-000098010000}"/>
    <hyperlink ref="D228" r:id="rId410" xr:uid="{00000000-0004-0000-0000-000099010000}"/>
    <hyperlink ref="H228" r:id="rId411" xr:uid="{00000000-0004-0000-0000-00009A010000}"/>
    <hyperlink ref="D229" r:id="rId412" xr:uid="{00000000-0004-0000-0000-00009B010000}"/>
    <hyperlink ref="H229" r:id="rId413" xr:uid="{00000000-0004-0000-0000-00009C010000}"/>
    <hyperlink ref="H230" r:id="rId414" xr:uid="{00000000-0004-0000-0000-00009D010000}"/>
    <hyperlink ref="D231" r:id="rId415" xr:uid="{00000000-0004-0000-0000-00009E010000}"/>
    <hyperlink ref="H231" r:id="rId416" xr:uid="{00000000-0004-0000-0000-00009F010000}"/>
    <hyperlink ref="H232" r:id="rId417" xr:uid="{00000000-0004-0000-0000-0000A0010000}"/>
    <hyperlink ref="D233" r:id="rId418" xr:uid="{00000000-0004-0000-0000-0000A1010000}"/>
    <hyperlink ref="H233" r:id="rId419" xr:uid="{00000000-0004-0000-0000-0000A2010000}"/>
    <hyperlink ref="D234" r:id="rId420" xr:uid="{00000000-0004-0000-0000-0000A3010000}"/>
    <hyperlink ref="H234" r:id="rId421" xr:uid="{00000000-0004-0000-0000-0000A4010000}"/>
    <hyperlink ref="D235" r:id="rId422" xr:uid="{00000000-0004-0000-0000-0000A5010000}"/>
    <hyperlink ref="H235" r:id="rId423" xr:uid="{00000000-0004-0000-0000-0000A6010000}"/>
    <hyperlink ref="D236" r:id="rId424" xr:uid="{00000000-0004-0000-0000-0000A7010000}"/>
    <hyperlink ref="H236" r:id="rId425" xr:uid="{00000000-0004-0000-0000-0000A8010000}"/>
    <hyperlink ref="D237" r:id="rId426" xr:uid="{00000000-0004-0000-0000-0000A9010000}"/>
    <hyperlink ref="H237" r:id="rId427" xr:uid="{00000000-0004-0000-0000-0000AA010000}"/>
    <hyperlink ref="D238" r:id="rId428" xr:uid="{00000000-0004-0000-0000-0000AB010000}"/>
    <hyperlink ref="H238" r:id="rId429" xr:uid="{00000000-0004-0000-0000-0000AC010000}"/>
    <hyperlink ref="H239" r:id="rId430" xr:uid="{00000000-0004-0000-0000-0000AD010000}"/>
    <hyperlink ref="D240" r:id="rId431" xr:uid="{00000000-0004-0000-0000-0000AE010000}"/>
    <hyperlink ref="H240" r:id="rId432" xr:uid="{00000000-0004-0000-0000-0000AF010000}"/>
    <hyperlink ref="D241" r:id="rId433" xr:uid="{00000000-0004-0000-0000-0000B0010000}"/>
    <hyperlink ref="H241" r:id="rId434" xr:uid="{00000000-0004-0000-0000-0000B1010000}"/>
    <hyperlink ref="D242" r:id="rId435" xr:uid="{00000000-0004-0000-0000-0000B2010000}"/>
    <hyperlink ref="H242" r:id="rId436" xr:uid="{00000000-0004-0000-0000-0000B3010000}"/>
    <hyperlink ref="D243" r:id="rId437" xr:uid="{00000000-0004-0000-0000-0000B4010000}"/>
    <hyperlink ref="H243" r:id="rId438" xr:uid="{00000000-0004-0000-0000-0000B5010000}"/>
    <hyperlink ref="H244" r:id="rId439" xr:uid="{00000000-0004-0000-0000-0000B6010000}"/>
    <hyperlink ref="D245" r:id="rId440" xr:uid="{00000000-0004-0000-0000-0000B7010000}"/>
    <hyperlink ref="H245" r:id="rId441" xr:uid="{00000000-0004-0000-0000-0000B8010000}"/>
    <hyperlink ref="D246" r:id="rId442" xr:uid="{00000000-0004-0000-0000-0000B9010000}"/>
    <hyperlink ref="H246" r:id="rId443" xr:uid="{00000000-0004-0000-0000-0000BA010000}"/>
    <hyperlink ref="D247" r:id="rId444" xr:uid="{00000000-0004-0000-0000-0000BB010000}"/>
    <hyperlink ref="H247" r:id="rId445" xr:uid="{00000000-0004-0000-0000-0000BC010000}"/>
    <hyperlink ref="D248" r:id="rId446" xr:uid="{00000000-0004-0000-0000-0000BD010000}"/>
    <hyperlink ref="H248" r:id="rId447" xr:uid="{00000000-0004-0000-0000-0000BE010000}"/>
    <hyperlink ref="D249" r:id="rId448" xr:uid="{00000000-0004-0000-0000-0000BF010000}"/>
    <hyperlink ref="H249" r:id="rId449" xr:uid="{00000000-0004-0000-0000-0000C0010000}"/>
    <hyperlink ref="D250" r:id="rId450" xr:uid="{00000000-0004-0000-0000-0000C1010000}"/>
    <hyperlink ref="H250" r:id="rId451" xr:uid="{00000000-0004-0000-0000-0000C2010000}"/>
    <hyperlink ref="D251" r:id="rId452" xr:uid="{00000000-0004-0000-0000-0000C3010000}"/>
    <hyperlink ref="H251" r:id="rId453" xr:uid="{00000000-0004-0000-0000-0000C4010000}"/>
    <hyperlink ref="D252" r:id="rId454" xr:uid="{00000000-0004-0000-0000-0000C5010000}"/>
    <hyperlink ref="H252" r:id="rId455" xr:uid="{00000000-0004-0000-0000-0000C6010000}"/>
    <hyperlink ref="D253" r:id="rId456" xr:uid="{00000000-0004-0000-0000-0000C7010000}"/>
    <hyperlink ref="H253" r:id="rId457" xr:uid="{00000000-0004-0000-0000-0000C8010000}"/>
    <hyperlink ref="D254" r:id="rId458" xr:uid="{00000000-0004-0000-0000-0000C9010000}"/>
    <hyperlink ref="H254" r:id="rId459" xr:uid="{00000000-0004-0000-0000-0000CA010000}"/>
    <hyperlink ref="H255" r:id="rId460" xr:uid="{00000000-0004-0000-0000-0000CB010000}"/>
    <hyperlink ref="D256" r:id="rId461" xr:uid="{00000000-0004-0000-0000-0000CC010000}"/>
    <hyperlink ref="H256" r:id="rId462" xr:uid="{00000000-0004-0000-0000-0000CD010000}"/>
    <hyperlink ref="D257" r:id="rId463" xr:uid="{00000000-0004-0000-0000-0000CE010000}"/>
    <hyperlink ref="H257" r:id="rId464" xr:uid="{00000000-0004-0000-0000-0000CF010000}"/>
    <hyperlink ref="D258" r:id="rId465" xr:uid="{00000000-0004-0000-0000-0000D0010000}"/>
    <hyperlink ref="H258" r:id="rId466" xr:uid="{00000000-0004-0000-0000-0000D1010000}"/>
    <hyperlink ref="D259" r:id="rId467" xr:uid="{00000000-0004-0000-0000-0000D2010000}"/>
    <hyperlink ref="H259" r:id="rId468" xr:uid="{00000000-0004-0000-0000-0000D3010000}"/>
    <hyperlink ref="D260" r:id="rId469" xr:uid="{00000000-0004-0000-0000-0000D4010000}"/>
    <hyperlink ref="H260" r:id="rId470" xr:uid="{00000000-0004-0000-0000-0000D5010000}"/>
    <hyperlink ref="H261" r:id="rId471" xr:uid="{00000000-0004-0000-0000-0000D6010000}"/>
    <hyperlink ref="D262" r:id="rId472" xr:uid="{00000000-0004-0000-0000-0000D7010000}"/>
    <hyperlink ref="H262" r:id="rId473" xr:uid="{00000000-0004-0000-0000-0000D8010000}"/>
    <hyperlink ref="H263" r:id="rId474" xr:uid="{00000000-0004-0000-0000-0000D9010000}"/>
    <hyperlink ref="D264" r:id="rId475" xr:uid="{00000000-0004-0000-0000-0000DA010000}"/>
    <hyperlink ref="H264" r:id="rId476" xr:uid="{00000000-0004-0000-0000-0000DB010000}"/>
    <hyperlink ref="D265" r:id="rId477" xr:uid="{00000000-0004-0000-0000-0000DC010000}"/>
    <hyperlink ref="H265" r:id="rId478" xr:uid="{00000000-0004-0000-0000-0000DD010000}"/>
    <hyperlink ref="D266" r:id="rId479" xr:uid="{00000000-0004-0000-0000-0000DE010000}"/>
    <hyperlink ref="H266" r:id="rId480" xr:uid="{00000000-0004-0000-0000-0000DF010000}"/>
    <hyperlink ref="D267" r:id="rId481" xr:uid="{00000000-0004-0000-0000-0000E0010000}"/>
    <hyperlink ref="H267" r:id="rId482" xr:uid="{00000000-0004-0000-0000-0000E1010000}"/>
    <hyperlink ref="D268" r:id="rId483" xr:uid="{00000000-0004-0000-0000-0000E2010000}"/>
    <hyperlink ref="H268" r:id="rId484" xr:uid="{00000000-0004-0000-0000-0000E3010000}"/>
    <hyperlink ref="D269" r:id="rId485" xr:uid="{00000000-0004-0000-0000-0000E4010000}"/>
    <hyperlink ref="H269" r:id="rId486" xr:uid="{00000000-0004-0000-0000-0000E5010000}"/>
    <hyperlink ref="D270" r:id="rId487" xr:uid="{00000000-0004-0000-0000-0000E6010000}"/>
    <hyperlink ref="H270" r:id="rId488" xr:uid="{00000000-0004-0000-0000-0000E7010000}"/>
    <hyperlink ref="D271" r:id="rId489" xr:uid="{00000000-0004-0000-0000-0000E8010000}"/>
    <hyperlink ref="H271" r:id="rId490" xr:uid="{00000000-0004-0000-0000-0000E9010000}"/>
    <hyperlink ref="D272" r:id="rId491" xr:uid="{00000000-0004-0000-0000-0000EA010000}"/>
    <hyperlink ref="H272" r:id="rId492" xr:uid="{00000000-0004-0000-0000-0000EB010000}"/>
    <hyperlink ref="D273" r:id="rId493" xr:uid="{00000000-0004-0000-0000-0000EC010000}"/>
    <hyperlink ref="H273" r:id="rId494" xr:uid="{00000000-0004-0000-0000-0000ED010000}"/>
    <hyperlink ref="D274" r:id="rId495" xr:uid="{00000000-0004-0000-0000-0000EE010000}"/>
    <hyperlink ref="H274" r:id="rId496" xr:uid="{00000000-0004-0000-0000-0000EF010000}"/>
    <hyperlink ref="H275" r:id="rId497" xr:uid="{00000000-0004-0000-0000-0000F0010000}"/>
    <hyperlink ref="D276" r:id="rId498" xr:uid="{00000000-0004-0000-0000-0000F1010000}"/>
    <hyperlink ref="H276" r:id="rId499" xr:uid="{00000000-0004-0000-0000-0000F2010000}"/>
    <hyperlink ref="D277" r:id="rId500" xr:uid="{00000000-0004-0000-0000-0000F3010000}"/>
    <hyperlink ref="H277" r:id="rId501" xr:uid="{00000000-0004-0000-0000-0000F4010000}"/>
    <hyperlink ref="D278" r:id="rId502" xr:uid="{00000000-0004-0000-0000-0000F5010000}"/>
    <hyperlink ref="H278" r:id="rId503" xr:uid="{00000000-0004-0000-0000-0000F6010000}"/>
    <hyperlink ref="D279" r:id="rId504" xr:uid="{00000000-0004-0000-0000-0000F7010000}"/>
    <hyperlink ref="H279" r:id="rId505" xr:uid="{00000000-0004-0000-0000-0000F8010000}"/>
    <hyperlink ref="D280" r:id="rId506" xr:uid="{00000000-0004-0000-0000-0000F9010000}"/>
    <hyperlink ref="H280" r:id="rId507" xr:uid="{00000000-0004-0000-0000-0000FA010000}"/>
    <hyperlink ref="D281" r:id="rId508" xr:uid="{00000000-0004-0000-0000-0000FB010000}"/>
    <hyperlink ref="H281" r:id="rId509" xr:uid="{00000000-0004-0000-0000-0000FC010000}"/>
    <hyperlink ref="D282" r:id="rId510" xr:uid="{00000000-0004-0000-0000-0000FD010000}"/>
    <hyperlink ref="H282" r:id="rId511" xr:uid="{00000000-0004-0000-0000-0000FE010000}"/>
    <hyperlink ref="D283" r:id="rId512" xr:uid="{00000000-0004-0000-0000-0000FF010000}"/>
    <hyperlink ref="H283" r:id="rId513" xr:uid="{00000000-0004-0000-0000-000000020000}"/>
    <hyperlink ref="D284" r:id="rId514" xr:uid="{00000000-0004-0000-0000-000001020000}"/>
    <hyperlink ref="H284" r:id="rId515" xr:uid="{00000000-0004-0000-0000-000002020000}"/>
    <hyperlink ref="D285" r:id="rId516" xr:uid="{00000000-0004-0000-0000-000003020000}"/>
    <hyperlink ref="H285" r:id="rId517" xr:uid="{00000000-0004-0000-0000-000004020000}"/>
    <hyperlink ref="D286" r:id="rId518" xr:uid="{00000000-0004-0000-0000-000005020000}"/>
    <hyperlink ref="H286" r:id="rId519" xr:uid="{00000000-0004-0000-0000-000006020000}"/>
    <hyperlink ref="D287" r:id="rId520" xr:uid="{00000000-0004-0000-0000-000007020000}"/>
    <hyperlink ref="H287" r:id="rId521" xr:uid="{00000000-0004-0000-0000-000008020000}"/>
    <hyperlink ref="D288" r:id="rId522" xr:uid="{00000000-0004-0000-0000-000009020000}"/>
    <hyperlink ref="H288" r:id="rId523" xr:uid="{00000000-0004-0000-0000-00000A020000}"/>
    <hyperlink ref="D289" r:id="rId524" xr:uid="{00000000-0004-0000-0000-00000B020000}"/>
    <hyperlink ref="H289" r:id="rId525" xr:uid="{00000000-0004-0000-0000-00000C020000}"/>
    <hyperlink ref="D290" r:id="rId526" xr:uid="{00000000-0004-0000-0000-00000D020000}"/>
    <hyperlink ref="H290" r:id="rId527" xr:uid="{00000000-0004-0000-0000-00000E020000}"/>
    <hyperlink ref="D291" r:id="rId528" xr:uid="{00000000-0004-0000-0000-00000F020000}"/>
    <hyperlink ref="H291" r:id="rId529" xr:uid="{00000000-0004-0000-0000-000010020000}"/>
    <hyperlink ref="H292" r:id="rId530" xr:uid="{00000000-0004-0000-0000-000011020000}"/>
    <hyperlink ref="D293" r:id="rId531" xr:uid="{00000000-0004-0000-0000-000012020000}"/>
    <hyperlink ref="H293" r:id="rId532" xr:uid="{00000000-0004-0000-0000-000013020000}"/>
    <hyperlink ref="D294" r:id="rId533" xr:uid="{00000000-0004-0000-0000-000014020000}"/>
    <hyperlink ref="H294" r:id="rId534" xr:uid="{00000000-0004-0000-0000-000015020000}"/>
    <hyperlink ref="H295" r:id="rId535" xr:uid="{00000000-0004-0000-0000-000016020000}"/>
    <hyperlink ref="D296" r:id="rId536" xr:uid="{00000000-0004-0000-0000-000017020000}"/>
    <hyperlink ref="H296" r:id="rId537" xr:uid="{00000000-0004-0000-0000-000018020000}"/>
    <hyperlink ref="H297" r:id="rId538" xr:uid="{00000000-0004-0000-0000-000019020000}"/>
    <hyperlink ref="D298" r:id="rId539" xr:uid="{00000000-0004-0000-0000-00001A020000}"/>
    <hyperlink ref="H298" r:id="rId540" xr:uid="{00000000-0004-0000-0000-00001B020000}"/>
    <hyperlink ref="D299" r:id="rId541" xr:uid="{00000000-0004-0000-0000-00001C020000}"/>
    <hyperlink ref="H299" r:id="rId542" xr:uid="{00000000-0004-0000-0000-00001D020000}"/>
    <hyperlink ref="D300" r:id="rId543" xr:uid="{00000000-0004-0000-0000-00001E020000}"/>
    <hyperlink ref="H300" r:id="rId544" xr:uid="{00000000-0004-0000-0000-00001F020000}"/>
    <hyperlink ref="D301" r:id="rId545" xr:uid="{00000000-0004-0000-0000-000020020000}"/>
    <hyperlink ref="H301" r:id="rId546" xr:uid="{00000000-0004-0000-0000-000021020000}"/>
    <hyperlink ref="D302" r:id="rId547" xr:uid="{00000000-0004-0000-0000-000022020000}"/>
    <hyperlink ref="H302" r:id="rId548" xr:uid="{00000000-0004-0000-0000-000023020000}"/>
    <hyperlink ref="D303" r:id="rId549" xr:uid="{00000000-0004-0000-0000-000024020000}"/>
    <hyperlink ref="H303" r:id="rId550" xr:uid="{00000000-0004-0000-0000-000025020000}"/>
    <hyperlink ref="D304" r:id="rId551" xr:uid="{00000000-0004-0000-0000-000026020000}"/>
    <hyperlink ref="H304" r:id="rId552" xr:uid="{00000000-0004-0000-0000-000027020000}"/>
    <hyperlink ref="D305" r:id="rId553" xr:uid="{00000000-0004-0000-0000-000028020000}"/>
    <hyperlink ref="H305" r:id="rId554" xr:uid="{00000000-0004-0000-0000-000029020000}"/>
    <hyperlink ref="D306" r:id="rId555" xr:uid="{00000000-0004-0000-0000-00002A020000}"/>
    <hyperlink ref="H306" r:id="rId556" xr:uid="{00000000-0004-0000-0000-00002B020000}"/>
    <hyperlink ref="D307" r:id="rId557" xr:uid="{00000000-0004-0000-0000-00002C020000}"/>
    <hyperlink ref="H307" r:id="rId558" xr:uid="{00000000-0004-0000-0000-00002D020000}"/>
    <hyperlink ref="D308" r:id="rId559" xr:uid="{00000000-0004-0000-0000-00002E020000}"/>
    <hyperlink ref="H308" r:id="rId560" xr:uid="{00000000-0004-0000-0000-00002F020000}"/>
    <hyperlink ref="D309" r:id="rId561" xr:uid="{00000000-0004-0000-0000-000030020000}"/>
    <hyperlink ref="H309" r:id="rId562" xr:uid="{00000000-0004-0000-0000-000031020000}"/>
    <hyperlink ref="D310" r:id="rId563" xr:uid="{00000000-0004-0000-0000-000032020000}"/>
    <hyperlink ref="H310" r:id="rId564" xr:uid="{00000000-0004-0000-0000-000033020000}"/>
    <hyperlink ref="D311" r:id="rId565" xr:uid="{00000000-0004-0000-0000-000034020000}"/>
    <hyperlink ref="H311" r:id="rId566" xr:uid="{00000000-0004-0000-0000-000035020000}"/>
    <hyperlink ref="D312" r:id="rId567" xr:uid="{00000000-0004-0000-0000-000036020000}"/>
    <hyperlink ref="H312" r:id="rId568" xr:uid="{00000000-0004-0000-0000-000037020000}"/>
    <hyperlink ref="D313" r:id="rId569" xr:uid="{00000000-0004-0000-0000-000038020000}"/>
    <hyperlink ref="H313" r:id="rId570" xr:uid="{00000000-0004-0000-0000-000039020000}"/>
    <hyperlink ref="D314" r:id="rId571" xr:uid="{00000000-0004-0000-0000-00003A020000}"/>
    <hyperlink ref="H314" r:id="rId572" xr:uid="{00000000-0004-0000-0000-00003B020000}"/>
    <hyperlink ref="D315" r:id="rId573" xr:uid="{00000000-0004-0000-0000-00003C020000}"/>
    <hyperlink ref="H315" r:id="rId574" xr:uid="{00000000-0004-0000-0000-00003D020000}"/>
    <hyperlink ref="H316" r:id="rId575" xr:uid="{00000000-0004-0000-0000-00003E020000}"/>
    <hyperlink ref="D317" r:id="rId576" xr:uid="{00000000-0004-0000-0000-00003F020000}"/>
    <hyperlink ref="H317" r:id="rId577" xr:uid="{00000000-0004-0000-0000-000040020000}"/>
    <hyperlink ref="D318" r:id="rId578" xr:uid="{00000000-0004-0000-0000-000041020000}"/>
    <hyperlink ref="H318" r:id="rId579" xr:uid="{00000000-0004-0000-0000-000042020000}"/>
    <hyperlink ref="D319" r:id="rId580" xr:uid="{00000000-0004-0000-0000-000043020000}"/>
    <hyperlink ref="H319" r:id="rId581" xr:uid="{00000000-0004-0000-0000-000044020000}"/>
    <hyperlink ref="D320" r:id="rId582" xr:uid="{00000000-0004-0000-0000-000045020000}"/>
    <hyperlink ref="H320" r:id="rId583" xr:uid="{00000000-0004-0000-0000-000046020000}"/>
    <hyperlink ref="D321" r:id="rId584" xr:uid="{00000000-0004-0000-0000-000047020000}"/>
    <hyperlink ref="H321" r:id="rId585" xr:uid="{00000000-0004-0000-0000-000048020000}"/>
    <hyperlink ref="D322" r:id="rId586" xr:uid="{00000000-0004-0000-0000-000049020000}"/>
    <hyperlink ref="H322" r:id="rId587" xr:uid="{00000000-0004-0000-0000-00004A020000}"/>
    <hyperlink ref="D323" r:id="rId588" xr:uid="{00000000-0004-0000-0000-00004B020000}"/>
    <hyperlink ref="H323" r:id="rId589" xr:uid="{00000000-0004-0000-0000-00004C020000}"/>
    <hyperlink ref="D324" r:id="rId590" xr:uid="{00000000-0004-0000-0000-00004D020000}"/>
    <hyperlink ref="H324" r:id="rId591" xr:uid="{00000000-0004-0000-0000-00004E020000}"/>
    <hyperlink ref="D325" r:id="rId592" xr:uid="{00000000-0004-0000-0000-00004F020000}"/>
    <hyperlink ref="D326" r:id="rId593" xr:uid="{00000000-0004-0000-0000-000050020000}"/>
    <hyperlink ref="D327" r:id="rId594" xr:uid="{00000000-0004-0000-0000-000051020000}"/>
    <hyperlink ref="H327" r:id="rId595" xr:uid="{00000000-0004-0000-0000-000052020000}"/>
    <hyperlink ref="D328" r:id="rId596" xr:uid="{00000000-0004-0000-0000-000053020000}"/>
    <hyperlink ref="H328" r:id="rId597" xr:uid="{00000000-0004-0000-0000-000054020000}"/>
    <hyperlink ref="H329" r:id="rId598" xr:uid="{00000000-0004-0000-0000-000055020000}"/>
    <hyperlink ref="D330" r:id="rId599" xr:uid="{00000000-0004-0000-0000-000056020000}"/>
    <hyperlink ref="H330" r:id="rId600" xr:uid="{00000000-0004-0000-0000-000057020000}"/>
    <hyperlink ref="D331" r:id="rId601" xr:uid="{00000000-0004-0000-0000-000058020000}"/>
    <hyperlink ref="H331" r:id="rId602" xr:uid="{00000000-0004-0000-0000-000059020000}"/>
    <hyperlink ref="D332" r:id="rId603" xr:uid="{00000000-0004-0000-0000-00005A020000}"/>
    <hyperlink ref="H332" r:id="rId604" xr:uid="{00000000-0004-0000-0000-00005B020000}"/>
    <hyperlink ref="D333" r:id="rId605" xr:uid="{00000000-0004-0000-0000-00005C020000}"/>
    <hyperlink ref="H333" r:id="rId606" xr:uid="{00000000-0004-0000-0000-00005D020000}"/>
    <hyperlink ref="D334" r:id="rId607" xr:uid="{00000000-0004-0000-0000-00005E020000}"/>
    <hyperlink ref="H334" r:id="rId608" xr:uid="{00000000-0004-0000-0000-00005F020000}"/>
    <hyperlink ref="D335" r:id="rId609" xr:uid="{00000000-0004-0000-0000-000060020000}"/>
    <hyperlink ref="H335" r:id="rId610" xr:uid="{00000000-0004-0000-0000-000061020000}"/>
    <hyperlink ref="D336" r:id="rId611" xr:uid="{00000000-0004-0000-0000-000062020000}"/>
    <hyperlink ref="H336" r:id="rId612" xr:uid="{00000000-0004-0000-0000-000063020000}"/>
    <hyperlink ref="H337" r:id="rId613" xr:uid="{00000000-0004-0000-0000-000064020000}"/>
    <hyperlink ref="D338" r:id="rId614" xr:uid="{00000000-0004-0000-0000-000065020000}"/>
    <hyperlink ref="H338" r:id="rId615" xr:uid="{00000000-0004-0000-0000-000066020000}"/>
    <hyperlink ref="H339" r:id="rId616" xr:uid="{00000000-0004-0000-0000-000067020000}"/>
    <hyperlink ref="H340" r:id="rId617" xr:uid="{00000000-0004-0000-0000-000068020000}"/>
    <hyperlink ref="H341" r:id="rId618" xr:uid="{00000000-0004-0000-0000-000069020000}"/>
    <hyperlink ref="D342" r:id="rId619" xr:uid="{00000000-0004-0000-0000-00006A020000}"/>
    <hyperlink ref="H342" r:id="rId620" xr:uid="{00000000-0004-0000-0000-00006B020000}"/>
    <hyperlink ref="D343" r:id="rId621" xr:uid="{00000000-0004-0000-0000-00006C020000}"/>
    <hyperlink ref="H343" r:id="rId622" xr:uid="{00000000-0004-0000-0000-00006D020000}"/>
    <hyperlink ref="D344" r:id="rId623" xr:uid="{00000000-0004-0000-0000-00006E020000}"/>
    <hyperlink ref="H344" r:id="rId624" xr:uid="{00000000-0004-0000-0000-00006F020000}"/>
    <hyperlink ref="D345" r:id="rId625" xr:uid="{00000000-0004-0000-0000-000070020000}"/>
    <hyperlink ref="H345" r:id="rId626" xr:uid="{00000000-0004-0000-0000-000071020000}"/>
    <hyperlink ref="D346" r:id="rId627" xr:uid="{00000000-0004-0000-0000-000072020000}"/>
    <hyperlink ref="H346" r:id="rId628" xr:uid="{00000000-0004-0000-0000-000073020000}"/>
    <hyperlink ref="D347" r:id="rId629" xr:uid="{00000000-0004-0000-0000-000074020000}"/>
    <hyperlink ref="D348" r:id="rId630" xr:uid="{00000000-0004-0000-0000-000075020000}"/>
    <hyperlink ref="H348" r:id="rId631" xr:uid="{00000000-0004-0000-0000-000076020000}"/>
    <hyperlink ref="D349" r:id="rId632" xr:uid="{00000000-0004-0000-0000-000077020000}"/>
    <hyperlink ref="H349" r:id="rId633" xr:uid="{00000000-0004-0000-0000-000078020000}"/>
    <hyperlink ref="H350" r:id="rId634" xr:uid="{00000000-0004-0000-0000-000079020000}"/>
    <hyperlink ref="D351" r:id="rId635" xr:uid="{00000000-0004-0000-0000-00007A020000}"/>
    <hyperlink ref="H351" r:id="rId636" xr:uid="{00000000-0004-0000-0000-00007B020000}"/>
    <hyperlink ref="D352" r:id="rId637" xr:uid="{00000000-0004-0000-0000-00007C020000}"/>
    <hyperlink ref="H352" r:id="rId638" xr:uid="{00000000-0004-0000-0000-00007D020000}"/>
    <hyperlink ref="D353" r:id="rId639" xr:uid="{00000000-0004-0000-0000-00007E020000}"/>
    <hyperlink ref="H353" r:id="rId640" xr:uid="{00000000-0004-0000-0000-00007F020000}"/>
    <hyperlink ref="D354" r:id="rId641" xr:uid="{00000000-0004-0000-0000-000080020000}"/>
    <hyperlink ref="H354" r:id="rId642" xr:uid="{00000000-0004-0000-0000-000081020000}"/>
    <hyperlink ref="H355" r:id="rId643" xr:uid="{00000000-0004-0000-0000-000082020000}"/>
    <hyperlink ref="D356" r:id="rId644" xr:uid="{00000000-0004-0000-0000-000083020000}"/>
    <hyperlink ref="H356" r:id="rId645" xr:uid="{00000000-0004-0000-0000-000084020000}"/>
    <hyperlink ref="D357" r:id="rId646" xr:uid="{00000000-0004-0000-0000-000085020000}"/>
    <hyperlink ref="H357" r:id="rId647" xr:uid="{00000000-0004-0000-0000-000086020000}"/>
    <hyperlink ref="D358" r:id="rId648" xr:uid="{00000000-0004-0000-0000-000087020000}"/>
    <hyperlink ref="H358" r:id="rId649" xr:uid="{00000000-0004-0000-0000-000088020000}"/>
    <hyperlink ref="H359" r:id="rId650" xr:uid="{00000000-0004-0000-0000-000089020000}"/>
    <hyperlink ref="D360" r:id="rId651" xr:uid="{00000000-0004-0000-0000-00008A020000}"/>
    <hyperlink ref="H360" r:id="rId652" xr:uid="{00000000-0004-0000-0000-00008B020000}"/>
    <hyperlink ref="D361" r:id="rId653" xr:uid="{00000000-0004-0000-0000-00008C020000}"/>
    <hyperlink ref="H361" r:id="rId654" xr:uid="{00000000-0004-0000-0000-00008D020000}"/>
    <hyperlink ref="D362" r:id="rId655" xr:uid="{00000000-0004-0000-0000-00008E020000}"/>
    <hyperlink ref="H362" r:id="rId656" xr:uid="{00000000-0004-0000-0000-00008F020000}"/>
    <hyperlink ref="D363" r:id="rId657" xr:uid="{00000000-0004-0000-0000-000090020000}"/>
    <hyperlink ref="H363" r:id="rId658" xr:uid="{00000000-0004-0000-0000-000091020000}"/>
    <hyperlink ref="D364" r:id="rId659" xr:uid="{00000000-0004-0000-0000-000092020000}"/>
    <hyperlink ref="H364" r:id="rId660" xr:uid="{00000000-0004-0000-0000-000093020000}"/>
    <hyperlink ref="D365" r:id="rId661" xr:uid="{00000000-0004-0000-0000-000094020000}"/>
    <hyperlink ref="H365" r:id="rId662" xr:uid="{00000000-0004-0000-0000-000095020000}"/>
    <hyperlink ref="D366" r:id="rId663" xr:uid="{00000000-0004-0000-0000-000096020000}"/>
    <hyperlink ref="H366" r:id="rId664" xr:uid="{00000000-0004-0000-0000-000097020000}"/>
    <hyperlink ref="D367" r:id="rId665" xr:uid="{00000000-0004-0000-0000-000098020000}"/>
    <hyperlink ref="H367" r:id="rId666" xr:uid="{00000000-0004-0000-0000-000099020000}"/>
    <hyperlink ref="D368" r:id="rId667" xr:uid="{00000000-0004-0000-0000-00009A020000}"/>
    <hyperlink ref="H368" r:id="rId668" xr:uid="{00000000-0004-0000-0000-00009B020000}"/>
    <hyperlink ref="D369" r:id="rId669" xr:uid="{00000000-0004-0000-0000-00009C020000}"/>
    <hyperlink ref="H369" r:id="rId670" xr:uid="{00000000-0004-0000-0000-00009D020000}"/>
    <hyperlink ref="D370" r:id="rId671" xr:uid="{00000000-0004-0000-0000-00009E020000}"/>
    <hyperlink ref="H370" r:id="rId672" xr:uid="{00000000-0004-0000-0000-00009F020000}"/>
    <hyperlink ref="D371" r:id="rId673" xr:uid="{00000000-0004-0000-0000-0000A0020000}"/>
    <hyperlink ref="H371" r:id="rId674" xr:uid="{00000000-0004-0000-0000-0000A1020000}"/>
    <hyperlink ref="D372" r:id="rId675" xr:uid="{00000000-0004-0000-0000-0000A2020000}"/>
    <hyperlink ref="H372" r:id="rId676" xr:uid="{00000000-0004-0000-0000-0000A3020000}"/>
    <hyperlink ref="D373" r:id="rId677" xr:uid="{00000000-0004-0000-0000-0000A4020000}"/>
    <hyperlink ref="H373" r:id="rId678" xr:uid="{00000000-0004-0000-0000-0000A5020000}"/>
    <hyperlink ref="D374" r:id="rId679" xr:uid="{00000000-0004-0000-0000-0000A6020000}"/>
    <hyperlink ref="H374" r:id="rId680" xr:uid="{00000000-0004-0000-0000-0000A7020000}"/>
    <hyperlink ref="D375" r:id="rId681" xr:uid="{00000000-0004-0000-0000-0000A8020000}"/>
    <hyperlink ref="H375" r:id="rId682" xr:uid="{00000000-0004-0000-0000-0000A9020000}"/>
    <hyperlink ref="D376" r:id="rId683" xr:uid="{00000000-0004-0000-0000-0000AA020000}"/>
    <hyperlink ref="H376" r:id="rId684" xr:uid="{00000000-0004-0000-0000-0000AB020000}"/>
    <hyperlink ref="D377" r:id="rId685" xr:uid="{00000000-0004-0000-0000-0000AC020000}"/>
    <hyperlink ref="H377" r:id="rId686" xr:uid="{00000000-0004-0000-0000-0000AD020000}"/>
    <hyperlink ref="H378" r:id="rId687" xr:uid="{00000000-0004-0000-0000-0000AE020000}"/>
    <hyperlink ref="H379" r:id="rId688" xr:uid="{00000000-0004-0000-0000-0000AF020000}"/>
    <hyperlink ref="D380" r:id="rId689" xr:uid="{00000000-0004-0000-0000-0000B0020000}"/>
    <hyperlink ref="H380" r:id="rId690" xr:uid="{00000000-0004-0000-0000-0000B1020000}"/>
    <hyperlink ref="D381" r:id="rId691" xr:uid="{00000000-0004-0000-0000-0000B2020000}"/>
    <hyperlink ref="H381" r:id="rId692" xr:uid="{00000000-0004-0000-0000-0000B3020000}"/>
    <hyperlink ref="D382" r:id="rId693" xr:uid="{00000000-0004-0000-0000-0000B4020000}"/>
    <hyperlink ref="H382" r:id="rId694" xr:uid="{00000000-0004-0000-0000-0000B5020000}"/>
    <hyperlink ref="D383" r:id="rId695" xr:uid="{00000000-0004-0000-0000-0000B6020000}"/>
    <hyperlink ref="H383" r:id="rId696" xr:uid="{00000000-0004-0000-0000-0000B7020000}"/>
    <hyperlink ref="D384" r:id="rId697" xr:uid="{00000000-0004-0000-0000-0000B8020000}"/>
    <hyperlink ref="H384" r:id="rId698" xr:uid="{00000000-0004-0000-0000-0000B9020000}"/>
    <hyperlink ref="D385" r:id="rId699" xr:uid="{00000000-0004-0000-0000-0000BA020000}"/>
    <hyperlink ref="H385" r:id="rId700" xr:uid="{00000000-0004-0000-0000-0000BB020000}"/>
    <hyperlink ref="D386" r:id="rId701" xr:uid="{00000000-0004-0000-0000-0000BC020000}"/>
    <hyperlink ref="H386" r:id="rId702" xr:uid="{00000000-0004-0000-0000-0000BD020000}"/>
    <hyperlink ref="D387" r:id="rId703" xr:uid="{00000000-0004-0000-0000-0000BE020000}"/>
    <hyperlink ref="H387" r:id="rId704" xr:uid="{00000000-0004-0000-0000-0000BF020000}"/>
    <hyperlink ref="D388" r:id="rId705" xr:uid="{00000000-0004-0000-0000-0000C0020000}"/>
    <hyperlink ref="D389" r:id="rId706" xr:uid="{00000000-0004-0000-0000-0000C1020000}"/>
    <hyperlink ref="H389" r:id="rId707" xr:uid="{00000000-0004-0000-0000-0000C2020000}"/>
    <hyperlink ref="D390" r:id="rId708" xr:uid="{00000000-0004-0000-0000-0000C3020000}"/>
    <hyperlink ref="H390" r:id="rId709" xr:uid="{00000000-0004-0000-0000-0000C4020000}"/>
    <hyperlink ref="D391" r:id="rId710" xr:uid="{00000000-0004-0000-0000-0000C5020000}"/>
    <hyperlink ref="H391" r:id="rId711" xr:uid="{00000000-0004-0000-0000-0000C6020000}"/>
    <hyperlink ref="D392" r:id="rId712" xr:uid="{00000000-0004-0000-0000-0000C7020000}"/>
    <hyperlink ref="H392" r:id="rId713" xr:uid="{00000000-0004-0000-0000-0000C8020000}"/>
    <hyperlink ref="D393" r:id="rId714" xr:uid="{00000000-0004-0000-0000-0000C9020000}"/>
    <hyperlink ref="H393" r:id="rId715" xr:uid="{00000000-0004-0000-0000-0000CA020000}"/>
    <hyperlink ref="D394" r:id="rId716" xr:uid="{00000000-0004-0000-0000-0000CB020000}"/>
    <hyperlink ref="H394" r:id="rId717" xr:uid="{00000000-0004-0000-0000-0000CC020000}"/>
    <hyperlink ref="D395" r:id="rId718" xr:uid="{00000000-0004-0000-0000-0000CD020000}"/>
    <hyperlink ref="H395" r:id="rId719" xr:uid="{00000000-0004-0000-0000-0000CE020000}"/>
    <hyperlink ref="D396" r:id="rId720" xr:uid="{00000000-0004-0000-0000-0000CF020000}"/>
    <hyperlink ref="H396" r:id="rId721" xr:uid="{00000000-0004-0000-0000-0000D0020000}"/>
    <hyperlink ref="D397" r:id="rId722" xr:uid="{00000000-0004-0000-0000-0000D1020000}"/>
    <hyperlink ref="H397" r:id="rId723" xr:uid="{00000000-0004-0000-0000-0000D2020000}"/>
    <hyperlink ref="D398" r:id="rId724" xr:uid="{00000000-0004-0000-0000-0000D3020000}"/>
    <hyperlink ref="H398" r:id="rId725" xr:uid="{00000000-0004-0000-0000-0000D4020000}"/>
    <hyperlink ref="D399" r:id="rId726" xr:uid="{00000000-0004-0000-0000-0000D5020000}"/>
    <hyperlink ref="H399" r:id="rId727" xr:uid="{00000000-0004-0000-0000-0000D6020000}"/>
    <hyperlink ref="H400" r:id="rId728" xr:uid="{00000000-0004-0000-0000-0000D7020000}"/>
    <hyperlink ref="D401" r:id="rId729" xr:uid="{00000000-0004-0000-0000-0000D8020000}"/>
    <hyperlink ref="H401" r:id="rId730" xr:uid="{00000000-0004-0000-0000-0000D9020000}"/>
    <hyperlink ref="D402" r:id="rId731" xr:uid="{00000000-0004-0000-0000-0000DA020000}"/>
    <hyperlink ref="H402" r:id="rId732" xr:uid="{00000000-0004-0000-0000-0000DB020000}"/>
    <hyperlink ref="D403" r:id="rId733" xr:uid="{00000000-0004-0000-0000-0000DC020000}"/>
    <hyperlink ref="H403" r:id="rId734" xr:uid="{00000000-0004-0000-0000-0000DD020000}"/>
    <hyperlink ref="D404" r:id="rId735" xr:uid="{00000000-0004-0000-0000-0000DE020000}"/>
    <hyperlink ref="H404" r:id="rId736" xr:uid="{00000000-0004-0000-0000-0000DF020000}"/>
    <hyperlink ref="D405" r:id="rId737" xr:uid="{00000000-0004-0000-0000-0000E0020000}"/>
    <hyperlink ref="H405" r:id="rId738" xr:uid="{00000000-0004-0000-0000-0000E1020000}"/>
    <hyperlink ref="D406" r:id="rId739" xr:uid="{00000000-0004-0000-0000-0000E2020000}"/>
    <hyperlink ref="H406" r:id="rId740" xr:uid="{00000000-0004-0000-0000-0000E3020000}"/>
    <hyperlink ref="D407" r:id="rId741" xr:uid="{00000000-0004-0000-0000-0000E4020000}"/>
    <hyperlink ref="H407" r:id="rId742" xr:uid="{00000000-0004-0000-0000-0000E5020000}"/>
    <hyperlink ref="D408" r:id="rId743" xr:uid="{00000000-0004-0000-0000-0000E6020000}"/>
    <hyperlink ref="H408" r:id="rId744" xr:uid="{00000000-0004-0000-0000-0000E7020000}"/>
    <hyperlink ref="D409" r:id="rId745" xr:uid="{00000000-0004-0000-0000-0000E8020000}"/>
    <hyperlink ref="H409" r:id="rId746" xr:uid="{00000000-0004-0000-0000-0000E9020000}"/>
    <hyperlink ref="D410" r:id="rId747" xr:uid="{00000000-0004-0000-0000-0000EA020000}"/>
    <hyperlink ref="H410" r:id="rId748" xr:uid="{00000000-0004-0000-0000-0000EB020000}"/>
    <hyperlink ref="D411" r:id="rId749" xr:uid="{00000000-0004-0000-0000-0000EC020000}"/>
    <hyperlink ref="H411" r:id="rId750" xr:uid="{00000000-0004-0000-0000-0000ED020000}"/>
    <hyperlink ref="D412" r:id="rId751" xr:uid="{00000000-0004-0000-0000-0000EE020000}"/>
    <hyperlink ref="H412" r:id="rId752" xr:uid="{00000000-0004-0000-0000-0000EF020000}"/>
    <hyperlink ref="D413" r:id="rId753" xr:uid="{00000000-0004-0000-0000-0000F0020000}"/>
    <hyperlink ref="H413" r:id="rId754" xr:uid="{00000000-0004-0000-0000-0000F1020000}"/>
    <hyperlink ref="H414" r:id="rId755" xr:uid="{00000000-0004-0000-0000-0000F2020000}"/>
    <hyperlink ref="D415" r:id="rId756" xr:uid="{00000000-0004-0000-0000-0000F3020000}"/>
    <hyperlink ref="H415" r:id="rId757" xr:uid="{00000000-0004-0000-0000-0000F4020000}"/>
    <hyperlink ref="D416" r:id="rId758" xr:uid="{00000000-0004-0000-0000-0000F5020000}"/>
    <hyperlink ref="H416" r:id="rId759" xr:uid="{00000000-0004-0000-0000-0000F6020000}"/>
    <hyperlink ref="D417" r:id="rId760" xr:uid="{00000000-0004-0000-0000-0000F7020000}"/>
    <hyperlink ref="H417" r:id="rId761" xr:uid="{00000000-0004-0000-0000-0000F8020000}"/>
    <hyperlink ref="D418" r:id="rId762" xr:uid="{00000000-0004-0000-0000-0000F9020000}"/>
    <hyperlink ref="H418" r:id="rId763" xr:uid="{00000000-0004-0000-0000-0000FA020000}"/>
    <hyperlink ref="H419" r:id="rId764" xr:uid="{00000000-0004-0000-0000-0000FB020000}"/>
    <hyperlink ref="D420" r:id="rId765" xr:uid="{00000000-0004-0000-0000-0000FC020000}"/>
    <hyperlink ref="H420" r:id="rId766" xr:uid="{00000000-0004-0000-0000-0000FD020000}"/>
    <hyperlink ref="D421" r:id="rId767" xr:uid="{00000000-0004-0000-0000-0000FE020000}"/>
    <hyperlink ref="H421" r:id="rId768" xr:uid="{00000000-0004-0000-0000-0000FF020000}"/>
    <hyperlink ref="D422" r:id="rId769" xr:uid="{00000000-0004-0000-0000-000000030000}"/>
    <hyperlink ref="H422" r:id="rId770" xr:uid="{00000000-0004-0000-0000-000001030000}"/>
    <hyperlink ref="D423" r:id="rId771" xr:uid="{00000000-0004-0000-0000-000002030000}"/>
    <hyperlink ref="H423" r:id="rId772" xr:uid="{00000000-0004-0000-0000-000003030000}"/>
    <hyperlink ref="D424" r:id="rId773" xr:uid="{00000000-0004-0000-0000-000004030000}"/>
    <hyperlink ref="H424" r:id="rId774" xr:uid="{00000000-0004-0000-0000-000005030000}"/>
    <hyperlink ref="D425" r:id="rId775" xr:uid="{00000000-0004-0000-0000-000006030000}"/>
    <hyperlink ref="H425" r:id="rId776" xr:uid="{00000000-0004-0000-0000-000007030000}"/>
    <hyperlink ref="D426" r:id="rId777" xr:uid="{00000000-0004-0000-0000-000008030000}"/>
    <hyperlink ref="H426" r:id="rId778" xr:uid="{00000000-0004-0000-0000-000009030000}"/>
    <hyperlink ref="D427" r:id="rId779" xr:uid="{00000000-0004-0000-0000-00000A030000}"/>
    <hyperlink ref="H427" r:id="rId780" xr:uid="{00000000-0004-0000-0000-00000B030000}"/>
    <hyperlink ref="D428" r:id="rId781" xr:uid="{00000000-0004-0000-0000-00000C030000}"/>
    <hyperlink ref="H428" r:id="rId782" xr:uid="{00000000-0004-0000-0000-00000D030000}"/>
    <hyperlink ref="D429" r:id="rId783" xr:uid="{00000000-0004-0000-0000-00000E030000}"/>
    <hyperlink ref="H429" r:id="rId784" xr:uid="{00000000-0004-0000-0000-00000F030000}"/>
    <hyperlink ref="H430" r:id="rId785" xr:uid="{00000000-0004-0000-0000-000010030000}"/>
    <hyperlink ref="D431" r:id="rId786" xr:uid="{00000000-0004-0000-0000-000011030000}"/>
    <hyperlink ref="H431" r:id="rId787" xr:uid="{00000000-0004-0000-0000-000012030000}"/>
    <hyperlink ref="H432" r:id="rId788" xr:uid="{00000000-0004-0000-0000-000013030000}"/>
    <hyperlink ref="D433" r:id="rId789" xr:uid="{00000000-0004-0000-0000-000014030000}"/>
    <hyperlink ref="H433" r:id="rId790" xr:uid="{00000000-0004-0000-0000-000015030000}"/>
    <hyperlink ref="D434" r:id="rId791" xr:uid="{00000000-0004-0000-0000-000016030000}"/>
    <hyperlink ref="H434" r:id="rId792" xr:uid="{00000000-0004-0000-0000-000017030000}"/>
    <hyperlink ref="D435" r:id="rId793" xr:uid="{00000000-0004-0000-0000-000018030000}"/>
    <hyperlink ref="H435" r:id="rId794" xr:uid="{00000000-0004-0000-0000-000019030000}"/>
    <hyperlink ref="H436" r:id="rId795" xr:uid="{00000000-0004-0000-0000-00001A030000}"/>
    <hyperlink ref="D437" r:id="rId796" xr:uid="{00000000-0004-0000-0000-00001B030000}"/>
    <hyperlink ref="H437" r:id="rId797" xr:uid="{00000000-0004-0000-0000-00001C030000}"/>
    <hyperlink ref="D438" r:id="rId798" xr:uid="{00000000-0004-0000-0000-00001D030000}"/>
    <hyperlink ref="H438" r:id="rId799" xr:uid="{00000000-0004-0000-0000-00001E030000}"/>
    <hyperlink ref="D439" r:id="rId800" xr:uid="{00000000-0004-0000-0000-00001F030000}"/>
    <hyperlink ref="H439" r:id="rId801" xr:uid="{00000000-0004-0000-0000-000020030000}"/>
    <hyperlink ref="D440" r:id="rId802" xr:uid="{00000000-0004-0000-0000-000021030000}"/>
    <hyperlink ref="H440" r:id="rId803" xr:uid="{00000000-0004-0000-0000-000022030000}"/>
    <hyperlink ref="D441" r:id="rId804" xr:uid="{00000000-0004-0000-0000-000023030000}"/>
    <hyperlink ref="H441" r:id="rId805" xr:uid="{00000000-0004-0000-0000-000024030000}"/>
    <hyperlink ref="D442" r:id="rId806" xr:uid="{00000000-0004-0000-0000-000025030000}"/>
    <hyperlink ref="H442" r:id="rId807" xr:uid="{00000000-0004-0000-0000-000026030000}"/>
    <hyperlink ref="D443" r:id="rId808" xr:uid="{00000000-0004-0000-0000-000027030000}"/>
    <hyperlink ref="H443" r:id="rId809" xr:uid="{00000000-0004-0000-0000-000028030000}"/>
    <hyperlink ref="D444" r:id="rId810" xr:uid="{00000000-0004-0000-0000-000029030000}"/>
    <hyperlink ref="H444" r:id="rId811" xr:uid="{00000000-0004-0000-0000-00002A030000}"/>
    <hyperlink ref="D445" r:id="rId812" xr:uid="{00000000-0004-0000-0000-00002B030000}"/>
    <hyperlink ref="H445" r:id="rId813" xr:uid="{00000000-0004-0000-0000-00002C030000}"/>
    <hyperlink ref="D446" r:id="rId814" xr:uid="{00000000-0004-0000-0000-00002D030000}"/>
    <hyperlink ref="H446" r:id="rId815" xr:uid="{00000000-0004-0000-0000-00002E030000}"/>
    <hyperlink ref="D447" r:id="rId816" xr:uid="{00000000-0004-0000-0000-00002F030000}"/>
    <hyperlink ref="H447" r:id="rId817" xr:uid="{00000000-0004-0000-0000-000030030000}"/>
    <hyperlink ref="D448" r:id="rId818" xr:uid="{00000000-0004-0000-0000-000031030000}"/>
    <hyperlink ref="H448" r:id="rId819" xr:uid="{00000000-0004-0000-0000-000032030000}"/>
    <hyperlink ref="D449" r:id="rId820" xr:uid="{00000000-0004-0000-0000-000033030000}"/>
    <hyperlink ref="H449" r:id="rId821" xr:uid="{00000000-0004-0000-0000-000034030000}"/>
    <hyperlink ref="D450" r:id="rId822" xr:uid="{00000000-0004-0000-0000-000035030000}"/>
    <hyperlink ref="H450" r:id="rId823" xr:uid="{00000000-0004-0000-0000-000036030000}"/>
    <hyperlink ref="D451" r:id="rId824" xr:uid="{00000000-0004-0000-0000-000037030000}"/>
    <hyperlink ref="H451" r:id="rId825" xr:uid="{00000000-0004-0000-0000-000038030000}"/>
    <hyperlink ref="D452" r:id="rId826" xr:uid="{00000000-0004-0000-0000-000039030000}"/>
    <hyperlink ref="H452" r:id="rId827" xr:uid="{00000000-0004-0000-0000-00003A030000}"/>
    <hyperlink ref="D453" r:id="rId828" xr:uid="{00000000-0004-0000-0000-00003B030000}"/>
    <hyperlink ref="H453" r:id="rId829" xr:uid="{00000000-0004-0000-0000-00003C030000}"/>
    <hyperlink ref="D454" r:id="rId830" xr:uid="{00000000-0004-0000-0000-00003D030000}"/>
    <hyperlink ref="H454" r:id="rId831" xr:uid="{00000000-0004-0000-0000-00003E030000}"/>
    <hyperlink ref="H455" r:id="rId832" xr:uid="{00000000-0004-0000-0000-00003F030000}"/>
    <hyperlink ref="D456" r:id="rId833" xr:uid="{00000000-0004-0000-0000-000040030000}"/>
    <hyperlink ref="H456" r:id="rId834" xr:uid="{00000000-0004-0000-0000-000041030000}"/>
    <hyperlink ref="D457" r:id="rId835" xr:uid="{00000000-0004-0000-0000-000042030000}"/>
    <hyperlink ref="H457" r:id="rId836" xr:uid="{00000000-0004-0000-0000-000043030000}"/>
    <hyperlink ref="D458" r:id="rId837" xr:uid="{00000000-0004-0000-0000-000044030000}"/>
    <hyperlink ref="H458" r:id="rId838" xr:uid="{00000000-0004-0000-0000-000045030000}"/>
    <hyperlink ref="D459" r:id="rId839" xr:uid="{00000000-0004-0000-0000-000046030000}"/>
    <hyperlink ref="H459" r:id="rId840" xr:uid="{00000000-0004-0000-0000-000047030000}"/>
    <hyperlink ref="D460" r:id="rId841" xr:uid="{00000000-0004-0000-0000-000048030000}"/>
    <hyperlink ref="H460" r:id="rId842" xr:uid="{00000000-0004-0000-0000-000049030000}"/>
    <hyperlink ref="D461" r:id="rId843" xr:uid="{00000000-0004-0000-0000-00004A030000}"/>
    <hyperlink ref="H461" r:id="rId844" xr:uid="{00000000-0004-0000-0000-00004B030000}"/>
    <hyperlink ref="D462" r:id="rId845" xr:uid="{00000000-0004-0000-0000-00004C030000}"/>
    <hyperlink ref="H462" r:id="rId846" xr:uid="{00000000-0004-0000-0000-00004D030000}"/>
    <hyperlink ref="D463" r:id="rId847" xr:uid="{00000000-0004-0000-0000-00004E030000}"/>
    <hyperlink ref="H463" r:id="rId848" xr:uid="{00000000-0004-0000-0000-00004F030000}"/>
    <hyperlink ref="D464" r:id="rId849" xr:uid="{00000000-0004-0000-0000-000050030000}"/>
    <hyperlink ref="H464" r:id="rId850" xr:uid="{00000000-0004-0000-0000-000051030000}"/>
    <hyperlink ref="D465" r:id="rId851" xr:uid="{00000000-0004-0000-0000-000052030000}"/>
    <hyperlink ref="H465" r:id="rId852" xr:uid="{00000000-0004-0000-0000-000053030000}"/>
    <hyperlink ref="D466" r:id="rId853" xr:uid="{00000000-0004-0000-0000-000054030000}"/>
    <hyperlink ref="H466" r:id="rId854" xr:uid="{00000000-0004-0000-0000-000055030000}"/>
    <hyperlink ref="D467" r:id="rId855" xr:uid="{00000000-0004-0000-0000-000056030000}"/>
    <hyperlink ref="H467" r:id="rId856" xr:uid="{00000000-0004-0000-0000-000057030000}"/>
    <hyperlink ref="D468" r:id="rId857" xr:uid="{00000000-0004-0000-0000-000058030000}"/>
    <hyperlink ref="H468" r:id="rId858" xr:uid="{00000000-0004-0000-0000-000059030000}"/>
    <hyperlink ref="H469" r:id="rId859" xr:uid="{00000000-0004-0000-0000-00005A030000}"/>
    <hyperlink ref="D470" r:id="rId860" xr:uid="{00000000-0004-0000-0000-00005B030000}"/>
    <hyperlink ref="H470" r:id="rId861" xr:uid="{00000000-0004-0000-0000-00005C030000}"/>
    <hyperlink ref="D471" r:id="rId862" xr:uid="{00000000-0004-0000-0000-00005D030000}"/>
    <hyperlink ref="H471" r:id="rId863" xr:uid="{00000000-0004-0000-0000-00005E030000}"/>
    <hyperlink ref="D472" r:id="rId864" xr:uid="{00000000-0004-0000-0000-00005F030000}"/>
    <hyperlink ref="H472" r:id="rId865" xr:uid="{00000000-0004-0000-0000-000060030000}"/>
    <hyperlink ref="D473" r:id="rId866" xr:uid="{00000000-0004-0000-0000-000061030000}"/>
    <hyperlink ref="H473" r:id="rId867" xr:uid="{00000000-0004-0000-0000-000062030000}"/>
    <hyperlink ref="D474" r:id="rId868" xr:uid="{00000000-0004-0000-0000-000063030000}"/>
    <hyperlink ref="H474" r:id="rId869" xr:uid="{00000000-0004-0000-0000-000064030000}"/>
    <hyperlink ref="D475" r:id="rId870" xr:uid="{00000000-0004-0000-0000-000065030000}"/>
    <hyperlink ref="H475" r:id="rId871" xr:uid="{00000000-0004-0000-0000-000066030000}"/>
    <hyperlink ref="D476" r:id="rId872" xr:uid="{00000000-0004-0000-0000-000067030000}"/>
    <hyperlink ref="H476" r:id="rId873" xr:uid="{00000000-0004-0000-0000-000068030000}"/>
    <hyperlink ref="D477" r:id="rId874" xr:uid="{00000000-0004-0000-0000-000069030000}"/>
    <hyperlink ref="H477" r:id="rId875" xr:uid="{00000000-0004-0000-0000-00006A030000}"/>
    <hyperlink ref="D478" r:id="rId876" xr:uid="{00000000-0004-0000-0000-00006B030000}"/>
    <hyperlink ref="H478" r:id="rId877" xr:uid="{00000000-0004-0000-0000-00006C030000}"/>
    <hyperlink ref="D479" r:id="rId878" xr:uid="{00000000-0004-0000-0000-00006D030000}"/>
    <hyperlink ref="H479" r:id="rId879" xr:uid="{00000000-0004-0000-0000-00006E030000}"/>
    <hyperlink ref="D480" r:id="rId880" xr:uid="{00000000-0004-0000-0000-00006F030000}"/>
    <hyperlink ref="H480" r:id="rId881" xr:uid="{00000000-0004-0000-0000-000070030000}"/>
    <hyperlink ref="D481" r:id="rId882" xr:uid="{00000000-0004-0000-0000-000071030000}"/>
    <hyperlink ref="H481" r:id="rId883" xr:uid="{00000000-0004-0000-0000-000072030000}"/>
    <hyperlink ref="D482" r:id="rId884" xr:uid="{00000000-0004-0000-0000-000073030000}"/>
    <hyperlink ref="H482" r:id="rId885" xr:uid="{00000000-0004-0000-0000-000074030000}"/>
    <hyperlink ref="D483" r:id="rId886" xr:uid="{00000000-0004-0000-0000-000075030000}"/>
    <hyperlink ref="H483" r:id="rId887" xr:uid="{00000000-0004-0000-0000-000076030000}"/>
    <hyperlink ref="D484" r:id="rId888" xr:uid="{00000000-0004-0000-0000-000077030000}"/>
    <hyperlink ref="H484" r:id="rId889" xr:uid="{00000000-0004-0000-0000-000078030000}"/>
    <hyperlink ref="H486" r:id="rId890" xr:uid="{00000000-0004-0000-0000-000079030000}"/>
    <hyperlink ref="D487" r:id="rId891" xr:uid="{00000000-0004-0000-0000-00007A030000}"/>
    <hyperlink ref="H487" r:id="rId892" xr:uid="{00000000-0004-0000-0000-00007B030000}"/>
    <hyperlink ref="D488" r:id="rId893" xr:uid="{00000000-0004-0000-0000-00007C030000}"/>
    <hyperlink ref="H488" r:id="rId894" xr:uid="{00000000-0004-0000-0000-00007D030000}"/>
    <hyperlink ref="D489" r:id="rId895" xr:uid="{00000000-0004-0000-0000-00007E030000}"/>
    <hyperlink ref="H489" r:id="rId896" xr:uid="{00000000-0004-0000-0000-00007F030000}"/>
    <hyperlink ref="D490" r:id="rId897" xr:uid="{00000000-0004-0000-0000-000080030000}"/>
    <hyperlink ref="H490" r:id="rId898" xr:uid="{00000000-0004-0000-0000-000081030000}"/>
    <hyperlink ref="D491" r:id="rId899" xr:uid="{00000000-0004-0000-0000-000082030000}"/>
    <hyperlink ref="H491" r:id="rId900" xr:uid="{00000000-0004-0000-0000-000083030000}"/>
    <hyperlink ref="D492" r:id="rId901" xr:uid="{00000000-0004-0000-0000-000084030000}"/>
    <hyperlink ref="H492" r:id="rId902" xr:uid="{00000000-0004-0000-0000-000085030000}"/>
    <hyperlink ref="D493" r:id="rId903" xr:uid="{00000000-0004-0000-0000-000086030000}"/>
    <hyperlink ref="H493" r:id="rId904" xr:uid="{00000000-0004-0000-0000-000087030000}"/>
    <hyperlink ref="D494" r:id="rId905" xr:uid="{00000000-0004-0000-0000-000088030000}"/>
    <hyperlink ref="H494" r:id="rId906" xr:uid="{00000000-0004-0000-0000-000089030000}"/>
    <hyperlink ref="D495" r:id="rId907" xr:uid="{00000000-0004-0000-0000-00008A030000}"/>
    <hyperlink ref="H495" r:id="rId908" xr:uid="{00000000-0004-0000-0000-00008B030000}"/>
    <hyperlink ref="D496" r:id="rId909" xr:uid="{00000000-0004-0000-0000-00008C030000}"/>
    <hyperlink ref="H496" r:id="rId910" xr:uid="{00000000-0004-0000-0000-00008D030000}"/>
    <hyperlink ref="D497" r:id="rId911" xr:uid="{00000000-0004-0000-0000-00008E030000}"/>
    <hyperlink ref="H497" r:id="rId912" xr:uid="{00000000-0004-0000-0000-00008F030000}"/>
    <hyperlink ref="H498" r:id="rId913" xr:uid="{00000000-0004-0000-0000-000090030000}"/>
    <hyperlink ref="D499" r:id="rId914" xr:uid="{00000000-0004-0000-0000-000091030000}"/>
    <hyperlink ref="H499" r:id="rId915" xr:uid="{00000000-0004-0000-0000-000092030000}"/>
    <hyperlink ref="D500" r:id="rId916" xr:uid="{00000000-0004-0000-0000-000093030000}"/>
    <hyperlink ref="H500" r:id="rId917" xr:uid="{00000000-0004-0000-0000-000094030000}"/>
    <hyperlink ref="D501" r:id="rId918" xr:uid="{00000000-0004-0000-0000-000095030000}"/>
    <hyperlink ref="H501" r:id="rId919" xr:uid="{00000000-0004-0000-0000-000096030000}"/>
    <hyperlink ref="D502" r:id="rId920" xr:uid="{00000000-0004-0000-0000-000097030000}"/>
    <hyperlink ref="H502" r:id="rId921" xr:uid="{00000000-0004-0000-0000-000098030000}"/>
    <hyperlink ref="D503" r:id="rId922" xr:uid="{00000000-0004-0000-0000-000099030000}"/>
    <hyperlink ref="H503" r:id="rId923" xr:uid="{00000000-0004-0000-0000-00009A030000}"/>
    <hyperlink ref="D504" r:id="rId924" xr:uid="{00000000-0004-0000-0000-00009B030000}"/>
    <hyperlink ref="H504" r:id="rId925" xr:uid="{00000000-0004-0000-0000-00009C030000}"/>
    <hyperlink ref="D505" r:id="rId926" xr:uid="{00000000-0004-0000-0000-00009D030000}"/>
    <hyperlink ref="H505" r:id="rId927" xr:uid="{00000000-0004-0000-0000-00009E030000}"/>
    <hyperlink ref="D506" r:id="rId928" xr:uid="{00000000-0004-0000-0000-00009F030000}"/>
    <hyperlink ref="H506" r:id="rId929" xr:uid="{00000000-0004-0000-0000-0000A0030000}"/>
    <hyperlink ref="D507" r:id="rId930" xr:uid="{00000000-0004-0000-0000-0000A1030000}"/>
    <hyperlink ref="H507" r:id="rId931" xr:uid="{00000000-0004-0000-0000-0000A2030000}"/>
    <hyperlink ref="D508" r:id="rId932" xr:uid="{00000000-0004-0000-0000-0000A3030000}"/>
    <hyperlink ref="H508" r:id="rId933" xr:uid="{00000000-0004-0000-0000-0000A4030000}"/>
    <hyperlink ref="D509" r:id="rId934" xr:uid="{00000000-0004-0000-0000-0000A5030000}"/>
    <hyperlink ref="H509" r:id="rId935" xr:uid="{00000000-0004-0000-0000-0000A6030000}"/>
    <hyperlink ref="D510" r:id="rId936" xr:uid="{00000000-0004-0000-0000-0000A7030000}"/>
    <hyperlink ref="H510" r:id="rId937" xr:uid="{00000000-0004-0000-0000-0000A8030000}"/>
    <hyperlink ref="D511" r:id="rId938" xr:uid="{00000000-0004-0000-0000-0000A9030000}"/>
    <hyperlink ref="H511" r:id="rId939" xr:uid="{00000000-0004-0000-0000-0000AA030000}"/>
    <hyperlink ref="D512" r:id="rId940" xr:uid="{00000000-0004-0000-0000-0000AB030000}"/>
    <hyperlink ref="H512" r:id="rId941" xr:uid="{00000000-0004-0000-0000-0000AC030000}"/>
    <hyperlink ref="D513" r:id="rId942" xr:uid="{00000000-0004-0000-0000-0000AD030000}"/>
    <hyperlink ref="H513" r:id="rId943" xr:uid="{00000000-0004-0000-0000-0000AE030000}"/>
    <hyperlink ref="D514" r:id="rId944" xr:uid="{00000000-0004-0000-0000-0000AF030000}"/>
    <hyperlink ref="H514" r:id="rId945" xr:uid="{00000000-0004-0000-0000-0000B0030000}"/>
    <hyperlink ref="D515" r:id="rId946" xr:uid="{00000000-0004-0000-0000-0000B1030000}"/>
    <hyperlink ref="H515" r:id="rId947" xr:uid="{00000000-0004-0000-0000-0000B2030000}"/>
    <hyperlink ref="D516" r:id="rId948" xr:uid="{00000000-0004-0000-0000-0000B3030000}"/>
    <hyperlink ref="H516" r:id="rId949" xr:uid="{00000000-0004-0000-0000-0000B4030000}"/>
    <hyperlink ref="D517" r:id="rId950" xr:uid="{00000000-0004-0000-0000-0000B5030000}"/>
    <hyperlink ref="H517" r:id="rId951" xr:uid="{00000000-0004-0000-0000-0000B6030000}"/>
    <hyperlink ref="D518" r:id="rId952" xr:uid="{00000000-0004-0000-0000-0000B7030000}"/>
    <hyperlink ref="H518" r:id="rId953" xr:uid="{00000000-0004-0000-0000-0000B8030000}"/>
    <hyperlink ref="D519" r:id="rId954" xr:uid="{00000000-0004-0000-0000-0000B9030000}"/>
    <hyperlink ref="H519" r:id="rId955" xr:uid="{00000000-0004-0000-0000-0000BA030000}"/>
    <hyperlink ref="D520" r:id="rId956" xr:uid="{00000000-0004-0000-0000-0000BB030000}"/>
    <hyperlink ref="H520" r:id="rId957" xr:uid="{00000000-0004-0000-0000-0000BC030000}"/>
    <hyperlink ref="D521" r:id="rId958" xr:uid="{00000000-0004-0000-0000-0000BD030000}"/>
    <hyperlink ref="H521" r:id="rId959" xr:uid="{00000000-0004-0000-0000-0000BE030000}"/>
    <hyperlink ref="D522" r:id="rId960" xr:uid="{00000000-0004-0000-0000-0000BF030000}"/>
    <hyperlink ref="H522" r:id="rId961" xr:uid="{00000000-0004-0000-0000-0000C0030000}"/>
    <hyperlink ref="D523" r:id="rId962" xr:uid="{00000000-0004-0000-0000-0000C1030000}"/>
    <hyperlink ref="H523" r:id="rId963" xr:uid="{00000000-0004-0000-0000-0000C2030000}"/>
    <hyperlink ref="D524" r:id="rId964" xr:uid="{00000000-0004-0000-0000-0000C3030000}"/>
    <hyperlink ref="H524" r:id="rId965" xr:uid="{00000000-0004-0000-0000-0000C4030000}"/>
    <hyperlink ref="D525" r:id="rId966" xr:uid="{00000000-0004-0000-0000-0000C5030000}"/>
    <hyperlink ref="H525" r:id="rId967" xr:uid="{00000000-0004-0000-0000-0000C6030000}"/>
    <hyperlink ref="D526" r:id="rId968" xr:uid="{00000000-0004-0000-0000-0000C7030000}"/>
    <hyperlink ref="H526" r:id="rId969" xr:uid="{00000000-0004-0000-0000-0000C8030000}"/>
    <hyperlink ref="D527" r:id="rId970" xr:uid="{00000000-0004-0000-0000-0000C9030000}"/>
    <hyperlink ref="H527" r:id="rId971" xr:uid="{00000000-0004-0000-0000-0000CA030000}"/>
    <hyperlink ref="D528" r:id="rId972" xr:uid="{00000000-0004-0000-0000-0000CB030000}"/>
    <hyperlink ref="H528" r:id="rId973" xr:uid="{00000000-0004-0000-0000-0000CC030000}"/>
    <hyperlink ref="D529" r:id="rId974" xr:uid="{00000000-0004-0000-0000-0000CD030000}"/>
    <hyperlink ref="H529" r:id="rId975" xr:uid="{00000000-0004-0000-0000-0000CE030000}"/>
    <hyperlink ref="D530" r:id="rId976" xr:uid="{00000000-0004-0000-0000-0000CF030000}"/>
    <hyperlink ref="H530" r:id="rId977" xr:uid="{00000000-0004-0000-0000-0000D0030000}"/>
    <hyperlink ref="D531" r:id="rId978" xr:uid="{00000000-0004-0000-0000-0000D1030000}"/>
    <hyperlink ref="H531" r:id="rId979" xr:uid="{00000000-0004-0000-0000-0000D2030000}"/>
    <hyperlink ref="D532" r:id="rId980" xr:uid="{00000000-0004-0000-0000-0000D3030000}"/>
    <hyperlink ref="H532" r:id="rId981" xr:uid="{00000000-0004-0000-0000-0000D4030000}"/>
    <hyperlink ref="D533" r:id="rId982" xr:uid="{00000000-0004-0000-0000-0000D5030000}"/>
    <hyperlink ref="H533" r:id="rId983" xr:uid="{00000000-0004-0000-0000-0000D6030000}"/>
    <hyperlink ref="D534" r:id="rId984" xr:uid="{00000000-0004-0000-0000-0000D7030000}"/>
    <hyperlink ref="H534" r:id="rId985" xr:uid="{00000000-0004-0000-0000-0000D8030000}"/>
    <hyperlink ref="D535" r:id="rId986" xr:uid="{00000000-0004-0000-0000-0000D9030000}"/>
    <hyperlink ref="H535" r:id="rId987" xr:uid="{00000000-0004-0000-0000-0000DA030000}"/>
    <hyperlink ref="D536" r:id="rId988" xr:uid="{00000000-0004-0000-0000-0000DB030000}"/>
    <hyperlink ref="H536" r:id="rId989" xr:uid="{00000000-0004-0000-0000-0000DC030000}"/>
    <hyperlink ref="D537" r:id="rId990" xr:uid="{00000000-0004-0000-0000-0000DD030000}"/>
    <hyperlink ref="H537" r:id="rId991" xr:uid="{00000000-0004-0000-0000-0000DE030000}"/>
    <hyperlink ref="D538" r:id="rId992" xr:uid="{00000000-0004-0000-0000-0000DF030000}"/>
    <hyperlink ref="H538" r:id="rId993" xr:uid="{00000000-0004-0000-0000-0000E0030000}"/>
    <hyperlink ref="D539" r:id="rId994" xr:uid="{00000000-0004-0000-0000-0000E1030000}"/>
    <hyperlink ref="H539" r:id="rId995" xr:uid="{00000000-0004-0000-0000-0000E2030000}"/>
    <hyperlink ref="D540" r:id="rId996" xr:uid="{00000000-0004-0000-0000-0000E3030000}"/>
    <hyperlink ref="H540" r:id="rId997" xr:uid="{00000000-0004-0000-0000-0000E4030000}"/>
    <hyperlink ref="D541" r:id="rId998" xr:uid="{00000000-0004-0000-0000-0000E5030000}"/>
    <hyperlink ref="H541" r:id="rId999" xr:uid="{00000000-0004-0000-0000-0000E6030000}"/>
    <hyperlink ref="D542" r:id="rId1000" xr:uid="{00000000-0004-0000-0000-0000E7030000}"/>
    <hyperlink ref="H542" r:id="rId1001" xr:uid="{00000000-0004-0000-0000-0000E8030000}"/>
    <hyperlink ref="D543" r:id="rId1002" xr:uid="{00000000-0004-0000-0000-0000E9030000}"/>
    <hyperlink ref="H543" r:id="rId1003" xr:uid="{00000000-0004-0000-0000-0000EA030000}"/>
    <hyperlink ref="D544" r:id="rId1004" xr:uid="{00000000-0004-0000-0000-0000EB030000}"/>
    <hyperlink ref="H544" r:id="rId1005" xr:uid="{00000000-0004-0000-0000-0000EC030000}"/>
    <hyperlink ref="D545" r:id="rId1006" xr:uid="{00000000-0004-0000-0000-0000ED030000}"/>
    <hyperlink ref="H545" r:id="rId1007" xr:uid="{00000000-0004-0000-0000-0000EE030000}"/>
    <hyperlink ref="D546" r:id="rId1008" xr:uid="{00000000-0004-0000-0000-0000EF030000}"/>
    <hyperlink ref="H546" r:id="rId1009" xr:uid="{00000000-0004-0000-0000-0000F0030000}"/>
    <hyperlink ref="D547" r:id="rId1010" xr:uid="{00000000-0004-0000-0000-0000F1030000}"/>
    <hyperlink ref="H547" r:id="rId1011" xr:uid="{00000000-0004-0000-0000-0000F2030000}"/>
    <hyperlink ref="D548" r:id="rId1012" xr:uid="{00000000-0004-0000-0000-0000F3030000}"/>
    <hyperlink ref="H548" r:id="rId1013" xr:uid="{00000000-0004-0000-0000-0000F4030000}"/>
    <hyperlink ref="D549" r:id="rId1014" xr:uid="{00000000-0004-0000-0000-0000F5030000}"/>
    <hyperlink ref="H549" r:id="rId1015" xr:uid="{00000000-0004-0000-0000-0000F6030000}"/>
    <hyperlink ref="H550" r:id="rId1016" xr:uid="{00000000-0004-0000-0000-0000F7030000}"/>
    <hyperlink ref="D551" r:id="rId1017" xr:uid="{00000000-0004-0000-0000-0000F8030000}"/>
    <hyperlink ref="H551" r:id="rId1018" xr:uid="{00000000-0004-0000-0000-0000F9030000}"/>
    <hyperlink ref="D552" r:id="rId1019" xr:uid="{00000000-0004-0000-0000-0000FA030000}"/>
    <hyperlink ref="H552" r:id="rId1020" xr:uid="{00000000-0004-0000-0000-0000FB030000}"/>
    <hyperlink ref="D553" r:id="rId1021" xr:uid="{00000000-0004-0000-0000-0000FC030000}"/>
    <hyperlink ref="H553" r:id="rId1022" xr:uid="{00000000-0004-0000-0000-0000FD030000}"/>
    <hyperlink ref="D554" r:id="rId1023" xr:uid="{00000000-0004-0000-0000-0000FE030000}"/>
    <hyperlink ref="H554" r:id="rId1024" xr:uid="{00000000-0004-0000-0000-0000FF030000}"/>
    <hyperlink ref="D555" r:id="rId1025" xr:uid="{00000000-0004-0000-0000-000000040000}"/>
    <hyperlink ref="H555" r:id="rId1026" xr:uid="{00000000-0004-0000-0000-000001040000}"/>
    <hyperlink ref="H556" r:id="rId1027" xr:uid="{00000000-0004-0000-0000-000002040000}"/>
    <hyperlink ref="D557" r:id="rId1028" xr:uid="{00000000-0004-0000-0000-000003040000}"/>
    <hyperlink ref="H557" r:id="rId1029" xr:uid="{00000000-0004-0000-0000-000004040000}"/>
    <hyperlink ref="D558" r:id="rId1030" xr:uid="{00000000-0004-0000-0000-000005040000}"/>
    <hyperlink ref="H558" r:id="rId1031" xr:uid="{00000000-0004-0000-0000-000006040000}"/>
    <hyperlink ref="H559" r:id="rId1032" xr:uid="{00000000-0004-0000-0000-000007040000}"/>
    <hyperlink ref="D560" r:id="rId1033" xr:uid="{00000000-0004-0000-0000-000008040000}"/>
    <hyperlink ref="H560" r:id="rId1034" xr:uid="{00000000-0004-0000-0000-000009040000}"/>
    <hyperlink ref="D561" r:id="rId1035" xr:uid="{00000000-0004-0000-0000-00000A040000}"/>
    <hyperlink ref="H561" r:id="rId1036" xr:uid="{00000000-0004-0000-0000-00000B040000}"/>
    <hyperlink ref="D562" r:id="rId1037" xr:uid="{00000000-0004-0000-0000-00000C040000}"/>
    <hyperlink ref="H562" r:id="rId1038" xr:uid="{00000000-0004-0000-0000-00000D040000}"/>
    <hyperlink ref="D563" r:id="rId1039" xr:uid="{00000000-0004-0000-0000-00000E040000}"/>
    <hyperlink ref="H563" r:id="rId1040" xr:uid="{00000000-0004-0000-0000-00000F040000}"/>
    <hyperlink ref="D564" r:id="rId1041" xr:uid="{00000000-0004-0000-0000-000010040000}"/>
    <hyperlink ref="H564" r:id="rId1042" xr:uid="{00000000-0004-0000-0000-000011040000}"/>
    <hyperlink ref="D565" r:id="rId1043" xr:uid="{00000000-0004-0000-0000-000012040000}"/>
    <hyperlink ref="H565" r:id="rId1044" xr:uid="{00000000-0004-0000-0000-000013040000}"/>
    <hyperlink ref="D566" r:id="rId1045" xr:uid="{00000000-0004-0000-0000-000014040000}"/>
    <hyperlink ref="H566" r:id="rId1046" xr:uid="{00000000-0004-0000-0000-000015040000}"/>
    <hyperlink ref="D567" r:id="rId1047" xr:uid="{00000000-0004-0000-0000-000016040000}"/>
    <hyperlink ref="H567" r:id="rId1048" xr:uid="{00000000-0004-0000-0000-000017040000}"/>
    <hyperlink ref="D568" r:id="rId1049" xr:uid="{00000000-0004-0000-0000-000018040000}"/>
    <hyperlink ref="H568" r:id="rId1050" xr:uid="{00000000-0004-0000-0000-000019040000}"/>
    <hyperlink ref="D569" r:id="rId1051" xr:uid="{00000000-0004-0000-0000-00001A040000}"/>
    <hyperlink ref="H569" r:id="rId1052" xr:uid="{00000000-0004-0000-0000-00001B040000}"/>
    <hyperlink ref="D570" r:id="rId1053" xr:uid="{00000000-0004-0000-0000-00001C040000}"/>
    <hyperlink ref="H570" r:id="rId1054" xr:uid="{00000000-0004-0000-0000-00001D040000}"/>
    <hyperlink ref="D571" r:id="rId1055" xr:uid="{00000000-0004-0000-0000-00001E040000}"/>
    <hyperlink ref="H571" r:id="rId1056" xr:uid="{00000000-0004-0000-0000-00001F040000}"/>
    <hyperlink ref="D572" r:id="rId1057" xr:uid="{00000000-0004-0000-0000-000020040000}"/>
    <hyperlink ref="H572" r:id="rId1058" xr:uid="{00000000-0004-0000-0000-000021040000}"/>
    <hyperlink ref="D573" r:id="rId1059" xr:uid="{00000000-0004-0000-0000-000022040000}"/>
    <hyperlink ref="H573" r:id="rId1060" xr:uid="{00000000-0004-0000-0000-000023040000}"/>
    <hyperlink ref="D574" r:id="rId1061" xr:uid="{00000000-0004-0000-0000-000024040000}"/>
    <hyperlink ref="H574" r:id="rId1062" xr:uid="{00000000-0004-0000-0000-000025040000}"/>
    <hyperlink ref="D575" r:id="rId1063" xr:uid="{00000000-0004-0000-0000-000026040000}"/>
    <hyperlink ref="H575" r:id="rId1064" xr:uid="{00000000-0004-0000-0000-000027040000}"/>
    <hyperlink ref="D576" r:id="rId1065" xr:uid="{00000000-0004-0000-0000-000028040000}"/>
    <hyperlink ref="H576" r:id="rId1066" xr:uid="{00000000-0004-0000-0000-000029040000}"/>
    <hyperlink ref="D577" r:id="rId1067" xr:uid="{00000000-0004-0000-0000-00002A040000}"/>
    <hyperlink ref="H577" r:id="rId1068" xr:uid="{00000000-0004-0000-0000-00002B040000}"/>
    <hyperlink ref="D578" r:id="rId1069" xr:uid="{00000000-0004-0000-0000-00002C040000}"/>
    <hyperlink ref="H578" r:id="rId1070" xr:uid="{00000000-0004-0000-0000-00002D040000}"/>
    <hyperlink ref="D579" r:id="rId1071" xr:uid="{00000000-0004-0000-0000-00002E040000}"/>
    <hyperlink ref="H579" r:id="rId1072" xr:uid="{00000000-0004-0000-0000-00002F040000}"/>
    <hyperlink ref="D580" r:id="rId1073" xr:uid="{00000000-0004-0000-0000-000030040000}"/>
    <hyperlink ref="H580" r:id="rId1074" xr:uid="{00000000-0004-0000-0000-000031040000}"/>
    <hyperlink ref="D581" r:id="rId1075" xr:uid="{00000000-0004-0000-0000-000032040000}"/>
    <hyperlink ref="H581" r:id="rId1076" xr:uid="{00000000-0004-0000-0000-000033040000}"/>
    <hyperlink ref="D582" r:id="rId1077" xr:uid="{00000000-0004-0000-0000-000034040000}"/>
    <hyperlink ref="H582" r:id="rId1078" xr:uid="{00000000-0004-0000-0000-000035040000}"/>
    <hyperlink ref="D583" r:id="rId1079" xr:uid="{00000000-0004-0000-0000-000036040000}"/>
    <hyperlink ref="H583" r:id="rId1080" xr:uid="{00000000-0004-0000-0000-000037040000}"/>
    <hyperlink ref="D584" r:id="rId1081" xr:uid="{00000000-0004-0000-0000-000038040000}"/>
    <hyperlink ref="H584" r:id="rId1082" xr:uid="{00000000-0004-0000-0000-000039040000}"/>
    <hyperlink ref="D585" r:id="rId1083" xr:uid="{00000000-0004-0000-0000-00003A040000}"/>
    <hyperlink ref="H585" r:id="rId1084" xr:uid="{00000000-0004-0000-0000-00003B040000}"/>
    <hyperlink ref="D586" r:id="rId1085" xr:uid="{00000000-0004-0000-0000-00003C040000}"/>
    <hyperlink ref="H586" r:id="rId1086" xr:uid="{00000000-0004-0000-0000-00003D040000}"/>
    <hyperlink ref="D587" r:id="rId1087" xr:uid="{00000000-0004-0000-0000-00003E040000}"/>
    <hyperlink ref="H587" r:id="rId1088" xr:uid="{00000000-0004-0000-0000-00003F040000}"/>
    <hyperlink ref="D588" r:id="rId1089" xr:uid="{00000000-0004-0000-0000-000040040000}"/>
    <hyperlink ref="H588" r:id="rId1090" xr:uid="{00000000-0004-0000-0000-000041040000}"/>
    <hyperlink ref="D589" r:id="rId1091" xr:uid="{00000000-0004-0000-0000-000042040000}"/>
    <hyperlink ref="H589" r:id="rId1092" xr:uid="{00000000-0004-0000-0000-000043040000}"/>
    <hyperlink ref="D590" r:id="rId1093" xr:uid="{00000000-0004-0000-0000-000044040000}"/>
    <hyperlink ref="H590" r:id="rId1094" xr:uid="{00000000-0004-0000-0000-000045040000}"/>
    <hyperlink ref="D591" r:id="rId1095" xr:uid="{00000000-0004-0000-0000-000046040000}"/>
    <hyperlink ref="H591" r:id="rId1096" xr:uid="{00000000-0004-0000-0000-000047040000}"/>
    <hyperlink ref="D592" r:id="rId1097" xr:uid="{00000000-0004-0000-0000-000048040000}"/>
    <hyperlink ref="H592" r:id="rId1098" xr:uid="{00000000-0004-0000-0000-000049040000}"/>
    <hyperlink ref="D593" r:id="rId1099" xr:uid="{00000000-0004-0000-0000-00004A040000}"/>
    <hyperlink ref="H593" r:id="rId1100" xr:uid="{00000000-0004-0000-0000-00004B040000}"/>
    <hyperlink ref="D594" r:id="rId1101" xr:uid="{00000000-0004-0000-0000-00004C040000}"/>
    <hyperlink ref="H594" r:id="rId1102" xr:uid="{00000000-0004-0000-0000-00004D040000}"/>
    <hyperlink ref="D595" r:id="rId1103" xr:uid="{00000000-0004-0000-0000-00004E040000}"/>
    <hyperlink ref="H595" r:id="rId1104" xr:uid="{00000000-0004-0000-0000-00004F040000}"/>
    <hyperlink ref="H596" r:id="rId1105" xr:uid="{00000000-0004-0000-0000-000050040000}"/>
    <hyperlink ref="D597" r:id="rId1106" xr:uid="{00000000-0004-0000-0000-000051040000}"/>
    <hyperlink ref="H597" r:id="rId1107" xr:uid="{00000000-0004-0000-0000-000052040000}"/>
    <hyperlink ref="D598" r:id="rId1108" xr:uid="{00000000-0004-0000-0000-000053040000}"/>
    <hyperlink ref="H598" r:id="rId1109" xr:uid="{00000000-0004-0000-0000-000054040000}"/>
    <hyperlink ref="D599" r:id="rId1110" xr:uid="{00000000-0004-0000-0000-000055040000}"/>
    <hyperlink ref="H599" r:id="rId1111" xr:uid="{00000000-0004-0000-0000-000056040000}"/>
    <hyperlink ref="D600" r:id="rId1112" xr:uid="{00000000-0004-0000-0000-000057040000}"/>
    <hyperlink ref="H600" r:id="rId1113" xr:uid="{00000000-0004-0000-0000-000058040000}"/>
    <hyperlink ref="D601" r:id="rId1114" xr:uid="{00000000-0004-0000-0000-000059040000}"/>
    <hyperlink ref="H601" r:id="rId1115" xr:uid="{00000000-0004-0000-0000-00005A040000}"/>
    <hyperlink ref="D602" r:id="rId1116" xr:uid="{00000000-0004-0000-0000-00005B040000}"/>
    <hyperlink ref="H602" r:id="rId1117" xr:uid="{00000000-0004-0000-0000-00005C040000}"/>
    <hyperlink ref="D603" r:id="rId1118" xr:uid="{00000000-0004-0000-0000-00005D040000}"/>
    <hyperlink ref="H603" r:id="rId1119" xr:uid="{00000000-0004-0000-0000-00005E040000}"/>
    <hyperlink ref="D604" r:id="rId1120" xr:uid="{00000000-0004-0000-0000-00005F040000}"/>
    <hyperlink ref="H604" r:id="rId1121" xr:uid="{00000000-0004-0000-0000-000060040000}"/>
    <hyperlink ref="D605" r:id="rId1122" xr:uid="{00000000-0004-0000-0000-000061040000}"/>
    <hyperlink ref="H605" r:id="rId1123" xr:uid="{00000000-0004-0000-0000-000062040000}"/>
    <hyperlink ref="D606" r:id="rId1124" xr:uid="{00000000-0004-0000-0000-000063040000}"/>
    <hyperlink ref="H606" r:id="rId1125" xr:uid="{00000000-0004-0000-0000-000064040000}"/>
    <hyperlink ref="D607" r:id="rId1126" xr:uid="{00000000-0004-0000-0000-000065040000}"/>
    <hyperlink ref="H607" r:id="rId1127" xr:uid="{00000000-0004-0000-0000-000066040000}"/>
    <hyperlink ref="D608" r:id="rId1128" xr:uid="{00000000-0004-0000-0000-000067040000}"/>
    <hyperlink ref="H608" r:id="rId1129" xr:uid="{00000000-0004-0000-0000-000068040000}"/>
    <hyperlink ref="D609" r:id="rId1130" xr:uid="{00000000-0004-0000-0000-000069040000}"/>
    <hyperlink ref="H609" r:id="rId1131" xr:uid="{00000000-0004-0000-0000-00006A040000}"/>
    <hyperlink ref="H610" r:id="rId1132" xr:uid="{00000000-0004-0000-0000-00006B040000}"/>
    <hyperlink ref="D611" r:id="rId1133" xr:uid="{00000000-0004-0000-0000-00006C040000}"/>
    <hyperlink ref="H611" r:id="rId1134" xr:uid="{00000000-0004-0000-0000-00006D040000}"/>
    <hyperlink ref="H612" r:id="rId1135" xr:uid="{00000000-0004-0000-0000-00006E040000}"/>
    <hyperlink ref="D613" r:id="rId1136" xr:uid="{00000000-0004-0000-0000-00006F040000}"/>
    <hyperlink ref="H613" r:id="rId1137" xr:uid="{00000000-0004-0000-0000-000070040000}"/>
    <hyperlink ref="D614" r:id="rId1138" xr:uid="{00000000-0004-0000-0000-000071040000}"/>
    <hyperlink ref="H614" r:id="rId1139" xr:uid="{00000000-0004-0000-0000-000072040000}"/>
    <hyperlink ref="D615" r:id="rId1140" xr:uid="{00000000-0004-0000-0000-000073040000}"/>
    <hyperlink ref="H615" r:id="rId1141" xr:uid="{00000000-0004-0000-0000-000074040000}"/>
    <hyperlink ref="D616" r:id="rId1142" xr:uid="{00000000-0004-0000-0000-000075040000}"/>
    <hyperlink ref="H616" r:id="rId1143" xr:uid="{00000000-0004-0000-0000-000076040000}"/>
    <hyperlink ref="D617" r:id="rId1144" xr:uid="{00000000-0004-0000-0000-000077040000}"/>
    <hyperlink ref="H617" r:id="rId1145" xr:uid="{00000000-0004-0000-0000-000078040000}"/>
    <hyperlink ref="D618" r:id="rId1146" xr:uid="{00000000-0004-0000-0000-000079040000}"/>
    <hyperlink ref="H618" r:id="rId1147" xr:uid="{00000000-0004-0000-0000-00007A040000}"/>
    <hyperlink ref="D619" r:id="rId1148" xr:uid="{00000000-0004-0000-0000-00007B040000}"/>
    <hyperlink ref="H619" r:id="rId1149" xr:uid="{00000000-0004-0000-0000-00007C040000}"/>
    <hyperlink ref="D620" r:id="rId1150" xr:uid="{00000000-0004-0000-0000-00007D040000}"/>
    <hyperlink ref="H620" r:id="rId1151" xr:uid="{00000000-0004-0000-0000-00007E040000}"/>
    <hyperlink ref="D621" r:id="rId1152" xr:uid="{00000000-0004-0000-0000-00007F040000}"/>
    <hyperlink ref="H621" r:id="rId1153" xr:uid="{00000000-0004-0000-0000-000080040000}"/>
    <hyperlink ref="D622" r:id="rId1154" xr:uid="{00000000-0004-0000-0000-000081040000}"/>
    <hyperlink ref="H622" r:id="rId1155" xr:uid="{00000000-0004-0000-0000-000082040000}"/>
    <hyperlink ref="D623" r:id="rId1156" xr:uid="{00000000-0004-0000-0000-000083040000}"/>
    <hyperlink ref="H623" r:id="rId1157" xr:uid="{00000000-0004-0000-0000-000084040000}"/>
    <hyperlink ref="D624" r:id="rId1158" xr:uid="{00000000-0004-0000-0000-000085040000}"/>
    <hyperlink ref="H624" r:id="rId1159" xr:uid="{00000000-0004-0000-0000-000086040000}"/>
    <hyperlink ref="D625" r:id="rId1160" xr:uid="{00000000-0004-0000-0000-000087040000}"/>
    <hyperlink ref="H625" r:id="rId1161" xr:uid="{00000000-0004-0000-0000-000088040000}"/>
    <hyperlink ref="D626" r:id="rId1162" xr:uid="{00000000-0004-0000-0000-000089040000}"/>
    <hyperlink ref="H626" r:id="rId1163" xr:uid="{00000000-0004-0000-0000-00008A040000}"/>
    <hyperlink ref="D627" r:id="rId1164" xr:uid="{00000000-0004-0000-0000-00008B040000}"/>
    <hyperlink ref="H627" r:id="rId1165" xr:uid="{00000000-0004-0000-0000-00008C040000}"/>
    <hyperlink ref="H628" r:id="rId1166" xr:uid="{00000000-0004-0000-0000-00008D040000}"/>
    <hyperlink ref="D629" r:id="rId1167" xr:uid="{00000000-0004-0000-0000-00008E040000}"/>
    <hyperlink ref="H629" r:id="rId1168" xr:uid="{00000000-0004-0000-0000-00008F040000}"/>
    <hyperlink ref="D630" r:id="rId1169" xr:uid="{00000000-0004-0000-0000-000090040000}"/>
    <hyperlink ref="H630" r:id="rId1170" xr:uid="{00000000-0004-0000-0000-000091040000}"/>
    <hyperlink ref="D631" r:id="rId1171" xr:uid="{00000000-0004-0000-0000-000092040000}"/>
    <hyperlink ref="H631" r:id="rId1172" xr:uid="{00000000-0004-0000-0000-000093040000}"/>
    <hyperlink ref="D632" r:id="rId1173" xr:uid="{00000000-0004-0000-0000-000094040000}"/>
    <hyperlink ref="H632" r:id="rId1174" xr:uid="{00000000-0004-0000-0000-000095040000}"/>
    <hyperlink ref="D633" r:id="rId1175" xr:uid="{00000000-0004-0000-0000-000096040000}"/>
    <hyperlink ref="H633" r:id="rId1176" xr:uid="{00000000-0004-0000-0000-000097040000}"/>
    <hyperlink ref="D634" r:id="rId1177" xr:uid="{00000000-0004-0000-0000-000098040000}"/>
    <hyperlink ref="H634" r:id="rId1178" xr:uid="{00000000-0004-0000-0000-000099040000}"/>
    <hyperlink ref="D635" r:id="rId1179" xr:uid="{00000000-0004-0000-0000-00009A040000}"/>
    <hyperlink ref="H635" r:id="rId1180" xr:uid="{00000000-0004-0000-0000-00009B040000}"/>
    <hyperlink ref="H636" r:id="rId1181" xr:uid="{00000000-0004-0000-0000-00009C040000}"/>
    <hyperlink ref="D637" r:id="rId1182" xr:uid="{00000000-0004-0000-0000-00009D040000}"/>
    <hyperlink ref="H637" r:id="rId1183" xr:uid="{00000000-0004-0000-0000-00009E040000}"/>
    <hyperlink ref="H638" r:id="rId1184" xr:uid="{00000000-0004-0000-0000-00009F040000}"/>
    <hyperlink ref="D639" r:id="rId1185" xr:uid="{00000000-0004-0000-0000-0000A0040000}"/>
    <hyperlink ref="H639" r:id="rId1186" xr:uid="{00000000-0004-0000-0000-0000A1040000}"/>
    <hyperlink ref="D640" r:id="rId1187" xr:uid="{00000000-0004-0000-0000-0000A2040000}"/>
    <hyperlink ref="H640" r:id="rId1188" xr:uid="{00000000-0004-0000-0000-0000A3040000}"/>
    <hyperlink ref="H641" r:id="rId1189" xr:uid="{00000000-0004-0000-0000-0000A4040000}"/>
    <hyperlink ref="D642" r:id="rId1190" xr:uid="{00000000-0004-0000-0000-0000A5040000}"/>
    <hyperlink ref="H642" r:id="rId1191" xr:uid="{00000000-0004-0000-0000-0000A6040000}"/>
    <hyperlink ref="D643" r:id="rId1192" xr:uid="{00000000-0004-0000-0000-0000A7040000}"/>
    <hyperlink ref="H643" r:id="rId1193" xr:uid="{00000000-0004-0000-0000-0000A8040000}"/>
    <hyperlink ref="D644" r:id="rId1194" xr:uid="{00000000-0004-0000-0000-0000A9040000}"/>
    <hyperlink ref="H644" r:id="rId1195" xr:uid="{00000000-0004-0000-0000-0000AA040000}"/>
    <hyperlink ref="D645" r:id="rId1196" xr:uid="{00000000-0004-0000-0000-0000AB040000}"/>
    <hyperlink ref="H645" r:id="rId1197" xr:uid="{00000000-0004-0000-0000-0000AC040000}"/>
    <hyperlink ref="D646" r:id="rId1198" xr:uid="{00000000-0004-0000-0000-0000AD040000}"/>
    <hyperlink ref="H646" r:id="rId1199" xr:uid="{00000000-0004-0000-0000-0000AE040000}"/>
    <hyperlink ref="D647" r:id="rId1200" xr:uid="{00000000-0004-0000-0000-0000AF040000}"/>
    <hyperlink ref="H647" r:id="rId1201" xr:uid="{00000000-0004-0000-0000-0000B0040000}"/>
    <hyperlink ref="D648" r:id="rId1202" xr:uid="{00000000-0004-0000-0000-0000B1040000}"/>
    <hyperlink ref="H648" r:id="rId1203" xr:uid="{00000000-0004-0000-0000-0000B2040000}"/>
    <hyperlink ref="D649" r:id="rId1204" xr:uid="{00000000-0004-0000-0000-0000B3040000}"/>
    <hyperlink ref="H649" r:id="rId1205" xr:uid="{00000000-0004-0000-0000-0000B4040000}"/>
    <hyperlink ref="D650" r:id="rId1206" xr:uid="{00000000-0004-0000-0000-0000B5040000}"/>
    <hyperlink ref="H650" r:id="rId1207" xr:uid="{00000000-0004-0000-0000-0000B6040000}"/>
    <hyperlink ref="D651" r:id="rId1208" xr:uid="{00000000-0004-0000-0000-0000B7040000}"/>
    <hyperlink ref="H651" r:id="rId1209" xr:uid="{00000000-0004-0000-0000-0000B8040000}"/>
    <hyperlink ref="D652" r:id="rId1210" xr:uid="{00000000-0004-0000-0000-0000B9040000}"/>
    <hyperlink ref="H652" r:id="rId1211" xr:uid="{00000000-0004-0000-0000-0000BA040000}"/>
    <hyperlink ref="D653" r:id="rId1212" xr:uid="{00000000-0004-0000-0000-0000BB040000}"/>
    <hyperlink ref="H653" r:id="rId1213" xr:uid="{00000000-0004-0000-0000-0000BC040000}"/>
    <hyperlink ref="D654" r:id="rId1214" xr:uid="{00000000-0004-0000-0000-0000BD040000}"/>
    <hyperlink ref="H654" r:id="rId1215" xr:uid="{00000000-0004-0000-0000-0000BE040000}"/>
    <hyperlink ref="D655" r:id="rId1216" xr:uid="{00000000-0004-0000-0000-0000BF040000}"/>
    <hyperlink ref="H655" r:id="rId1217" xr:uid="{00000000-0004-0000-0000-0000C0040000}"/>
    <hyperlink ref="H656" r:id="rId1218" xr:uid="{00000000-0004-0000-0000-0000C1040000}"/>
    <hyperlink ref="D657" r:id="rId1219" xr:uid="{00000000-0004-0000-0000-0000C2040000}"/>
    <hyperlink ref="H657" r:id="rId1220" xr:uid="{00000000-0004-0000-0000-0000C3040000}"/>
    <hyperlink ref="H658" r:id="rId1221" xr:uid="{00000000-0004-0000-0000-0000C4040000}"/>
    <hyperlink ref="H659" r:id="rId1222" xr:uid="{00000000-0004-0000-0000-0000C5040000}"/>
    <hyperlink ref="D660" r:id="rId1223" xr:uid="{00000000-0004-0000-0000-0000C6040000}"/>
    <hyperlink ref="H660" r:id="rId1224" xr:uid="{00000000-0004-0000-0000-0000C7040000}"/>
    <hyperlink ref="D661" r:id="rId1225" xr:uid="{00000000-0004-0000-0000-0000C8040000}"/>
    <hyperlink ref="H661" r:id="rId1226" xr:uid="{00000000-0004-0000-0000-0000C9040000}"/>
    <hyperlink ref="D662" r:id="rId1227" xr:uid="{00000000-0004-0000-0000-0000CA040000}"/>
    <hyperlink ref="H662" r:id="rId1228" xr:uid="{00000000-0004-0000-0000-0000CB040000}"/>
    <hyperlink ref="D663" r:id="rId1229" xr:uid="{00000000-0004-0000-0000-0000CC040000}"/>
    <hyperlink ref="H663" r:id="rId1230" xr:uid="{00000000-0004-0000-0000-0000CD040000}"/>
    <hyperlink ref="D664" r:id="rId1231" xr:uid="{00000000-0004-0000-0000-0000CE040000}"/>
    <hyperlink ref="H664" r:id="rId1232" xr:uid="{00000000-0004-0000-0000-0000CF040000}"/>
    <hyperlink ref="H665" r:id="rId1233" xr:uid="{00000000-0004-0000-0000-0000D0040000}"/>
    <hyperlink ref="D666" r:id="rId1234" xr:uid="{00000000-0004-0000-0000-0000D1040000}"/>
    <hyperlink ref="H666" r:id="rId1235" xr:uid="{00000000-0004-0000-0000-0000D2040000}"/>
    <hyperlink ref="D667" r:id="rId1236" xr:uid="{00000000-0004-0000-0000-0000D3040000}"/>
    <hyperlink ref="H667" r:id="rId1237" xr:uid="{00000000-0004-0000-0000-0000D4040000}"/>
    <hyperlink ref="D668" r:id="rId1238" xr:uid="{00000000-0004-0000-0000-0000D5040000}"/>
    <hyperlink ref="H668" r:id="rId1239" xr:uid="{00000000-0004-0000-0000-0000D6040000}"/>
    <hyperlink ref="D669" r:id="rId1240" xr:uid="{00000000-0004-0000-0000-0000D7040000}"/>
    <hyperlink ref="H669" r:id="rId1241" xr:uid="{00000000-0004-0000-0000-0000D8040000}"/>
    <hyperlink ref="D670" r:id="rId1242" xr:uid="{00000000-0004-0000-0000-0000D9040000}"/>
    <hyperlink ref="H670" r:id="rId1243" xr:uid="{00000000-0004-0000-0000-0000DA040000}"/>
    <hyperlink ref="D671" r:id="rId1244" xr:uid="{00000000-0004-0000-0000-0000DB040000}"/>
    <hyperlink ref="H671" r:id="rId1245" xr:uid="{00000000-0004-0000-0000-0000DC040000}"/>
    <hyperlink ref="D672" r:id="rId1246" xr:uid="{00000000-0004-0000-0000-0000DD040000}"/>
    <hyperlink ref="H672" r:id="rId1247" xr:uid="{00000000-0004-0000-0000-0000DE040000}"/>
    <hyperlink ref="D673" r:id="rId1248" xr:uid="{00000000-0004-0000-0000-0000DF040000}"/>
    <hyperlink ref="H673" r:id="rId1249" xr:uid="{00000000-0004-0000-0000-0000E0040000}"/>
    <hyperlink ref="H674" r:id="rId1250" xr:uid="{00000000-0004-0000-0000-0000E1040000}"/>
    <hyperlink ref="H675" r:id="rId1251" xr:uid="{00000000-0004-0000-0000-0000E2040000}"/>
    <hyperlink ref="D676" r:id="rId1252" xr:uid="{00000000-0004-0000-0000-0000E3040000}"/>
    <hyperlink ref="H676" r:id="rId1253" xr:uid="{00000000-0004-0000-0000-0000E4040000}"/>
    <hyperlink ref="D677" r:id="rId1254" xr:uid="{00000000-0004-0000-0000-0000E5040000}"/>
    <hyperlink ref="H677" r:id="rId1255" xr:uid="{00000000-0004-0000-0000-0000E6040000}"/>
    <hyperlink ref="D678" r:id="rId1256" xr:uid="{00000000-0004-0000-0000-0000E7040000}"/>
    <hyperlink ref="H678" r:id="rId1257" xr:uid="{00000000-0004-0000-0000-0000E8040000}"/>
    <hyperlink ref="D679" r:id="rId1258" xr:uid="{00000000-0004-0000-0000-0000E9040000}"/>
    <hyperlink ref="H679" r:id="rId1259" xr:uid="{00000000-0004-0000-0000-0000EA040000}"/>
    <hyperlink ref="H680" r:id="rId1260" xr:uid="{00000000-0004-0000-0000-0000EB040000}"/>
    <hyperlink ref="D681" r:id="rId1261" xr:uid="{00000000-0004-0000-0000-0000EC040000}"/>
    <hyperlink ref="H681" r:id="rId1262" xr:uid="{00000000-0004-0000-0000-0000ED040000}"/>
    <hyperlink ref="D682" r:id="rId1263" xr:uid="{00000000-0004-0000-0000-0000EE040000}"/>
    <hyperlink ref="H682" r:id="rId1264" xr:uid="{00000000-0004-0000-0000-0000EF040000}"/>
    <hyperlink ref="D683" r:id="rId1265" xr:uid="{00000000-0004-0000-0000-0000F0040000}"/>
    <hyperlink ref="H683" r:id="rId1266" xr:uid="{00000000-0004-0000-0000-0000F1040000}"/>
    <hyperlink ref="D684" r:id="rId1267" xr:uid="{00000000-0004-0000-0000-0000F2040000}"/>
    <hyperlink ref="H684" r:id="rId1268" xr:uid="{00000000-0004-0000-0000-0000F3040000}"/>
    <hyperlink ref="D685" r:id="rId1269" xr:uid="{00000000-0004-0000-0000-0000F4040000}"/>
    <hyperlink ref="H685" r:id="rId1270" xr:uid="{00000000-0004-0000-0000-0000F5040000}"/>
    <hyperlink ref="D686" r:id="rId1271" xr:uid="{00000000-0004-0000-0000-0000F6040000}"/>
    <hyperlink ref="H686" r:id="rId1272" xr:uid="{00000000-0004-0000-0000-0000F7040000}"/>
    <hyperlink ref="D687" r:id="rId1273" xr:uid="{00000000-0004-0000-0000-0000F8040000}"/>
    <hyperlink ref="H687" r:id="rId1274" xr:uid="{00000000-0004-0000-0000-0000F9040000}"/>
    <hyperlink ref="D688" r:id="rId1275" xr:uid="{00000000-0004-0000-0000-0000FA040000}"/>
    <hyperlink ref="H688" r:id="rId1276" xr:uid="{00000000-0004-0000-0000-0000FB040000}"/>
    <hyperlink ref="D689" r:id="rId1277" xr:uid="{00000000-0004-0000-0000-0000FC040000}"/>
    <hyperlink ref="H689" r:id="rId1278" xr:uid="{00000000-0004-0000-0000-0000FD040000}"/>
    <hyperlink ref="D690" r:id="rId1279" xr:uid="{00000000-0004-0000-0000-0000FE040000}"/>
    <hyperlink ref="H690" r:id="rId1280" xr:uid="{00000000-0004-0000-0000-0000FF040000}"/>
    <hyperlink ref="D691" r:id="rId1281" xr:uid="{00000000-0004-0000-0000-000000050000}"/>
    <hyperlink ref="H691" r:id="rId1282" xr:uid="{00000000-0004-0000-0000-000001050000}"/>
    <hyperlink ref="D692" r:id="rId1283" xr:uid="{00000000-0004-0000-0000-000002050000}"/>
    <hyperlink ref="H692" r:id="rId1284" xr:uid="{00000000-0004-0000-0000-000003050000}"/>
    <hyperlink ref="D693" r:id="rId1285" xr:uid="{00000000-0004-0000-0000-000004050000}"/>
    <hyperlink ref="H693" r:id="rId1286" xr:uid="{00000000-0004-0000-0000-000005050000}"/>
    <hyperlink ref="D694" r:id="rId1287" xr:uid="{00000000-0004-0000-0000-000006050000}"/>
    <hyperlink ref="H694" r:id="rId1288" xr:uid="{00000000-0004-0000-0000-000007050000}"/>
    <hyperlink ref="D695" r:id="rId1289" xr:uid="{00000000-0004-0000-0000-000008050000}"/>
    <hyperlink ref="H695" r:id="rId1290" xr:uid="{00000000-0004-0000-0000-000009050000}"/>
    <hyperlink ref="D696" r:id="rId1291" xr:uid="{00000000-0004-0000-0000-00000A050000}"/>
    <hyperlink ref="H696" r:id="rId1292" xr:uid="{00000000-0004-0000-0000-00000B050000}"/>
    <hyperlink ref="D697" r:id="rId1293" xr:uid="{00000000-0004-0000-0000-00000C050000}"/>
    <hyperlink ref="H697" r:id="rId1294" xr:uid="{00000000-0004-0000-0000-00000D050000}"/>
    <hyperlink ref="D698" r:id="rId1295" xr:uid="{00000000-0004-0000-0000-00000E050000}"/>
    <hyperlink ref="H698" r:id="rId1296" xr:uid="{00000000-0004-0000-0000-00000F050000}"/>
    <hyperlink ref="D699" r:id="rId1297" xr:uid="{00000000-0004-0000-0000-000010050000}"/>
    <hyperlink ref="H699" r:id="rId1298" xr:uid="{00000000-0004-0000-0000-000011050000}"/>
    <hyperlink ref="D700" r:id="rId1299" xr:uid="{00000000-0004-0000-0000-000012050000}"/>
    <hyperlink ref="H700" r:id="rId1300" xr:uid="{00000000-0004-0000-0000-000013050000}"/>
    <hyperlink ref="D701" r:id="rId1301" xr:uid="{00000000-0004-0000-0000-000014050000}"/>
    <hyperlink ref="H701" r:id="rId1302" xr:uid="{00000000-0004-0000-0000-000015050000}"/>
    <hyperlink ref="D702" r:id="rId1303" xr:uid="{00000000-0004-0000-0000-000016050000}"/>
    <hyperlink ref="H702" r:id="rId1304" xr:uid="{00000000-0004-0000-0000-000017050000}"/>
    <hyperlink ref="D703" r:id="rId1305" xr:uid="{00000000-0004-0000-0000-000018050000}"/>
    <hyperlink ref="H703" r:id="rId1306" xr:uid="{00000000-0004-0000-0000-000019050000}"/>
    <hyperlink ref="D704" r:id="rId1307" xr:uid="{00000000-0004-0000-0000-00001A050000}"/>
    <hyperlink ref="H704" r:id="rId1308" xr:uid="{00000000-0004-0000-0000-00001B050000}"/>
    <hyperlink ref="D705" r:id="rId1309" xr:uid="{00000000-0004-0000-0000-00001C050000}"/>
    <hyperlink ref="H705" r:id="rId1310" xr:uid="{00000000-0004-0000-0000-00001D050000}"/>
    <hyperlink ref="D706" r:id="rId1311" xr:uid="{00000000-0004-0000-0000-00001E050000}"/>
    <hyperlink ref="H706" r:id="rId1312" xr:uid="{00000000-0004-0000-0000-00001F050000}"/>
    <hyperlink ref="D707" r:id="rId1313" xr:uid="{00000000-0004-0000-0000-000020050000}"/>
    <hyperlink ref="H707" r:id="rId1314" xr:uid="{00000000-0004-0000-0000-000021050000}"/>
    <hyperlink ref="D708" r:id="rId1315" xr:uid="{00000000-0004-0000-0000-000022050000}"/>
    <hyperlink ref="H708" r:id="rId1316" xr:uid="{00000000-0004-0000-0000-000023050000}"/>
    <hyperlink ref="D709" r:id="rId1317" xr:uid="{00000000-0004-0000-0000-000024050000}"/>
    <hyperlink ref="H709" r:id="rId1318" xr:uid="{00000000-0004-0000-0000-000025050000}"/>
    <hyperlink ref="D710" r:id="rId1319" xr:uid="{00000000-0004-0000-0000-000026050000}"/>
    <hyperlink ref="H710" r:id="rId1320" xr:uid="{00000000-0004-0000-0000-000027050000}"/>
    <hyperlink ref="D711" r:id="rId1321" xr:uid="{00000000-0004-0000-0000-000028050000}"/>
    <hyperlink ref="H711" r:id="rId1322" xr:uid="{00000000-0004-0000-0000-000029050000}"/>
    <hyperlink ref="D712" r:id="rId1323" xr:uid="{00000000-0004-0000-0000-00002A050000}"/>
    <hyperlink ref="H712" r:id="rId1324" xr:uid="{00000000-0004-0000-0000-00002B050000}"/>
    <hyperlink ref="D713" r:id="rId1325" xr:uid="{00000000-0004-0000-0000-00002C050000}"/>
    <hyperlink ref="H713" r:id="rId1326" xr:uid="{00000000-0004-0000-0000-00002D050000}"/>
    <hyperlink ref="D714" r:id="rId1327" xr:uid="{00000000-0004-0000-0000-00002E050000}"/>
    <hyperlink ref="H714" r:id="rId1328" xr:uid="{00000000-0004-0000-0000-00002F050000}"/>
    <hyperlink ref="D715" r:id="rId1329" xr:uid="{00000000-0004-0000-0000-000030050000}"/>
    <hyperlink ref="H715" r:id="rId1330" xr:uid="{00000000-0004-0000-0000-000031050000}"/>
    <hyperlink ref="D716" r:id="rId1331" xr:uid="{00000000-0004-0000-0000-000032050000}"/>
    <hyperlink ref="H716" r:id="rId1332" xr:uid="{00000000-0004-0000-0000-000033050000}"/>
    <hyperlink ref="D717" r:id="rId1333" xr:uid="{00000000-0004-0000-0000-000034050000}"/>
    <hyperlink ref="H717" r:id="rId1334" xr:uid="{00000000-0004-0000-0000-000035050000}"/>
    <hyperlink ref="D718" r:id="rId1335" xr:uid="{00000000-0004-0000-0000-000036050000}"/>
    <hyperlink ref="H718" r:id="rId1336" xr:uid="{00000000-0004-0000-0000-000037050000}"/>
    <hyperlink ref="D719" r:id="rId1337" xr:uid="{00000000-0004-0000-0000-000038050000}"/>
    <hyperlink ref="H719" r:id="rId1338" xr:uid="{00000000-0004-0000-0000-000039050000}"/>
    <hyperlink ref="D720" r:id="rId1339" xr:uid="{00000000-0004-0000-0000-00003A050000}"/>
    <hyperlink ref="H720" r:id="rId1340" xr:uid="{00000000-0004-0000-0000-00003B050000}"/>
    <hyperlink ref="D721" r:id="rId1341" xr:uid="{00000000-0004-0000-0000-00003C050000}"/>
    <hyperlink ref="H721" r:id="rId1342" xr:uid="{00000000-0004-0000-0000-00003D050000}"/>
    <hyperlink ref="D722" r:id="rId1343" xr:uid="{00000000-0004-0000-0000-00003E050000}"/>
    <hyperlink ref="H722" r:id="rId1344" xr:uid="{00000000-0004-0000-0000-00003F050000}"/>
    <hyperlink ref="D723" r:id="rId1345" xr:uid="{00000000-0004-0000-0000-000040050000}"/>
    <hyperlink ref="H723" r:id="rId1346" xr:uid="{00000000-0004-0000-0000-000041050000}"/>
    <hyperlink ref="D724" r:id="rId1347" xr:uid="{00000000-0004-0000-0000-000042050000}"/>
    <hyperlink ref="D725" r:id="rId1348" xr:uid="{00000000-0004-0000-0000-000043050000}"/>
    <hyperlink ref="D726" r:id="rId1349" xr:uid="{00000000-0004-0000-0000-000044050000}"/>
    <hyperlink ref="D727" r:id="rId1350" xr:uid="{00000000-0004-0000-0000-000045050000}"/>
    <hyperlink ref="H727" r:id="rId1351" xr:uid="{00000000-0004-0000-0000-000046050000}"/>
    <hyperlink ref="D728" r:id="rId1352" xr:uid="{00000000-0004-0000-0000-000047050000}"/>
    <hyperlink ref="H728" r:id="rId1353" xr:uid="{00000000-0004-0000-0000-000048050000}"/>
    <hyperlink ref="D729" r:id="rId1354" xr:uid="{00000000-0004-0000-0000-000049050000}"/>
    <hyperlink ref="H729" r:id="rId1355" xr:uid="{00000000-0004-0000-0000-00004A050000}"/>
    <hyperlink ref="D730" r:id="rId1356" xr:uid="{00000000-0004-0000-0000-00004B050000}"/>
    <hyperlink ref="H730" r:id="rId1357" xr:uid="{00000000-0004-0000-0000-00004C050000}"/>
    <hyperlink ref="D731" r:id="rId1358" xr:uid="{00000000-0004-0000-0000-00004D050000}"/>
    <hyperlink ref="D732" r:id="rId1359" xr:uid="{00000000-0004-0000-0000-00004E050000}"/>
    <hyperlink ref="H732" r:id="rId1360" xr:uid="{00000000-0004-0000-0000-00004F050000}"/>
    <hyperlink ref="D733" r:id="rId1361" xr:uid="{00000000-0004-0000-0000-000050050000}"/>
    <hyperlink ref="H733" r:id="rId1362" xr:uid="{00000000-0004-0000-0000-000051050000}"/>
    <hyperlink ref="D734" r:id="rId1363" xr:uid="{00000000-0004-0000-0000-000052050000}"/>
    <hyperlink ref="H734" r:id="rId1364" xr:uid="{00000000-0004-0000-0000-000053050000}"/>
    <hyperlink ref="D735" r:id="rId1365" xr:uid="{00000000-0004-0000-0000-000054050000}"/>
    <hyperlink ref="H735" r:id="rId1366" xr:uid="{00000000-0004-0000-0000-000055050000}"/>
    <hyperlink ref="D736" r:id="rId1367" xr:uid="{00000000-0004-0000-0000-000056050000}"/>
    <hyperlink ref="H736" r:id="rId1368" xr:uid="{00000000-0004-0000-0000-000057050000}"/>
    <hyperlink ref="D737" r:id="rId1369" xr:uid="{00000000-0004-0000-0000-000058050000}"/>
    <hyperlink ref="H737" r:id="rId1370" xr:uid="{00000000-0004-0000-0000-000059050000}"/>
    <hyperlink ref="D738" r:id="rId1371" xr:uid="{00000000-0004-0000-0000-00005A050000}"/>
    <hyperlink ref="H738" r:id="rId1372" xr:uid="{00000000-0004-0000-0000-00005B050000}"/>
    <hyperlink ref="D739" r:id="rId1373" xr:uid="{00000000-0004-0000-0000-00005C050000}"/>
    <hyperlink ref="H739" r:id="rId1374" xr:uid="{00000000-0004-0000-0000-00005D050000}"/>
    <hyperlink ref="D740" r:id="rId1375" xr:uid="{00000000-0004-0000-0000-00005E050000}"/>
    <hyperlink ref="H740" r:id="rId1376" xr:uid="{00000000-0004-0000-0000-00005F050000}"/>
    <hyperlink ref="D741" r:id="rId1377" xr:uid="{00000000-0004-0000-0000-000060050000}"/>
    <hyperlink ref="H741" r:id="rId1378" xr:uid="{00000000-0004-0000-0000-000061050000}"/>
    <hyperlink ref="D742" r:id="rId1379" xr:uid="{00000000-0004-0000-0000-000062050000}"/>
    <hyperlink ref="H742" r:id="rId1380" xr:uid="{00000000-0004-0000-0000-000063050000}"/>
    <hyperlink ref="D743" r:id="rId1381" xr:uid="{00000000-0004-0000-0000-000064050000}"/>
    <hyperlink ref="H743" r:id="rId1382" xr:uid="{00000000-0004-0000-0000-000065050000}"/>
    <hyperlink ref="D744" r:id="rId1383" xr:uid="{00000000-0004-0000-0000-000066050000}"/>
    <hyperlink ref="H744" r:id="rId1384" xr:uid="{00000000-0004-0000-0000-000067050000}"/>
    <hyperlink ref="D745" r:id="rId1385" xr:uid="{00000000-0004-0000-0000-000068050000}"/>
    <hyperlink ref="H745" r:id="rId1386" xr:uid="{00000000-0004-0000-0000-000069050000}"/>
    <hyperlink ref="D746" r:id="rId1387" xr:uid="{00000000-0004-0000-0000-00006A050000}"/>
    <hyperlink ref="H746" r:id="rId1388" xr:uid="{00000000-0004-0000-0000-00006B050000}"/>
    <hyperlink ref="D747" r:id="rId1389" xr:uid="{00000000-0004-0000-0000-00006C050000}"/>
    <hyperlink ref="H747" r:id="rId1390" xr:uid="{00000000-0004-0000-0000-00006D050000}"/>
    <hyperlink ref="H748" r:id="rId1391" xr:uid="{00000000-0004-0000-0000-00006E050000}"/>
    <hyperlink ref="D749" r:id="rId1392" xr:uid="{00000000-0004-0000-0000-00006F050000}"/>
    <hyperlink ref="H749" r:id="rId1393" xr:uid="{00000000-0004-0000-0000-000070050000}"/>
    <hyperlink ref="D750" r:id="rId1394" xr:uid="{00000000-0004-0000-0000-000071050000}"/>
    <hyperlink ref="H750" r:id="rId1395" xr:uid="{00000000-0004-0000-0000-000072050000}"/>
    <hyperlink ref="D751" r:id="rId1396" xr:uid="{00000000-0004-0000-0000-000073050000}"/>
    <hyperlink ref="H751" r:id="rId1397" xr:uid="{00000000-0004-0000-0000-000074050000}"/>
    <hyperlink ref="D752" r:id="rId1398" xr:uid="{00000000-0004-0000-0000-000075050000}"/>
    <hyperlink ref="H752" r:id="rId1399" xr:uid="{00000000-0004-0000-0000-000076050000}"/>
    <hyperlink ref="D753" r:id="rId1400" xr:uid="{00000000-0004-0000-0000-000077050000}"/>
    <hyperlink ref="H753" r:id="rId1401" xr:uid="{00000000-0004-0000-0000-000078050000}"/>
    <hyperlink ref="D754" r:id="rId1402" xr:uid="{00000000-0004-0000-0000-000079050000}"/>
    <hyperlink ref="H754" r:id="rId1403" xr:uid="{00000000-0004-0000-0000-00007A050000}"/>
    <hyperlink ref="D755" r:id="rId1404" xr:uid="{00000000-0004-0000-0000-00007B050000}"/>
    <hyperlink ref="H755" r:id="rId1405" xr:uid="{00000000-0004-0000-0000-00007C050000}"/>
    <hyperlink ref="D756" r:id="rId1406" xr:uid="{00000000-0004-0000-0000-00007D050000}"/>
    <hyperlink ref="H756" r:id="rId1407" xr:uid="{00000000-0004-0000-0000-00007E050000}"/>
    <hyperlink ref="D757" r:id="rId1408" xr:uid="{00000000-0004-0000-0000-00007F050000}"/>
    <hyperlink ref="H757" r:id="rId1409" xr:uid="{00000000-0004-0000-0000-000080050000}"/>
    <hyperlink ref="D758" r:id="rId1410" xr:uid="{00000000-0004-0000-0000-000081050000}"/>
    <hyperlink ref="H758" r:id="rId1411" xr:uid="{00000000-0004-0000-0000-000082050000}"/>
    <hyperlink ref="H759" r:id="rId1412" xr:uid="{00000000-0004-0000-0000-000083050000}"/>
    <hyperlink ref="D760" r:id="rId1413" xr:uid="{00000000-0004-0000-0000-000084050000}"/>
    <hyperlink ref="H760" r:id="rId1414" xr:uid="{00000000-0004-0000-0000-000085050000}"/>
    <hyperlink ref="D761" r:id="rId1415" xr:uid="{00000000-0004-0000-0000-000086050000}"/>
    <hyperlink ref="H761" r:id="rId1416" xr:uid="{00000000-0004-0000-0000-000087050000}"/>
    <hyperlink ref="D762" r:id="rId1417" xr:uid="{00000000-0004-0000-0000-000088050000}"/>
    <hyperlink ref="H762" r:id="rId1418" xr:uid="{00000000-0004-0000-0000-000089050000}"/>
    <hyperlink ref="H763" r:id="rId1419" xr:uid="{00000000-0004-0000-0000-00008A050000}"/>
    <hyperlink ref="D764" r:id="rId1420" xr:uid="{00000000-0004-0000-0000-00008B050000}"/>
    <hyperlink ref="H764" r:id="rId1421" xr:uid="{00000000-0004-0000-0000-00008C050000}"/>
    <hyperlink ref="D765" r:id="rId1422" xr:uid="{00000000-0004-0000-0000-00008D050000}"/>
    <hyperlink ref="H765" r:id="rId1423" xr:uid="{00000000-0004-0000-0000-00008E050000}"/>
    <hyperlink ref="D766" r:id="rId1424" xr:uid="{00000000-0004-0000-0000-00008F050000}"/>
    <hyperlink ref="H766" r:id="rId1425" xr:uid="{00000000-0004-0000-0000-000090050000}"/>
    <hyperlink ref="D767" r:id="rId1426" xr:uid="{00000000-0004-0000-0000-000091050000}"/>
    <hyperlink ref="H767" r:id="rId1427" xr:uid="{00000000-0004-0000-0000-000092050000}"/>
    <hyperlink ref="D768" r:id="rId1428" xr:uid="{00000000-0004-0000-0000-000093050000}"/>
    <hyperlink ref="H768" r:id="rId1429" xr:uid="{00000000-0004-0000-0000-000094050000}"/>
    <hyperlink ref="D769" r:id="rId1430" xr:uid="{00000000-0004-0000-0000-000095050000}"/>
    <hyperlink ref="H769" r:id="rId1431" xr:uid="{00000000-0004-0000-0000-000096050000}"/>
    <hyperlink ref="D770" r:id="rId1432" xr:uid="{00000000-0004-0000-0000-000097050000}"/>
    <hyperlink ref="H770" r:id="rId1433" xr:uid="{00000000-0004-0000-0000-000098050000}"/>
    <hyperlink ref="H771" r:id="rId1434" xr:uid="{00000000-0004-0000-0000-000099050000}"/>
    <hyperlink ref="D772" r:id="rId1435" xr:uid="{00000000-0004-0000-0000-00009A050000}"/>
    <hyperlink ref="H772" r:id="rId1436" xr:uid="{00000000-0004-0000-0000-00009B050000}"/>
    <hyperlink ref="D773" r:id="rId1437" xr:uid="{00000000-0004-0000-0000-00009C050000}"/>
    <hyperlink ref="H773" r:id="rId1438" xr:uid="{00000000-0004-0000-0000-00009D050000}"/>
    <hyperlink ref="D774" r:id="rId1439" xr:uid="{00000000-0004-0000-0000-00009E050000}"/>
    <hyperlink ref="H774" r:id="rId1440" xr:uid="{00000000-0004-0000-0000-00009F050000}"/>
    <hyperlink ref="D775" r:id="rId1441" xr:uid="{00000000-0004-0000-0000-0000A0050000}"/>
    <hyperlink ref="H775" r:id="rId1442" xr:uid="{00000000-0004-0000-0000-0000A1050000}"/>
    <hyperlink ref="H776" r:id="rId1443" xr:uid="{00000000-0004-0000-0000-0000A2050000}"/>
    <hyperlink ref="D777" r:id="rId1444" xr:uid="{00000000-0004-0000-0000-0000A3050000}"/>
    <hyperlink ref="H777" r:id="rId1445" xr:uid="{00000000-0004-0000-0000-0000A4050000}"/>
    <hyperlink ref="D778" r:id="rId1446" xr:uid="{00000000-0004-0000-0000-0000A5050000}"/>
    <hyperlink ref="H778" r:id="rId1447" xr:uid="{00000000-0004-0000-0000-0000A6050000}"/>
    <hyperlink ref="D779" r:id="rId1448" xr:uid="{00000000-0004-0000-0000-0000A7050000}"/>
    <hyperlink ref="D780" r:id="rId1449" xr:uid="{00000000-0004-0000-0000-0000A8050000}"/>
    <hyperlink ref="H780" r:id="rId1450" xr:uid="{00000000-0004-0000-0000-0000A9050000}"/>
    <hyperlink ref="H781" r:id="rId1451" xr:uid="{00000000-0004-0000-0000-0000AA050000}"/>
    <hyperlink ref="D782" r:id="rId1452" xr:uid="{00000000-0004-0000-0000-0000AB050000}"/>
    <hyperlink ref="H782" r:id="rId1453" xr:uid="{00000000-0004-0000-0000-0000AC050000}"/>
    <hyperlink ref="D783" r:id="rId1454" xr:uid="{00000000-0004-0000-0000-0000AD050000}"/>
    <hyperlink ref="H783" r:id="rId1455" xr:uid="{00000000-0004-0000-0000-0000AE050000}"/>
    <hyperlink ref="D784" r:id="rId1456" xr:uid="{00000000-0004-0000-0000-0000AF050000}"/>
    <hyperlink ref="H784" r:id="rId1457" xr:uid="{00000000-0004-0000-0000-0000B0050000}"/>
    <hyperlink ref="D785" r:id="rId1458" xr:uid="{00000000-0004-0000-0000-0000B1050000}"/>
    <hyperlink ref="H785" r:id="rId1459" xr:uid="{00000000-0004-0000-0000-0000B2050000}"/>
    <hyperlink ref="D786" r:id="rId1460" xr:uid="{00000000-0004-0000-0000-0000B3050000}"/>
    <hyperlink ref="H786" r:id="rId1461" xr:uid="{00000000-0004-0000-0000-0000B4050000}"/>
    <hyperlink ref="D787" r:id="rId1462" xr:uid="{00000000-0004-0000-0000-0000B5050000}"/>
    <hyperlink ref="H787" r:id="rId1463" xr:uid="{00000000-0004-0000-0000-0000B6050000}"/>
    <hyperlink ref="D788" r:id="rId1464" xr:uid="{00000000-0004-0000-0000-0000B7050000}"/>
    <hyperlink ref="H788" r:id="rId1465" xr:uid="{00000000-0004-0000-0000-0000B8050000}"/>
    <hyperlink ref="D789" r:id="rId1466" xr:uid="{00000000-0004-0000-0000-0000B9050000}"/>
    <hyperlink ref="H789" r:id="rId1467" xr:uid="{00000000-0004-0000-0000-0000BA050000}"/>
    <hyperlink ref="D790" r:id="rId1468" xr:uid="{00000000-0004-0000-0000-0000BB050000}"/>
    <hyperlink ref="H790" r:id="rId1469" xr:uid="{00000000-0004-0000-0000-0000BC050000}"/>
    <hyperlink ref="D791" r:id="rId1470" xr:uid="{00000000-0004-0000-0000-0000BD050000}"/>
    <hyperlink ref="H791" r:id="rId1471" xr:uid="{00000000-0004-0000-0000-0000BE050000}"/>
    <hyperlink ref="D792" r:id="rId1472" xr:uid="{00000000-0004-0000-0000-0000BF050000}"/>
    <hyperlink ref="H792" r:id="rId1473" xr:uid="{00000000-0004-0000-0000-0000C0050000}"/>
    <hyperlink ref="D793" r:id="rId1474" xr:uid="{00000000-0004-0000-0000-0000C1050000}"/>
    <hyperlink ref="H793" r:id="rId1475" xr:uid="{00000000-0004-0000-0000-0000C2050000}"/>
    <hyperlink ref="H794" r:id="rId1476" xr:uid="{00000000-0004-0000-0000-0000C3050000}"/>
    <hyperlink ref="D795" r:id="rId1477" xr:uid="{00000000-0004-0000-0000-0000C4050000}"/>
    <hyperlink ref="H795" r:id="rId1478" xr:uid="{00000000-0004-0000-0000-0000C5050000}"/>
    <hyperlink ref="D796" r:id="rId1479" xr:uid="{00000000-0004-0000-0000-0000C6050000}"/>
    <hyperlink ref="H796" r:id="rId1480" xr:uid="{00000000-0004-0000-0000-0000C7050000}"/>
    <hyperlink ref="D797" r:id="rId1481" xr:uid="{00000000-0004-0000-0000-0000C8050000}"/>
    <hyperlink ref="H797" r:id="rId1482" xr:uid="{00000000-0004-0000-0000-0000C9050000}"/>
    <hyperlink ref="D798" r:id="rId1483" xr:uid="{00000000-0004-0000-0000-0000CA050000}"/>
    <hyperlink ref="H798" r:id="rId1484" xr:uid="{00000000-0004-0000-0000-0000CB050000}"/>
    <hyperlink ref="D799" r:id="rId1485" xr:uid="{00000000-0004-0000-0000-0000CC050000}"/>
    <hyperlink ref="H799" r:id="rId1486" xr:uid="{00000000-0004-0000-0000-0000CD050000}"/>
    <hyperlink ref="D800" r:id="rId1487" xr:uid="{00000000-0004-0000-0000-0000CE050000}"/>
    <hyperlink ref="H800" r:id="rId1488" xr:uid="{00000000-0004-0000-0000-0000CF050000}"/>
    <hyperlink ref="D801" r:id="rId1489" xr:uid="{00000000-0004-0000-0000-0000D0050000}"/>
    <hyperlink ref="H801" r:id="rId1490" xr:uid="{00000000-0004-0000-0000-0000D1050000}"/>
    <hyperlink ref="D802" r:id="rId1491" xr:uid="{00000000-0004-0000-0000-0000D2050000}"/>
    <hyperlink ref="H802" r:id="rId1492" xr:uid="{00000000-0004-0000-0000-0000D3050000}"/>
    <hyperlink ref="D803" r:id="rId1493" xr:uid="{00000000-0004-0000-0000-0000D4050000}"/>
    <hyperlink ref="H803" r:id="rId1494" xr:uid="{00000000-0004-0000-0000-0000D5050000}"/>
    <hyperlink ref="D804" r:id="rId1495" xr:uid="{00000000-0004-0000-0000-0000D6050000}"/>
    <hyperlink ref="H804" r:id="rId1496" xr:uid="{00000000-0004-0000-0000-0000D7050000}"/>
    <hyperlink ref="D805" r:id="rId1497" xr:uid="{00000000-0004-0000-0000-0000D8050000}"/>
    <hyperlink ref="H805" r:id="rId1498" xr:uid="{00000000-0004-0000-0000-0000D9050000}"/>
    <hyperlink ref="D806" r:id="rId1499" xr:uid="{00000000-0004-0000-0000-0000DA050000}"/>
    <hyperlink ref="H806" r:id="rId1500" xr:uid="{00000000-0004-0000-0000-0000DB050000}"/>
    <hyperlink ref="D807" r:id="rId1501" xr:uid="{00000000-0004-0000-0000-0000DC050000}"/>
    <hyperlink ref="H807" r:id="rId1502" xr:uid="{00000000-0004-0000-0000-0000DD050000}"/>
    <hyperlink ref="D808" r:id="rId1503" xr:uid="{00000000-0004-0000-0000-0000DE050000}"/>
    <hyperlink ref="H808" r:id="rId1504" xr:uid="{00000000-0004-0000-0000-0000DF050000}"/>
    <hyperlink ref="D809" r:id="rId1505" xr:uid="{00000000-0004-0000-0000-0000E0050000}"/>
    <hyperlink ref="H809" r:id="rId1506" xr:uid="{00000000-0004-0000-0000-0000E1050000}"/>
    <hyperlink ref="D810" r:id="rId1507" xr:uid="{00000000-0004-0000-0000-0000E2050000}"/>
    <hyperlink ref="H810" r:id="rId1508" xr:uid="{00000000-0004-0000-0000-0000E3050000}"/>
    <hyperlink ref="D811" r:id="rId1509" xr:uid="{00000000-0004-0000-0000-0000E4050000}"/>
    <hyperlink ref="H811" r:id="rId1510" xr:uid="{00000000-0004-0000-0000-0000E5050000}"/>
    <hyperlink ref="D812" r:id="rId1511" xr:uid="{00000000-0004-0000-0000-0000E6050000}"/>
    <hyperlink ref="H812" r:id="rId1512" xr:uid="{00000000-0004-0000-0000-0000E7050000}"/>
    <hyperlink ref="D813" r:id="rId1513" xr:uid="{00000000-0004-0000-0000-0000E8050000}"/>
    <hyperlink ref="H813" r:id="rId1514" xr:uid="{00000000-0004-0000-0000-0000E9050000}"/>
    <hyperlink ref="D814" r:id="rId1515" xr:uid="{00000000-0004-0000-0000-0000EA050000}"/>
    <hyperlink ref="H814" r:id="rId1516" xr:uid="{00000000-0004-0000-0000-0000EB050000}"/>
    <hyperlink ref="D815" r:id="rId1517" xr:uid="{00000000-0004-0000-0000-0000EC050000}"/>
    <hyperlink ref="H815" r:id="rId1518" xr:uid="{00000000-0004-0000-0000-0000ED050000}"/>
    <hyperlink ref="D816" r:id="rId1519" xr:uid="{00000000-0004-0000-0000-0000EE050000}"/>
    <hyperlink ref="H816" r:id="rId1520" xr:uid="{00000000-0004-0000-0000-0000EF050000}"/>
    <hyperlink ref="D817" r:id="rId1521" xr:uid="{00000000-0004-0000-0000-0000F0050000}"/>
    <hyperlink ref="H817" r:id="rId1522" xr:uid="{00000000-0004-0000-0000-0000F1050000}"/>
    <hyperlink ref="D818" r:id="rId1523" xr:uid="{00000000-0004-0000-0000-0000F2050000}"/>
    <hyperlink ref="H818" r:id="rId1524" xr:uid="{00000000-0004-0000-0000-0000F3050000}"/>
    <hyperlink ref="D819" r:id="rId1525" xr:uid="{00000000-0004-0000-0000-0000F4050000}"/>
    <hyperlink ref="H819" r:id="rId1526" xr:uid="{00000000-0004-0000-0000-0000F5050000}"/>
    <hyperlink ref="D820" r:id="rId1527" xr:uid="{00000000-0004-0000-0000-0000F6050000}"/>
    <hyperlink ref="H820" r:id="rId1528" xr:uid="{00000000-0004-0000-0000-0000F7050000}"/>
    <hyperlink ref="D821" r:id="rId1529" xr:uid="{00000000-0004-0000-0000-0000F8050000}"/>
    <hyperlink ref="H821" r:id="rId1530" xr:uid="{00000000-0004-0000-0000-0000F9050000}"/>
    <hyperlink ref="D822" r:id="rId1531" xr:uid="{00000000-0004-0000-0000-0000FA050000}"/>
    <hyperlink ref="H822" r:id="rId1532" xr:uid="{00000000-0004-0000-0000-0000FB050000}"/>
    <hyperlink ref="D823" r:id="rId1533" xr:uid="{00000000-0004-0000-0000-0000FC050000}"/>
    <hyperlink ref="H823" r:id="rId1534" xr:uid="{00000000-0004-0000-0000-0000FD050000}"/>
    <hyperlink ref="D824" r:id="rId1535" xr:uid="{00000000-0004-0000-0000-0000FE050000}"/>
    <hyperlink ref="H824" r:id="rId1536" xr:uid="{00000000-0004-0000-0000-0000FF050000}"/>
    <hyperlink ref="D825" r:id="rId1537" xr:uid="{00000000-0004-0000-0000-000000060000}"/>
    <hyperlink ref="H825" r:id="rId1538" xr:uid="{00000000-0004-0000-0000-000001060000}"/>
    <hyperlink ref="D826" r:id="rId1539" xr:uid="{00000000-0004-0000-0000-000002060000}"/>
    <hyperlink ref="H826" r:id="rId1540" xr:uid="{00000000-0004-0000-0000-000003060000}"/>
    <hyperlink ref="D827" r:id="rId1541" xr:uid="{00000000-0004-0000-0000-000004060000}"/>
    <hyperlink ref="H827" r:id="rId1542" xr:uid="{00000000-0004-0000-0000-000005060000}"/>
    <hyperlink ref="D828" r:id="rId1543" xr:uid="{00000000-0004-0000-0000-000006060000}"/>
    <hyperlink ref="H828" r:id="rId1544" xr:uid="{00000000-0004-0000-0000-000007060000}"/>
    <hyperlink ref="H829" r:id="rId1545" xr:uid="{00000000-0004-0000-0000-000008060000}"/>
    <hyperlink ref="D830" r:id="rId1546" xr:uid="{00000000-0004-0000-0000-000009060000}"/>
    <hyperlink ref="H830" r:id="rId1547" xr:uid="{00000000-0004-0000-0000-00000A060000}"/>
    <hyperlink ref="D831" r:id="rId1548" xr:uid="{00000000-0004-0000-0000-00000B060000}"/>
    <hyperlink ref="H831" r:id="rId1549" xr:uid="{00000000-0004-0000-0000-00000C060000}"/>
    <hyperlink ref="D832" r:id="rId1550" xr:uid="{00000000-0004-0000-0000-00000D060000}"/>
    <hyperlink ref="H832" r:id="rId1551" xr:uid="{00000000-0004-0000-0000-00000E060000}"/>
    <hyperlink ref="D833" r:id="rId1552" xr:uid="{00000000-0004-0000-0000-00000F060000}"/>
    <hyperlink ref="H833" r:id="rId1553" xr:uid="{00000000-0004-0000-0000-000010060000}"/>
    <hyperlink ref="D834" r:id="rId1554" xr:uid="{00000000-0004-0000-0000-000011060000}"/>
    <hyperlink ref="H834" r:id="rId1555" xr:uid="{00000000-0004-0000-0000-000012060000}"/>
    <hyperlink ref="D835" r:id="rId1556" xr:uid="{00000000-0004-0000-0000-000013060000}"/>
    <hyperlink ref="H835" r:id="rId1557" xr:uid="{00000000-0004-0000-0000-000014060000}"/>
    <hyperlink ref="D836" r:id="rId1558" xr:uid="{00000000-0004-0000-0000-000015060000}"/>
    <hyperlink ref="H836" r:id="rId1559" xr:uid="{00000000-0004-0000-0000-000016060000}"/>
    <hyperlink ref="D837" r:id="rId1560" xr:uid="{00000000-0004-0000-0000-000017060000}"/>
    <hyperlink ref="H837" r:id="rId1561" xr:uid="{00000000-0004-0000-0000-000018060000}"/>
    <hyperlink ref="D838" r:id="rId1562" xr:uid="{00000000-0004-0000-0000-000019060000}"/>
    <hyperlink ref="H838" r:id="rId1563" xr:uid="{00000000-0004-0000-0000-00001A060000}"/>
    <hyperlink ref="D839" r:id="rId1564" xr:uid="{00000000-0004-0000-0000-00001B060000}"/>
    <hyperlink ref="H839" r:id="rId1565" xr:uid="{00000000-0004-0000-0000-00001C060000}"/>
    <hyperlink ref="D840" r:id="rId1566" xr:uid="{00000000-0004-0000-0000-00001D060000}"/>
    <hyperlink ref="H840" r:id="rId1567" xr:uid="{00000000-0004-0000-0000-00001E060000}"/>
    <hyperlink ref="D841" r:id="rId1568" xr:uid="{00000000-0004-0000-0000-00001F060000}"/>
    <hyperlink ref="H841" r:id="rId1569" xr:uid="{00000000-0004-0000-0000-000020060000}"/>
    <hyperlink ref="D842" r:id="rId1570" xr:uid="{00000000-0004-0000-0000-000021060000}"/>
    <hyperlink ref="H842" r:id="rId1571" xr:uid="{00000000-0004-0000-0000-000022060000}"/>
    <hyperlink ref="D843" r:id="rId1572" xr:uid="{00000000-0004-0000-0000-000023060000}"/>
    <hyperlink ref="H843" r:id="rId1573" xr:uid="{00000000-0004-0000-0000-000024060000}"/>
    <hyperlink ref="D844" r:id="rId1574" xr:uid="{00000000-0004-0000-0000-000025060000}"/>
    <hyperlink ref="H844" r:id="rId1575" xr:uid="{00000000-0004-0000-0000-000026060000}"/>
    <hyperlink ref="D845" r:id="rId1576" xr:uid="{00000000-0004-0000-0000-000027060000}"/>
    <hyperlink ref="H845" r:id="rId1577" xr:uid="{00000000-0004-0000-0000-000028060000}"/>
    <hyperlink ref="D846" r:id="rId1578" xr:uid="{00000000-0004-0000-0000-000029060000}"/>
    <hyperlink ref="H846" r:id="rId1579" xr:uid="{00000000-0004-0000-0000-00002A060000}"/>
    <hyperlink ref="D847" r:id="rId1580" xr:uid="{00000000-0004-0000-0000-00002B060000}"/>
    <hyperlink ref="H847" r:id="rId1581" xr:uid="{00000000-0004-0000-0000-00002C060000}"/>
    <hyperlink ref="D848" r:id="rId1582" xr:uid="{00000000-0004-0000-0000-00002D060000}"/>
    <hyperlink ref="H848" r:id="rId1583" xr:uid="{00000000-0004-0000-0000-00002E060000}"/>
    <hyperlink ref="D849" r:id="rId1584" xr:uid="{00000000-0004-0000-0000-00002F060000}"/>
    <hyperlink ref="H850" r:id="rId1585" xr:uid="{00000000-0004-0000-0000-000030060000}"/>
    <hyperlink ref="D851" r:id="rId1586" xr:uid="{00000000-0004-0000-0000-000031060000}"/>
    <hyperlink ref="H851" r:id="rId1587" xr:uid="{00000000-0004-0000-0000-000032060000}"/>
    <hyperlink ref="D852" r:id="rId1588" xr:uid="{00000000-0004-0000-0000-000033060000}"/>
    <hyperlink ref="H852" r:id="rId1589" xr:uid="{00000000-0004-0000-0000-000034060000}"/>
    <hyperlink ref="D853" r:id="rId1590" xr:uid="{00000000-0004-0000-0000-000035060000}"/>
    <hyperlink ref="H853" r:id="rId1591" xr:uid="{00000000-0004-0000-0000-000036060000}"/>
    <hyperlink ref="D854" r:id="rId1592" xr:uid="{00000000-0004-0000-0000-000037060000}"/>
    <hyperlink ref="H854" r:id="rId1593" xr:uid="{00000000-0004-0000-0000-000038060000}"/>
    <hyperlink ref="D855" r:id="rId1594" xr:uid="{00000000-0004-0000-0000-000039060000}"/>
    <hyperlink ref="H855" r:id="rId1595" xr:uid="{00000000-0004-0000-0000-00003A060000}"/>
    <hyperlink ref="D856" r:id="rId1596" xr:uid="{00000000-0004-0000-0000-00003B060000}"/>
    <hyperlink ref="H856" r:id="rId1597" xr:uid="{00000000-0004-0000-0000-00003C060000}"/>
    <hyperlink ref="D857" r:id="rId1598" xr:uid="{00000000-0004-0000-0000-00003D060000}"/>
    <hyperlink ref="H857" r:id="rId1599" xr:uid="{00000000-0004-0000-0000-00003E060000}"/>
    <hyperlink ref="D858" r:id="rId1600" xr:uid="{00000000-0004-0000-0000-00003F060000}"/>
    <hyperlink ref="H858" r:id="rId1601" xr:uid="{00000000-0004-0000-0000-000040060000}"/>
    <hyperlink ref="H859" r:id="rId1602" xr:uid="{00000000-0004-0000-0000-000041060000}"/>
    <hyperlink ref="D860" r:id="rId1603" xr:uid="{00000000-0004-0000-0000-000042060000}"/>
    <hyperlink ref="H860" r:id="rId1604" xr:uid="{00000000-0004-0000-0000-000043060000}"/>
    <hyperlink ref="D861" r:id="rId1605" xr:uid="{00000000-0004-0000-0000-000044060000}"/>
    <hyperlink ref="H861" r:id="rId1606" xr:uid="{00000000-0004-0000-0000-000045060000}"/>
    <hyperlink ref="H862" r:id="rId1607" xr:uid="{00000000-0004-0000-0000-000046060000}"/>
    <hyperlink ref="D863" r:id="rId1608" xr:uid="{00000000-0004-0000-0000-000047060000}"/>
    <hyperlink ref="H863" r:id="rId1609" xr:uid="{00000000-0004-0000-0000-000048060000}"/>
    <hyperlink ref="D864" r:id="rId1610" xr:uid="{00000000-0004-0000-0000-000049060000}"/>
    <hyperlink ref="H864" r:id="rId1611" xr:uid="{00000000-0004-0000-0000-00004A060000}"/>
    <hyperlink ref="D865" r:id="rId1612" xr:uid="{00000000-0004-0000-0000-00004B060000}"/>
    <hyperlink ref="H865" r:id="rId1613" xr:uid="{00000000-0004-0000-0000-00004C060000}"/>
    <hyperlink ref="D866" r:id="rId1614" xr:uid="{00000000-0004-0000-0000-00004D060000}"/>
    <hyperlink ref="H866" r:id="rId1615" xr:uid="{00000000-0004-0000-0000-00004E060000}"/>
    <hyperlink ref="D868" r:id="rId1616" xr:uid="{00000000-0004-0000-0000-00004F060000}"/>
    <hyperlink ref="D869" r:id="rId1617" xr:uid="{00000000-0004-0000-0000-000050060000}"/>
    <hyperlink ref="D870" r:id="rId1618" xr:uid="{00000000-0004-0000-0000-000051060000}"/>
    <hyperlink ref="D871" r:id="rId1619" xr:uid="{00000000-0004-0000-0000-000052060000}"/>
    <hyperlink ref="D872" r:id="rId1620" xr:uid="{00000000-0004-0000-0000-000053060000}"/>
    <hyperlink ref="D873" r:id="rId1621" xr:uid="{00000000-0004-0000-0000-000054060000}"/>
    <hyperlink ref="D874" r:id="rId1622" xr:uid="{00000000-0004-0000-0000-000055060000}"/>
    <hyperlink ref="D875" r:id="rId1623" xr:uid="{00000000-0004-0000-0000-000056060000}"/>
    <hyperlink ref="D876" r:id="rId1624" xr:uid="{00000000-0004-0000-0000-000057060000}"/>
    <hyperlink ref="D877" r:id="rId1625" xr:uid="{00000000-0004-0000-0000-000058060000}"/>
    <hyperlink ref="D878" r:id="rId1626" xr:uid="{00000000-0004-0000-0000-000059060000}"/>
    <hyperlink ref="D879" r:id="rId1627" xr:uid="{00000000-0004-0000-0000-00005A060000}"/>
    <hyperlink ref="D880" r:id="rId1628" xr:uid="{00000000-0004-0000-0000-00005B060000}"/>
    <hyperlink ref="D881" r:id="rId1629" xr:uid="{00000000-0004-0000-0000-00005C060000}"/>
    <hyperlink ref="D882" r:id="rId1630" xr:uid="{00000000-0004-0000-0000-00005D060000}"/>
    <hyperlink ref="D883" r:id="rId1631" xr:uid="{00000000-0004-0000-0000-00005E060000}"/>
    <hyperlink ref="D884" r:id="rId1632" xr:uid="{00000000-0004-0000-0000-00005F060000}"/>
    <hyperlink ref="D885" r:id="rId1633" xr:uid="{00000000-0004-0000-0000-000060060000}"/>
    <hyperlink ref="D886" r:id="rId1634" xr:uid="{00000000-0004-0000-0000-000061060000}"/>
    <hyperlink ref="D887" r:id="rId1635" xr:uid="{00000000-0004-0000-0000-000062060000}"/>
    <hyperlink ref="D888" r:id="rId1636" xr:uid="{00000000-0004-0000-0000-000063060000}"/>
    <hyperlink ref="D889" r:id="rId1637" xr:uid="{00000000-0004-0000-0000-000064060000}"/>
    <hyperlink ref="D890" r:id="rId1638" xr:uid="{00000000-0004-0000-0000-000065060000}"/>
    <hyperlink ref="D891" r:id="rId1639" xr:uid="{00000000-0004-0000-0000-000066060000}"/>
    <hyperlink ref="D893" r:id="rId1640" xr:uid="{00000000-0004-0000-0000-000067060000}"/>
    <hyperlink ref="D894" r:id="rId1641" xr:uid="{00000000-0004-0000-0000-000068060000}"/>
    <hyperlink ref="D895" r:id="rId1642" xr:uid="{00000000-0004-0000-0000-000069060000}"/>
    <hyperlink ref="D897" r:id="rId1643" xr:uid="{00000000-0004-0000-0000-00006A060000}"/>
    <hyperlink ref="D900" r:id="rId1644" xr:uid="{00000000-0004-0000-0000-00006B060000}"/>
    <hyperlink ref="D901" r:id="rId1645" xr:uid="{00000000-0004-0000-0000-00006C060000}"/>
    <hyperlink ref="D902" r:id="rId1646" xr:uid="{00000000-0004-0000-0000-00006D060000}"/>
    <hyperlink ref="D903" r:id="rId1647" xr:uid="{00000000-0004-0000-0000-00006E060000}"/>
    <hyperlink ref="D904" r:id="rId1648" xr:uid="{00000000-0004-0000-0000-00006F060000}"/>
    <hyperlink ref="D905" r:id="rId1649" xr:uid="{00000000-0004-0000-0000-000070060000}"/>
    <hyperlink ref="D906" r:id="rId1650" xr:uid="{00000000-0004-0000-0000-000071060000}"/>
    <hyperlink ref="D907" r:id="rId1651" xr:uid="{00000000-0004-0000-0000-000072060000}"/>
    <hyperlink ref="D908" r:id="rId1652" xr:uid="{00000000-0004-0000-0000-000073060000}"/>
    <hyperlink ref="D909" r:id="rId1653" xr:uid="{00000000-0004-0000-0000-000074060000}"/>
    <hyperlink ref="D911" r:id="rId1654" xr:uid="{00000000-0004-0000-0000-000075060000}"/>
    <hyperlink ref="D912" r:id="rId1655" xr:uid="{00000000-0004-0000-0000-000076060000}"/>
    <hyperlink ref="D913" r:id="rId1656" xr:uid="{00000000-0004-0000-0000-000077060000}"/>
    <hyperlink ref="H913" r:id="rId1657" xr:uid="{00000000-0004-0000-0000-000078060000}"/>
    <hyperlink ref="D914" r:id="rId1658" xr:uid="{00000000-0004-0000-0000-000079060000}"/>
    <hyperlink ref="D915" r:id="rId1659" xr:uid="{00000000-0004-0000-0000-00007A060000}"/>
    <hyperlink ref="D916" r:id="rId1660" xr:uid="{00000000-0004-0000-0000-00007B060000}"/>
    <hyperlink ref="D917" r:id="rId1661" xr:uid="{00000000-0004-0000-0000-00007C060000}"/>
    <hyperlink ref="D918" r:id="rId1662" xr:uid="{00000000-0004-0000-0000-00007D060000}"/>
    <hyperlink ref="D919" r:id="rId1663" xr:uid="{00000000-0004-0000-0000-00007E060000}"/>
    <hyperlink ref="D920" r:id="rId1664" xr:uid="{00000000-0004-0000-0000-00007F060000}"/>
    <hyperlink ref="D921" r:id="rId1665" xr:uid="{00000000-0004-0000-0000-000080060000}"/>
    <hyperlink ref="D922" r:id="rId1666" xr:uid="{00000000-0004-0000-0000-000081060000}"/>
    <hyperlink ref="D923" r:id="rId1667" xr:uid="{00000000-0004-0000-0000-000082060000}"/>
    <hyperlink ref="D924" r:id="rId1668" xr:uid="{00000000-0004-0000-0000-000083060000}"/>
    <hyperlink ref="D925" r:id="rId1669" xr:uid="{00000000-0004-0000-0000-000084060000}"/>
    <hyperlink ref="D926" r:id="rId1670" xr:uid="{00000000-0004-0000-0000-000085060000}"/>
    <hyperlink ref="D927" r:id="rId1671" xr:uid="{00000000-0004-0000-0000-000086060000}"/>
    <hyperlink ref="D928" r:id="rId1672" xr:uid="{00000000-0004-0000-0000-000087060000}"/>
    <hyperlink ref="D929" r:id="rId1673" xr:uid="{00000000-0004-0000-0000-000088060000}"/>
    <hyperlink ref="D930" r:id="rId1674" xr:uid="{00000000-0004-0000-0000-000089060000}"/>
    <hyperlink ref="D932" r:id="rId1675" xr:uid="{00000000-0004-0000-0000-00008A060000}"/>
    <hyperlink ref="D933" r:id="rId1676" xr:uid="{00000000-0004-0000-0000-00008B060000}"/>
    <hyperlink ref="H933" r:id="rId1677" xr:uid="{00000000-0004-0000-0000-00008C060000}"/>
    <hyperlink ref="D934" r:id="rId1678" xr:uid="{00000000-0004-0000-0000-00008D060000}"/>
    <hyperlink ref="D935" r:id="rId1679" xr:uid="{00000000-0004-0000-0000-00008E060000}"/>
    <hyperlink ref="D937" r:id="rId1680" xr:uid="{00000000-0004-0000-0000-00008F060000}"/>
    <hyperlink ref="D938" r:id="rId1681" xr:uid="{00000000-0004-0000-0000-000090060000}"/>
    <hyperlink ref="D939" r:id="rId1682" xr:uid="{00000000-0004-0000-0000-000091060000}"/>
    <hyperlink ref="D940" r:id="rId1683" xr:uid="{00000000-0004-0000-0000-000092060000}"/>
    <hyperlink ref="D942" r:id="rId1684" xr:uid="{00000000-0004-0000-0000-000093060000}"/>
    <hyperlink ref="D943" r:id="rId1685" xr:uid="{00000000-0004-0000-0000-000094060000}"/>
    <hyperlink ref="D944" r:id="rId1686" xr:uid="{00000000-0004-0000-0000-000095060000}"/>
    <hyperlink ref="D945" r:id="rId1687" xr:uid="{00000000-0004-0000-0000-000096060000}"/>
    <hyperlink ref="D946" r:id="rId1688" xr:uid="{00000000-0004-0000-0000-000097060000}"/>
    <hyperlink ref="D947" r:id="rId1689" xr:uid="{00000000-0004-0000-0000-000098060000}"/>
    <hyperlink ref="D948" r:id="rId1690" xr:uid="{00000000-0004-0000-0000-000099060000}"/>
    <hyperlink ref="D949" r:id="rId1691" xr:uid="{00000000-0004-0000-0000-00009A060000}"/>
    <hyperlink ref="D950" r:id="rId1692" xr:uid="{00000000-0004-0000-0000-00009B060000}"/>
    <hyperlink ref="D951" r:id="rId1693" xr:uid="{00000000-0004-0000-0000-00009C060000}"/>
    <hyperlink ref="D952" r:id="rId1694" xr:uid="{00000000-0004-0000-0000-00009D060000}"/>
    <hyperlink ref="D953" r:id="rId1695" xr:uid="{00000000-0004-0000-0000-00009E060000}"/>
    <hyperlink ref="D954" r:id="rId1696" xr:uid="{00000000-0004-0000-0000-00009F060000}"/>
    <hyperlink ref="D955" r:id="rId1697" xr:uid="{00000000-0004-0000-0000-0000A0060000}"/>
    <hyperlink ref="D956" r:id="rId1698" xr:uid="{00000000-0004-0000-0000-0000A1060000}"/>
    <hyperlink ref="D957" r:id="rId1699" xr:uid="{00000000-0004-0000-0000-0000A2060000}"/>
    <hyperlink ref="D958" r:id="rId1700" xr:uid="{00000000-0004-0000-0000-0000A3060000}"/>
    <hyperlink ref="D959" r:id="rId1701" xr:uid="{00000000-0004-0000-0000-0000A4060000}"/>
    <hyperlink ref="D960" r:id="rId1702" xr:uid="{00000000-0004-0000-0000-0000A5060000}"/>
    <hyperlink ref="D963" r:id="rId1703" xr:uid="{00000000-0004-0000-0000-0000A6060000}"/>
    <hyperlink ref="D964" r:id="rId1704" xr:uid="{00000000-0004-0000-0000-0000A7060000}"/>
    <hyperlink ref="D965" r:id="rId1705" xr:uid="{00000000-0004-0000-0000-0000A8060000}"/>
    <hyperlink ref="D967" r:id="rId1706" xr:uid="{00000000-0004-0000-0000-0000A9060000}"/>
    <hyperlink ref="D968" r:id="rId1707" xr:uid="{00000000-0004-0000-0000-0000AA060000}"/>
    <hyperlink ref="D969" r:id="rId1708" xr:uid="{00000000-0004-0000-0000-0000AB060000}"/>
    <hyperlink ref="D970" r:id="rId1709" xr:uid="{00000000-0004-0000-0000-0000AC060000}"/>
    <hyperlink ref="D971" r:id="rId1710" xr:uid="{00000000-0004-0000-0000-0000AD060000}"/>
    <hyperlink ref="D972" r:id="rId1711" xr:uid="{00000000-0004-0000-0000-0000AE060000}"/>
    <hyperlink ref="D973" r:id="rId1712" xr:uid="{00000000-0004-0000-0000-0000AF060000}"/>
    <hyperlink ref="D974" r:id="rId1713" xr:uid="{00000000-0004-0000-0000-0000B0060000}"/>
    <hyperlink ref="D975" r:id="rId1714" xr:uid="{00000000-0004-0000-0000-0000B1060000}"/>
    <hyperlink ref="D976" r:id="rId1715" xr:uid="{00000000-0004-0000-0000-0000B2060000}"/>
    <hyperlink ref="D977" r:id="rId1716" xr:uid="{00000000-0004-0000-0000-0000B3060000}"/>
    <hyperlink ref="D978" r:id="rId1717" xr:uid="{00000000-0004-0000-0000-0000B4060000}"/>
    <hyperlink ref="D979" r:id="rId1718" xr:uid="{00000000-0004-0000-0000-0000B5060000}"/>
    <hyperlink ref="D980" r:id="rId1719" xr:uid="{00000000-0004-0000-0000-0000B6060000}"/>
    <hyperlink ref="D981" r:id="rId1720" xr:uid="{00000000-0004-0000-0000-0000B7060000}"/>
    <hyperlink ref="D982" r:id="rId1721" xr:uid="{00000000-0004-0000-0000-0000B8060000}"/>
    <hyperlink ref="D983" r:id="rId1722" xr:uid="{00000000-0004-0000-0000-0000B9060000}"/>
    <hyperlink ref="D984" r:id="rId1723" xr:uid="{00000000-0004-0000-0000-0000BA060000}"/>
    <hyperlink ref="D985" r:id="rId1724" xr:uid="{00000000-0004-0000-0000-0000BB060000}"/>
    <hyperlink ref="D986" r:id="rId1725" xr:uid="{00000000-0004-0000-0000-0000BC060000}"/>
    <hyperlink ref="D988" r:id="rId1726" xr:uid="{00000000-0004-0000-0000-0000BD060000}"/>
    <hyperlink ref="D989" r:id="rId1727" xr:uid="{00000000-0004-0000-0000-0000BE060000}"/>
    <hyperlink ref="D990" r:id="rId1728" xr:uid="{00000000-0004-0000-0000-0000BF060000}"/>
    <hyperlink ref="D991" r:id="rId1729" xr:uid="{00000000-0004-0000-0000-0000C0060000}"/>
    <hyperlink ref="D992" r:id="rId1730" xr:uid="{00000000-0004-0000-0000-0000C1060000}"/>
    <hyperlink ref="D993" r:id="rId1731" xr:uid="{00000000-0004-0000-0000-0000C2060000}"/>
    <hyperlink ref="D996" r:id="rId1732" xr:uid="{00000000-0004-0000-0000-0000C3060000}"/>
    <hyperlink ref="D997" r:id="rId1733" xr:uid="{00000000-0004-0000-0000-0000C4060000}"/>
    <hyperlink ref="D998" r:id="rId1734" xr:uid="{00000000-0004-0000-0000-0000C5060000}"/>
    <hyperlink ref="D999" r:id="rId1735" xr:uid="{00000000-0004-0000-0000-0000C6060000}"/>
    <hyperlink ref="D1000" r:id="rId1736" xr:uid="{00000000-0004-0000-0000-0000C7060000}"/>
    <hyperlink ref="D1001" r:id="rId1737" xr:uid="{00000000-0004-0000-0000-0000C8060000}"/>
    <hyperlink ref="D1003" r:id="rId1738" xr:uid="{00000000-0004-0000-0000-0000C9060000}"/>
    <hyperlink ref="D1004" r:id="rId1739" xr:uid="{00000000-0004-0000-0000-0000CA060000}"/>
    <hyperlink ref="D1005" r:id="rId1740" xr:uid="{00000000-0004-0000-0000-0000CB060000}"/>
    <hyperlink ref="D1006" r:id="rId1741" xr:uid="{00000000-0004-0000-0000-0000CC060000}"/>
    <hyperlink ref="D1007" r:id="rId1742" xr:uid="{00000000-0004-0000-0000-0000CD060000}"/>
    <hyperlink ref="D1008" r:id="rId1743" xr:uid="{00000000-0004-0000-0000-0000CE060000}"/>
    <hyperlink ref="D1009" r:id="rId1744" xr:uid="{00000000-0004-0000-0000-0000CF060000}"/>
    <hyperlink ref="D1010" r:id="rId1745" xr:uid="{00000000-0004-0000-0000-0000D0060000}"/>
    <hyperlink ref="D1011" r:id="rId1746" xr:uid="{00000000-0004-0000-0000-0000D1060000}"/>
    <hyperlink ref="D1012" r:id="rId1747" xr:uid="{00000000-0004-0000-0000-0000D2060000}"/>
    <hyperlink ref="D1013" r:id="rId1748" xr:uid="{00000000-0004-0000-0000-0000D3060000}"/>
    <hyperlink ref="D1014" r:id="rId1749" xr:uid="{00000000-0004-0000-0000-0000D4060000}"/>
    <hyperlink ref="D1018" r:id="rId1750" xr:uid="{00000000-0004-0000-0000-0000D5060000}"/>
    <hyperlink ref="D1019" r:id="rId1751" xr:uid="{00000000-0004-0000-0000-0000D6060000}"/>
    <hyperlink ref="D1020" r:id="rId1752" xr:uid="{00000000-0004-0000-0000-0000D7060000}"/>
    <hyperlink ref="D1021" r:id="rId1753" xr:uid="{00000000-0004-0000-0000-0000D8060000}"/>
    <hyperlink ref="D1022" r:id="rId1754" xr:uid="{00000000-0004-0000-0000-0000D9060000}"/>
    <hyperlink ref="D1024" r:id="rId1755" xr:uid="{00000000-0004-0000-0000-0000DA060000}"/>
    <hyperlink ref="D1025" r:id="rId1756" xr:uid="{00000000-0004-0000-0000-0000DB060000}"/>
    <hyperlink ref="D1026" r:id="rId1757" xr:uid="{00000000-0004-0000-0000-0000DC060000}"/>
    <hyperlink ref="D1028" r:id="rId1758" xr:uid="{00000000-0004-0000-0000-0000DD060000}"/>
    <hyperlink ref="D1029" r:id="rId1759" xr:uid="{00000000-0004-0000-0000-0000DE060000}"/>
    <hyperlink ref="D1030" r:id="rId1760" xr:uid="{00000000-0004-0000-0000-0000DF060000}"/>
    <hyperlink ref="D1031" r:id="rId1761" xr:uid="{00000000-0004-0000-0000-0000E0060000}"/>
    <hyperlink ref="H1031" r:id="rId1762" xr:uid="{00000000-0004-0000-0000-0000E1060000}"/>
    <hyperlink ref="D1032" r:id="rId1763" xr:uid="{00000000-0004-0000-0000-0000E2060000}"/>
    <hyperlink ref="D1033" r:id="rId1764" xr:uid="{00000000-0004-0000-0000-0000E3060000}"/>
    <hyperlink ref="D1034" r:id="rId1765" xr:uid="{00000000-0004-0000-0000-0000E4060000}"/>
    <hyperlink ref="D1035" r:id="rId1766" xr:uid="{00000000-0004-0000-0000-0000E5060000}"/>
    <hyperlink ref="D1036" r:id="rId1767" xr:uid="{00000000-0004-0000-0000-0000E6060000}"/>
    <hyperlink ref="D1037" r:id="rId1768" xr:uid="{00000000-0004-0000-0000-0000E7060000}"/>
    <hyperlink ref="D1038" r:id="rId1769" xr:uid="{00000000-0004-0000-0000-0000E8060000}"/>
    <hyperlink ref="D1039" r:id="rId1770" xr:uid="{00000000-0004-0000-0000-0000E9060000}"/>
    <hyperlink ref="D1040" r:id="rId1771" xr:uid="{00000000-0004-0000-0000-0000EA060000}"/>
    <hyperlink ref="D1041" r:id="rId1772" xr:uid="{00000000-0004-0000-0000-0000EB060000}"/>
    <hyperlink ref="D1042" r:id="rId1773" xr:uid="{00000000-0004-0000-0000-0000EC060000}"/>
    <hyperlink ref="D1043" r:id="rId1774" xr:uid="{00000000-0004-0000-0000-0000ED060000}"/>
    <hyperlink ref="D1044" r:id="rId1775" xr:uid="{00000000-0004-0000-0000-0000EE060000}"/>
    <hyperlink ref="D1045" r:id="rId1776" xr:uid="{00000000-0004-0000-0000-0000EF060000}"/>
    <hyperlink ref="D1046" r:id="rId1777" xr:uid="{00000000-0004-0000-0000-0000F0060000}"/>
    <hyperlink ref="D1047" r:id="rId1778" xr:uid="{00000000-0004-0000-0000-0000F1060000}"/>
    <hyperlink ref="D1048" r:id="rId1779" xr:uid="{00000000-0004-0000-0000-0000F2060000}"/>
    <hyperlink ref="D1050" r:id="rId1780" xr:uid="{00000000-0004-0000-0000-0000F3060000}"/>
    <hyperlink ref="D1051" r:id="rId1781" xr:uid="{00000000-0004-0000-0000-0000F4060000}"/>
    <hyperlink ref="D1052" r:id="rId1782" xr:uid="{00000000-0004-0000-0000-0000F5060000}"/>
    <hyperlink ref="D1053" r:id="rId1783" xr:uid="{00000000-0004-0000-0000-0000F6060000}"/>
    <hyperlink ref="D1054" r:id="rId1784" xr:uid="{00000000-0004-0000-0000-0000F7060000}"/>
    <hyperlink ref="D1055" r:id="rId1785" xr:uid="{00000000-0004-0000-0000-0000F8060000}"/>
    <hyperlink ref="D1056" r:id="rId1786" xr:uid="{00000000-0004-0000-0000-0000F9060000}"/>
    <hyperlink ref="D1057" r:id="rId1787" xr:uid="{00000000-0004-0000-0000-0000FA060000}"/>
    <hyperlink ref="D1058" r:id="rId1788" xr:uid="{00000000-0004-0000-0000-0000FB060000}"/>
    <hyperlink ref="D1059" r:id="rId1789" xr:uid="{00000000-0004-0000-0000-0000FC060000}"/>
    <hyperlink ref="D1060" r:id="rId1790" xr:uid="{00000000-0004-0000-0000-0000FD060000}"/>
    <hyperlink ref="D1061" r:id="rId1791" xr:uid="{00000000-0004-0000-0000-0000FE060000}"/>
    <hyperlink ref="D1062" r:id="rId1792" xr:uid="{00000000-0004-0000-0000-0000FF060000}"/>
    <hyperlink ref="D1063" r:id="rId1793" xr:uid="{00000000-0004-0000-0000-000000070000}"/>
    <hyperlink ref="D1064" r:id="rId1794" xr:uid="{00000000-0004-0000-0000-000001070000}"/>
    <hyperlink ref="D1065" r:id="rId1795" xr:uid="{00000000-0004-0000-0000-000002070000}"/>
    <hyperlink ref="D1066" r:id="rId1796" xr:uid="{00000000-0004-0000-0000-000003070000}"/>
    <hyperlink ref="D1068" r:id="rId1797" xr:uid="{00000000-0004-0000-0000-000004070000}"/>
    <hyperlink ref="D1069" r:id="rId1798" xr:uid="{00000000-0004-0000-0000-000005070000}"/>
    <hyperlink ref="D1072" r:id="rId1799" xr:uid="{00000000-0004-0000-0000-000006070000}"/>
    <hyperlink ref="D1073" r:id="rId1800" xr:uid="{00000000-0004-0000-0000-000007070000}"/>
    <hyperlink ref="D1074" r:id="rId1801" xr:uid="{00000000-0004-0000-0000-000008070000}"/>
    <hyperlink ref="D1075" r:id="rId1802" xr:uid="{00000000-0004-0000-0000-000009070000}"/>
    <hyperlink ref="D1076" r:id="rId1803" xr:uid="{00000000-0004-0000-0000-00000A070000}"/>
    <hyperlink ref="H1076" r:id="rId1804" xr:uid="{00000000-0004-0000-0000-00000B070000}"/>
    <hyperlink ref="D1078" r:id="rId1805" xr:uid="{00000000-0004-0000-0000-00000C070000}"/>
    <hyperlink ref="D1079" r:id="rId1806" xr:uid="{00000000-0004-0000-0000-00000D070000}"/>
    <hyperlink ref="D1081" r:id="rId1807" xr:uid="{00000000-0004-0000-0000-00000E070000}"/>
    <hyperlink ref="D1082" r:id="rId1808" xr:uid="{00000000-0004-0000-0000-00000F070000}"/>
    <hyperlink ref="D1083" r:id="rId1809" xr:uid="{00000000-0004-0000-0000-000010070000}"/>
    <hyperlink ref="D1084" r:id="rId1810" xr:uid="{00000000-0004-0000-0000-000011070000}"/>
    <hyperlink ref="D1085" r:id="rId1811" xr:uid="{00000000-0004-0000-0000-000012070000}"/>
    <hyperlink ref="D1086" r:id="rId1812" xr:uid="{00000000-0004-0000-0000-000013070000}"/>
    <hyperlink ref="D1088" r:id="rId1813" xr:uid="{00000000-0004-0000-0000-000014070000}"/>
    <hyperlink ref="D1089" r:id="rId1814" xr:uid="{00000000-0004-0000-0000-000015070000}"/>
    <hyperlink ref="D1090" r:id="rId1815" xr:uid="{00000000-0004-0000-0000-000016070000}"/>
    <hyperlink ref="D1091" r:id="rId1816" xr:uid="{00000000-0004-0000-0000-000017070000}"/>
    <hyperlink ref="D1092" r:id="rId1817" xr:uid="{00000000-0004-0000-0000-000018070000}"/>
    <hyperlink ref="D1093" r:id="rId1818" xr:uid="{00000000-0004-0000-0000-000019070000}"/>
    <hyperlink ref="D1094" r:id="rId1819" xr:uid="{00000000-0004-0000-0000-00001A070000}"/>
    <hyperlink ref="D1095" r:id="rId1820" xr:uid="{00000000-0004-0000-0000-00001B070000}"/>
    <hyperlink ref="D1096" r:id="rId1821" xr:uid="{00000000-0004-0000-0000-00001C070000}"/>
    <hyperlink ref="D1097" r:id="rId1822" xr:uid="{00000000-0004-0000-0000-00001D070000}"/>
    <hyperlink ref="D1098" r:id="rId1823" xr:uid="{00000000-0004-0000-0000-00001E070000}"/>
    <hyperlink ref="D1099" r:id="rId1824" xr:uid="{00000000-0004-0000-0000-00001F070000}"/>
    <hyperlink ref="D1100" r:id="rId1825" xr:uid="{00000000-0004-0000-0000-000020070000}"/>
    <hyperlink ref="D1101" r:id="rId1826" xr:uid="{00000000-0004-0000-0000-000021070000}"/>
    <hyperlink ref="D1102" r:id="rId1827" xr:uid="{00000000-0004-0000-0000-000022070000}"/>
    <hyperlink ref="D1103" r:id="rId1828" xr:uid="{00000000-0004-0000-0000-000023070000}"/>
    <hyperlink ref="D1104" r:id="rId1829" xr:uid="{00000000-0004-0000-0000-000024070000}"/>
    <hyperlink ref="D1105" r:id="rId1830" xr:uid="{00000000-0004-0000-0000-000025070000}"/>
    <hyperlink ref="D1106" r:id="rId1831" xr:uid="{00000000-0004-0000-0000-000026070000}"/>
    <hyperlink ref="D1107" r:id="rId1832" xr:uid="{00000000-0004-0000-0000-000027070000}"/>
    <hyperlink ref="D1109" r:id="rId1833" xr:uid="{00000000-0004-0000-0000-000028070000}"/>
    <hyperlink ref="D1111" r:id="rId1834" xr:uid="{00000000-0004-0000-0000-000029070000}"/>
    <hyperlink ref="D1112" r:id="rId1835" xr:uid="{00000000-0004-0000-0000-00002A070000}"/>
    <hyperlink ref="D1113" r:id="rId1836" xr:uid="{00000000-0004-0000-0000-00002B070000}"/>
    <hyperlink ref="D1114" r:id="rId1837" xr:uid="{00000000-0004-0000-0000-00002C070000}"/>
    <hyperlink ref="D1115" r:id="rId1838" xr:uid="{00000000-0004-0000-0000-00002D070000}"/>
    <hyperlink ref="D1116" r:id="rId1839" xr:uid="{00000000-0004-0000-0000-00002E070000}"/>
    <hyperlink ref="D1117" r:id="rId1840" xr:uid="{00000000-0004-0000-0000-00002F070000}"/>
    <hyperlink ref="D1118" r:id="rId1841" xr:uid="{00000000-0004-0000-0000-000030070000}"/>
    <hyperlink ref="D1119" r:id="rId1842" xr:uid="{00000000-0004-0000-0000-000031070000}"/>
    <hyperlink ref="D1120" r:id="rId1843" xr:uid="{00000000-0004-0000-0000-000032070000}"/>
    <hyperlink ref="D1121" r:id="rId1844" xr:uid="{00000000-0004-0000-0000-000033070000}"/>
    <hyperlink ref="D1122" r:id="rId1845" xr:uid="{00000000-0004-0000-0000-000034070000}"/>
    <hyperlink ref="D1123" r:id="rId1846" xr:uid="{00000000-0004-0000-0000-000035070000}"/>
    <hyperlink ref="D1124" r:id="rId1847" xr:uid="{00000000-0004-0000-0000-000036070000}"/>
    <hyperlink ref="D1125" r:id="rId1848" xr:uid="{00000000-0004-0000-0000-000037070000}"/>
    <hyperlink ref="D1126" r:id="rId1849" xr:uid="{00000000-0004-0000-0000-000038070000}"/>
    <hyperlink ref="D1127" r:id="rId1850" xr:uid="{00000000-0004-0000-0000-000039070000}"/>
    <hyperlink ref="D1130" r:id="rId1851" xr:uid="{00000000-0004-0000-0000-00003A070000}"/>
    <hyperlink ref="D1131" r:id="rId1852" xr:uid="{00000000-0004-0000-0000-00003B070000}"/>
    <hyperlink ref="D1132" r:id="rId1853" xr:uid="{00000000-0004-0000-0000-00003C070000}"/>
    <hyperlink ref="D1133" r:id="rId1854" xr:uid="{00000000-0004-0000-0000-00003D070000}"/>
    <hyperlink ref="D1134" r:id="rId1855" xr:uid="{00000000-0004-0000-0000-00003E070000}"/>
    <hyperlink ref="D1135" r:id="rId1856" xr:uid="{00000000-0004-0000-0000-00003F070000}"/>
    <hyperlink ref="D1136" r:id="rId1857" xr:uid="{00000000-0004-0000-0000-000040070000}"/>
    <hyperlink ref="D1137" r:id="rId1858" xr:uid="{00000000-0004-0000-0000-000041070000}"/>
    <hyperlink ref="D1138" r:id="rId1859" xr:uid="{00000000-0004-0000-0000-000042070000}"/>
    <hyperlink ref="D1139" r:id="rId1860" xr:uid="{00000000-0004-0000-0000-000043070000}"/>
    <hyperlink ref="D1141" r:id="rId1861" xr:uid="{00000000-0004-0000-0000-000044070000}"/>
    <hyperlink ref="D1142" r:id="rId1862" xr:uid="{00000000-0004-0000-0000-000045070000}"/>
    <hyperlink ref="D1143" r:id="rId1863" xr:uid="{00000000-0004-0000-0000-000046070000}"/>
    <hyperlink ref="D1144" r:id="rId1864" xr:uid="{00000000-0004-0000-0000-000047070000}"/>
    <hyperlink ref="D1145" r:id="rId1865" xr:uid="{00000000-0004-0000-0000-000048070000}"/>
    <hyperlink ref="D1148" r:id="rId1866" xr:uid="{00000000-0004-0000-0000-000049070000}"/>
    <hyperlink ref="D1149" r:id="rId1867" xr:uid="{00000000-0004-0000-0000-00004A070000}"/>
    <hyperlink ref="D1150" r:id="rId1868" xr:uid="{00000000-0004-0000-0000-00004B070000}"/>
    <hyperlink ref="D1151" r:id="rId1869" xr:uid="{00000000-0004-0000-0000-00004C070000}"/>
    <hyperlink ref="D1152" r:id="rId1870" xr:uid="{00000000-0004-0000-0000-00004D070000}"/>
    <hyperlink ref="D1153" r:id="rId1871" xr:uid="{00000000-0004-0000-0000-00004E070000}"/>
    <hyperlink ref="D1154" r:id="rId1872" xr:uid="{00000000-0004-0000-0000-00004F070000}"/>
    <hyperlink ref="D1155" r:id="rId1873" xr:uid="{00000000-0004-0000-0000-000050070000}"/>
    <hyperlink ref="D1156" r:id="rId1874" xr:uid="{00000000-0004-0000-0000-000051070000}"/>
    <hyperlink ref="D1157" r:id="rId1875" xr:uid="{00000000-0004-0000-0000-000052070000}"/>
    <hyperlink ref="D1158" r:id="rId1876" xr:uid="{00000000-0004-0000-0000-000053070000}"/>
    <hyperlink ref="D1159" r:id="rId1877" xr:uid="{00000000-0004-0000-0000-000054070000}"/>
    <hyperlink ref="D1160" r:id="rId1878" xr:uid="{00000000-0004-0000-0000-000055070000}"/>
    <hyperlink ref="D1161" r:id="rId1879" xr:uid="{00000000-0004-0000-0000-000056070000}"/>
    <hyperlink ref="D1162" r:id="rId1880" xr:uid="{00000000-0004-0000-0000-000057070000}"/>
    <hyperlink ref="D1164" r:id="rId1881" xr:uid="{00000000-0004-0000-0000-000058070000}"/>
    <hyperlink ref="D1166" r:id="rId1882" xr:uid="{00000000-0004-0000-0000-000059070000}"/>
    <hyperlink ref="D1167" r:id="rId1883" xr:uid="{00000000-0004-0000-0000-00005A070000}"/>
    <hyperlink ref="D1168" r:id="rId1884" xr:uid="{00000000-0004-0000-0000-00005B070000}"/>
    <hyperlink ref="D1169" r:id="rId1885" xr:uid="{00000000-0004-0000-0000-00005C070000}"/>
    <hyperlink ref="D1170" r:id="rId1886" xr:uid="{00000000-0004-0000-0000-00005D070000}"/>
    <hyperlink ref="D1171" r:id="rId1887" xr:uid="{00000000-0004-0000-0000-00005E070000}"/>
    <hyperlink ref="D1172" r:id="rId1888" xr:uid="{00000000-0004-0000-0000-00005F070000}"/>
    <hyperlink ref="D1173" r:id="rId1889" xr:uid="{00000000-0004-0000-0000-000060070000}"/>
    <hyperlink ref="D1174" r:id="rId1890" xr:uid="{00000000-0004-0000-0000-000061070000}"/>
    <hyperlink ref="D1175" r:id="rId1891" xr:uid="{00000000-0004-0000-0000-000062070000}"/>
    <hyperlink ref="D1176" r:id="rId1892" xr:uid="{00000000-0004-0000-0000-000063070000}"/>
    <hyperlink ref="D1177" r:id="rId1893" xr:uid="{00000000-0004-0000-0000-000064070000}"/>
    <hyperlink ref="D1178" r:id="rId1894" xr:uid="{00000000-0004-0000-0000-000065070000}"/>
    <hyperlink ref="D1179" r:id="rId1895" xr:uid="{00000000-0004-0000-0000-000066070000}"/>
    <hyperlink ref="D1180" r:id="rId1896" xr:uid="{00000000-0004-0000-0000-000067070000}"/>
    <hyperlink ref="D1181" r:id="rId1897" xr:uid="{00000000-0004-0000-0000-000068070000}"/>
    <hyperlink ref="D1182" r:id="rId1898" xr:uid="{00000000-0004-0000-0000-000069070000}"/>
    <hyperlink ref="D1184" r:id="rId1899" xr:uid="{00000000-0004-0000-0000-00006A070000}"/>
    <hyperlink ref="D1185" r:id="rId1900" xr:uid="{00000000-0004-0000-0000-00006B070000}"/>
    <hyperlink ref="D1186" r:id="rId1901" xr:uid="{00000000-0004-0000-0000-00006C070000}"/>
    <hyperlink ref="D1187" r:id="rId1902" xr:uid="{00000000-0004-0000-0000-00006D070000}"/>
    <hyperlink ref="D1188" r:id="rId1903" xr:uid="{00000000-0004-0000-0000-00006E070000}"/>
    <hyperlink ref="D1189" r:id="rId1904" xr:uid="{00000000-0004-0000-0000-00006F070000}"/>
    <hyperlink ref="D1190" r:id="rId1905" xr:uid="{00000000-0004-0000-0000-000070070000}"/>
    <hyperlink ref="D1191" r:id="rId1906" xr:uid="{00000000-0004-0000-0000-000071070000}"/>
    <hyperlink ref="D1192" r:id="rId1907" xr:uid="{00000000-0004-0000-0000-000072070000}"/>
    <hyperlink ref="D1194" r:id="rId1908" xr:uid="{00000000-0004-0000-0000-000073070000}"/>
    <hyperlink ref="D1198" r:id="rId1909" xr:uid="{00000000-0004-0000-0000-000074070000}"/>
    <hyperlink ref="D1199" r:id="rId1910" xr:uid="{00000000-0004-0000-0000-000075070000}"/>
    <hyperlink ref="D1200" r:id="rId1911" xr:uid="{00000000-0004-0000-0000-000076070000}"/>
    <hyperlink ref="D1201" r:id="rId1912" xr:uid="{00000000-0004-0000-0000-000077070000}"/>
    <hyperlink ref="D1202" r:id="rId1913" xr:uid="{00000000-0004-0000-0000-000078070000}"/>
    <hyperlink ref="D1203" r:id="rId1914" xr:uid="{00000000-0004-0000-0000-000079070000}"/>
    <hyperlink ref="D1204" r:id="rId1915" xr:uid="{00000000-0004-0000-0000-00007A070000}"/>
    <hyperlink ref="D1205" r:id="rId1916" xr:uid="{00000000-0004-0000-0000-00007B070000}"/>
    <hyperlink ref="D1206" r:id="rId1917" xr:uid="{00000000-0004-0000-0000-00007C070000}"/>
    <hyperlink ref="D1207" r:id="rId1918" xr:uid="{00000000-0004-0000-0000-00007D070000}"/>
    <hyperlink ref="D1208" r:id="rId1919" xr:uid="{00000000-0004-0000-0000-00007E070000}"/>
    <hyperlink ref="D1209" r:id="rId1920" xr:uid="{00000000-0004-0000-0000-00007F070000}"/>
    <hyperlink ref="D1210" r:id="rId1921" xr:uid="{00000000-0004-0000-0000-000080070000}"/>
    <hyperlink ref="D1211" r:id="rId1922" xr:uid="{00000000-0004-0000-0000-000081070000}"/>
    <hyperlink ref="D1212" r:id="rId1923" xr:uid="{00000000-0004-0000-0000-000082070000}"/>
    <hyperlink ref="D1214" r:id="rId1924" xr:uid="{00000000-0004-0000-0000-000083070000}"/>
    <hyperlink ref="D1215" r:id="rId1925" xr:uid="{00000000-0004-0000-0000-000084070000}"/>
    <hyperlink ref="D1216" r:id="rId1926" xr:uid="{00000000-0004-0000-0000-000085070000}"/>
    <hyperlink ref="D1217" r:id="rId1927" xr:uid="{00000000-0004-0000-0000-000086070000}"/>
    <hyperlink ref="D1218" r:id="rId1928" xr:uid="{00000000-0004-0000-0000-000087070000}"/>
    <hyperlink ref="D1219" r:id="rId1929" xr:uid="{00000000-0004-0000-0000-000088070000}"/>
    <hyperlink ref="D1221" r:id="rId1930" xr:uid="{00000000-0004-0000-0000-000089070000}"/>
    <hyperlink ref="D1222" r:id="rId1931" xr:uid="{00000000-0004-0000-0000-00008A070000}"/>
    <hyperlink ref="D1223" r:id="rId1932" xr:uid="{00000000-0004-0000-0000-00008B070000}"/>
    <hyperlink ref="D1224" r:id="rId1933" xr:uid="{00000000-0004-0000-0000-00008C070000}"/>
    <hyperlink ref="D1225" r:id="rId1934" xr:uid="{00000000-0004-0000-0000-00008D070000}"/>
    <hyperlink ref="D1226" r:id="rId1935" xr:uid="{00000000-0004-0000-0000-00008E070000}"/>
    <hyperlink ref="D1227" r:id="rId1936" xr:uid="{00000000-0004-0000-0000-00008F070000}"/>
    <hyperlink ref="D1229" r:id="rId1937" xr:uid="{00000000-0004-0000-0000-000090070000}"/>
    <hyperlink ref="D1230" r:id="rId1938" xr:uid="{00000000-0004-0000-0000-000091070000}"/>
    <hyperlink ref="D1231" r:id="rId1939" xr:uid="{00000000-0004-0000-0000-000092070000}"/>
    <hyperlink ref="D1232" r:id="rId1940" xr:uid="{00000000-0004-0000-0000-000093070000}"/>
    <hyperlink ref="D1233" r:id="rId1941" xr:uid="{00000000-0004-0000-0000-000094070000}"/>
    <hyperlink ref="D1234" r:id="rId1942" xr:uid="{00000000-0004-0000-0000-000095070000}"/>
    <hyperlink ref="D1235" r:id="rId1943" xr:uid="{00000000-0004-0000-0000-000096070000}"/>
    <hyperlink ref="D1236" r:id="rId1944" xr:uid="{00000000-0004-0000-0000-000097070000}"/>
    <hyperlink ref="D1237" r:id="rId1945" xr:uid="{00000000-0004-0000-0000-000098070000}"/>
    <hyperlink ref="D1238" r:id="rId1946" xr:uid="{00000000-0004-0000-0000-000099070000}"/>
    <hyperlink ref="D1239" r:id="rId1947" xr:uid="{00000000-0004-0000-0000-00009A070000}"/>
    <hyperlink ref="D1240" r:id="rId1948" xr:uid="{00000000-0004-0000-0000-00009B070000}"/>
    <hyperlink ref="D1241" r:id="rId1949" xr:uid="{00000000-0004-0000-0000-00009C070000}"/>
    <hyperlink ref="D1242" r:id="rId1950" xr:uid="{00000000-0004-0000-0000-00009D070000}"/>
    <hyperlink ref="D1243" r:id="rId1951" xr:uid="{00000000-0004-0000-0000-00009E070000}"/>
    <hyperlink ref="D1245" r:id="rId1952" xr:uid="{00000000-0004-0000-0000-00009F070000}"/>
    <hyperlink ref="D1246" r:id="rId1953" xr:uid="{00000000-0004-0000-0000-0000A0070000}"/>
    <hyperlink ref="D1247" r:id="rId1954" xr:uid="{00000000-0004-0000-0000-0000A1070000}"/>
    <hyperlink ref="D1248" r:id="rId1955" xr:uid="{00000000-0004-0000-0000-0000A2070000}"/>
    <hyperlink ref="D1249" r:id="rId1956" xr:uid="{00000000-0004-0000-0000-0000A3070000}"/>
    <hyperlink ref="D1250" r:id="rId1957" xr:uid="{00000000-0004-0000-0000-0000A4070000}"/>
    <hyperlink ref="D1251" r:id="rId1958" xr:uid="{00000000-0004-0000-0000-0000A5070000}"/>
    <hyperlink ref="D1252" r:id="rId1959" xr:uid="{00000000-0004-0000-0000-0000A6070000}"/>
    <hyperlink ref="D1253" r:id="rId1960" xr:uid="{00000000-0004-0000-0000-0000A7070000}"/>
    <hyperlink ref="D1254" r:id="rId1961" xr:uid="{00000000-0004-0000-0000-0000A8070000}"/>
    <hyperlink ref="D1255" r:id="rId1962" xr:uid="{00000000-0004-0000-0000-0000A9070000}"/>
    <hyperlink ref="D1256" r:id="rId1963" xr:uid="{00000000-0004-0000-0000-0000AA070000}"/>
    <hyperlink ref="D1257" r:id="rId1964" xr:uid="{00000000-0004-0000-0000-0000AB070000}"/>
    <hyperlink ref="D1258" r:id="rId1965" xr:uid="{00000000-0004-0000-0000-0000AC070000}"/>
    <hyperlink ref="D1259" r:id="rId1966" xr:uid="{00000000-0004-0000-0000-0000AD070000}"/>
    <hyperlink ref="D1260" r:id="rId1967" xr:uid="{00000000-0004-0000-0000-0000AE070000}"/>
    <hyperlink ref="D1261" r:id="rId1968" xr:uid="{00000000-0004-0000-0000-0000AF070000}"/>
    <hyperlink ref="D1262" r:id="rId1969" xr:uid="{00000000-0004-0000-0000-0000B0070000}"/>
    <hyperlink ref="D1263" r:id="rId1970" xr:uid="{00000000-0004-0000-0000-0000B1070000}"/>
    <hyperlink ref="D1264" r:id="rId1971" xr:uid="{00000000-0004-0000-0000-0000B2070000}"/>
    <hyperlink ref="D1265" r:id="rId1972" xr:uid="{00000000-0004-0000-0000-0000B3070000}"/>
    <hyperlink ref="D1266" r:id="rId1973" xr:uid="{00000000-0004-0000-0000-0000B4070000}"/>
    <hyperlink ref="D1267" r:id="rId1974" xr:uid="{00000000-0004-0000-0000-0000B5070000}"/>
    <hyperlink ref="D1268" r:id="rId1975" xr:uid="{00000000-0004-0000-0000-0000B6070000}"/>
    <hyperlink ref="D1269" r:id="rId1976" xr:uid="{00000000-0004-0000-0000-0000B7070000}"/>
    <hyperlink ref="D1270" r:id="rId1977" xr:uid="{00000000-0004-0000-0000-0000B8070000}"/>
    <hyperlink ref="D1271" r:id="rId1978" xr:uid="{00000000-0004-0000-0000-0000B9070000}"/>
    <hyperlink ref="D1273" r:id="rId1979" xr:uid="{00000000-0004-0000-0000-0000BA070000}"/>
    <hyperlink ref="D1274" r:id="rId1980" xr:uid="{00000000-0004-0000-0000-0000BB070000}"/>
    <hyperlink ref="D1275" r:id="rId1981" xr:uid="{00000000-0004-0000-0000-0000BC070000}"/>
    <hyperlink ref="D1276" r:id="rId1982" xr:uid="{00000000-0004-0000-0000-0000BD070000}"/>
    <hyperlink ref="D1277" r:id="rId1983" xr:uid="{00000000-0004-0000-0000-0000BE070000}"/>
    <hyperlink ref="D1278" r:id="rId1984" xr:uid="{00000000-0004-0000-0000-0000BF070000}"/>
    <hyperlink ref="D1279" r:id="rId1985" xr:uid="{00000000-0004-0000-0000-0000C0070000}"/>
    <hyperlink ref="D1280" r:id="rId1986" xr:uid="{00000000-0004-0000-0000-0000C1070000}"/>
    <hyperlink ref="D1281" r:id="rId1987" xr:uid="{00000000-0004-0000-0000-0000C2070000}"/>
    <hyperlink ref="D1282" r:id="rId1988" xr:uid="{00000000-0004-0000-0000-0000C3070000}"/>
    <hyperlink ref="D1283" r:id="rId1989" xr:uid="{00000000-0004-0000-0000-0000C4070000}"/>
    <hyperlink ref="D1284" r:id="rId1990" xr:uid="{00000000-0004-0000-0000-0000C5070000}"/>
    <hyperlink ref="D1285" r:id="rId1991" xr:uid="{00000000-0004-0000-0000-0000C6070000}"/>
    <hyperlink ref="D1286" r:id="rId1992" xr:uid="{00000000-0004-0000-0000-0000C7070000}"/>
    <hyperlink ref="D1287" r:id="rId1993" xr:uid="{00000000-0004-0000-0000-0000C8070000}"/>
    <hyperlink ref="D1288" r:id="rId1994" xr:uid="{00000000-0004-0000-0000-0000C9070000}"/>
    <hyperlink ref="D1289" r:id="rId1995" xr:uid="{00000000-0004-0000-0000-0000CA070000}"/>
    <hyperlink ref="D1290" r:id="rId1996" xr:uid="{00000000-0004-0000-0000-0000CB070000}"/>
    <hyperlink ref="D1291" r:id="rId1997" xr:uid="{00000000-0004-0000-0000-0000CC070000}"/>
    <hyperlink ref="D1292" r:id="rId1998" xr:uid="{00000000-0004-0000-0000-0000CD070000}"/>
    <hyperlink ref="D1293" r:id="rId1999" xr:uid="{00000000-0004-0000-0000-0000CE070000}"/>
    <hyperlink ref="D1294" r:id="rId2000" xr:uid="{00000000-0004-0000-0000-0000CF070000}"/>
    <hyperlink ref="D1296" r:id="rId2001" xr:uid="{00000000-0004-0000-0000-0000D0070000}"/>
    <hyperlink ref="D1297" r:id="rId2002" xr:uid="{00000000-0004-0000-0000-0000D1070000}"/>
    <hyperlink ref="D1298" r:id="rId2003" xr:uid="{00000000-0004-0000-0000-0000D2070000}"/>
    <hyperlink ref="D1299" r:id="rId2004" xr:uid="{00000000-0004-0000-0000-0000D3070000}"/>
    <hyperlink ref="D1300" r:id="rId2005" xr:uid="{00000000-0004-0000-0000-0000D4070000}"/>
    <hyperlink ref="D1301" r:id="rId2006" xr:uid="{00000000-0004-0000-0000-0000D5070000}"/>
    <hyperlink ref="D1302" r:id="rId2007" xr:uid="{00000000-0004-0000-0000-0000D6070000}"/>
    <hyperlink ref="D1303" r:id="rId2008" xr:uid="{00000000-0004-0000-0000-0000D7070000}"/>
    <hyperlink ref="D1304" r:id="rId2009" xr:uid="{00000000-0004-0000-0000-0000D8070000}"/>
    <hyperlink ref="D1305" r:id="rId2010" xr:uid="{00000000-0004-0000-0000-0000D9070000}"/>
    <hyperlink ref="D1306" r:id="rId2011" xr:uid="{00000000-0004-0000-0000-0000DA070000}"/>
    <hyperlink ref="D1307" r:id="rId2012" xr:uid="{00000000-0004-0000-0000-0000DB070000}"/>
    <hyperlink ref="D1308" r:id="rId2013" xr:uid="{00000000-0004-0000-0000-0000DC070000}"/>
    <hyperlink ref="D1310" r:id="rId2014" xr:uid="{00000000-0004-0000-0000-0000DD070000}"/>
    <hyperlink ref="D1311" r:id="rId2015" xr:uid="{00000000-0004-0000-0000-0000DE070000}"/>
    <hyperlink ref="D1312" r:id="rId2016" xr:uid="{00000000-0004-0000-0000-0000DF070000}"/>
    <hyperlink ref="D1313" r:id="rId2017" xr:uid="{00000000-0004-0000-0000-0000E0070000}"/>
    <hyperlink ref="D1314" r:id="rId2018" xr:uid="{00000000-0004-0000-0000-0000E1070000}"/>
    <hyperlink ref="D1315" r:id="rId2019" xr:uid="{00000000-0004-0000-0000-0000E2070000}"/>
    <hyperlink ref="D1316" r:id="rId2020" xr:uid="{00000000-0004-0000-0000-0000E3070000}"/>
    <hyperlink ref="D1317" r:id="rId2021" xr:uid="{00000000-0004-0000-0000-0000E4070000}"/>
    <hyperlink ref="D1318" r:id="rId2022" xr:uid="{00000000-0004-0000-0000-0000E5070000}"/>
    <hyperlink ref="D1319" r:id="rId2023" xr:uid="{00000000-0004-0000-0000-0000E6070000}"/>
    <hyperlink ref="D1320" r:id="rId2024" xr:uid="{00000000-0004-0000-0000-0000E7070000}"/>
    <hyperlink ref="D1321" r:id="rId2025" xr:uid="{00000000-0004-0000-0000-0000E8070000}"/>
    <hyperlink ref="D1322" r:id="rId2026" xr:uid="{00000000-0004-0000-0000-0000E9070000}"/>
    <hyperlink ref="D1323" r:id="rId2027" xr:uid="{00000000-0004-0000-0000-0000EA070000}"/>
    <hyperlink ref="D1324" r:id="rId2028" xr:uid="{00000000-0004-0000-0000-0000EB070000}"/>
    <hyperlink ref="D1325" r:id="rId2029" xr:uid="{00000000-0004-0000-0000-0000EC070000}"/>
    <hyperlink ref="D1326" r:id="rId2030" xr:uid="{00000000-0004-0000-0000-0000ED070000}"/>
    <hyperlink ref="D1327" r:id="rId2031" xr:uid="{00000000-0004-0000-0000-0000EE070000}"/>
    <hyperlink ref="D1328" r:id="rId2032" xr:uid="{00000000-0004-0000-0000-0000EF070000}"/>
    <hyperlink ref="D1329" r:id="rId2033" xr:uid="{00000000-0004-0000-0000-0000F0070000}"/>
    <hyperlink ref="D1330" r:id="rId2034" xr:uid="{00000000-0004-0000-0000-0000F1070000}"/>
    <hyperlink ref="D1331" r:id="rId2035" xr:uid="{00000000-0004-0000-0000-0000F2070000}"/>
    <hyperlink ref="D1332" r:id="rId2036" xr:uid="{00000000-0004-0000-0000-0000F3070000}"/>
    <hyperlink ref="D1333" r:id="rId2037" xr:uid="{00000000-0004-0000-0000-0000F4070000}"/>
    <hyperlink ref="D1335" r:id="rId2038" xr:uid="{00000000-0004-0000-0000-0000F5070000}"/>
    <hyperlink ref="D1336" r:id="rId2039" xr:uid="{00000000-0004-0000-0000-0000F6070000}"/>
    <hyperlink ref="D1337" r:id="rId2040" xr:uid="{00000000-0004-0000-0000-0000F7070000}"/>
    <hyperlink ref="D1338" r:id="rId2041" xr:uid="{00000000-0004-0000-0000-0000F8070000}"/>
    <hyperlink ref="D1339" r:id="rId2042" xr:uid="{00000000-0004-0000-0000-0000F9070000}"/>
    <hyperlink ref="D1340" r:id="rId2043" xr:uid="{00000000-0004-0000-0000-0000FA070000}"/>
    <hyperlink ref="D1341" r:id="rId2044" xr:uid="{00000000-0004-0000-0000-0000FB070000}"/>
    <hyperlink ref="D1342" r:id="rId2045" xr:uid="{00000000-0004-0000-0000-0000FC070000}"/>
    <hyperlink ref="D1343" r:id="rId2046" xr:uid="{00000000-0004-0000-0000-0000FD070000}"/>
    <hyperlink ref="D1344" r:id="rId2047" xr:uid="{00000000-0004-0000-0000-0000FE070000}"/>
    <hyperlink ref="D1345" r:id="rId2048" xr:uid="{00000000-0004-0000-0000-0000FF070000}"/>
    <hyperlink ref="D1347" r:id="rId2049" xr:uid="{00000000-0004-0000-0000-000000080000}"/>
    <hyperlink ref="D1348" r:id="rId2050" xr:uid="{00000000-0004-0000-0000-000001080000}"/>
    <hyperlink ref="D1349" r:id="rId2051" xr:uid="{00000000-0004-0000-0000-000002080000}"/>
    <hyperlink ref="D1350" r:id="rId2052" xr:uid="{00000000-0004-0000-0000-000003080000}"/>
    <hyperlink ref="D1351" r:id="rId2053" xr:uid="{00000000-0004-0000-0000-000004080000}"/>
    <hyperlink ref="D1352" r:id="rId2054" xr:uid="{00000000-0004-0000-0000-000005080000}"/>
    <hyperlink ref="D1353" r:id="rId2055" xr:uid="{00000000-0004-0000-0000-000006080000}"/>
    <hyperlink ref="D1354" r:id="rId2056" xr:uid="{00000000-0004-0000-0000-000007080000}"/>
    <hyperlink ref="D1355" r:id="rId2057" xr:uid="{00000000-0004-0000-0000-000008080000}"/>
    <hyperlink ref="D1356" r:id="rId2058" xr:uid="{00000000-0004-0000-0000-000009080000}"/>
    <hyperlink ref="D1357" r:id="rId2059" xr:uid="{00000000-0004-0000-0000-00000A080000}"/>
    <hyperlink ref="D1358" r:id="rId2060" xr:uid="{00000000-0004-0000-0000-00000B080000}"/>
    <hyperlink ref="D1360" r:id="rId2061" xr:uid="{00000000-0004-0000-0000-00000C080000}"/>
    <hyperlink ref="D1361" r:id="rId2062" xr:uid="{00000000-0004-0000-0000-00000D080000}"/>
    <hyperlink ref="D1362" r:id="rId2063" xr:uid="{00000000-0004-0000-0000-00000E080000}"/>
    <hyperlink ref="D1364" r:id="rId2064" xr:uid="{00000000-0004-0000-0000-00000F080000}"/>
    <hyperlink ref="D1365" r:id="rId2065" xr:uid="{00000000-0004-0000-0000-000010080000}"/>
    <hyperlink ref="D1366" r:id="rId2066" xr:uid="{00000000-0004-0000-0000-000011080000}"/>
    <hyperlink ref="D1367" r:id="rId2067" xr:uid="{00000000-0004-0000-0000-000012080000}"/>
    <hyperlink ref="D1368" r:id="rId2068" xr:uid="{00000000-0004-0000-0000-000013080000}"/>
    <hyperlink ref="D1369" r:id="rId2069" xr:uid="{00000000-0004-0000-0000-000014080000}"/>
    <hyperlink ref="D1370" r:id="rId2070" xr:uid="{00000000-0004-0000-0000-000015080000}"/>
    <hyperlink ref="D1371" r:id="rId2071" xr:uid="{00000000-0004-0000-0000-000016080000}"/>
    <hyperlink ref="D1372" r:id="rId2072" xr:uid="{00000000-0004-0000-0000-000017080000}"/>
    <hyperlink ref="D1373" r:id="rId2073" xr:uid="{00000000-0004-0000-0000-000018080000}"/>
    <hyperlink ref="D1374" r:id="rId2074" xr:uid="{00000000-0004-0000-0000-000019080000}"/>
    <hyperlink ref="D1376" r:id="rId2075" xr:uid="{00000000-0004-0000-0000-00001A080000}"/>
    <hyperlink ref="D1377" r:id="rId2076" xr:uid="{00000000-0004-0000-0000-00001B080000}"/>
    <hyperlink ref="D1378" r:id="rId2077" xr:uid="{00000000-0004-0000-0000-00001C080000}"/>
    <hyperlink ref="D1380" r:id="rId2078" xr:uid="{00000000-0004-0000-0000-00001D080000}"/>
    <hyperlink ref="D1381" r:id="rId2079" xr:uid="{00000000-0004-0000-0000-00001E080000}"/>
    <hyperlink ref="D1382" r:id="rId2080" xr:uid="{00000000-0004-0000-0000-00001F080000}"/>
    <hyperlink ref="D1383" r:id="rId2081" xr:uid="{00000000-0004-0000-0000-000020080000}"/>
    <hyperlink ref="D1384" r:id="rId2082" xr:uid="{00000000-0004-0000-0000-000021080000}"/>
    <hyperlink ref="D1386" r:id="rId2083" xr:uid="{00000000-0004-0000-0000-000022080000}"/>
    <hyperlink ref="D1387" r:id="rId2084" xr:uid="{00000000-0004-0000-0000-000023080000}"/>
    <hyperlink ref="D1388" r:id="rId2085" xr:uid="{00000000-0004-0000-0000-000024080000}"/>
    <hyperlink ref="D1389" r:id="rId2086" xr:uid="{00000000-0004-0000-0000-000025080000}"/>
    <hyperlink ref="D1390" r:id="rId2087" xr:uid="{00000000-0004-0000-0000-000026080000}"/>
    <hyperlink ref="D1391" r:id="rId2088" xr:uid="{00000000-0004-0000-0000-000027080000}"/>
    <hyperlink ref="D1392" r:id="rId2089" xr:uid="{00000000-0004-0000-0000-000028080000}"/>
    <hyperlink ref="D1393" r:id="rId2090" xr:uid="{00000000-0004-0000-0000-000029080000}"/>
    <hyperlink ref="D1394" r:id="rId2091" xr:uid="{00000000-0004-0000-0000-00002A080000}"/>
    <hyperlink ref="D1395" r:id="rId2092" xr:uid="{00000000-0004-0000-0000-00002B080000}"/>
    <hyperlink ref="D1396" r:id="rId2093" xr:uid="{00000000-0004-0000-0000-00002C080000}"/>
    <hyperlink ref="D1398" r:id="rId2094" xr:uid="{00000000-0004-0000-0000-00002D080000}"/>
    <hyperlink ref="D1399" r:id="rId2095" xr:uid="{00000000-0004-0000-0000-00002E080000}"/>
    <hyperlink ref="D1401" r:id="rId2096" xr:uid="{00000000-0004-0000-0000-00002F080000}"/>
    <hyperlink ref="D1402" r:id="rId2097" xr:uid="{00000000-0004-0000-0000-000030080000}"/>
    <hyperlink ref="D1403" r:id="rId2098" xr:uid="{00000000-0004-0000-0000-000031080000}"/>
    <hyperlink ref="D1404" r:id="rId2099" xr:uid="{00000000-0004-0000-0000-000032080000}"/>
    <hyperlink ref="D1407" r:id="rId2100" xr:uid="{00000000-0004-0000-0000-000033080000}"/>
    <hyperlink ref="D1408" r:id="rId2101" xr:uid="{00000000-0004-0000-0000-000034080000}"/>
    <hyperlink ref="D1409" r:id="rId2102" xr:uid="{00000000-0004-0000-0000-000035080000}"/>
    <hyperlink ref="D1410" r:id="rId2103" xr:uid="{00000000-0004-0000-0000-000036080000}"/>
    <hyperlink ref="D1411" r:id="rId2104" xr:uid="{00000000-0004-0000-0000-000037080000}"/>
    <hyperlink ref="D1412" r:id="rId2105" xr:uid="{00000000-0004-0000-0000-000038080000}"/>
    <hyperlink ref="D1413" r:id="rId2106" xr:uid="{00000000-0004-0000-0000-000039080000}"/>
    <hyperlink ref="D1414" r:id="rId2107" xr:uid="{00000000-0004-0000-0000-00003A080000}"/>
    <hyperlink ref="D1417" r:id="rId2108" xr:uid="{00000000-0004-0000-0000-00003B080000}"/>
    <hyperlink ref="D1418" r:id="rId2109" xr:uid="{00000000-0004-0000-0000-00003C080000}"/>
    <hyperlink ref="D1420" r:id="rId2110" xr:uid="{00000000-0004-0000-0000-00003D080000}"/>
    <hyperlink ref="D1421" r:id="rId2111" xr:uid="{00000000-0004-0000-0000-00003E080000}"/>
    <hyperlink ref="D1422" r:id="rId2112" xr:uid="{00000000-0004-0000-0000-00003F080000}"/>
    <hyperlink ref="D1423" r:id="rId2113" xr:uid="{00000000-0004-0000-0000-000040080000}"/>
    <hyperlink ref="D1425" r:id="rId2114" xr:uid="{00000000-0004-0000-0000-000041080000}"/>
    <hyperlink ref="D1426" r:id="rId2115" xr:uid="{00000000-0004-0000-0000-000042080000}"/>
    <hyperlink ref="D1427" r:id="rId2116" xr:uid="{00000000-0004-0000-0000-000043080000}"/>
    <hyperlink ref="D1428" r:id="rId2117" xr:uid="{00000000-0004-0000-0000-000044080000}"/>
    <hyperlink ref="D1429" r:id="rId2118" xr:uid="{00000000-0004-0000-0000-000045080000}"/>
    <hyperlink ref="D1430" r:id="rId2119" xr:uid="{00000000-0004-0000-0000-000046080000}"/>
    <hyperlink ref="D1431" r:id="rId2120" xr:uid="{00000000-0004-0000-0000-000047080000}"/>
    <hyperlink ref="D1432" r:id="rId2121" xr:uid="{00000000-0004-0000-0000-000048080000}"/>
    <hyperlink ref="D1433" r:id="rId2122" xr:uid="{00000000-0004-0000-0000-000049080000}"/>
    <hyperlink ref="D1434" r:id="rId2123" xr:uid="{00000000-0004-0000-0000-00004A080000}"/>
    <hyperlink ref="D1435" r:id="rId2124" xr:uid="{00000000-0004-0000-0000-00004B080000}"/>
    <hyperlink ref="D1437" r:id="rId2125" xr:uid="{00000000-0004-0000-0000-00004C080000}"/>
    <hyperlink ref="D1438" r:id="rId2126" xr:uid="{00000000-0004-0000-0000-00004D080000}"/>
    <hyperlink ref="D1439" r:id="rId2127" xr:uid="{00000000-0004-0000-0000-00004E080000}"/>
    <hyperlink ref="D1440" r:id="rId2128" xr:uid="{00000000-0004-0000-0000-00004F080000}"/>
    <hyperlink ref="D1441" r:id="rId2129" xr:uid="{00000000-0004-0000-0000-000050080000}"/>
    <hyperlink ref="D1442" r:id="rId2130" xr:uid="{00000000-0004-0000-0000-000051080000}"/>
    <hyperlink ref="D1443" r:id="rId2131" xr:uid="{00000000-0004-0000-0000-000052080000}"/>
    <hyperlink ref="D1444" r:id="rId2132" xr:uid="{00000000-0004-0000-0000-000053080000}"/>
    <hyperlink ref="D1445" r:id="rId2133" xr:uid="{00000000-0004-0000-0000-000054080000}"/>
    <hyperlink ref="D1446" r:id="rId2134" xr:uid="{00000000-0004-0000-0000-000055080000}"/>
    <hyperlink ref="D1447" r:id="rId2135" xr:uid="{00000000-0004-0000-0000-000056080000}"/>
    <hyperlink ref="D1448" r:id="rId2136" xr:uid="{00000000-0004-0000-0000-000057080000}"/>
    <hyperlink ref="D1449" r:id="rId2137" xr:uid="{00000000-0004-0000-0000-000058080000}"/>
    <hyperlink ref="D1450" r:id="rId2138" xr:uid="{00000000-0004-0000-0000-000059080000}"/>
    <hyperlink ref="D1451" r:id="rId2139" xr:uid="{00000000-0004-0000-0000-00005A080000}"/>
    <hyperlink ref="D1453" r:id="rId2140" xr:uid="{00000000-0004-0000-0000-00005B080000}"/>
    <hyperlink ref="D1454" r:id="rId2141" xr:uid="{00000000-0004-0000-0000-00005C080000}"/>
    <hyperlink ref="D1455" r:id="rId2142" xr:uid="{00000000-0004-0000-0000-00005D080000}"/>
    <hyperlink ref="D1456" r:id="rId2143" xr:uid="{00000000-0004-0000-0000-00005E080000}"/>
    <hyperlink ref="D1457" r:id="rId2144" xr:uid="{00000000-0004-0000-0000-00005F080000}"/>
    <hyperlink ref="D1458" r:id="rId2145" xr:uid="{00000000-0004-0000-0000-000060080000}"/>
    <hyperlink ref="D1459" r:id="rId2146" xr:uid="{00000000-0004-0000-0000-000061080000}"/>
    <hyperlink ref="D1460" r:id="rId2147" xr:uid="{00000000-0004-0000-0000-000062080000}"/>
    <hyperlink ref="D1461" r:id="rId2148" xr:uid="{00000000-0004-0000-0000-000063080000}"/>
    <hyperlink ref="D1462" r:id="rId2149" xr:uid="{00000000-0004-0000-0000-000064080000}"/>
    <hyperlink ref="D1463" r:id="rId2150" xr:uid="{00000000-0004-0000-0000-000065080000}"/>
    <hyperlink ref="D1464" r:id="rId2151" xr:uid="{00000000-0004-0000-0000-000066080000}"/>
    <hyperlink ref="D1466" r:id="rId2152" xr:uid="{00000000-0004-0000-0000-000067080000}"/>
    <hyperlink ref="D1467" r:id="rId2153" xr:uid="{00000000-0004-0000-0000-000068080000}"/>
    <hyperlink ref="D1469" r:id="rId2154" xr:uid="{00000000-0004-0000-0000-000069080000}"/>
    <hyperlink ref="D1471" r:id="rId2155" xr:uid="{00000000-0004-0000-0000-00006A080000}"/>
    <hyperlink ref="D1472" r:id="rId2156" xr:uid="{00000000-0004-0000-0000-00006B080000}"/>
    <hyperlink ref="D1473" r:id="rId2157" xr:uid="{00000000-0004-0000-0000-00006C080000}"/>
    <hyperlink ref="D1474" r:id="rId2158" xr:uid="{00000000-0004-0000-0000-00006D080000}"/>
    <hyperlink ref="D1475" r:id="rId2159" xr:uid="{00000000-0004-0000-0000-00006E080000}"/>
    <hyperlink ref="D1476" r:id="rId2160" xr:uid="{00000000-0004-0000-0000-00006F080000}"/>
    <hyperlink ref="D1477" r:id="rId2161" xr:uid="{00000000-0004-0000-0000-000070080000}"/>
    <hyperlink ref="D1478" r:id="rId2162" xr:uid="{00000000-0004-0000-0000-000071080000}"/>
    <hyperlink ref="D1479" r:id="rId2163" xr:uid="{00000000-0004-0000-0000-000072080000}"/>
    <hyperlink ref="D1480" r:id="rId2164" xr:uid="{00000000-0004-0000-0000-000073080000}"/>
    <hyperlink ref="D1481" r:id="rId2165" xr:uid="{00000000-0004-0000-0000-000074080000}"/>
    <hyperlink ref="D1482" r:id="rId2166" xr:uid="{00000000-0004-0000-0000-000075080000}"/>
    <hyperlink ref="D1483" r:id="rId2167" xr:uid="{00000000-0004-0000-0000-000076080000}"/>
    <hyperlink ref="D1484" r:id="rId2168" xr:uid="{00000000-0004-0000-0000-000077080000}"/>
    <hyperlink ref="D1485" r:id="rId2169" xr:uid="{00000000-0004-0000-0000-000078080000}"/>
    <hyperlink ref="D1486" r:id="rId2170" xr:uid="{00000000-0004-0000-0000-000079080000}"/>
    <hyperlink ref="D1487" r:id="rId2171" xr:uid="{00000000-0004-0000-0000-00007A080000}"/>
    <hyperlink ref="D1488" r:id="rId2172" xr:uid="{00000000-0004-0000-0000-00007B080000}"/>
    <hyperlink ref="D1489" r:id="rId2173" xr:uid="{00000000-0004-0000-0000-00007C080000}"/>
    <hyperlink ref="D1490" r:id="rId2174" xr:uid="{00000000-0004-0000-0000-00007D080000}"/>
    <hyperlink ref="D1491" r:id="rId2175" xr:uid="{00000000-0004-0000-0000-00007E080000}"/>
    <hyperlink ref="D1492" r:id="rId2176" xr:uid="{00000000-0004-0000-0000-00007F080000}"/>
    <hyperlink ref="D1493" r:id="rId2177" xr:uid="{00000000-0004-0000-0000-000080080000}"/>
    <hyperlink ref="D1496" r:id="rId2178" xr:uid="{00000000-0004-0000-0000-000081080000}"/>
    <hyperlink ref="D1497" r:id="rId2179" xr:uid="{00000000-0004-0000-0000-000082080000}"/>
    <hyperlink ref="D1498" r:id="rId2180" xr:uid="{00000000-0004-0000-0000-000083080000}"/>
    <hyperlink ref="D1499" r:id="rId2181" xr:uid="{00000000-0004-0000-0000-000084080000}"/>
    <hyperlink ref="D1500" r:id="rId2182" xr:uid="{00000000-0004-0000-0000-000085080000}"/>
    <hyperlink ref="D1501" r:id="rId2183" xr:uid="{00000000-0004-0000-0000-000086080000}"/>
    <hyperlink ref="D1502" r:id="rId2184" xr:uid="{00000000-0004-0000-0000-000087080000}"/>
    <hyperlink ref="D1503" r:id="rId2185" xr:uid="{00000000-0004-0000-0000-000088080000}"/>
    <hyperlink ref="D1504" r:id="rId2186" xr:uid="{00000000-0004-0000-0000-000089080000}"/>
    <hyperlink ref="D1505" r:id="rId2187" xr:uid="{00000000-0004-0000-0000-00008A080000}"/>
    <hyperlink ref="D1506" r:id="rId2188" xr:uid="{00000000-0004-0000-0000-00008B080000}"/>
    <hyperlink ref="D1507" r:id="rId2189" xr:uid="{00000000-0004-0000-0000-00008C080000}"/>
    <hyperlink ref="D1508" r:id="rId2190" xr:uid="{00000000-0004-0000-0000-00008D080000}"/>
    <hyperlink ref="D1509" r:id="rId2191" xr:uid="{00000000-0004-0000-0000-00008E080000}"/>
    <hyperlink ref="D1510" r:id="rId2192" xr:uid="{00000000-0004-0000-0000-00008F080000}"/>
    <hyperlink ref="D1511" r:id="rId2193" xr:uid="{00000000-0004-0000-0000-000090080000}"/>
    <hyperlink ref="D1512" r:id="rId2194" xr:uid="{00000000-0004-0000-0000-000091080000}"/>
    <hyperlink ref="D1513" r:id="rId2195" xr:uid="{00000000-0004-0000-0000-000092080000}"/>
    <hyperlink ref="D1514" r:id="rId2196" xr:uid="{00000000-0004-0000-0000-000093080000}"/>
    <hyperlink ref="D1515" r:id="rId2197" xr:uid="{00000000-0004-0000-0000-000094080000}"/>
    <hyperlink ref="D1516" r:id="rId2198" xr:uid="{00000000-0004-0000-0000-000095080000}"/>
    <hyperlink ref="D1517" r:id="rId2199" xr:uid="{00000000-0004-0000-0000-000096080000}"/>
    <hyperlink ref="D1518" r:id="rId2200" xr:uid="{00000000-0004-0000-0000-000097080000}"/>
    <hyperlink ref="D1519" r:id="rId2201" xr:uid="{00000000-0004-0000-0000-000098080000}"/>
    <hyperlink ref="D1520" r:id="rId2202" xr:uid="{00000000-0004-0000-0000-000099080000}"/>
    <hyperlink ref="D1521" r:id="rId2203" xr:uid="{00000000-0004-0000-0000-00009A080000}"/>
    <hyperlink ref="D1522" r:id="rId2204" xr:uid="{00000000-0004-0000-0000-00009B080000}"/>
    <hyperlink ref="D1525" r:id="rId2205" xr:uid="{00000000-0004-0000-0000-00009C080000}"/>
    <hyperlink ref="D1526" r:id="rId2206" xr:uid="{00000000-0004-0000-0000-00009D080000}"/>
    <hyperlink ref="D1527" r:id="rId2207" xr:uid="{00000000-0004-0000-0000-00009E080000}"/>
    <hyperlink ref="D1528" r:id="rId2208" xr:uid="{00000000-0004-0000-0000-00009F080000}"/>
    <hyperlink ref="D1529" r:id="rId2209" xr:uid="{00000000-0004-0000-0000-0000A0080000}"/>
    <hyperlink ref="D1530" r:id="rId2210" xr:uid="{00000000-0004-0000-0000-0000A1080000}"/>
    <hyperlink ref="D1531" r:id="rId2211" xr:uid="{00000000-0004-0000-0000-0000A2080000}"/>
    <hyperlink ref="D1532" r:id="rId2212" xr:uid="{00000000-0004-0000-0000-0000A3080000}"/>
    <hyperlink ref="D1533" r:id="rId2213" xr:uid="{00000000-0004-0000-0000-0000A4080000}"/>
    <hyperlink ref="D1535" r:id="rId2214" xr:uid="{00000000-0004-0000-0000-0000A5080000}"/>
    <hyperlink ref="D1536" r:id="rId2215" xr:uid="{00000000-0004-0000-0000-0000A6080000}"/>
    <hyperlink ref="D1537" r:id="rId2216" xr:uid="{00000000-0004-0000-0000-0000A7080000}"/>
    <hyperlink ref="D1538" r:id="rId2217" xr:uid="{00000000-0004-0000-0000-0000A8080000}"/>
    <hyperlink ref="D1539" r:id="rId2218" xr:uid="{00000000-0004-0000-0000-0000A9080000}"/>
    <hyperlink ref="D1540" r:id="rId2219" xr:uid="{00000000-0004-0000-0000-0000AA080000}"/>
    <hyperlink ref="D1542" r:id="rId2220" xr:uid="{00000000-0004-0000-0000-0000AB080000}"/>
    <hyperlink ref="D1543" r:id="rId2221" xr:uid="{00000000-0004-0000-0000-0000AC080000}"/>
    <hyperlink ref="D1544" r:id="rId2222" xr:uid="{00000000-0004-0000-0000-0000AD080000}"/>
    <hyperlink ref="D1545" r:id="rId2223" xr:uid="{00000000-0004-0000-0000-0000AE080000}"/>
    <hyperlink ref="D1548" r:id="rId2224" xr:uid="{00000000-0004-0000-0000-0000AF080000}"/>
    <hyperlink ref="D1549" r:id="rId2225" xr:uid="{00000000-0004-0000-0000-0000B0080000}"/>
    <hyperlink ref="D1550" r:id="rId2226" xr:uid="{00000000-0004-0000-0000-0000B1080000}"/>
    <hyperlink ref="D1552" r:id="rId2227" xr:uid="{00000000-0004-0000-0000-0000B2080000}"/>
    <hyperlink ref="D1553" r:id="rId2228" xr:uid="{00000000-0004-0000-0000-0000B3080000}"/>
    <hyperlink ref="D1554" r:id="rId2229" xr:uid="{00000000-0004-0000-0000-0000B4080000}"/>
    <hyperlink ref="D1555" r:id="rId2230" xr:uid="{00000000-0004-0000-0000-0000B5080000}"/>
    <hyperlink ref="D1556" r:id="rId2231" xr:uid="{00000000-0004-0000-0000-0000B6080000}"/>
    <hyperlink ref="D1559" r:id="rId2232" xr:uid="{00000000-0004-0000-0000-0000B7080000}"/>
    <hyperlink ref="D1560" r:id="rId2233" xr:uid="{00000000-0004-0000-0000-0000B8080000}"/>
    <hyperlink ref="D1561" r:id="rId2234" xr:uid="{00000000-0004-0000-0000-0000B9080000}"/>
    <hyperlink ref="D1562" r:id="rId2235" xr:uid="{00000000-0004-0000-0000-0000BA080000}"/>
    <hyperlink ref="D1563" r:id="rId2236" xr:uid="{00000000-0004-0000-0000-0000BB080000}"/>
    <hyperlink ref="D1564" r:id="rId2237" xr:uid="{00000000-0004-0000-0000-0000BC080000}"/>
    <hyperlink ref="D1565" r:id="rId2238" xr:uid="{00000000-0004-0000-0000-0000BD080000}"/>
    <hyperlink ref="D1566" r:id="rId2239" xr:uid="{00000000-0004-0000-0000-0000BE080000}"/>
    <hyperlink ref="D1567" r:id="rId2240" xr:uid="{00000000-0004-0000-0000-0000BF080000}"/>
    <hyperlink ref="D1569" r:id="rId2241" xr:uid="{00000000-0004-0000-0000-0000C0080000}"/>
    <hyperlink ref="D1570" r:id="rId2242" xr:uid="{00000000-0004-0000-0000-0000C1080000}"/>
    <hyperlink ref="D1571" r:id="rId2243" xr:uid="{00000000-0004-0000-0000-0000C2080000}"/>
    <hyperlink ref="D1572" r:id="rId2244" xr:uid="{00000000-0004-0000-0000-0000C3080000}"/>
    <hyperlink ref="D1573" r:id="rId2245" xr:uid="{00000000-0004-0000-0000-0000C4080000}"/>
    <hyperlink ref="D1574" r:id="rId2246" xr:uid="{00000000-0004-0000-0000-0000C5080000}"/>
    <hyperlink ref="D1576" r:id="rId2247" xr:uid="{00000000-0004-0000-0000-0000C6080000}"/>
    <hyperlink ref="D1577" r:id="rId2248" xr:uid="{00000000-0004-0000-0000-0000C7080000}"/>
    <hyperlink ref="D1578" r:id="rId2249" xr:uid="{00000000-0004-0000-0000-0000C8080000}"/>
    <hyperlink ref="D1580" r:id="rId2250" xr:uid="{00000000-0004-0000-0000-0000C9080000}"/>
    <hyperlink ref="D1581" r:id="rId2251" xr:uid="{00000000-0004-0000-0000-0000CA080000}"/>
    <hyperlink ref="D1582" r:id="rId2252" xr:uid="{00000000-0004-0000-0000-0000CB080000}"/>
    <hyperlink ref="D1583" r:id="rId2253" xr:uid="{00000000-0004-0000-0000-0000CC080000}"/>
    <hyperlink ref="D1584" r:id="rId2254" xr:uid="{00000000-0004-0000-0000-0000CD080000}"/>
    <hyperlink ref="D1585" r:id="rId2255" xr:uid="{00000000-0004-0000-0000-0000CE080000}"/>
    <hyperlink ref="D1586" r:id="rId2256" xr:uid="{00000000-0004-0000-0000-0000CF080000}"/>
    <hyperlink ref="D1587" r:id="rId2257" xr:uid="{00000000-0004-0000-0000-0000D0080000}"/>
    <hyperlink ref="D1590" r:id="rId2258" xr:uid="{00000000-0004-0000-0000-0000D1080000}"/>
    <hyperlink ref="D1591" r:id="rId2259" xr:uid="{00000000-0004-0000-0000-0000D2080000}"/>
    <hyperlink ref="D1593" r:id="rId2260" xr:uid="{00000000-0004-0000-0000-0000D3080000}"/>
    <hyperlink ref="D1595" r:id="rId2261" xr:uid="{00000000-0004-0000-0000-0000D4080000}"/>
    <hyperlink ref="D1596" r:id="rId2262" xr:uid="{00000000-0004-0000-0000-0000D5080000}"/>
    <hyperlink ref="D1597" r:id="rId2263" xr:uid="{00000000-0004-0000-0000-0000D6080000}"/>
    <hyperlink ref="D1598" r:id="rId2264" xr:uid="{00000000-0004-0000-0000-0000D7080000}"/>
    <hyperlink ref="D1599" r:id="rId2265" xr:uid="{00000000-0004-0000-0000-0000D8080000}"/>
    <hyperlink ref="D1600" r:id="rId2266" xr:uid="{00000000-0004-0000-0000-0000D9080000}"/>
    <hyperlink ref="D1601" r:id="rId2267" xr:uid="{00000000-0004-0000-0000-0000DA080000}"/>
    <hyperlink ref="D1602" r:id="rId2268" xr:uid="{00000000-0004-0000-0000-0000DB080000}"/>
    <hyperlink ref="D1604" r:id="rId2269" xr:uid="{00000000-0004-0000-0000-0000DC080000}"/>
    <hyperlink ref="D1605" r:id="rId2270" xr:uid="{00000000-0004-0000-0000-0000DD080000}"/>
    <hyperlink ref="D1606" r:id="rId2271" xr:uid="{00000000-0004-0000-0000-0000DE080000}"/>
    <hyperlink ref="D1607" r:id="rId2272" xr:uid="{00000000-0004-0000-0000-0000DF080000}"/>
    <hyperlink ref="D1608" r:id="rId2273" xr:uid="{00000000-0004-0000-0000-0000E0080000}"/>
    <hyperlink ref="D1609" r:id="rId2274" xr:uid="{00000000-0004-0000-0000-0000E1080000}"/>
    <hyperlink ref="D1610" r:id="rId2275" xr:uid="{00000000-0004-0000-0000-0000E2080000}"/>
    <hyperlink ref="D1611" r:id="rId2276" xr:uid="{00000000-0004-0000-0000-0000E3080000}"/>
    <hyperlink ref="D1612" r:id="rId2277" xr:uid="{00000000-0004-0000-0000-0000E4080000}"/>
    <hyperlink ref="D1613" r:id="rId2278" xr:uid="{00000000-0004-0000-0000-0000E5080000}"/>
    <hyperlink ref="D1615" r:id="rId2279" xr:uid="{00000000-0004-0000-0000-0000E6080000}"/>
    <hyperlink ref="D1616" r:id="rId2280" xr:uid="{00000000-0004-0000-0000-0000E7080000}"/>
    <hyperlink ref="D1617" r:id="rId2281" xr:uid="{00000000-0004-0000-0000-0000E8080000}"/>
    <hyperlink ref="D1618" r:id="rId2282" xr:uid="{00000000-0004-0000-0000-0000E9080000}"/>
    <hyperlink ref="D1619" r:id="rId2283" xr:uid="{00000000-0004-0000-0000-0000EA080000}"/>
    <hyperlink ref="D1620" r:id="rId2284" xr:uid="{00000000-0004-0000-0000-0000EB080000}"/>
    <hyperlink ref="D1622" r:id="rId2285" xr:uid="{00000000-0004-0000-0000-0000EC080000}"/>
    <hyperlink ref="D1623" r:id="rId2286" xr:uid="{00000000-0004-0000-0000-0000ED080000}"/>
    <hyperlink ref="D1624" r:id="rId2287" xr:uid="{00000000-0004-0000-0000-0000EE080000}"/>
    <hyperlink ref="D1625" r:id="rId2288" xr:uid="{00000000-0004-0000-0000-0000EF080000}"/>
    <hyperlink ref="D1626" r:id="rId2289" xr:uid="{00000000-0004-0000-0000-0000F0080000}"/>
    <hyperlink ref="D1627" r:id="rId2290" xr:uid="{00000000-0004-0000-0000-0000F1080000}"/>
    <hyperlink ref="D1628" r:id="rId2291" xr:uid="{00000000-0004-0000-0000-0000F2080000}"/>
    <hyperlink ref="D1629" r:id="rId2292" xr:uid="{00000000-0004-0000-0000-0000F3080000}"/>
    <hyperlink ref="D1630" r:id="rId2293" xr:uid="{00000000-0004-0000-0000-0000F4080000}"/>
    <hyperlink ref="D1631" r:id="rId2294" xr:uid="{00000000-0004-0000-0000-0000F5080000}"/>
    <hyperlink ref="D1632" r:id="rId2295" xr:uid="{00000000-0004-0000-0000-0000F6080000}"/>
    <hyperlink ref="D1633" r:id="rId2296" xr:uid="{00000000-0004-0000-0000-0000F7080000}"/>
    <hyperlink ref="D1634" r:id="rId2297" xr:uid="{00000000-0004-0000-0000-0000F8080000}"/>
    <hyperlink ref="D1635" r:id="rId2298" xr:uid="{00000000-0004-0000-0000-0000F9080000}"/>
    <hyperlink ref="D1637" r:id="rId2299" xr:uid="{00000000-0004-0000-0000-0000FA080000}"/>
    <hyperlink ref="D1638" r:id="rId2300" xr:uid="{00000000-0004-0000-0000-0000FB080000}"/>
    <hyperlink ref="D1639" r:id="rId2301" xr:uid="{00000000-0004-0000-0000-0000FC080000}"/>
    <hyperlink ref="D1640" r:id="rId2302" xr:uid="{00000000-0004-0000-0000-0000FD080000}"/>
    <hyperlink ref="D1641" r:id="rId2303" xr:uid="{00000000-0004-0000-0000-0000FE080000}"/>
    <hyperlink ref="D1642" r:id="rId2304" xr:uid="{00000000-0004-0000-0000-0000FF080000}"/>
    <hyperlink ref="D1643" r:id="rId2305" xr:uid="{00000000-0004-0000-0000-000000090000}"/>
    <hyperlink ref="D1644" r:id="rId2306" xr:uid="{00000000-0004-0000-0000-000001090000}"/>
    <hyperlink ref="D1645" r:id="rId2307" xr:uid="{00000000-0004-0000-0000-000002090000}"/>
    <hyperlink ref="D1646" r:id="rId2308" xr:uid="{00000000-0004-0000-0000-000003090000}"/>
    <hyperlink ref="D1647" r:id="rId2309" xr:uid="{00000000-0004-0000-0000-000004090000}"/>
    <hyperlink ref="D1648" r:id="rId2310" xr:uid="{00000000-0004-0000-0000-000005090000}"/>
    <hyperlink ref="D1649" r:id="rId2311" xr:uid="{00000000-0004-0000-0000-000006090000}"/>
    <hyperlink ref="D1650" r:id="rId2312" xr:uid="{00000000-0004-0000-0000-000007090000}"/>
    <hyperlink ref="D1651" r:id="rId2313" xr:uid="{00000000-0004-0000-0000-000008090000}"/>
    <hyperlink ref="D1652" r:id="rId2314" xr:uid="{00000000-0004-0000-0000-000009090000}"/>
    <hyperlink ref="D1653" r:id="rId2315" xr:uid="{00000000-0004-0000-0000-00000A090000}"/>
    <hyperlink ref="D1654" r:id="rId2316" xr:uid="{00000000-0004-0000-0000-00000B090000}"/>
    <hyperlink ref="D1656" r:id="rId2317" xr:uid="{00000000-0004-0000-0000-00000C090000}"/>
    <hyperlink ref="D1657" r:id="rId2318" xr:uid="{00000000-0004-0000-0000-00000D090000}"/>
    <hyperlink ref="D1658" r:id="rId2319" xr:uid="{00000000-0004-0000-0000-00000E090000}"/>
    <hyperlink ref="D1659" r:id="rId2320" xr:uid="{00000000-0004-0000-0000-00000F090000}"/>
    <hyperlink ref="D1660" r:id="rId2321" xr:uid="{00000000-0004-0000-0000-000010090000}"/>
    <hyperlink ref="D1661" r:id="rId2322" xr:uid="{00000000-0004-0000-0000-000011090000}"/>
    <hyperlink ref="D1662" r:id="rId2323" xr:uid="{00000000-0004-0000-0000-000012090000}"/>
    <hyperlink ref="D1663" r:id="rId2324" xr:uid="{00000000-0004-0000-0000-000013090000}"/>
    <hyperlink ref="D1664" r:id="rId2325" xr:uid="{00000000-0004-0000-0000-000014090000}"/>
    <hyperlink ref="D1665" r:id="rId2326" xr:uid="{00000000-0004-0000-0000-000015090000}"/>
    <hyperlink ref="D1667" r:id="rId2327" xr:uid="{00000000-0004-0000-0000-000016090000}"/>
    <hyperlink ref="D1669" r:id="rId2328" xr:uid="{00000000-0004-0000-0000-000017090000}"/>
    <hyperlink ref="D1670" r:id="rId2329" xr:uid="{00000000-0004-0000-0000-000018090000}"/>
    <hyperlink ref="D1671" r:id="rId2330" xr:uid="{00000000-0004-0000-0000-000019090000}"/>
    <hyperlink ref="D1672" r:id="rId2331" xr:uid="{00000000-0004-0000-0000-00001A090000}"/>
    <hyperlink ref="D1673" r:id="rId2332" xr:uid="{00000000-0004-0000-0000-00001B090000}"/>
    <hyperlink ref="D1674" r:id="rId2333" xr:uid="{00000000-0004-0000-0000-00001C090000}"/>
    <hyperlink ref="D1675" r:id="rId2334" xr:uid="{00000000-0004-0000-0000-00001D090000}"/>
    <hyperlink ref="D1676" r:id="rId2335" xr:uid="{00000000-0004-0000-0000-00001E090000}"/>
    <hyperlink ref="D1677" r:id="rId2336" xr:uid="{00000000-0004-0000-0000-00001F090000}"/>
    <hyperlink ref="D1679" r:id="rId2337" xr:uid="{00000000-0004-0000-0000-000020090000}"/>
    <hyperlink ref="D1680" r:id="rId2338" xr:uid="{00000000-0004-0000-0000-000021090000}"/>
    <hyperlink ref="D1681" r:id="rId2339" xr:uid="{00000000-0004-0000-0000-000022090000}"/>
    <hyperlink ref="D1682" r:id="rId2340" xr:uid="{00000000-0004-0000-0000-000023090000}"/>
    <hyperlink ref="D1683" r:id="rId2341" xr:uid="{00000000-0004-0000-0000-000024090000}"/>
    <hyperlink ref="D1684" r:id="rId2342" xr:uid="{00000000-0004-0000-0000-000025090000}"/>
    <hyperlink ref="D1685" r:id="rId2343" xr:uid="{00000000-0004-0000-0000-000026090000}"/>
    <hyperlink ref="D1686" r:id="rId2344" xr:uid="{00000000-0004-0000-0000-000027090000}"/>
    <hyperlink ref="D1687" r:id="rId2345" xr:uid="{00000000-0004-0000-0000-000028090000}"/>
    <hyperlink ref="D1688" r:id="rId2346" xr:uid="{00000000-0004-0000-0000-000029090000}"/>
    <hyperlink ref="D1689" r:id="rId2347" xr:uid="{00000000-0004-0000-0000-00002A090000}"/>
    <hyperlink ref="D1690" r:id="rId2348" xr:uid="{00000000-0004-0000-0000-00002B090000}"/>
    <hyperlink ref="D1691" r:id="rId2349" xr:uid="{00000000-0004-0000-0000-00002C090000}"/>
    <hyperlink ref="D1692" r:id="rId2350" xr:uid="{00000000-0004-0000-0000-00002D090000}"/>
    <hyperlink ref="D1693" r:id="rId2351" xr:uid="{00000000-0004-0000-0000-00002E090000}"/>
    <hyperlink ref="D1694" r:id="rId2352" xr:uid="{00000000-0004-0000-0000-00002F090000}"/>
    <hyperlink ref="D1695" r:id="rId2353" xr:uid="{00000000-0004-0000-0000-000030090000}"/>
    <hyperlink ref="D1696" r:id="rId2354" xr:uid="{00000000-0004-0000-0000-000031090000}"/>
    <hyperlink ref="D1697" r:id="rId2355" xr:uid="{00000000-0004-0000-0000-000032090000}"/>
    <hyperlink ref="D1698" r:id="rId2356" xr:uid="{00000000-0004-0000-0000-000033090000}"/>
    <hyperlink ref="D1699" r:id="rId2357" xr:uid="{00000000-0004-0000-0000-000034090000}"/>
    <hyperlink ref="D1700" r:id="rId2358" xr:uid="{00000000-0004-0000-0000-000035090000}"/>
    <hyperlink ref="D1701" r:id="rId2359" xr:uid="{00000000-0004-0000-0000-000036090000}"/>
    <hyperlink ref="D1702" r:id="rId2360" xr:uid="{00000000-0004-0000-0000-000037090000}"/>
    <hyperlink ref="D1704" r:id="rId2361" xr:uid="{00000000-0004-0000-0000-000038090000}"/>
    <hyperlink ref="D1705" r:id="rId2362" xr:uid="{00000000-0004-0000-0000-000039090000}"/>
    <hyperlink ref="D1706" r:id="rId2363" xr:uid="{00000000-0004-0000-0000-00003A090000}"/>
    <hyperlink ref="D1707" r:id="rId2364" xr:uid="{00000000-0004-0000-0000-00003B090000}"/>
    <hyperlink ref="D1709" r:id="rId2365" xr:uid="{00000000-0004-0000-0000-00003C090000}"/>
    <hyperlink ref="D1711" r:id="rId2366" xr:uid="{00000000-0004-0000-0000-00003D090000}"/>
    <hyperlink ref="D1712" r:id="rId2367" xr:uid="{00000000-0004-0000-0000-00003E090000}"/>
    <hyperlink ref="D1713" r:id="rId2368" xr:uid="{00000000-0004-0000-0000-00003F090000}"/>
    <hyperlink ref="D1714" r:id="rId2369" xr:uid="{00000000-0004-0000-0000-000040090000}"/>
    <hyperlink ref="D1715" r:id="rId2370" xr:uid="{00000000-0004-0000-0000-000041090000}"/>
    <hyperlink ref="D1716" r:id="rId2371" xr:uid="{00000000-0004-0000-0000-000042090000}"/>
    <hyperlink ref="D1717" r:id="rId2372" xr:uid="{00000000-0004-0000-0000-000043090000}"/>
    <hyperlink ref="D1718" r:id="rId2373" xr:uid="{00000000-0004-0000-0000-000044090000}"/>
    <hyperlink ref="D1719" r:id="rId2374" xr:uid="{00000000-0004-0000-0000-000045090000}"/>
    <hyperlink ref="D1720" r:id="rId2375" xr:uid="{00000000-0004-0000-0000-000046090000}"/>
    <hyperlink ref="D1722" r:id="rId2376" xr:uid="{00000000-0004-0000-0000-000047090000}"/>
    <hyperlink ref="D1724" r:id="rId2377" xr:uid="{00000000-0004-0000-0000-000048090000}"/>
    <hyperlink ref="D1725" r:id="rId2378" xr:uid="{00000000-0004-0000-0000-000049090000}"/>
    <hyperlink ref="D1726" r:id="rId2379" xr:uid="{00000000-0004-0000-0000-00004A090000}"/>
    <hyperlink ref="D1727" r:id="rId2380" xr:uid="{00000000-0004-0000-0000-00004B090000}"/>
    <hyperlink ref="D1728" r:id="rId2381" xr:uid="{00000000-0004-0000-0000-00004C090000}"/>
    <hyperlink ref="D1730" r:id="rId2382" xr:uid="{00000000-0004-0000-0000-00004D090000}"/>
    <hyperlink ref="D1731" r:id="rId2383" xr:uid="{00000000-0004-0000-0000-00004E090000}"/>
    <hyperlink ref="D1732" r:id="rId2384" xr:uid="{00000000-0004-0000-0000-00004F090000}"/>
    <hyperlink ref="D1733" r:id="rId2385" xr:uid="{00000000-0004-0000-0000-000050090000}"/>
    <hyperlink ref="D1734" r:id="rId2386" xr:uid="{00000000-0004-0000-0000-000051090000}"/>
    <hyperlink ref="D1735" r:id="rId2387" xr:uid="{00000000-0004-0000-0000-000052090000}"/>
    <hyperlink ref="D1736" r:id="rId2388" xr:uid="{00000000-0004-0000-0000-000053090000}"/>
    <hyperlink ref="D1737" r:id="rId2389" xr:uid="{00000000-0004-0000-0000-000054090000}"/>
    <hyperlink ref="D1738" r:id="rId2390" xr:uid="{00000000-0004-0000-0000-000055090000}"/>
    <hyperlink ref="D1739" r:id="rId2391" xr:uid="{00000000-0004-0000-0000-000056090000}"/>
    <hyperlink ref="D1740" r:id="rId2392" xr:uid="{00000000-0004-0000-0000-000057090000}"/>
    <hyperlink ref="D1741" r:id="rId2393" xr:uid="{00000000-0004-0000-0000-000058090000}"/>
    <hyperlink ref="D1742" r:id="rId2394" xr:uid="{00000000-0004-0000-0000-000059090000}"/>
    <hyperlink ref="D1743" r:id="rId2395" xr:uid="{00000000-0004-0000-0000-00005A090000}"/>
    <hyperlink ref="D1744" r:id="rId2396" xr:uid="{00000000-0004-0000-0000-00005B090000}"/>
    <hyperlink ref="D1745" r:id="rId2397" xr:uid="{00000000-0004-0000-0000-00005C090000}"/>
    <hyperlink ref="D1746" r:id="rId2398" xr:uid="{00000000-0004-0000-0000-00005D090000}"/>
    <hyperlink ref="D1747" r:id="rId2399" xr:uid="{00000000-0004-0000-0000-00005E090000}"/>
    <hyperlink ref="D1748" r:id="rId2400" xr:uid="{00000000-0004-0000-0000-00005F090000}"/>
    <hyperlink ref="D1749" r:id="rId2401" xr:uid="{00000000-0004-0000-0000-000060090000}"/>
    <hyperlink ref="D1750" r:id="rId2402" xr:uid="{00000000-0004-0000-0000-000061090000}"/>
    <hyperlink ref="D1751" r:id="rId2403" xr:uid="{00000000-0004-0000-0000-000062090000}"/>
    <hyperlink ref="D1752" r:id="rId2404" xr:uid="{00000000-0004-0000-0000-000063090000}"/>
    <hyperlink ref="D1753" r:id="rId2405" xr:uid="{00000000-0004-0000-0000-000064090000}"/>
    <hyperlink ref="D1754" r:id="rId2406" xr:uid="{00000000-0004-0000-0000-000065090000}"/>
    <hyperlink ref="D1755" r:id="rId2407" xr:uid="{00000000-0004-0000-0000-000066090000}"/>
    <hyperlink ref="D1756" r:id="rId2408" xr:uid="{00000000-0004-0000-0000-000067090000}"/>
    <hyperlink ref="D1758" r:id="rId2409" xr:uid="{00000000-0004-0000-0000-000068090000}"/>
    <hyperlink ref="D1760" r:id="rId2410" xr:uid="{00000000-0004-0000-0000-000069090000}"/>
    <hyperlink ref="D1761" r:id="rId2411" xr:uid="{00000000-0004-0000-0000-00006A090000}"/>
    <hyperlink ref="D1762" r:id="rId2412" xr:uid="{00000000-0004-0000-0000-00006B090000}"/>
    <hyperlink ref="D1763" r:id="rId2413" xr:uid="{00000000-0004-0000-0000-00006C090000}"/>
    <hyperlink ref="D1764" r:id="rId2414" xr:uid="{00000000-0004-0000-0000-00006D090000}"/>
    <hyperlink ref="D1765" r:id="rId2415" xr:uid="{00000000-0004-0000-0000-00006E090000}"/>
    <hyperlink ref="D1766" r:id="rId2416" xr:uid="{00000000-0004-0000-0000-00006F090000}"/>
    <hyperlink ref="D1767" r:id="rId2417" xr:uid="{00000000-0004-0000-0000-000070090000}"/>
    <hyperlink ref="D1768" r:id="rId2418" xr:uid="{00000000-0004-0000-0000-000071090000}"/>
    <hyperlink ref="D1773" r:id="rId2419" xr:uid="{00000000-0004-0000-0000-000072090000}"/>
    <hyperlink ref="D1774" r:id="rId2420" xr:uid="{00000000-0004-0000-0000-000073090000}"/>
    <hyperlink ref="D1775" r:id="rId2421" xr:uid="{00000000-0004-0000-0000-000074090000}"/>
    <hyperlink ref="D1776" r:id="rId2422" xr:uid="{00000000-0004-0000-0000-000075090000}"/>
    <hyperlink ref="D1777" r:id="rId2423" xr:uid="{00000000-0004-0000-0000-000076090000}"/>
    <hyperlink ref="D1778" r:id="rId2424" xr:uid="{00000000-0004-0000-0000-000077090000}"/>
    <hyperlink ref="D1779" r:id="rId2425" xr:uid="{00000000-0004-0000-0000-000078090000}"/>
    <hyperlink ref="D1780" r:id="rId2426" xr:uid="{00000000-0004-0000-0000-000079090000}"/>
    <hyperlink ref="D1781" r:id="rId2427" xr:uid="{00000000-0004-0000-0000-00007A090000}"/>
    <hyperlink ref="D1784" r:id="rId2428" xr:uid="{00000000-0004-0000-0000-00007B090000}"/>
    <hyperlink ref="D1785" r:id="rId2429" xr:uid="{00000000-0004-0000-0000-00007C090000}"/>
    <hyperlink ref="D1786" r:id="rId2430" xr:uid="{00000000-0004-0000-0000-00007D090000}"/>
    <hyperlink ref="D1787" r:id="rId2431" xr:uid="{00000000-0004-0000-0000-00007E090000}"/>
    <hyperlink ref="D1788" r:id="rId2432" xr:uid="{00000000-0004-0000-0000-00007F090000}"/>
    <hyperlink ref="D1789" r:id="rId2433" xr:uid="{00000000-0004-0000-0000-000080090000}"/>
    <hyperlink ref="D1790" r:id="rId2434" xr:uid="{00000000-0004-0000-0000-000081090000}"/>
    <hyperlink ref="D1791" r:id="rId2435" xr:uid="{00000000-0004-0000-0000-000082090000}"/>
    <hyperlink ref="D1792" r:id="rId2436" xr:uid="{00000000-0004-0000-0000-000083090000}"/>
    <hyperlink ref="D1793" r:id="rId2437" xr:uid="{00000000-0004-0000-0000-000084090000}"/>
    <hyperlink ref="D1794" r:id="rId2438" xr:uid="{00000000-0004-0000-0000-000085090000}"/>
    <hyperlink ref="D1795" r:id="rId2439" xr:uid="{00000000-0004-0000-0000-000086090000}"/>
    <hyperlink ref="D1796" r:id="rId2440" xr:uid="{00000000-0004-0000-0000-000087090000}"/>
    <hyperlink ref="D1797" r:id="rId2441" xr:uid="{00000000-0004-0000-0000-000088090000}"/>
    <hyperlink ref="D1798" r:id="rId2442" xr:uid="{00000000-0004-0000-0000-000089090000}"/>
    <hyperlink ref="D1799" r:id="rId2443" xr:uid="{00000000-0004-0000-0000-00008A090000}"/>
    <hyperlink ref="D1800" r:id="rId2444" xr:uid="{00000000-0004-0000-0000-00008B090000}"/>
    <hyperlink ref="D1802" r:id="rId2445" xr:uid="{00000000-0004-0000-0000-00008C090000}"/>
    <hyperlink ref="D1803" r:id="rId2446" xr:uid="{00000000-0004-0000-0000-00008D090000}"/>
    <hyperlink ref="D1805" r:id="rId2447" xr:uid="{00000000-0004-0000-0000-00008E090000}"/>
    <hyperlink ref="D1806" r:id="rId2448" xr:uid="{00000000-0004-0000-0000-00008F090000}"/>
    <hyperlink ref="D1807" r:id="rId2449" xr:uid="{00000000-0004-0000-0000-000090090000}"/>
    <hyperlink ref="D1808" r:id="rId2450" xr:uid="{00000000-0004-0000-0000-000091090000}"/>
    <hyperlink ref="D1809" r:id="rId2451" xr:uid="{00000000-0004-0000-0000-000092090000}"/>
    <hyperlink ref="D1811" r:id="rId2452" xr:uid="{00000000-0004-0000-0000-000093090000}"/>
    <hyperlink ref="D1812" r:id="rId2453" xr:uid="{00000000-0004-0000-0000-000094090000}"/>
    <hyperlink ref="D1813" r:id="rId2454" xr:uid="{00000000-0004-0000-0000-000095090000}"/>
    <hyperlink ref="D1814" r:id="rId2455" xr:uid="{00000000-0004-0000-0000-000096090000}"/>
    <hyperlink ref="D1815" r:id="rId2456" xr:uid="{00000000-0004-0000-0000-000097090000}"/>
    <hyperlink ref="D1816" r:id="rId2457" xr:uid="{00000000-0004-0000-0000-000098090000}"/>
    <hyperlink ref="D1817" r:id="rId2458" xr:uid="{00000000-0004-0000-0000-000099090000}"/>
    <hyperlink ref="D1818" r:id="rId2459" xr:uid="{00000000-0004-0000-0000-00009A090000}"/>
    <hyperlink ref="D1819" r:id="rId2460" xr:uid="{00000000-0004-0000-0000-00009B090000}"/>
    <hyperlink ref="D1820" r:id="rId2461" xr:uid="{00000000-0004-0000-0000-00009C090000}"/>
    <hyperlink ref="D1821" r:id="rId2462" xr:uid="{00000000-0004-0000-0000-00009D090000}"/>
    <hyperlink ref="D1822" r:id="rId2463" xr:uid="{00000000-0004-0000-0000-00009E090000}"/>
    <hyperlink ref="D1823" r:id="rId2464" xr:uid="{00000000-0004-0000-0000-00009F090000}"/>
    <hyperlink ref="D1824" r:id="rId2465" xr:uid="{00000000-0004-0000-0000-0000A0090000}"/>
    <hyperlink ref="D1825" r:id="rId2466" xr:uid="{00000000-0004-0000-0000-0000A1090000}"/>
    <hyperlink ref="D1826" r:id="rId2467" xr:uid="{00000000-0004-0000-0000-0000A2090000}"/>
    <hyperlink ref="D1827" r:id="rId2468" xr:uid="{00000000-0004-0000-0000-0000A3090000}"/>
    <hyperlink ref="D1828" r:id="rId2469" xr:uid="{00000000-0004-0000-0000-0000A4090000}"/>
    <hyperlink ref="D1829" r:id="rId2470" xr:uid="{00000000-0004-0000-0000-0000A5090000}"/>
    <hyperlink ref="D1830" r:id="rId2471" xr:uid="{00000000-0004-0000-0000-0000A6090000}"/>
    <hyperlink ref="D1831" r:id="rId2472" xr:uid="{00000000-0004-0000-0000-0000A7090000}"/>
    <hyperlink ref="D1832" r:id="rId2473" xr:uid="{00000000-0004-0000-0000-0000A8090000}"/>
    <hyperlink ref="D1833" r:id="rId2474" xr:uid="{00000000-0004-0000-0000-0000A9090000}"/>
    <hyperlink ref="D1834" r:id="rId2475" xr:uid="{00000000-0004-0000-0000-0000AA090000}"/>
    <hyperlink ref="D1837" r:id="rId2476" xr:uid="{00000000-0004-0000-0000-0000AB090000}"/>
    <hyperlink ref="D1838" r:id="rId2477" xr:uid="{00000000-0004-0000-0000-0000AC090000}"/>
    <hyperlink ref="D1839" r:id="rId2478" xr:uid="{00000000-0004-0000-0000-0000AD090000}"/>
    <hyperlink ref="D1840" r:id="rId2479" xr:uid="{00000000-0004-0000-0000-0000AE090000}"/>
    <hyperlink ref="D1842" r:id="rId2480" xr:uid="{00000000-0004-0000-0000-0000AF090000}"/>
    <hyperlink ref="D1843" r:id="rId2481" xr:uid="{00000000-0004-0000-0000-0000B0090000}"/>
    <hyperlink ref="D1846" r:id="rId2482" xr:uid="{00000000-0004-0000-0000-0000B1090000}"/>
    <hyperlink ref="D1847" r:id="rId2483" xr:uid="{00000000-0004-0000-0000-0000B2090000}"/>
    <hyperlink ref="D1849" r:id="rId2484" xr:uid="{00000000-0004-0000-0000-0000B3090000}"/>
    <hyperlink ref="D1850" r:id="rId2485" xr:uid="{00000000-0004-0000-0000-0000B4090000}"/>
    <hyperlink ref="D1851" r:id="rId2486" xr:uid="{00000000-0004-0000-0000-0000B5090000}"/>
    <hyperlink ref="D1853" r:id="rId2487" xr:uid="{00000000-0004-0000-0000-0000B6090000}"/>
    <hyperlink ref="D1854" r:id="rId2488" xr:uid="{00000000-0004-0000-0000-0000B7090000}"/>
    <hyperlink ref="D1855" r:id="rId2489" xr:uid="{00000000-0004-0000-0000-0000B8090000}"/>
    <hyperlink ref="D1856" r:id="rId2490" xr:uid="{00000000-0004-0000-0000-0000B9090000}"/>
    <hyperlink ref="D1857" r:id="rId2491" xr:uid="{00000000-0004-0000-0000-0000BA090000}"/>
    <hyperlink ref="D1858" r:id="rId2492" xr:uid="{00000000-0004-0000-0000-0000BB090000}"/>
    <hyperlink ref="D1859" r:id="rId2493" xr:uid="{00000000-0004-0000-0000-0000BC090000}"/>
    <hyperlink ref="D1860" r:id="rId2494" xr:uid="{00000000-0004-0000-0000-0000BD090000}"/>
    <hyperlink ref="D1862" r:id="rId2495" xr:uid="{00000000-0004-0000-0000-0000BE090000}"/>
    <hyperlink ref="D1863" r:id="rId2496" xr:uid="{00000000-0004-0000-0000-0000BF090000}"/>
    <hyperlink ref="D1864" r:id="rId2497" xr:uid="{00000000-0004-0000-0000-0000C0090000}"/>
    <hyperlink ref="D1865" r:id="rId2498" xr:uid="{00000000-0004-0000-0000-0000C1090000}"/>
    <hyperlink ref="D1866" r:id="rId2499" xr:uid="{00000000-0004-0000-0000-0000C2090000}"/>
    <hyperlink ref="D1867" r:id="rId2500" xr:uid="{00000000-0004-0000-0000-0000C3090000}"/>
    <hyperlink ref="D1868" r:id="rId2501" xr:uid="{00000000-0004-0000-0000-0000C4090000}"/>
    <hyperlink ref="D1869" r:id="rId2502" xr:uid="{00000000-0004-0000-0000-0000C5090000}"/>
    <hyperlink ref="D1870" r:id="rId2503" xr:uid="{00000000-0004-0000-0000-0000C6090000}"/>
    <hyperlink ref="D1871" r:id="rId2504" xr:uid="{00000000-0004-0000-0000-0000C7090000}"/>
    <hyperlink ref="D1872" r:id="rId2505" xr:uid="{00000000-0004-0000-0000-0000C8090000}"/>
    <hyperlink ref="D1873" r:id="rId2506" xr:uid="{00000000-0004-0000-0000-0000C9090000}"/>
    <hyperlink ref="D1874" r:id="rId2507" xr:uid="{00000000-0004-0000-0000-0000CA090000}"/>
    <hyperlink ref="D1875" r:id="rId2508" xr:uid="{00000000-0004-0000-0000-0000CB090000}"/>
    <hyperlink ref="D1877" r:id="rId2509" xr:uid="{00000000-0004-0000-0000-0000CC090000}"/>
    <hyperlink ref="D1878" r:id="rId2510" xr:uid="{00000000-0004-0000-0000-0000CD090000}"/>
    <hyperlink ref="D1879" r:id="rId2511" xr:uid="{00000000-0004-0000-0000-0000CE090000}"/>
    <hyperlink ref="D1880" r:id="rId2512" xr:uid="{00000000-0004-0000-0000-0000CF090000}"/>
    <hyperlink ref="D1881" r:id="rId2513" xr:uid="{00000000-0004-0000-0000-0000D0090000}"/>
    <hyperlink ref="D1882" r:id="rId2514" xr:uid="{00000000-0004-0000-0000-0000D1090000}"/>
    <hyperlink ref="D1883" r:id="rId2515" xr:uid="{00000000-0004-0000-0000-0000D2090000}"/>
    <hyperlink ref="D1884" r:id="rId2516" xr:uid="{00000000-0004-0000-0000-0000D3090000}"/>
    <hyperlink ref="D1885" r:id="rId2517" xr:uid="{00000000-0004-0000-0000-0000D4090000}"/>
    <hyperlink ref="D1886" r:id="rId2518" xr:uid="{00000000-0004-0000-0000-0000D5090000}"/>
    <hyperlink ref="D1887" r:id="rId2519" xr:uid="{00000000-0004-0000-0000-0000D6090000}"/>
    <hyperlink ref="D1888" r:id="rId2520" xr:uid="{00000000-0004-0000-0000-0000D7090000}"/>
    <hyperlink ref="D1889" r:id="rId2521" xr:uid="{00000000-0004-0000-0000-0000D8090000}"/>
    <hyperlink ref="D1891" r:id="rId2522" xr:uid="{00000000-0004-0000-0000-0000D9090000}"/>
    <hyperlink ref="D1892" r:id="rId2523" xr:uid="{00000000-0004-0000-0000-0000DA090000}"/>
    <hyperlink ref="D1893" r:id="rId2524" xr:uid="{00000000-0004-0000-0000-0000DB090000}"/>
    <hyperlink ref="D1894" r:id="rId2525" xr:uid="{00000000-0004-0000-0000-0000DC090000}"/>
    <hyperlink ref="D1895" r:id="rId2526" xr:uid="{00000000-0004-0000-0000-0000DD090000}"/>
    <hyperlink ref="D1896" r:id="rId2527" xr:uid="{00000000-0004-0000-0000-0000DE090000}"/>
    <hyperlink ref="D1897" r:id="rId2528" xr:uid="{00000000-0004-0000-0000-0000DF090000}"/>
    <hyperlink ref="D1899" r:id="rId2529" xr:uid="{00000000-0004-0000-0000-0000E0090000}"/>
    <hyperlink ref="D1900" r:id="rId2530" xr:uid="{00000000-0004-0000-0000-0000E1090000}"/>
    <hyperlink ref="D1901" r:id="rId2531" xr:uid="{00000000-0004-0000-0000-0000E2090000}"/>
    <hyperlink ref="D1902" r:id="rId2532" xr:uid="{00000000-0004-0000-0000-0000E3090000}"/>
    <hyperlink ref="D1903" r:id="rId2533" xr:uid="{00000000-0004-0000-0000-0000E4090000}"/>
    <hyperlink ref="D1904" r:id="rId2534" xr:uid="{00000000-0004-0000-0000-0000E5090000}"/>
    <hyperlink ref="D1905" r:id="rId2535" xr:uid="{00000000-0004-0000-0000-0000E6090000}"/>
    <hyperlink ref="D1906" r:id="rId2536" xr:uid="{00000000-0004-0000-0000-0000E7090000}"/>
    <hyperlink ref="D1908" r:id="rId2537" xr:uid="{00000000-0004-0000-0000-0000E8090000}"/>
    <hyperlink ref="D1909" r:id="rId2538" xr:uid="{00000000-0004-0000-0000-0000E9090000}"/>
    <hyperlink ref="D1910" r:id="rId2539" xr:uid="{00000000-0004-0000-0000-0000EA090000}"/>
    <hyperlink ref="D1911" r:id="rId2540" xr:uid="{00000000-0004-0000-0000-0000EB090000}"/>
    <hyperlink ref="D1912" r:id="rId2541" xr:uid="{00000000-0004-0000-0000-0000EC090000}"/>
    <hyperlink ref="D1913" r:id="rId2542" xr:uid="{00000000-0004-0000-0000-0000ED090000}"/>
    <hyperlink ref="D1914" r:id="rId2543" xr:uid="{00000000-0004-0000-0000-0000EE090000}"/>
    <hyperlink ref="D1916" r:id="rId2544" xr:uid="{00000000-0004-0000-0000-0000EF090000}"/>
    <hyperlink ref="D1917" r:id="rId2545" xr:uid="{00000000-0004-0000-0000-0000F0090000}"/>
    <hyperlink ref="D1918" r:id="rId2546" xr:uid="{00000000-0004-0000-0000-0000F1090000}"/>
    <hyperlink ref="D1919" r:id="rId2547" xr:uid="{00000000-0004-0000-0000-0000F2090000}"/>
    <hyperlink ref="D1920" r:id="rId2548" xr:uid="{00000000-0004-0000-0000-0000F3090000}"/>
    <hyperlink ref="D1921" r:id="rId2549" xr:uid="{00000000-0004-0000-0000-0000F4090000}"/>
    <hyperlink ref="D1922" r:id="rId2550" xr:uid="{00000000-0004-0000-0000-0000F5090000}"/>
    <hyperlink ref="D1923" r:id="rId2551" xr:uid="{00000000-0004-0000-0000-0000F6090000}"/>
    <hyperlink ref="D1924" r:id="rId2552" xr:uid="{00000000-0004-0000-0000-0000F7090000}"/>
    <hyperlink ref="D1925" r:id="rId2553" xr:uid="{00000000-0004-0000-0000-0000F8090000}"/>
    <hyperlink ref="H1925" r:id="rId2554" xr:uid="{00000000-0004-0000-0000-0000F9090000}"/>
    <hyperlink ref="D1926" r:id="rId2555" xr:uid="{00000000-0004-0000-0000-0000FA090000}"/>
    <hyperlink ref="D1927" r:id="rId2556" xr:uid="{00000000-0004-0000-0000-0000FB090000}"/>
    <hyperlink ref="D1928" r:id="rId2557" xr:uid="{00000000-0004-0000-0000-0000FC090000}"/>
    <hyperlink ref="D1929" r:id="rId2558" xr:uid="{00000000-0004-0000-0000-0000FD090000}"/>
    <hyperlink ref="D1930" r:id="rId2559" xr:uid="{00000000-0004-0000-0000-0000FE090000}"/>
    <hyperlink ref="D1931" r:id="rId2560" xr:uid="{00000000-0004-0000-0000-0000FF090000}"/>
    <hyperlink ref="D1932" r:id="rId2561" xr:uid="{00000000-0004-0000-0000-0000000A0000}"/>
    <hyperlink ref="D1933" r:id="rId2562" xr:uid="{00000000-0004-0000-0000-0000010A0000}"/>
    <hyperlink ref="D1934" r:id="rId2563" xr:uid="{00000000-0004-0000-0000-0000020A0000}"/>
    <hyperlink ref="D1935" r:id="rId2564" xr:uid="{00000000-0004-0000-0000-0000030A0000}"/>
    <hyperlink ref="D1936" r:id="rId2565" xr:uid="{00000000-0004-0000-0000-0000040A0000}"/>
    <hyperlink ref="D1937" r:id="rId2566" xr:uid="{00000000-0004-0000-0000-0000050A0000}"/>
    <hyperlink ref="D1938" r:id="rId2567" xr:uid="{00000000-0004-0000-0000-0000060A0000}"/>
    <hyperlink ref="D1939" r:id="rId2568" xr:uid="{00000000-0004-0000-0000-0000070A0000}"/>
    <hyperlink ref="D1940" r:id="rId2569" xr:uid="{00000000-0004-0000-0000-0000080A0000}"/>
    <hyperlink ref="D1941" r:id="rId2570" xr:uid="{00000000-0004-0000-0000-0000090A0000}"/>
    <hyperlink ref="D1942" r:id="rId2571" xr:uid="{00000000-0004-0000-0000-00000A0A0000}"/>
    <hyperlink ref="D1944" r:id="rId2572" xr:uid="{00000000-0004-0000-0000-00000B0A0000}"/>
    <hyperlink ref="D1945" r:id="rId2573" xr:uid="{00000000-0004-0000-0000-00000C0A0000}"/>
    <hyperlink ref="D1946" r:id="rId2574" xr:uid="{00000000-0004-0000-0000-00000D0A0000}"/>
    <hyperlink ref="D1947" r:id="rId2575" xr:uid="{00000000-0004-0000-0000-00000E0A0000}"/>
    <hyperlink ref="D1948" r:id="rId2576" xr:uid="{00000000-0004-0000-0000-00000F0A0000}"/>
    <hyperlink ref="D1949" r:id="rId2577" xr:uid="{00000000-0004-0000-0000-0000100A0000}"/>
    <hyperlink ref="D1950" r:id="rId2578" xr:uid="{00000000-0004-0000-0000-0000110A0000}"/>
    <hyperlink ref="D1951" r:id="rId2579" xr:uid="{00000000-0004-0000-0000-0000120A0000}"/>
    <hyperlink ref="D1952" r:id="rId2580" xr:uid="{00000000-0004-0000-0000-0000130A0000}"/>
    <hyperlink ref="D1953" r:id="rId2581" xr:uid="{00000000-0004-0000-0000-0000140A0000}"/>
    <hyperlink ref="D1954" r:id="rId2582" xr:uid="{00000000-0004-0000-0000-0000150A0000}"/>
    <hyperlink ref="D1955" r:id="rId2583" xr:uid="{00000000-0004-0000-0000-0000160A0000}"/>
    <hyperlink ref="D1956" r:id="rId2584" xr:uid="{00000000-0004-0000-0000-0000170A0000}"/>
    <hyperlink ref="D1957" r:id="rId2585" xr:uid="{00000000-0004-0000-0000-0000180A0000}"/>
    <hyperlink ref="D1958" r:id="rId2586" xr:uid="{00000000-0004-0000-0000-0000190A0000}"/>
    <hyperlink ref="D1959" r:id="rId2587" xr:uid="{00000000-0004-0000-0000-00001A0A0000}"/>
    <hyperlink ref="D1960" r:id="rId2588" xr:uid="{00000000-0004-0000-0000-00001B0A0000}"/>
    <hyperlink ref="D1962" r:id="rId2589" xr:uid="{00000000-0004-0000-0000-00001C0A0000}"/>
    <hyperlink ref="D1963" r:id="rId2590" xr:uid="{00000000-0004-0000-0000-00001D0A0000}"/>
    <hyperlink ref="D1964" r:id="rId2591" xr:uid="{00000000-0004-0000-0000-00001E0A0000}"/>
    <hyperlink ref="D1965" r:id="rId2592" xr:uid="{00000000-0004-0000-0000-00001F0A0000}"/>
    <hyperlink ref="D1966" r:id="rId2593" xr:uid="{00000000-0004-0000-0000-0000200A0000}"/>
    <hyperlink ref="D1967" r:id="rId2594" xr:uid="{00000000-0004-0000-0000-0000210A0000}"/>
    <hyperlink ref="D1968" r:id="rId2595" xr:uid="{00000000-0004-0000-0000-0000220A0000}"/>
    <hyperlink ref="D1969" r:id="rId2596" xr:uid="{00000000-0004-0000-0000-0000230A0000}"/>
    <hyperlink ref="D1971" r:id="rId2597" xr:uid="{00000000-0004-0000-0000-0000240A0000}"/>
    <hyperlink ref="D1972" r:id="rId2598" xr:uid="{00000000-0004-0000-0000-0000250A0000}"/>
    <hyperlink ref="D1973" r:id="rId2599" xr:uid="{00000000-0004-0000-0000-0000260A0000}"/>
    <hyperlink ref="D1974" r:id="rId2600" xr:uid="{00000000-0004-0000-0000-0000270A0000}"/>
    <hyperlink ref="D1975" r:id="rId2601" xr:uid="{00000000-0004-0000-0000-0000280A0000}"/>
    <hyperlink ref="D1976" r:id="rId2602" xr:uid="{00000000-0004-0000-0000-0000290A0000}"/>
    <hyperlink ref="D1977" r:id="rId2603" xr:uid="{00000000-0004-0000-0000-00002A0A0000}"/>
    <hyperlink ref="D1978" r:id="rId2604" xr:uid="{00000000-0004-0000-0000-00002B0A0000}"/>
    <hyperlink ref="D1979" r:id="rId2605" xr:uid="{00000000-0004-0000-0000-00002C0A0000}"/>
    <hyperlink ref="D1980" r:id="rId2606" xr:uid="{00000000-0004-0000-0000-00002D0A0000}"/>
    <hyperlink ref="D1981" r:id="rId2607" xr:uid="{00000000-0004-0000-0000-00002E0A0000}"/>
    <hyperlink ref="D1982" r:id="rId2608" xr:uid="{00000000-0004-0000-0000-00002F0A0000}"/>
    <hyperlink ref="D1983" r:id="rId2609" xr:uid="{00000000-0004-0000-0000-0000300A0000}"/>
    <hyperlink ref="D1984" r:id="rId2610" xr:uid="{00000000-0004-0000-0000-0000310A0000}"/>
    <hyperlink ref="D1985" r:id="rId2611" xr:uid="{00000000-0004-0000-0000-0000320A0000}"/>
    <hyperlink ref="D1986" r:id="rId2612" xr:uid="{00000000-0004-0000-0000-0000330A0000}"/>
    <hyperlink ref="D1987" r:id="rId2613" xr:uid="{00000000-0004-0000-0000-0000340A0000}"/>
    <hyperlink ref="D1988" r:id="rId2614" xr:uid="{00000000-0004-0000-0000-0000350A0000}"/>
    <hyperlink ref="D1989" r:id="rId2615" xr:uid="{00000000-0004-0000-0000-0000360A0000}"/>
    <hyperlink ref="D1990" r:id="rId2616" xr:uid="{00000000-0004-0000-0000-0000370A0000}"/>
    <hyperlink ref="D1991" r:id="rId2617" xr:uid="{00000000-0004-0000-0000-0000380A0000}"/>
    <hyperlink ref="D1992" r:id="rId2618" xr:uid="{00000000-0004-0000-0000-0000390A0000}"/>
    <hyperlink ref="D1993" r:id="rId2619" xr:uid="{00000000-0004-0000-0000-00003A0A0000}"/>
    <hyperlink ref="D1995" r:id="rId2620" xr:uid="{00000000-0004-0000-0000-00003B0A0000}"/>
    <hyperlink ref="D1996" r:id="rId2621" xr:uid="{00000000-0004-0000-0000-00003C0A0000}"/>
    <hyperlink ref="D1997" r:id="rId2622" xr:uid="{00000000-0004-0000-0000-00003D0A0000}"/>
    <hyperlink ref="D1999" r:id="rId2623" xr:uid="{00000000-0004-0000-0000-00003E0A0000}"/>
    <hyperlink ref="D2000" r:id="rId2624" xr:uid="{00000000-0004-0000-0000-00003F0A0000}"/>
    <hyperlink ref="D2001" r:id="rId2625" xr:uid="{00000000-0004-0000-0000-0000400A0000}"/>
    <hyperlink ref="D2002" r:id="rId2626" xr:uid="{00000000-0004-0000-0000-0000410A0000}"/>
    <hyperlink ref="D2003" r:id="rId2627" xr:uid="{00000000-0004-0000-0000-0000420A0000}"/>
    <hyperlink ref="D2004" r:id="rId2628" xr:uid="{00000000-0004-0000-0000-0000430A0000}"/>
    <hyperlink ref="D2005" r:id="rId2629" xr:uid="{00000000-0004-0000-0000-0000440A0000}"/>
    <hyperlink ref="D2006" r:id="rId2630" xr:uid="{00000000-0004-0000-0000-0000450A0000}"/>
    <hyperlink ref="D2007" r:id="rId2631" xr:uid="{00000000-0004-0000-0000-0000460A0000}"/>
    <hyperlink ref="D2008" r:id="rId2632" xr:uid="{00000000-0004-0000-0000-0000470A0000}"/>
    <hyperlink ref="D2009" r:id="rId2633" xr:uid="{00000000-0004-0000-0000-0000480A0000}"/>
    <hyperlink ref="D2010" r:id="rId2634" xr:uid="{00000000-0004-0000-0000-0000490A0000}"/>
    <hyperlink ref="D2011" r:id="rId2635" xr:uid="{00000000-0004-0000-0000-00004A0A0000}"/>
    <hyperlink ref="D2012" r:id="rId2636" xr:uid="{00000000-0004-0000-0000-00004B0A0000}"/>
    <hyperlink ref="D2013" r:id="rId2637" xr:uid="{00000000-0004-0000-0000-00004C0A0000}"/>
    <hyperlink ref="D2014" r:id="rId2638" xr:uid="{00000000-0004-0000-0000-00004D0A0000}"/>
    <hyperlink ref="D2015" r:id="rId2639" xr:uid="{00000000-0004-0000-0000-00004E0A0000}"/>
    <hyperlink ref="D2016" r:id="rId2640" xr:uid="{00000000-0004-0000-0000-00004F0A0000}"/>
    <hyperlink ref="D2017" r:id="rId2641" xr:uid="{00000000-0004-0000-0000-0000500A0000}"/>
    <hyperlink ref="D2018" r:id="rId2642" xr:uid="{00000000-0004-0000-0000-0000510A0000}"/>
    <hyperlink ref="D2019" r:id="rId2643" xr:uid="{00000000-0004-0000-0000-0000520A0000}"/>
    <hyperlink ref="D2020" r:id="rId2644" xr:uid="{00000000-0004-0000-0000-0000530A0000}"/>
    <hyperlink ref="D2021" r:id="rId2645" xr:uid="{00000000-0004-0000-0000-0000540A0000}"/>
    <hyperlink ref="D2022" r:id="rId2646" xr:uid="{00000000-0004-0000-0000-0000550A0000}"/>
    <hyperlink ref="D2023" r:id="rId2647" xr:uid="{00000000-0004-0000-0000-0000560A0000}"/>
    <hyperlink ref="D2024" r:id="rId2648" xr:uid="{00000000-0004-0000-0000-0000570A0000}"/>
    <hyperlink ref="D2025" r:id="rId2649" xr:uid="{00000000-0004-0000-0000-0000580A0000}"/>
    <hyperlink ref="D2026" r:id="rId2650" xr:uid="{00000000-0004-0000-0000-0000590A0000}"/>
    <hyperlink ref="D2027" r:id="rId2651" xr:uid="{00000000-0004-0000-0000-00005A0A0000}"/>
    <hyperlink ref="D2028" r:id="rId2652" xr:uid="{00000000-0004-0000-0000-00005B0A0000}"/>
    <hyperlink ref="D2029" r:id="rId2653" xr:uid="{00000000-0004-0000-0000-00005C0A0000}"/>
    <hyperlink ref="D2030" r:id="rId2654" xr:uid="{00000000-0004-0000-0000-00005D0A0000}"/>
    <hyperlink ref="D2031" r:id="rId2655" xr:uid="{00000000-0004-0000-0000-00005E0A0000}"/>
    <hyperlink ref="D2032" r:id="rId2656" xr:uid="{00000000-0004-0000-0000-00005F0A0000}"/>
    <hyperlink ref="D2033" r:id="rId2657" xr:uid="{00000000-0004-0000-0000-0000600A0000}"/>
    <hyperlink ref="D2034" r:id="rId2658" xr:uid="{00000000-0004-0000-0000-0000610A0000}"/>
    <hyperlink ref="D2035" r:id="rId2659" xr:uid="{00000000-0004-0000-0000-0000620A0000}"/>
    <hyperlink ref="D2036" r:id="rId2660" xr:uid="{00000000-0004-0000-0000-0000630A0000}"/>
    <hyperlink ref="D2037" r:id="rId2661" xr:uid="{00000000-0004-0000-0000-0000640A0000}"/>
    <hyperlink ref="D2038" r:id="rId2662" xr:uid="{00000000-0004-0000-0000-0000650A0000}"/>
    <hyperlink ref="D2039" r:id="rId2663" xr:uid="{00000000-0004-0000-0000-0000660A0000}"/>
    <hyperlink ref="D2040" r:id="rId2664" xr:uid="{00000000-0004-0000-0000-0000670A0000}"/>
    <hyperlink ref="D2041" r:id="rId2665" xr:uid="{00000000-0004-0000-0000-0000680A0000}"/>
    <hyperlink ref="D2042" r:id="rId2666" xr:uid="{00000000-0004-0000-0000-0000690A0000}"/>
    <hyperlink ref="D2043" r:id="rId2667" xr:uid="{00000000-0004-0000-0000-00006A0A0000}"/>
    <hyperlink ref="D2044" r:id="rId2668" xr:uid="{00000000-0004-0000-0000-00006B0A0000}"/>
    <hyperlink ref="D2047" r:id="rId2669" xr:uid="{00000000-0004-0000-0000-00006C0A0000}"/>
    <hyperlink ref="D2048" r:id="rId2670" xr:uid="{00000000-0004-0000-0000-00006D0A0000}"/>
    <hyperlink ref="D2049" r:id="rId2671" xr:uid="{00000000-0004-0000-0000-00006E0A0000}"/>
    <hyperlink ref="D2050" r:id="rId2672" xr:uid="{00000000-0004-0000-0000-00006F0A0000}"/>
    <hyperlink ref="D2051" r:id="rId2673" xr:uid="{00000000-0004-0000-0000-0000700A0000}"/>
    <hyperlink ref="D2052" r:id="rId2674" xr:uid="{00000000-0004-0000-0000-0000710A0000}"/>
    <hyperlink ref="D2053" r:id="rId2675" xr:uid="{00000000-0004-0000-0000-0000720A0000}"/>
    <hyperlink ref="D2054" r:id="rId2676" xr:uid="{00000000-0004-0000-0000-0000730A0000}"/>
    <hyperlink ref="D2056" r:id="rId2677" xr:uid="{00000000-0004-0000-0000-0000740A0000}"/>
    <hyperlink ref="D2057" r:id="rId2678" xr:uid="{00000000-0004-0000-0000-0000750A0000}"/>
    <hyperlink ref="D2058" r:id="rId2679" xr:uid="{00000000-0004-0000-0000-0000760A0000}"/>
    <hyperlink ref="D2059" r:id="rId2680" xr:uid="{00000000-0004-0000-0000-0000770A0000}"/>
    <hyperlink ref="D2060" r:id="rId2681" xr:uid="{00000000-0004-0000-0000-0000780A0000}"/>
    <hyperlink ref="D2061" r:id="rId2682" xr:uid="{00000000-0004-0000-0000-0000790A0000}"/>
    <hyperlink ref="D2062" r:id="rId2683" xr:uid="{00000000-0004-0000-0000-00007A0A0000}"/>
    <hyperlink ref="D2063" r:id="rId2684" xr:uid="{00000000-0004-0000-0000-00007B0A0000}"/>
    <hyperlink ref="D2064" r:id="rId2685" xr:uid="{00000000-0004-0000-0000-00007C0A0000}"/>
    <hyperlink ref="D2066" r:id="rId2686" xr:uid="{00000000-0004-0000-0000-00007D0A0000}"/>
    <hyperlink ref="D2067" r:id="rId2687" xr:uid="{00000000-0004-0000-0000-00007E0A0000}"/>
    <hyperlink ref="D2068" r:id="rId2688" xr:uid="{00000000-0004-0000-0000-00007F0A0000}"/>
    <hyperlink ref="D2069" r:id="rId2689" xr:uid="{00000000-0004-0000-0000-0000800A0000}"/>
    <hyperlink ref="D2070" r:id="rId2690" xr:uid="{00000000-0004-0000-0000-0000810A0000}"/>
    <hyperlink ref="D2071" r:id="rId2691" xr:uid="{00000000-0004-0000-0000-0000820A0000}"/>
    <hyperlink ref="D2072" r:id="rId2692" xr:uid="{00000000-0004-0000-0000-0000830A0000}"/>
    <hyperlink ref="D2073" r:id="rId2693" xr:uid="{00000000-0004-0000-0000-0000840A0000}"/>
    <hyperlink ref="D2074" r:id="rId2694" xr:uid="{00000000-0004-0000-0000-0000850A0000}"/>
    <hyperlink ref="D2075" r:id="rId2695" xr:uid="{00000000-0004-0000-0000-0000860A0000}"/>
    <hyperlink ref="D2076" r:id="rId2696" xr:uid="{00000000-0004-0000-0000-0000870A0000}"/>
    <hyperlink ref="D2077" r:id="rId2697" xr:uid="{00000000-0004-0000-0000-0000880A0000}"/>
    <hyperlink ref="D2078" r:id="rId2698" xr:uid="{00000000-0004-0000-0000-0000890A0000}"/>
    <hyperlink ref="D2079" r:id="rId2699" xr:uid="{00000000-0004-0000-0000-00008A0A0000}"/>
    <hyperlink ref="D2080" r:id="rId2700" xr:uid="{00000000-0004-0000-0000-00008B0A0000}"/>
    <hyperlink ref="D2081" r:id="rId2701" xr:uid="{00000000-0004-0000-0000-00008C0A0000}"/>
    <hyperlink ref="D2082" r:id="rId2702" xr:uid="{00000000-0004-0000-0000-00008D0A0000}"/>
    <hyperlink ref="D2083" r:id="rId2703" xr:uid="{00000000-0004-0000-0000-00008E0A0000}"/>
    <hyperlink ref="D2084" r:id="rId2704" xr:uid="{00000000-0004-0000-0000-00008F0A0000}"/>
    <hyperlink ref="D2085" r:id="rId2705" xr:uid="{00000000-0004-0000-0000-0000900A0000}"/>
    <hyperlink ref="D2086" r:id="rId2706" xr:uid="{00000000-0004-0000-0000-0000910A0000}"/>
    <hyperlink ref="D2087" r:id="rId2707" xr:uid="{00000000-0004-0000-0000-0000920A0000}"/>
    <hyperlink ref="D2088" r:id="rId2708" xr:uid="{00000000-0004-0000-0000-0000930A0000}"/>
    <hyperlink ref="D2089" r:id="rId2709" xr:uid="{00000000-0004-0000-0000-0000940A0000}"/>
    <hyperlink ref="D2090" r:id="rId2710" xr:uid="{00000000-0004-0000-0000-0000950A0000}"/>
    <hyperlink ref="D2091" r:id="rId2711" xr:uid="{00000000-0004-0000-0000-0000960A0000}"/>
    <hyperlink ref="D2092" r:id="rId2712" xr:uid="{00000000-0004-0000-0000-0000970A0000}"/>
    <hyperlink ref="D2093" r:id="rId2713" xr:uid="{00000000-0004-0000-0000-0000980A0000}"/>
    <hyperlink ref="D2094" r:id="rId2714" xr:uid="{00000000-0004-0000-0000-0000990A0000}"/>
    <hyperlink ref="D2095" r:id="rId2715" xr:uid="{00000000-0004-0000-0000-00009A0A0000}"/>
    <hyperlink ref="D2096" r:id="rId2716" xr:uid="{00000000-0004-0000-0000-00009B0A0000}"/>
    <hyperlink ref="D2097" r:id="rId2717" xr:uid="{00000000-0004-0000-0000-00009C0A0000}"/>
    <hyperlink ref="D2098" r:id="rId2718" xr:uid="{00000000-0004-0000-0000-00009D0A0000}"/>
    <hyperlink ref="D2099" r:id="rId2719" xr:uid="{00000000-0004-0000-0000-00009E0A0000}"/>
    <hyperlink ref="D2100" r:id="rId2720" xr:uid="{00000000-0004-0000-0000-00009F0A0000}"/>
    <hyperlink ref="D2101" r:id="rId2721" xr:uid="{00000000-0004-0000-0000-0000A00A0000}"/>
    <hyperlink ref="D2102" r:id="rId2722" xr:uid="{00000000-0004-0000-0000-0000A10A0000}"/>
    <hyperlink ref="D2103" r:id="rId2723" xr:uid="{00000000-0004-0000-0000-0000A20A0000}"/>
    <hyperlink ref="D2104" r:id="rId2724" xr:uid="{00000000-0004-0000-0000-0000A30A0000}"/>
    <hyperlink ref="D2105" r:id="rId2725" xr:uid="{00000000-0004-0000-0000-0000A40A0000}"/>
    <hyperlink ref="D2106" r:id="rId2726" xr:uid="{00000000-0004-0000-0000-0000A50A0000}"/>
    <hyperlink ref="D2107" r:id="rId2727" xr:uid="{00000000-0004-0000-0000-0000A60A0000}"/>
    <hyperlink ref="D2108" r:id="rId2728" xr:uid="{00000000-0004-0000-0000-0000A70A0000}"/>
    <hyperlink ref="D2109" r:id="rId2729" xr:uid="{00000000-0004-0000-0000-0000A80A0000}"/>
    <hyperlink ref="D2110" r:id="rId2730" xr:uid="{00000000-0004-0000-0000-0000A90A0000}"/>
    <hyperlink ref="D2111" r:id="rId2731" xr:uid="{00000000-0004-0000-0000-0000AA0A0000}"/>
    <hyperlink ref="D2112" r:id="rId2732" xr:uid="{00000000-0004-0000-0000-0000AB0A0000}"/>
    <hyperlink ref="D2113" r:id="rId2733" xr:uid="{00000000-0004-0000-0000-0000AC0A0000}"/>
    <hyperlink ref="D2114" r:id="rId2734" xr:uid="{00000000-0004-0000-0000-0000AD0A0000}"/>
    <hyperlink ref="D2116" r:id="rId2735" xr:uid="{00000000-0004-0000-0000-0000AE0A0000}"/>
    <hyperlink ref="D2117" r:id="rId2736" xr:uid="{00000000-0004-0000-0000-0000AF0A0000}"/>
    <hyperlink ref="D2118" r:id="rId2737" xr:uid="{00000000-0004-0000-0000-0000B00A0000}"/>
    <hyperlink ref="D2119" r:id="rId2738" xr:uid="{00000000-0004-0000-0000-0000B10A0000}"/>
    <hyperlink ref="D2120" r:id="rId2739" xr:uid="{00000000-0004-0000-0000-0000B20A0000}"/>
    <hyperlink ref="D2121" r:id="rId2740" xr:uid="{00000000-0004-0000-0000-0000B30A0000}"/>
    <hyperlink ref="D2122" r:id="rId2741" xr:uid="{00000000-0004-0000-0000-0000B40A0000}"/>
    <hyperlink ref="D2123" r:id="rId2742" xr:uid="{00000000-0004-0000-0000-0000B50A0000}"/>
    <hyperlink ref="D2124" r:id="rId2743" xr:uid="{00000000-0004-0000-0000-0000B60A0000}"/>
    <hyperlink ref="D2125" r:id="rId2744" xr:uid="{00000000-0004-0000-0000-0000B70A0000}"/>
    <hyperlink ref="D2126" r:id="rId2745" xr:uid="{00000000-0004-0000-0000-0000B80A0000}"/>
    <hyperlink ref="D2127" r:id="rId2746" xr:uid="{00000000-0004-0000-0000-0000B90A0000}"/>
    <hyperlink ref="D2128" r:id="rId2747" xr:uid="{00000000-0004-0000-0000-0000BA0A0000}"/>
    <hyperlink ref="D2129" r:id="rId2748" xr:uid="{00000000-0004-0000-0000-0000BB0A0000}"/>
    <hyperlink ref="D2130" r:id="rId2749" xr:uid="{00000000-0004-0000-0000-0000BC0A0000}"/>
    <hyperlink ref="D2131" r:id="rId2750" xr:uid="{00000000-0004-0000-0000-0000BD0A0000}"/>
    <hyperlink ref="D2132" r:id="rId2751" xr:uid="{00000000-0004-0000-0000-0000BE0A0000}"/>
    <hyperlink ref="D2133" r:id="rId2752" xr:uid="{00000000-0004-0000-0000-0000BF0A0000}"/>
    <hyperlink ref="D2134" r:id="rId2753" xr:uid="{00000000-0004-0000-0000-0000C00A0000}"/>
    <hyperlink ref="D2135" r:id="rId2754" xr:uid="{00000000-0004-0000-0000-0000C10A0000}"/>
    <hyperlink ref="D2136" r:id="rId2755" xr:uid="{00000000-0004-0000-0000-0000C20A0000}"/>
    <hyperlink ref="D2137" r:id="rId2756" xr:uid="{00000000-0004-0000-0000-0000C30A0000}"/>
    <hyperlink ref="D2138" r:id="rId2757" xr:uid="{00000000-0004-0000-0000-0000C40A0000}"/>
    <hyperlink ref="D2139" r:id="rId2758" xr:uid="{00000000-0004-0000-0000-0000C50A0000}"/>
    <hyperlink ref="D2140" r:id="rId2759" xr:uid="{00000000-0004-0000-0000-0000C60A0000}"/>
    <hyperlink ref="D2141" r:id="rId2760" xr:uid="{00000000-0004-0000-0000-0000C70A0000}"/>
    <hyperlink ref="D2142" r:id="rId2761" xr:uid="{00000000-0004-0000-0000-0000C80A0000}"/>
    <hyperlink ref="D2143" r:id="rId2762" xr:uid="{00000000-0004-0000-0000-0000C90A0000}"/>
    <hyperlink ref="D2144" r:id="rId2763" xr:uid="{00000000-0004-0000-0000-0000CA0A0000}"/>
    <hyperlink ref="D2145" r:id="rId2764" xr:uid="{00000000-0004-0000-0000-0000CB0A0000}"/>
    <hyperlink ref="D2146" r:id="rId2765" xr:uid="{00000000-0004-0000-0000-0000CC0A0000}"/>
    <hyperlink ref="D2147" r:id="rId2766" xr:uid="{00000000-0004-0000-0000-0000CD0A0000}"/>
    <hyperlink ref="D2148" r:id="rId2767" xr:uid="{00000000-0004-0000-0000-0000CE0A0000}"/>
    <hyperlink ref="D2149" r:id="rId2768" xr:uid="{00000000-0004-0000-0000-0000CF0A0000}"/>
    <hyperlink ref="D2150" r:id="rId2769" xr:uid="{00000000-0004-0000-0000-0000D00A0000}"/>
    <hyperlink ref="D2151" r:id="rId2770" xr:uid="{00000000-0004-0000-0000-0000D10A0000}"/>
    <hyperlink ref="D2152" r:id="rId2771" xr:uid="{00000000-0004-0000-0000-0000D20A0000}"/>
    <hyperlink ref="D2153" r:id="rId2772" xr:uid="{00000000-0004-0000-0000-0000D30A0000}"/>
    <hyperlink ref="D2154" r:id="rId2773" xr:uid="{00000000-0004-0000-0000-0000D40A0000}"/>
    <hyperlink ref="D2155" r:id="rId2774" xr:uid="{00000000-0004-0000-0000-0000D50A0000}"/>
    <hyperlink ref="D2156" r:id="rId2775" xr:uid="{00000000-0004-0000-0000-0000D60A0000}"/>
    <hyperlink ref="D2157" r:id="rId2776" xr:uid="{00000000-0004-0000-0000-0000D70A0000}"/>
    <hyperlink ref="D2158" r:id="rId2777" xr:uid="{00000000-0004-0000-0000-0000D80A0000}"/>
    <hyperlink ref="D2159" r:id="rId2778" xr:uid="{00000000-0004-0000-0000-0000D90A0000}"/>
    <hyperlink ref="D2160" r:id="rId2779" xr:uid="{00000000-0004-0000-0000-0000DA0A0000}"/>
    <hyperlink ref="D2161" r:id="rId2780" xr:uid="{00000000-0004-0000-0000-0000DB0A0000}"/>
    <hyperlink ref="D2162" r:id="rId2781" xr:uid="{00000000-0004-0000-0000-0000DC0A0000}"/>
    <hyperlink ref="D2163" r:id="rId2782" xr:uid="{00000000-0004-0000-0000-0000DD0A0000}"/>
    <hyperlink ref="D2164" r:id="rId2783" xr:uid="{00000000-0004-0000-0000-0000DE0A0000}"/>
    <hyperlink ref="D2165" r:id="rId2784" xr:uid="{00000000-0004-0000-0000-0000DF0A0000}"/>
    <hyperlink ref="D2166" r:id="rId2785" xr:uid="{00000000-0004-0000-0000-0000E00A0000}"/>
    <hyperlink ref="D2167" r:id="rId2786" xr:uid="{00000000-0004-0000-0000-0000E10A0000}"/>
    <hyperlink ref="D2168" r:id="rId2787" xr:uid="{00000000-0004-0000-0000-0000E20A0000}"/>
    <hyperlink ref="D2169" r:id="rId2788" xr:uid="{00000000-0004-0000-0000-0000E30A0000}"/>
    <hyperlink ref="D2170" r:id="rId2789" xr:uid="{00000000-0004-0000-0000-0000E40A0000}"/>
    <hyperlink ref="D2171" r:id="rId2790" xr:uid="{00000000-0004-0000-0000-0000E50A0000}"/>
    <hyperlink ref="D2172" r:id="rId2791" xr:uid="{00000000-0004-0000-0000-0000E60A0000}"/>
    <hyperlink ref="D2173" r:id="rId2792" xr:uid="{00000000-0004-0000-0000-0000E70A0000}"/>
    <hyperlink ref="D2174" r:id="rId2793" xr:uid="{00000000-0004-0000-0000-0000E80A0000}"/>
    <hyperlink ref="D2175" r:id="rId2794" xr:uid="{00000000-0004-0000-0000-0000E90A0000}"/>
    <hyperlink ref="D2176" r:id="rId2795" xr:uid="{00000000-0004-0000-0000-0000EA0A0000}"/>
    <hyperlink ref="D2177" r:id="rId2796" xr:uid="{00000000-0004-0000-0000-0000EB0A0000}"/>
    <hyperlink ref="D2178" r:id="rId2797" xr:uid="{00000000-0004-0000-0000-0000EC0A0000}"/>
    <hyperlink ref="D2179" r:id="rId2798" xr:uid="{00000000-0004-0000-0000-0000ED0A0000}"/>
    <hyperlink ref="D2180" r:id="rId2799" xr:uid="{00000000-0004-0000-0000-0000EE0A0000}"/>
    <hyperlink ref="D2181" r:id="rId2800" xr:uid="{00000000-0004-0000-0000-0000EF0A0000}"/>
    <hyperlink ref="D2182" r:id="rId2801" xr:uid="{00000000-0004-0000-0000-0000F00A0000}"/>
    <hyperlink ref="D2183" r:id="rId2802" xr:uid="{00000000-0004-0000-0000-0000F10A0000}"/>
    <hyperlink ref="D2184" r:id="rId2803" xr:uid="{00000000-0004-0000-0000-0000F20A0000}"/>
    <hyperlink ref="D2185" r:id="rId2804" xr:uid="{00000000-0004-0000-0000-0000F30A0000}"/>
    <hyperlink ref="D2186" r:id="rId2805" xr:uid="{00000000-0004-0000-0000-0000F40A0000}"/>
    <hyperlink ref="D2187" r:id="rId2806" xr:uid="{00000000-0004-0000-0000-0000F50A0000}"/>
    <hyperlink ref="D2188" r:id="rId2807" xr:uid="{00000000-0004-0000-0000-0000F60A0000}"/>
    <hyperlink ref="D2189" r:id="rId2808" xr:uid="{00000000-0004-0000-0000-0000F70A0000}"/>
    <hyperlink ref="D2190" r:id="rId2809" xr:uid="{00000000-0004-0000-0000-0000F80A0000}"/>
    <hyperlink ref="D2191" r:id="rId2810" xr:uid="{00000000-0004-0000-0000-0000F90A0000}"/>
    <hyperlink ref="D2192" r:id="rId2811" xr:uid="{00000000-0004-0000-0000-0000FA0A0000}"/>
    <hyperlink ref="D2193" r:id="rId2812" xr:uid="{00000000-0004-0000-0000-0000FB0A0000}"/>
    <hyperlink ref="D2194" r:id="rId2813" xr:uid="{00000000-0004-0000-0000-0000FC0A0000}"/>
    <hyperlink ref="D2195" r:id="rId2814" xr:uid="{00000000-0004-0000-0000-0000FD0A0000}"/>
    <hyperlink ref="D2196" r:id="rId2815" xr:uid="{00000000-0004-0000-0000-0000FE0A0000}"/>
    <hyperlink ref="D2197" r:id="rId2816" xr:uid="{00000000-0004-0000-0000-0000FF0A0000}"/>
    <hyperlink ref="D2198" r:id="rId2817" xr:uid="{00000000-0004-0000-0000-0000000B0000}"/>
    <hyperlink ref="D2199" r:id="rId2818" xr:uid="{00000000-0004-0000-0000-0000010B0000}"/>
    <hyperlink ref="D2200" r:id="rId2819" xr:uid="{00000000-0004-0000-0000-0000020B0000}"/>
    <hyperlink ref="D2201" r:id="rId2820" xr:uid="{00000000-0004-0000-0000-0000030B0000}"/>
    <hyperlink ref="D2202" r:id="rId2821" xr:uid="{00000000-0004-0000-0000-0000040B0000}"/>
    <hyperlink ref="D2203" r:id="rId2822" xr:uid="{00000000-0004-0000-0000-0000050B0000}"/>
    <hyperlink ref="D2204" r:id="rId2823" xr:uid="{00000000-0004-0000-0000-0000060B0000}"/>
    <hyperlink ref="D2205" r:id="rId2824" xr:uid="{00000000-0004-0000-0000-0000070B0000}"/>
    <hyperlink ref="D2206" r:id="rId2825" xr:uid="{00000000-0004-0000-0000-0000080B0000}"/>
    <hyperlink ref="D2207" r:id="rId2826" xr:uid="{00000000-0004-0000-0000-0000090B0000}"/>
    <hyperlink ref="D2208" r:id="rId2827" xr:uid="{00000000-0004-0000-0000-00000A0B0000}"/>
    <hyperlink ref="D2209" r:id="rId2828" xr:uid="{00000000-0004-0000-0000-00000B0B0000}"/>
    <hyperlink ref="D2210" r:id="rId2829" xr:uid="{00000000-0004-0000-0000-00000C0B0000}"/>
    <hyperlink ref="D2211" r:id="rId2830" xr:uid="{00000000-0004-0000-0000-00000D0B0000}"/>
    <hyperlink ref="D2212" r:id="rId2831" xr:uid="{00000000-0004-0000-0000-00000E0B0000}"/>
    <hyperlink ref="D2213" r:id="rId2832" xr:uid="{00000000-0004-0000-0000-00000F0B0000}"/>
    <hyperlink ref="D2214" r:id="rId2833" xr:uid="{00000000-0004-0000-0000-0000100B0000}"/>
    <hyperlink ref="D2215" r:id="rId2834" xr:uid="{00000000-0004-0000-0000-0000110B0000}"/>
    <hyperlink ref="D2216" r:id="rId2835" xr:uid="{00000000-0004-0000-0000-0000120B0000}"/>
    <hyperlink ref="D2217" r:id="rId2836" xr:uid="{00000000-0004-0000-0000-0000130B0000}"/>
    <hyperlink ref="D2218" r:id="rId2837" xr:uid="{00000000-0004-0000-0000-0000140B0000}"/>
    <hyperlink ref="D2219" r:id="rId2838" xr:uid="{00000000-0004-0000-0000-0000150B0000}"/>
    <hyperlink ref="D2220" r:id="rId2839" xr:uid="{00000000-0004-0000-0000-0000160B0000}"/>
    <hyperlink ref="D2221" r:id="rId2840" xr:uid="{00000000-0004-0000-0000-0000170B0000}"/>
    <hyperlink ref="D2222" r:id="rId2841" xr:uid="{00000000-0004-0000-0000-0000180B0000}"/>
    <hyperlink ref="D2223" r:id="rId2842" xr:uid="{00000000-0004-0000-0000-0000190B0000}"/>
    <hyperlink ref="D2224" r:id="rId2843" xr:uid="{00000000-0004-0000-0000-00001A0B0000}"/>
    <hyperlink ref="D2225" r:id="rId2844" xr:uid="{00000000-0004-0000-0000-00001B0B0000}"/>
    <hyperlink ref="D2226" r:id="rId2845" xr:uid="{00000000-0004-0000-0000-00001C0B0000}"/>
    <hyperlink ref="D2228" r:id="rId2846" xr:uid="{00000000-0004-0000-0000-00001D0B0000}"/>
    <hyperlink ref="D2229" r:id="rId2847" xr:uid="{00000000-0004-0000-0000-00001E0B0000}"/>
    <hyperlink ref="D2230" r:id="rId2848" xr:uid="{00000000-0004-0000-0000-00001F0B0000}"/>
    <hyperlink ref="D2231" r:id="rId2849" xr:uid="{00000000-0004-0000-0000-0000200B0000}"/>
    <hyperlink ref="D2233" r:id="rId2850" xr:uid="{00000000-0004-0000-0000-0000210B0000}"/>
    <hyperlink ref="D2234" r:id="rId2851" xr:uid="{00000000-0004-0000-0000-0000220B0000}"/>
    <hyperlink ref="D2235" r:id="rId2852" xr:uid="{00000000-0004-0000-0000-0000230B0000}"/>
    <hyperlink ref="D2236" r:id="rId2853" xr:uid="{00000000-0004-0000-0000-0000240B0000}"/>
    <hyperlink ref="D2237" r:id="rId2854" xr:uid="{00000000-0004-0000-0000-0000250B0000}"/>
    <hyperlink ref="D2238" r:id="rId2855" xr:uid="{00000000-0004-0000-0000-0000260B0000}"/>
    <hyperlink ref="D2239" r:id="rId2856" xr:uid="{00000000-0004-0000-0000-0000270B0000}"/>
    <hyperlink ref="D2240" r:id="rId2857" xr:uid="{00000000-0004-0000-0000-0000280B0000}"/>
    <hyperlink ref="D2241" r:id="rId2858" xr:uid="{00000000-0004-0000-0000-0000290B0000}"/>
    <hyperlink ref="D2242" r:id="rId2859" xr:uid="{00000000-0004-0000-0000-00002A0B0000}"/>
    <hyperlink ref="D2243" r:id="rId2860" xr:uid="{00000000-0004-0000-0000-00002B0B0000}"/>
    <hyperlink ref="D2244" r:id="rId2861" xr:uid="{00000000-0004-0000-0000-00002C0B0000}"/>
    <hyperlink ref="D2245" r:id="rId2862" xr:uid="{00000000-0004-0000-0000-00002D0B0000}"/>
    <hyperlink ref="D2246" r:id="rId2863" xr:uid="{00000000-0004-0000-0000-00002E0B0000}"/>
    <hyperlink ref="D2247" r:id="rId2864" xr:uid="{00000000-0004-0000-0000-00002F0B0000}"/>
    <hyperlink ref="D2248" r:id="rId2865" xr:uid="{00000000-0004-0000-0000-0000300B0000}"/>
    <hyperlink ref="H2248" r:id="rId2866" xr:uid="{00000000-0004-0000-0000-0000310B0000}"/>
    <hyperlink ref="D2249" r:id="rId2867" xr:uid="{00000000-0004-0000-0000-0000320B0000}"/>
    <hyperlink ref="D2250" r:id="rId2868" xr:uid="{00000000-0004-0000-0000-0000330B0000}"/>
    <hyperlink ref="D2251" r:id="rId2869" xr:uid="{00000000-0004-0000-0000-0000340B0000}"/>
    <hyperlink ref="D2252" r:id="rId2870" xr:uid="{00000000-0004-0000-0000-0000350B0000}"/>
    <hyperlink ref="H2252" r:id="rId2871" xr:uid="{00000000-0004-0000-0000-0000360B0000}"/>
    <hyperlink ref="D2253" r:id="rId2872" xr:uid="{00000000-0004-0000-0000-0000370B0000}"/>
    <hyperlink ref="D2254" r:id="rId2873" xr:uid="{00000000-0004-0000-0000-0000380B0000}"/>
    <hyperlink ref="D2255" r:id="rId2874" xr:uid="{00000000-0004-0000-0000-0000390B0000}"/>
    <hyperlink ref="D2256" r:id="rId2875" xr:uid="{00000000-0004-0000-0000-00003A0B0000}"/>
    <hyperlink ref="D2257" r:id="rId2876" xr:uid="{00000000-0004-0000-0000-00003B0B0000}"/>
    <hyperlink ref="D2258" r:id="rId2877" xr:uid="{00000000-0004-0000-0000-00003C0B0000}"/>
    <hyperlink ref="D2259" r:id="rId2878" xr:uid="{00000000-0004-0000-0000-00003D0B0000}"/>
    <hyperlink ref="D2260" r:id="rId2879" xr:uid="{00000000-0004-0000-0000-00003E0B0000}"/>
    <hyperlink ref="D2261" r:id="rId2880" xr:uid="{00000000-0004-0000-0000-00003F0B0000}"/>
    <hyperlink ref="D2262" r:id="rId2881" xr:uid="{00000000-0004-0000-0000-0000400B0000}"/>
    <hyperlink ref="D2263" r:id="rId2882" xr:uid="{00000000-0004-0000-0000-0000410B0000}"/>
    <hyperlink ref="D2265" r:id="rId2883" xr:uid="{00000000-0004-0000-0000-0000420B0000}"/>
    <hyperlink ref="D2266" r:id="rId2884" xr:uid="{00000000-0004-0000-0000-0000430B0000}"/>
    <hyperlink ref="D2267" r:id="rId2885" xr:uid="{00000000-0004-0000-0000-0000440B0000}"/>
    <hyperlink ref="D2268" r:id="rId2886" xr:uid="{00000000-0004-0000-0000-0000450B0000}"/>
    <hyperlink ref="D2270" r:id="rId2887" xr:uid="{00000000-0004-0000-0000-0000460B0000}"/>
    <hyperlink ref="D2271" r:id="rId2888" xr:uid="{00000000-0004-0000-0000-0000470B0000}"/>
    <hyperlink ref="D2272" r:id="rId2889" xr:uid="{00000000-0004-0000-0000-0000480B0000}"/>
    <hyperlink ref="D2274" r:id="rId2890" xr:uid="{00000000-0004-0000-0000-0000490B0000}"/>
    <hyperlink ref="D2275" r:id="rId2891" xr:uid="{00000000-0004-0000-0000-00004A0B0000}"/>
    <hyperlink ref="D2276" r:id="rId2892" xr:uid="{00000000-0004-0000-0000-00004B0B0000}"/>
    <hyperlink ref="D2277" r:id="rId2893" xr:uid="{00000000-0004-0000-0000-00004C0B0000}"/>
    <hyperlink ref="D2278" r:id="rId2894" xr:uid="{00000000-0004-0000-0000-00004D0B0000}"/>
    <hyperlink ref="D2279" r:id="rId2895" xr:uid="{00000000-0004-0000-0000-00004E0B0000}"/>
    <hyperlink ref="D2280" r:id="rId2896" xr:uid="{00000000-0004-0000-0000-00004F0B0000}"/>
    <hyperlink ref="D2281" r:id="rId2897" xr:uid="{00000000-0004-0000-0000-0000500B0000}"/>
    <hyperlink ref="D2282" r:id="rId2898" xr:uid="{00000000-0004-0000-0000-0000510B0000}"/>
    <hyperlink ref="D2283" r:id="rId2899" xr:uid="{00000000-0004-0000-0000-0000520B0000}"/>
    <hyperlink ref="D2284" r:id="rId2900" xr:uid="{00000000-0004-0000-0000-0000530B0000}"/>
    <hyperlink ref="D2285" r:id="rId2901" xr:uid="{00000000-0004-0000-0000-0000540B0000}"/>
    <hyperlink ref="D2286" r:id="rId2902" xr:uid="{00000000-0004-0000-0000-0000550B0000}"/>
    <hyperlink ref="D2287" r:id="rId2903" xr:uid="{00000000-0004-0000-0000-0000560B0000}"/>
    <hyperlink ref="D2288" r:id="rId2904" xr:uid="{00000000-0004-0000-0000-0000570B0000}"/>
    <hyperlink ref="D2290" r:id="rId2905" xr:uid="{00000000-0004-0000-0000-0000580B0000}"/>
    <hyperlink ref="D2291" r:id="rId2906" xr:uid="{00000000-0004-0000-0000-0000590B0000}"/>
    <hyperlink ref="D2292" r:id="rId2907" xr:uid="{00000000-0004-0000-0000-00005A0B0000}"/>
    <hyperlink ref="D2293" r:id="rId2908" xr:uid="{00000000-0004-0000-0000-00005B0B0000}"/>
    <hyperlink ref="D2294" r:id="rId2909" xr:uid="{00000000-0004-0000-0000-00005C0B0000}"/>
    <hyperlink ref="D2295" r:id="rId2910" xr:uid="{00000000-0004-0000-0000-00005D0B0000}"/>
    <hyperlink ref="D2296" r:id="rId2911" xr:uid="{00000000-0004-0000-0000-00005E0B0000}"/>
    <hyperlink ref="D2297" r:id="rId2912" xr:uid="{00000000-0004-0000-0000-00005F0B0000}"/>
    <hyperlink ref="D2298" r:id="rId2913" xr:uid="{00000000-0004-0000-0000-0000600B0000}"/>
    <hyperlink ref="D2299" r:id="rId2914" xr:uid="{00000000-0004-0000-0000-0000610B0000}"/>
    <hyperlink ref="D2300" r:id="rId2915" xr:uid="{00000000-0004-0000-0000-0000620B0000}"/>
    <hyperlink ref="D2301" r:id="rId2916" xr:uid="{00000000-0004-0000-0000-0000630B0000}"/>
    <hyperlink ref="D2302" r:id="rId2917" xr:uid="{00000000-0004-0000-0000-0000640B0000}"/>
    <hyperlink ref="D2303" r:id="rId2918" xr:uid="{00000000-0004-0000-0000-0000650B0000}"/>
    <hyperlink ref="D2304" r:id="rId2919" xr:uid="{00000000-0004-0000-0000-0000660B0000}"/>
    <hyperlink ref="D2305" r:id="rId2920" xr:uid="{00000000-0004-0000-0000-0000670B0000}"/>
    <hyperlink ref="D2306" r:id="rId2921" xr:uid="{00000000-0004-0000-0000-0000680B0000}"/>
    <hyperlink ref="D2307" r:id="rId2922" xr:uid="{00000000-0004-0000-0000-0000690B0000}"/>
    <hyperlink ref="D2308" r:id="rId2923" xr:uid="{00000000-0004-0000-0000-00006A0B0000}"/>
    <hyperlink ref="D2309" r:id="rId2924" xr:uid="{00000000-0004-0000-0000-00006B0B0000}"/>
    <hyperlink ref="D2311" r:id="rId2925" xr:uid="{00000000-0004-0000-0000-00006C0B0000}"/>
    <hyperlink ref="D2312" r:id="rId2926" xr:uid="{00000000-0004-0000-0000-00006D0B0000}"/>
    <hyperlink ref="D2313" r:id="rId2927" xr:uid="{00000000-0004-0000-0000-00006E0B0000}"/>
    <hyperlink ref="D2314" r:id="rId2928" xr:uid="{00000000-0004-0000-0000-00006F0B0000}"/>
    <hyperlink ref="D2315" r:id="rId2929" xr:uid="{00000000-0004-0000-0000-0000700B0000}"/>
    <hyperlink ref="D2316" r:id="rId2930" xr:uid="{00000000-0004-0000-0000-0000710B0000}"/>
    <hyperlink ref="D2318" r:id="rId2931" xr:uid="{00000000-0004-0000-0000-0000720B0000}"/>
    <hyperlink ref="D2319" r:id="rId2932" xr:uid="{00000000-0004-0000-0000-0000730B0000}"/>
    <hyperlink ref="D2320" r:id="rId2933" xr:uid="{00000000-0004-0000-0000-0000740B0000}"/>
    <hyperlink ref="D2321" r:id="rId2934" xr:uid="{00000000-0004-0000-0000-0000750B0000}"/>
    <hyperlink ref="D2322" r:id="rId2935" xr:uid="{00000000-0004-0000-0000-0000760B0000}"/>
    <hyperlink ref="D2323" r:id="rId2936" xr:uid="{00000000-0004-0000-0000-0000770B0000}"/>
    <hyperlink ref="D2324" r:id="rId2937" xr:uid="{00000000-0004-0000-0000-0000780B0000}"/>
    <hyperlink ref="D2325" r:id="rId2938" xr:uid="{00000000-0004-0000-0000-0000790B0000}"/>
    <hyperlink ref="D2326" r:id="rId2939" xr:uid="{00000000-0004-0000-0000-00007A0B0000}"/>
    <hyperlink ref="D2327" r:id="rId2940" xr:uid="{00000000-0004-0000-0000-00007B0B0000}"/>
    <hyperlink ref="D2328" r:id="rId2941" xr:uid="{00000000-0004-0000-0000-00007C0B0000}"/>
    <hyperlink ref="D2329" r:id="rId2942" xr:uid="{00000000-0004-0000-0000-00007D0B0000}"/>
    <hyperlink ref="D2330" r:id="rId2943" xr:uid="{00000000-0004-0000-0000-00007E0B0000}"/>
    <hyperlink ref="D2331" r:id="rId2944" xr:uid="{00000000-0004-0000-0000-00007F0B0000}"/>
    <hyperlink ref="D2332" r:id="rId2945" xr:uid="{00000000-0004-0000-0000-0000800B0000}"/>
    <hyperlink ref="D2333" r:id="rId2946" xr:uid="{00000000-0004-0000-0000-0000810B0000}"/>
    <hyperlink ref="D2334" r:id="rId2947" xr:uid="{00000000-0004-0000-0000-0000820B0000}"/>
    <hyperlink ref="D2338" r:id="rId2948" xr:uid="{00000000-0004-0000-0000-0000830B0000}"/>
    <hyperlink ref="D2339" r:id="rId2949" xr:uid="{00000000-0004-0000-0000-0000840B0000}"/>
    <hyperlink ref="D2340" r:id="rId2950" xr:uid="{00000000-0004-0000-0000-0000850B0000}"/>
    <hyperlink ref="D2341" r:id="rId2951" xr:uid="{00000000-0004-0000-0000-0000860B0000}"/>
    <hyperlink ref="D2342" r:id="rId2952" xr:uid="{00000000-0004-0000-0000-0000870B0000}"/>
    <hyperlink ref="D2343" r:id="rId2953" xr:uid="{00000000-0004-0000-0000-0000880B0000}"/>
    <hyperlink ref="D2344" r:id="rId2954" xr:uid="{00000000-0004-0000-0000-0000890B0000}"/>
    <hyperlink ref="D2345" r:id="rId2955" xr:uid="{00000000-0004-0000-0000-00008A0B0000}"/>
    <hyperlink ref="D2346" r:id="rId2956" xr:uid="{00000000-0004-0000-0000-00008B0B0000}"/>
    <hyperlink ref="D2347" r:id="rId2957" xr:uid="{00000000-0004-0000-0000-00008C0B0000}"/>
    <hyperlink ref="D2348" r:id="rId2958" xr:uid="{00000000-0004-0000-0000-00008D0B0000}"/>
    <hyperlink ref="D2349" r:id="rId2959" xr:uid="{00000000-0004-0000-0000-00008E0B0000}"/>
    <hyperlink ref="D2350" r:id="rId2960" xr:uid="{00000000-0004-0000-0000-00008F0B0000}"/>
    <hyperlink ref="D2351" r:id="rId2961" xr:uid="{00000000-0004-0000-0000-0000900B0000}"/>
    <hyperlink ref="D2353" r:id="rId2962" xr:uid="{00000000-0004-0000-0000-0000910B0000}"/>
    <hyperlink ref="D2354" r:id="rId2963" xr:uid="{00000000-0004-0000-0000-0000920B0000}"/>
    <hyperlink ref="D2355" r:id="rId2964" xr:uid="{00000000-0004-0000-0000-0000930B0000}"/>
    <hyperlink ref="D2356" r:id="rId2965" xr:uid="{00000000-0004-0000-0000-0000940B0000}"/>
    <hyperlink ref="D2357" r:id="rId2966" xr:uid="{00000000-0004-0000-0000-0000950B0000}"/>
    <hyperlink ref="D2358" r:id="rId2967" xr:uid="{00000000-0004-0000-0000-0000960B0000}"/>
    <hyperlink ref="D2359" r:id="rId2968" xr:uid="{00000000-0004-0000-0000-0000970B0000}"/>
    <hyperlink ref="D2360" r:id="rId2969" xr:uid="{00000000-0004-0000-0000-0000980B0000}"/>
    <hyperlink ref="D2362" r:id="rId2970" xr:uid="{00000000-0004-0000-0000-0000990B0000}"/>
    <hyperlink ref="D2363" r:id="rId2971" xr:uid="{00000000-0004-0000-0000-00009A0B0000}"/>
    <hyperlink ref="D2364" r:id="rId2972" xr:uid="{00000000-0004-0000-0000-00009B0B0000}"/>
    <hyperlink ref="D2365" r:id="rId2973" xr:uid="{00000000-0004-0000-0000-00009C0B0000}"/>
    <hyperlink ref="D2366" r:id="rId2974" xr:uid="{00000000-0004-0000-0000-00009D0B0000}"/>
    <hyperlink ref="D2367" r:id="rId2975" xr:uid="{00000000-0004-0000-0000-00009E0B0000}"/>
    <hyperlink ref="D2368" r:id="rId2976" xr:uid="{00000000-0004-0000-0000-00009F0B0000}"/>
    <hyperlink ref="D2369" r:id="rId2977" xr:uid="{00000000-0004-0000-0000-0000A00B0000}"/>
    <hyperlink ref="D2370" r:id="rId2978" xr:uid="{00000000-0004-0000-0000-0000A10B0000}"/>
    <hyperlink ref="D2371" r:id="rId2979" xr:uid="{00000000-0004-0000-0000-0000A20B0000}"/>
    <hyperlink ref="D2372" r:id="rId2980" xr:uid="{00000000-0004-0000-0000-0000A30B0000}"/>
    <hyperlink ref="D2373" r:id="rId2981" xr:uid="{00000000-0004-0000-0000-0000A40B0000}"/>
    <hyperlink ref="D2374" r:id="rId2982" xr:uid="{00000000-0004-0000-0000-0000A50B0000}"/>
    <hyperlink ref="D2375" r:id="rId2983" xr:uid="{00000000-0004-0000-0000-0000A60B0000}"/>
    <hyperlink ref="D2376" r:id="rId2984" xr:uid="{00000000-0004-0000-0000-0000A70B0000}"/>
    <hyperlink ref="D2377" r:id="rId2985" xr:uid="{00000000-0004-0000-0000-0000A80B0000}"/>
    <hyperlink ref="D2378" r:id="rId2986" xr:uid="{00000000-0004-0000-0000-0000A90B0000}"/>
    <hyperlink ref="D2380" r:id="rId2987" xr:uid="{00000000-0004-0000-0000-0000AA0B0000}"/>
    <hyperlink ref="D2381" r:id="rId2988" xr:uid="{00000000-0004-0000-0000-0000AB0B0000}"/>
    <hyperlink ref="D2382" r:id="rId2989" xr:uid="{00000000-0004-0000-0000-0000AC0B0000}"/>
    <hyperlink ref="D2383" r:id="rId2990" xr:uid="{00000000-0004-0000-0000-0000AD0B0000}"/>
    <hyperlink ref="D2384" r:id="rId2991" xr:uid="{00000000-0004-0000-0000-0000AE0B0000}"/>
    <hyperlink ref="D2386" r:id="rId2992" xr:uid="{00000000-0004-0000-0000-0000AF0B0000}"/>
    <hyperlink ref="D2387" r:id="rId2993" xr:uid="{00000000-0004-0000-0000-0000B00B0000}"/>
    <hyperlink ref="D2388" r:id="rId2994" xr:uid="{00000000-0004-0000-0000-0000B10B0000}"/>
    <hyperlink ref="H2389" r:id="rId2995" xr:uid="{00000000-0004-0000-0000-0000B20B0000}"/>
    <hyperlink ref="D2390" r:id="rId2996" xr:uid="{00000000-0004-0000-0000-0000B30B0000}"/>
    <hyperlink ref="D2391" r:id="rId2997" xr:uid="{00000000-0004-0000-0000-0000B40B0000}"/>
    <hyperlink ref="D2392" r:id="rId2998" xr:uid="{00000000-0004-0000-0000-0000B50B0000}"/>
    <hyperlink ref="D2393" r:id="rId2999" xr:uid="{00000000-0004-0000-0000-0000B60B0000}"/>
    <hyperlink ref="D2394" r:id="rId3000" xr:uid="{00000000-0004-0000-0000-0000B70B0000}"/>
    <hyperlink ref="D2395" r:id="rId3001" xr:uid="{00000000-0004-0000-0000-0000B80B0000}"/>
    <hyperlink ref="D2396" r:id="rId3002" xr:uid="{00000000-0004-0000-0000-0000B90B0000}"/>
    <hyperlink ref="D2398" r:id="rId3003" xr:uid="{00000000-0004-0000-0000-0000BA0B0000}"/>
    <hyperlink ref="D2399" r:id="rId3004" xr:uid="{00000000-0004-0000-0000-0000BB0B0000}"/>
    <hyperlink ref="D2400" r:id="rId3005" xr:uid="{00000000-0004-0000-0000-0000BC0B0000}"/>
    <hyperlink ref="D2401" r:id="rId3006" xr:uid="{00000000-0004-0000-0000-0000BD0B0000}"/>
    <hyperlink ref="D2402" r:id="rId3007" xr:uid="{00000000-0004-0000-0000-0000BE0B0000}"/>
    <hyperlink ref="D2403" r:id="rId3008" xr:uid="{00000000-0004-0000-0000-0000BF0B0000}"/>
    <hyperlink ref="D2404" r:id="rId3009" xr:uid="{00000000-0004-0000-0000-0000C00B0000}"/>
    <hyperlink ref="D2405" r:id="rId3010" xr:uid="{00000000-0004-0000-0000-0000C10B0000}"/>
    <hyperlink ref="D2406" r:id="rId3011" xr:uid="{00000000-0004-0000-0000-0000C20B0000}"/>
    <hyperlink ref="D2407" r:id="rId3012" xr:uid="{00000000-0004-0000-0000-0000C30B0000}"/>
    <hyperlink ref="D2408" r:id="rId3013" xr:uid="{00000000-0004-0000-0000-0000C40B0000}"/>
    <hyperlink ref="D2409" r:id="rId3014" xr:uid="{00000000-0004-0000-0000-0000C50B0000}"/>
    <hyperlink ref="D2410" r:id="rId3015" xr:uid="{00000000-0004-0000-0000-0000C60B0000}"/>
    <hyperlink ref="D2412" r:id="rId3016" xr:uid="{00000000-0004-0000-0000-0000C70B0000}"/>
    <hyperlink ref="D2413" r:id="rId3017" xr:uid="{00000000-0004-0000-0000-0000C80B0000}"/>
    <hyperlink ref="D2414" r:id="rId3018" xr:uid="{00000000-0004-0000-0000-0000C90B0000}"/>
    <hyperlink ref="D2415" r:id="rId3019" xr:uid="{00000000-0004-0000-0000-0000CA0B0000}"/>
    <hyperlink ref="D2416" r:id="rId3020" xr:uid="{00000000-0004-0000-0000-0000CB0B0000}"/>
    <hyperlink ref="D2418" r:id="rId3021" xr:uid="{00000000-0004-0000-0000-0000CC0B0000}"/>
    <hyperlink ref="D2419" r:id="rId3022" xr:uid="{00000000-0004-0000-0000-0000CD0B0000}"/>
    <hyperlink ref="D2420" r:id="rId3023" xr:uid="{00000000-0004-0000-0000-0000CE0B0000}"/>
    <hyperlink ref="D2421" r:id="rId3024" xr:uid="{00000000-0004-0000-0000-0000CF0B0000}"/>
    <hyperlink ref="D2422" r:id="rId3025" xr:uid="{00000000-0004-0000-0000-0000D00B0000}"/>
    <hyperlink ref="D2423" r:id="rId3026" xr:uid="{00000000-0004-0000-0000-0000D10B0000}"/>
    <hyperlink ref="D2424" r:id="rId3027" xr:uid="{00000000-0004-0000-0000-0000D20B0000}"/>
    <hyperlink ref="D2425" r:id="rId3028" xr:uid="{00000000-0004-0000-0000-0000D30B0000}"/>
    <hyperlink ref="H2425" r:id="rId3029" xr:uid="{00000000-0004-0000-0000-0000D40B0000}"/>
    <hyperlink ref="D2426" r:id="rId3030" xr:uid="{00000000-0004-0000-0000-0000D50B0000}"/>
    <hyperlink ref="D2427" r:id="rId3031" xr:uid="{00000000-0004-0000-0000-0000D60B0000}"/>
    <hyperlink ref="D2428" r:id="rId3032" xr:uid="{00000000-0004-0000-0000-0000D70B0000}"/>
    <hyperlink ref="D2429" r:id="rId3033" xr:uid="{00000000-0004-0000-0000-0000D80B0000}"/>
    <hyperlink ref="D2430" r:id="rId3034" xr:uid="{00000000-0004-0000-0000-0000D90B0000}"/>
    <hyperlink ref="D2431" r:id="rId3035" xr:uid="{00000000-0004-0000-0000-0000DA0B0000}"/>
    <hyperlink ref="D2432" r:id="rId3036" xr:uid="{00000000-0004-0000-0000-0000DB0B0000}"/>
    <hyperlink ref="D2433" r:id="rId3037" xr:uid="{00000000-0004-0000-0000-0000DC0B0000}"/>
    <hyperlink ref="D2436" r:id="rId3038" xr:uid="{00000000-0004-0000-0000-0000DD0B0000}"/>
    <hyperlink ref="D2437" r:id="rId3039" xr:uid="{00000000-0004-0000-0000-0000DE0B0000}"/>
    <hyperlink ref="D2438" r:id="rId3040" xr:uid="{00000000-0004-0000-0000-0000DF0B0000}"/>
    <hyperlink ref="D2439" r:id="rId3041" xr:uid="{00000000-0004-0000-0000-0000E00B0000}"/>
    <hyperlink ref="D2440" r:id="rId3042" xr:uid="{00000000-0004-0000-0000-0000E10B0000}"/>
    <hyperlink ref="D2441" r:id="rId3043" xr:uid="{00000000-0004-0000-0000-0000E20B0000}"/>
    <hyperlink ref="D2442" r:id="rId3044" xr:uid="{00000000-0004-0000-0000-0000E30B0000}"/>
    <hyperlink ref="D2443" r:id="rId3045" xr:uid="{00000000-0004-0000-0000-0000E40B0000}"/>
    <hyperlink ref="D2444" r:id="rId3046" xr:uid="{00000000-0004-0000-0000-0000E50B0000}"/>
    <hyperlink ref="D2445" r:id="rId3047" xr:uid="{00000000-0004-0000-0000-0000E60B0000}"/>
    <hyperlink ref="D2446" r:id="rId3048" xr:uid="{00000000-0004-0000-0000-0000E70B0000}"/>
    <hyperlink ref="D2447" r:id="rId3049" xr:uid="{00000000-0004-0000-0000-0000E80B0000}"/>
    <hyperlink ref="D2448" r:id="rId3050" xr:uid="{00000000-0004-0000-0000-0000E90B0000}"/>
    <hyperlink ref="D2449" r:id="rId3051" xr:uid="{00000000-0004-0000-0000-0000EA0B0000}"/>
    <hyperlink ref="D2450" r:id="rId3052" xr:uid="{00000000-0004-0000-0000-0000EB0B0000}"/>
    <hyperlink ref="D2451" r:id="rId3053" xr:uid="{00000000-0004-0000-0000-0000EC0B0000}"/>
    <hyperlink ref="D2452" r:id="rId3054" xr:uid="{00000000-0004-0000-0000-0000ED0B0000}"/>
    <hyperlink ref="D2453" r:id="rId3055" xr:uid="{00000000-0004-0000-0000-0000EE0B0000}"/>
    <hyperlink ref="D2454" r:id="rId3056" xr:uid="{00000000-0004-0000-0000-0000EF0B0000}"/>
    <hyperlink ref="D2455" r:id="rId3057" xr:uid="{00000000-0004-0000-0000-0000F00B0000}"/>
    <hyperlink ref="D2456" r:id="rId3058" xr:uid="{00000000-0004-0000-0000-0000F10B0000}"/>
    <hyperlink ref="D2458" r:id="rId3059" xr:uid="{00000000-0004-0000-0000-0000F20B0000}"/>
    <hyperlink ref="D2459" r:id="rId3060" xr:uid="{00000000-0004-0000-0000-0000F30B0000}"/>
    <hyperlink ref="D2460" r:id="rId3061" xr:uid="{00000000-0004-0000-0000-0000F40B0000}"/>
    <hyperlink ref="D2462" r:id="rId3062" xr:uid="{00000000-0004-0000-0000-0000F50B0000}"/>
    <hyperlink ref="D2463" r:id="rId3063" xr:uid="{00000000-0004-0000-0000-0000F60B0000}"/>
    <hyperlink ref="D2464" r:id="rId3064" xr:uid="{00000000-0004-0000-0000-0000F70B0000}"/>
    <hyperlink ref="D2465" r:id="rId3065" xr:uid="{00000000-0004-0000-0000-0000F80B0000}"/>
    <hyperlink ref="D2466" r:id="rId3066" xr:uid="{00000000-0004-0000-0000-0000F90B0000}"/>
    <hyperlink ref="D2467" r:id="rId3067" xr:uid="{00000000-0004-0000-0000-0000FA0B0000}"/>
    <hyperlink ref="D2468" r:id="rId3068" xr:uid="{00000000-0004-0000-0000-0000FB0B0000}"/>
    <hyperlink ref="D2469" r:id="rId3069" xr:uid="{00000000-0004-0000-0000-0000FC0B0000}"/>
    <hyperlink ref="D2470" r:id="rId3070" xr:uid="{00000000-0004-0000-0000-0000FD0B0000}"/>
    <hyperlink ref="D2471" r:id="rId3071" xr:uid="{00000000-0004-0000-0000-0000FE0B0000}"/>
    <hyperlink ref="D2472" r:id="rId3072" xr:uid="{00000000-0004-0000-0000-0000FF0B0000}"/>
    <hyperlink ref="D2473" r:id="rId3073" xr:uid="{00000000-0004-0000-0000-0000000C0000}"/>
    <hyperlink ref="D2474" r:id="rId3074" xr:uid="{00000000-0004-0000-0000-0000010C0000}"/>
    <hyperlink ref="D2475" r:id="rId3075" xr:uid="{00000000-0004-0000-0000-0000020C0000}"/>
    <hyperlink ref="D2476" r:id="rId3076" xr:uid="{00000000-0004-0000-0000-0000030C0000}"/>
    <hyperlink ref="D2477" r:id="rId3077" xr:uid="{00000000-0004-0000-0000-0000040C0000}"/>
    <hyperlink ref="D2478" r:id="rId3078" xr:uid="{00000000-0004-0000-0000-0000050C0000}"/>
    <hyperlink ref="D2479" r:id="rId3079" xr:uid="{00000000-0004-0000-0000-0000060C0000}"/>
    <hyperlink ref="D2480" r:id="rId3080" xr:uid="{00000000-0004-0000-0000-0000070C0000}"/>
    <hyperlink ref="D2481" r:id="rId3081" xr:uid="{00000000-0004-0000-0000-0000080C0000}"/>
    <hyperlink ref="D2482" r:id="rId3082" xr:uid="{00000000-0004-0000-0000-0000090C0000}"/>
    <hyperlink ref="D2483" r:id="rId3083" xr:uid="{00000000-0004-0000-0000-00000A0C0000}"/>
    <hyperlink ref="D2484" r:id="rId3084" xr:uid="{00000000-0004-0000-0000-00000B0C0000}"/>
    <hyperlink ref="D2485" r:id="rId3085" xr:uid="{00000000-0004-0000-0000-00000C0C0000}"/>
    <hyperlink ref="D2486" r:id="rId3086" xr:uid="{00000000-0004-0000-0000-00000D0C0000}"/>
    <hyperlink ref="D2487" r:id="rId3087" xr:uid="{00000000-0004-0000-0000-00000E0C0000}"/>
    <hyperlink ref="D2488" r:id="rId3088" xr:uid="{00000000-0004-0000-0000-00000F0C0000}"/>
    <hyperlink ref="D2489" r:id="rId3089" xr:uid="{00000000-0004-0000-0000-0000100C0000}"/>
    <hyperlink ref="D2490" r:id="rId3090" xr:uid="{00000000-0004-0000-0000-0000110C0000}"/>
    <hyperlink ref="D2491" r:id="rId3091" xr:uid="{00000000-0004-0000-0000-0000120C0000}"/>
    <hyperlink ref="D2492" r:id="rId3092" xr:uid="{00000000-0004-0000-0000-0000130C0000}"/>
    <hyperlink ref="D2493" r:id="rId3093" xr:uid="{00000000-0004-0000-0000-0000140C0000}"/>
    <hyperlink ref="D2494" r:id="rId3094" xr:uid="{00000000-0004-0000-0000-0000150C0000}"/>
    <hyperlink ref="D2496" r:id="rId3095" xr:uid="{00000000-0004-0000-0000-0000160C0000}"/>
    <hyperlink ref="D2497" r:id="rId3096" xr:uid="{00000000-0004-0000-0000-0000170C0000}"/>
    <hyperlink ref="D2498" r:id="rId3097" xr:uid="{00000000-0004-0000-0000-0000180C0000}"/>
    <hyperlink ref="D2499" r:id="rId3098" xr:uid="{00000000-0004-0000-0000-0000190C0000}"/>
    <hyperlink ref="D2500" r:id="rId3099" xr:uid="{00000000-0004-0000-0000-00001A0C0000}"/>
    <hyperlink ref="D2501" r:id="rId3100" xr:uid="{00000000-0004-0000-0000-00001B0C0000}"/>
    <hyperlink ref="D2502" r:id="rId3101" xr:uid="{00000000-0004-0000-0000-00001C0C0000}"/>
    <hyperlink ref="D2503" r:id="rId3102" xr:uid="{00000000-0004-0000-0000-00001D0C0000}"/>
    <hyperlink ref="D2504" r:id="rId3103" xr:uid="{00000000-0004-0000-0000-00001E0C0000}"/>
    <hyperlink ref="D2505" r:id="rId3104" xr:uid="{00000000-0004-0000-0000-00001F0C0000}"/>
    <hyperlink ref="D2506" r:id="rId3105" xr:uid="{00000000-0004-0000-0000-0000200C0000}"/>
    <hyperlink ref="D2507" r:id="rId3106" xr:uid="{00000000-0004-0000-0000-0000210C0000}"/>
    <hyperlink ref="D2508" r:id="rId3107" xr:uid="{00000000-0004-0000-0000-0000220C0000}"/>
    <hyperlink ref="D2509" r:id="rId3108" xr:uid="{00000000-0004-0000-0000-0000230C0000}"/>
    <hyperlink ref="D2510" r:id="rId3109" xr:uid="{00000000-0004-0000-0000-0000240C0000}"/>
    <hyperlink ref="D2511" r:id="rId3110" xr:uid="{00000000-0004-0000-0000-0000250C0000}"/>
    <hyperlink ref="D2513" r:id="rId3111" xr:uid="{00000000-0004-0000-0000-0000260C0000}"/>
    <hyperlink ref="D2514" r:id="rId3112" xr:uid="{00000000-0004-0000-0000-0000270C0000}"/>
    <hyperlink ref="D2515" r:id="rId3113" xr:uid="{00000000-0004-0000-0000-0000280C0000}"/>
    <hyperlink ref="D2516" r:id="rId3114" xr:uid="{00000000-0004-0000-0000-0000290C0000}"/>
    <hyperlink ref="D2517" r:id="rId3115" xr:uid="{00000000-0004-0000-0000-00002A0C0000}"/>
    <hyperlink ref="D2518" r:id="rId3116" xr:uid="{00000000-0004-0000-0000-00002B0C0000}"/>
    <hyperlink ref="D2519" r:id="rId3117" xr:uid="{00000000-0004-0000-0000-00002C0C0000}"/>
    <hyperlink ref="D2520" r:id="rId3118" xr:uid="{00000000-0004-0000-0000-00002D0C0000}"/>
    <hyperlink ref="D2522" r:id="rId3119" xr:uid="{00000000-0004-0000-0000-00002E0C0000}"/>
    <hyperlink ref="D2523" r:id="rId3120" xr:uid="{00000000-0004-0000-0000-00002F0C0000}"/>
    <hyperlink ref="D2524" r:id="rId3121" xr:uid="{00000000-0004-0000-0000-0000300C0000}"/>
    <hyperlink ref="D2525" r:id="rId3122" xr:uid="{00000000-0004-0000-0000-0000310C0000}"/>
    <hyperlink ref="D2526" r:id="rId3123" xr:uid="{00000000-0004-0000-0000-0000320C0000}"/>
    <hyperlink ref="D2527" r:id="rId3124" xr:uid="{00000000-0004-0000-0000-0000330C0000}"/>
    <hyperlink ref="D2528" r:id="rId3125" xr:uid="{00000000-0004-0000-0000-0000340C0000}"/>
    <hyperlink ref="D2529" r:id="rId3126" xr:uid="{00000000-0004-0000-0000-0000350C0000}"/>
    <hyperlink ref="D2530" r:id="rId3127" xr:uid="{00000000-0004-0000-0000-0000360C0000}"/>
    <hyperlink ref="D2531" r:id="rId3128" xr:uid="{00000000-0004-0000-0000-0000370C0000}"/>
    <hyperlink ref="D2532" r:id="rId3129" xr:uid="{00000000-0004-0000-0000-0000380C0000}"/>
    <hyperlink ref="D2533" r:id="rId3130" xr:uid="{00000000-0004-0000-0000-0000390C0000}"/>
    <hyperlink ref="D2534" r:id="rId3131" xr:uid="{00000000-0004-0000-0000-00003A0C0000}"/>
    <hyperlink ref="D2535" r:id="rId3132" xr:uid="{00000000-0004-0000-0000-00003B0C0000}"/>
    <hyperlink ref="D2536" r:id="rId3133" xr:uid="{00000000-0004-0000-0000-00003C0C0000}"/>
    <hyperlink ref="D2538" r:id="rId3134" xr:uid="{00000000-0004-0000-0000-00003D0C0000}"/>
    <hyperlink ref="D2539" r:id="rId3135" xr:uid="{00000000-0004-0000-0000-00003E0C0000}"/>
    <hyperlink ref="D2540" r:id="rId3136" xr:uid="{00000000-0004-0000-0000-00003F0C0000}"/>
    <hyperlink ref="D2541" r:id="rId3137" xr:uid="{00000000-0004-0000-0000-0000400C0000}"/>
    <hyperlink ref="D2542" r:id="rId3138" xr:uid="{00000000-0004-0000-0000-0000410C0000}"/>
    <hyperlink ref="D2543" r:id="rId3139" xr:uid="{00000000-0004-0000-0000-0000420C0000}"/>
    <hyperlink ref="D2544" r:id="rId3140" xr:uid="{00000000-0004-0000-0000-0000430C0000}"/>
    <hyperlink ref="D2545" r:id="rId3141" xr:uid="{00000000-0004-0000-0000-0000440C0000}"/>
    <hyperlink ref="D2546" r:id="rId3142" xr:uid="{00000000-0004-0000-0000-0000450C0000}"/>
    <hyperlink ref="D2547" r:id="rId3143" xr:uid="{00000000-0004-0000-0000-0000460C0000}"/>
    <hyperlink ref="D2549" r:id="rId3144" xr:uid="{00000000-0004-0000-0000-0000470C0000}"/>
    <hyperlink ref="D2550" r:id="rId3145" xr:uid="{00000000-0004-0000-0000-0000480C0000}"/>
    <hyperlink ref="D2551" r:id="rId3146" xr:uid="{00000000-0004-0000-0000-0000490C0000}"/>
    <hyperlink ref="D2552" r:id="rId3147" xr:uid="{00000000-0004-0000-0000-00004A0C0000}"/>
    <hyperlink ref="D2553" r:id="rId3148" xr:uid="{00000000-0004-0000-0000-00004B0C0000}"/>
    <hyperlink ref="D2555" r:id="rId3149" xr:uid="{00000000-0004-0000-0000-00004C0C0000}"/>
    <hyperlink ref="D2556" r:id="rId3150" xr:uid="{00000000-0004-0000-0000-00004D0C0000}"/>
    <hyperlink ref="D2557" r:id="rId3151" xr:uid="{00000000-0004-0000-0000-00004E0C0000}"/>
    <hyperlink ref="D2558" r:id="rId3152" xr:uid="{00000000-0004-0000-0000-00004F0C0000}"/>
    <hyperlink ref="D2559" r:id="rId3153" xr:uid="{00000000-0004-0000-0000-0000500C0000}"/>
    <hyperlink ref="D2560" r:id="rId3154" xr:uid="{00000000-0004-0000-0000-0000510C0000}"/>
    <hyperlink ref="D2562" r:id="rId3155" xr:uid="{00000000-0004-0000-0000-0000520C0000}"/>
    <hyperlink ref="D2563" r:id="rId3156" xr:uid="{00000000-0004-0000-0000-0000530C0000}"/>
    <hyperlink ref="D2564" r:id="rId3157" xr:uid="{00000000-0004-0000-0000-0000540C0000}"/>
    <hyperlink ref="D2565" r:id="rId3158" xr:uid="{00000000-0004-0000-0000-0000550C0000}"/>
    <hyperlink ref="D2566" r:id="rId3159" xr:uid="{00000000-0004-0000-0000-0000560C0000}"/>
    <hyperlink ref="D2567" r:id="rId3160" xr:uid="{00000000-0004-0000-0000-0000570C0000}"/>
    <hyperlink ref="D2569" r:id="rId3161" xr:uid="{00000000-0004-0000-0000-0000580C0000}"/>
    <hyperlink ref="D2570" r:id="rId3162" xr:uid="{00000000-0004-0000-0000-0000590C0000}"/>
    <hyperlink ref="D2571" r:id="rId3163" xr:uid="{00000000-0004-0000-0000-00005A0C0000}"/>
    <hyperlink ref="D2572" r:id="rId3164" xr:uid="{00000000-0004-0000-0000-00005B0C0000}"/>
    <hyperlink ref="D2573" r:id="rId3165" xr:uid="{00000000-0004-0000-0000-00005C0C0000}"/>
    <hyperlink ref="D2574" r:id="rId3166" xr:uid="{00000000-0004-0000-0000-00005D0C0000}"/>
    <hyperlink ref="D2575" r:id="rId3167" xr:uid="{00000000-0004-0000-0000-00005E0C0000}"/>
    <hyperlink ref="D2576" r:id="rId3168" xr:uid="{00000000-0004-0000-0000-00005F0C0000}"/>
    <hyperlink ref="D2577" r:id="rId3169" xr:uid="{00000000-0004-0000-0000-0000600C0000}"/>
    <hyperlink ref="D2578" r:id="rId3170" xr:uid="{00000000-0004-0000-0000-0000610C0000}"/>
    <hyperlink ref="D2579" r:id="rId3171" xr:uid="{00000000-0004-0000-0000-0000620C0000}"/>
    <hyperlink ref="D2580" r:id="rId3172" xr:uid="{00000000-0004-0000-0000-0000630C0000}"/>
    <hyperlink ref="D2581" r:id="rId3173" xr:uid="{00000000-0004-0000-0000-0000640C0000}"/>
    <hyperlink ref="D2582" r:id="rId3174" xr:uid="{00000000-0004-0000-0000-0000650C0000}"/>
    <hyperlink ref="D2583" r:id="rId3175" xr:uid="{00000000-0004-0000-0000-0000660C0000}"/>
    <hyperlink ref="D2584" r:id="rId3176" xr:uid="{00000000-0004-0000-0000-0000670C0000}"/>
    <hyperlink ref="D2585" r:id="rId3177" xr:uid="{00000000-0004-0000-0000-0000680C0000}"/>
    <hyperlink ref="D2586" r:id="rId3178" xr:uid="{00000000-0004-0000-0000-0000690C0000}"/>
    <hyperlink ref="D2587" r:id="rId3179" xr:uid="{00000000-0004-0000-0000-00006A0C0000}"/>
    <hyperlink ref="D2588" r:id="rId3180" xr:uid="{00000000-0004-0000-0000-00006B0C0000}"/>
    <hyperlink ref="D2589" r:id="rId3181" xr:uid="{00000000-0004-0000-0000-00006C0C0000}"/>
    <hyperlink ref="D2590" r:id="rId3182" xr:uid="{00000000-0004-0000-0000-00006D0C0000}"/>
    <hyperlink ref="D2591" r:id="rId3183" xr:uid="{00000000-0004-0000-0000-00006E0C0000}"/>
    <hyperlink ref="D2592" r:id="rId3184" xr:uid="{00000000-0004-0000-0000-00006F0C0000}"/>
    <hyperlink ref="D2593" r:id="rId3185" xr:uid="{00000000-0004-0000-0000-0000700C0000}"/>
    <hyperlink ref="D2594" r:id="rId3186" xr:uid="{00000000-0004-0000-0000-0000710C0000}"/>
    <hyperlink ref="D2595" r:id="rId3187" xr:uid="{00000000-0004-0000-0000-0000720C0000}"/>
    <hyperlink ref="D2596" r:id="rId3188" xr:uid="{00000000-0004-0000-0000-0000730C0000}"/>
    <hyperlink ref="D2597" r:id="rId3189" xr:uid="{00000000-0004-0000-0000-0000740C0000}"/>
    <hyperlink ref="D2598" r:id="rId3190" xr:uid="{00000000-0004-0000-0000-0000750C0000}"/>
    <hyperlink ref="D2599" r:id="rId3191" xr:uid="{00000000-0004-0000-0000-0000760C0000}"/>
    <hyperlink ref="D2601" r:id="rId3192" xr:uid="{00000000-0004-0000-0000-0000770C0000}"/>
    <hyperlink ref="D2602" r:id="rId3193" xr:uid="{00000000-0004-0000-0000-0000780C0000}"/>
    <hyperlink ref="D2603" r:id="rId3194" xr:uid="{00000000-0004-0000-0000-0000790C0000}"/>
    <hyperlink ref="D2604" r:id="rId3195" xr:uid="{00000000-0004-0000-0000-00007A0C0000}"/>
    <hyperlink ref="D2605" r:id="rId3196" xr:uid="{00000000-0004-0000-0000-00007B0C0000}"/>
    <hyperlink ref="D2606" r:id="rId3197" xr:uid="{00000000-0004-0000-0000-00007C0C0000}"/>
    <hyperlink ref="D2607" r:id="rId3198" xr:uid="{00000000-0004-0000-0000-00007D0C0000}"/>
    <hyperlink ref="D2608" r:id="rId3199" xr:uid="{00000000-0004-0000-0000-00007E0C0000}"/>
    <hyperlink ref="D2610" r:id="rId3200" xr:uid="{00000000-0004-0000-0000-00007F0C0000}"/>
    <hyperlink ref="D2612" r:id="rId3201" xr:uid="{00000000-0004-0000-0000-0000800C0000}"/>
    <hyperlink ref="D2613" r:id="rId3202" xr:uid="{00000000-0004-0000-0000-0000810C0000}"/>
    <hyperlink ref="D2614" r:id="rId3203" xr:uid="{00000000-0004-0000-0000-0000820C0000}"/>
    <hyperlink ref="D2615" r:id="rId3204" xr:uid="{00000000-0004-0000-0000-0000830C0000}"/>
    <hyperlink ref="D2617" r:id="rId3205" xr:uid="{00000000-0004-0000-0000-0000840C0000}"/>
    <hyperlink ref="D2618" r:id="rId3206" xr:uid="{00000000-0004-0000-0000-0000850C0000}"/>
    <hyperlink ref="D2619" r:id="rId3207" xr:uid="{00000000-0004-0000-0000-0000860C0000}"/>
    <hyperlink ref="D2620" r:id="rId3208" xr:uid="{00000000-0004-0000-0000-0000870C0000}"/>
    <hyperlink ref="D2621" r:id="rId3209" xr:uid="{00000000-0004-0000-0000-0000880C0000}"/>
    <hyperlink ref="D2622" r:id="rId3210" xr:uid="{00000000-0004-0000-0000-0000890C0000}"/>
    <hyperlink ref="D2623" r:id="rId3211" xr:uid="{00000000-0004-0000-0000-00008A0C0000}"/>
    <hyperlink ref="D2624" r:id="rId3212" xr:uid="{00000000-0004-0000-0000-00008B0C0000}"/>
    <hyperlink ref="D2625" r:id="rId3213" xr:uid="{00000000-0004-0000-0000-00008C0C0000}"/>
    <hyperlink ref="D2626" r:id="rId3214" xr:uid="{00000000-0004-0000-0000-00008D0C0000}"/>
    <hyperlink ref="D2627" r:id="rId3215" xr:uid="{00000000-0004-0000-0000-00008E0C0000}"/>
    <hyperlink ref="D2628" r:id="rId3216" xr:uid="{00000000-0004-0000-0000-00008F0C0000}"/>
    <hyperlink ref="D2629" r:id="rId3217" xr:uid="{00000000-0004-0000-0000-0000900C0000}"/>
    <hyperlink ref="D2630" r:id="rId3218" xr:uid="{00000000-0004-0000-0000-0000910C0000}"/>
    <hyperlink ref="D2631" r:id="rId3219" xr:uid="{00000000-0004-0000-0000-0000920C0000}"/>
    <hyperlink ref="D2632" r:id="rId3220" xr:uid="{00000000-0004-0000-0000-0000930C0000}"/>
    <hyperlink ref="H2633" r:id="rId3221" xr:uid="{00000000-0004-0000-0000-0000940C0000}"/>
    <hyperlink ref="D2634" r:id="rId3222" xr:uid="{00000000-0004-0000-0000-0000950C0000}"/>
    <hyperlink ref="D2635" r:id="rId3223" xr:uid="{00000000-0004-0000-0000-0000960C0000}"/>
    <hyperlink ref="D2636" r:id="rId3224" xr:uid="{00000000-0004-0000-0000-0000970C0000}"/>
    <hyperlink ref="D2637" r:id="rId3225" xr:uid="{00000000-0004-0000-0000-0000980C0000}"/>
    <hyperlink ref="D2638" r:id="rId3226" xr:uid="{00000000-0004-0000-0000-0000990C0000}"/>
    <hyperlink ref="D2639" r:id="rId3227" xr:uid="{00000000-0004-0000-0000-00009A0C0000}"/>
    <hyperlink ref="D2640" r:id="rId3228" xr:uid="{00000000-0004-0000-0000-00009B0C0000}"/>
    <hyperlink ref="D2641" r:id="rId3229" xr:uid="{00000000-0004-0000-0000-00009C0C0000}"/>
    <hyperlink ref="D2642" r:id="rId3230" xr:uid="{00000000-0004-0000-0000-00009D0C0000}"/>
    <hyperlink ref="D2643" r:id="rId3231" xr:uid="{00000000-0004-0000-0000-00009E0C0000}"/>
    <hyperlink ref="D2644" r:id="rId3232" xr:uid="{00000000-0004-0000-0000-00009F0C0000}"/>
    <hyperlink ref="D2645" r:id="rId3233" xr:uid="{00000000-0004-0000-0000-0000A00C0000}"/>
    <hyperlink ref="D2646" r:id="rId3234" xr:uid="{00000000-0004-0000-0000-0000A10C0000}"/>
    <hyperlink ref="D2647" r:id="rId3235" xr:uid="{00000000-0004-0000-0000-0000A20C0000}"/>
    <hyperlink ref="D2648" r:id="rId3236" xr:uid="{00000000-0004-0000-0000-0000A30C0000}"/>
    <hyperlink ref="D2649" r:id="rId3237" xr:uid="{00000000-0004-0000-0000-0000A40C0000}"/>
    <hyperlink ref="D2650" r:id="rId3238" xr:uid="{00000000-0004-0000-0000-0000A50C0000}"/>
    <hyperlink ref="D2651" r:id="rId3239" xr:uid="{00000000-0004-0000-0000-0000A60C0000}"/>
    <hyperlink ref="D2652" r:id="rId3240" xr:uid="{00000000-0004-0000-0000-0000A70C0000}"/>
    <hyperlink ref="D2653" r:id="rId3241" xr:uid="{00000000-0004-0000-0000-0000A80C0000}"/>
    <hyperlink ref="D2654" r:id="rId3242" xr:uid="{00000000-0004-0000-0000-0000A90C0000}"/>
    <hyperlink ref="D2655" r:id="rId3243" xr:uid="{00000000-0004-0000-0000-0000AA0C0000}"/>
    <hyperlink ref="D2657" r:id="rId3244" xr:uid="{00000000-0004-0000-0000-0000AB0C0000}"/>
    <hyperlink ref="D2658" r:id="rId3245" xr:uid="{00000000-0004-0000-0000-0000AC0C0000}"/>
    <hyperlink ref="D2659" r:id="rId3246" xr:uid="{00000000-0004-0000-0000-0000AD0C0000}"/>
    <hyperlink ref="D2660" r:id="rId3247" xr:uid="{00000000-0004-0000-0000-0000AE0C0000}"/>
    <hyperlink ref="D2661" r:id="rId3248" xr:uid="{00000000-0004-0000-0000-0000AF0C0000}"/>
    <hyperlink ref="D2662" r:id="rId3249" xr:uid="{00000000-0004-0000-0000-0000B00C0000}"/>
    <hyperlink ref="D2663" r:id="rId3250" xr:uid="{00000000-0004-0000-0000-0000B10C0000}"/>
    <hyperlink ref="D2664" r:id="rId3251" xr:uid="{00000000-0004-0000-0000-0000B20C0000}"/>
    <hyperlink ref="D2665" r:id="rId3252" xr:uid="{00000000-0004-0000-0000-0000B30C0000}"/>
    <hyperlink ref="D2666" r:id="rId3253" xr:uid="{00000000-0004-0000-0000-0000B40C0000}"/>
    <hyperlink ref="D2668" r:id="rId3254" xr:uid="{00000000-0004-0000-0000-0000B50C0000}"/>
    <hyperlink ref="D2669" r:id="rId3255" xr:uid="{00000000-0004-0000-0000-0000B60C0000}"/>
    <hyperlink ref="D2670" r:id="rId3256" xr:uid="{00000000-0004-0000-0000-0000B70C0000}"/>
    <hyperlink ref="D2671" r:id="rId3257" xr:uid="{00000000-0004-0000-0000-0000B80C0000}"/>
    <hyperlink ref="D2672" r:id="rId3258" xr:uid="{00000000-0004-0000-0000-0000B90C0000}"/>
    <hyperlink ref="D2673" r:id="rId3259" xr:uid="{00000000-0004-0000-0000-0000BA0C0000}"/>
    <hyperlink ref="D2674" r:id="rId3260" xr:uid="{00000000-0004-0000-0000-0000BB0C0000}"/>
    <hyperlink ref="D2675" r:id="rId3261" xr:uid="{00000000-0004-0000-0000-0000BC0C0000}"/>
    <hyperlink ref="D2676" r:id="rId3262" xr:uid="{00000000-0004-0000-0000-0000BD0C0000}"/>
    <hyperlink ref="D2677" r:id="rId3263" xr:uid="{00000000-0004-0000-0000-0000BE0C0000}"/>
    <hyperlink ref="D2678" r:id="rId3264" xr:uid="{00000000-0004-0000-0000-0000BF0C0000}"/>
    <hyperlink ref="D2679" r:id="rId3265" xr:uid="{00000000-0004-0000-0000-0000C00C0000}"/>
    <hyperlink ref="D2681" r:id="rId3266" xr:uid="{00000000-0004-0000-0000-0000C10C0000}"/>
    <hyperlink ref="D2682" r:id="rId3267" xr:uid="{00000000-0004-0000-0000-0000C20C0000}"/>
    <hyperlink ref="D2683" r:id="rId3268" xr:uid="{00000000-0004-0000-0000-0000C30C0000}"/>
    <hyperlink ref="D2684" r:id="rId3269" xr:uid="{00000000-0004-0000-0000-0000C40C0000}"/>
    <hyperlink ref="D2685" r:id="rId3270" xr:uid="{00000000-0004-0000-0000-0000C50C0000}"/>
    <hyperlink ref="D2686" r:id="rId3271" xr:uid="{00000000-0004-0000-0000-0000C60C0000}"/>
    <hyperlink ref="D2687" r:id="rId3272" xr:uid="{00000000-0004-0000-0000-0000C70C0000}"/>
    <hyperlink ref="D2688" r:id="rId3273" xr:uid="{00000000-0004-0000-0000-0000C80C0000}"/>
    <hyperlink ref="D2689" r:id="rId3274" xr:uid="{00000000-0004-0000-0000-0000C90C0000}"/>
    <hyperlink ref="D2690" r:id="rId3275" xr:uid="{00000000-0004-0000-0000-0000CA0C0000}"/>
    <hyperlink ref="D2691" r:id="rId3276" xr:uid="{00000000-0004-0000-0000-0000CB0C0000}"/>
    <hyperlink ref="D2692" r:id="rId3277" xr:uid="{00000000-0004-0000-0000-0000CC0C0000}"/>
    <hyperlink ref="D2693" r:id="rId3278" xr:uid="{00000000-0004-0000-0000-0000CD0C0000}"/>
    <hyperlink ref="D2694" r:id="rId3279" xr:uid="{00000000-0004-0000-0000-0000CE0C0000}"/>
    <hyperlink ref="D2695" r:id="rId3280" xr:uid="{00000000-0004-0000-0000-0000CF0C0000}"/>
    <hyperlink ref="D2697" r:id="rId3281" xr:uid="{00000000-0004-0000-0000-0000D00C0000}"/>
    <hyperlink ref="D2698" r:id="rId3282" xr:uid="{00000000-0004-0000-0000-0000D10C0000}"/>
    <hyperlink ref="D2699" r:id="rId3283" xr:uid="{00000000-0004-0000-0000-0000D20C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00"/>
  <sheetViews>
    <sheetView workbookViewId="0"/>
  </sheetViews>
  <sheetFormatPr baseColWidth="10" defaultColWidth="12.6640625" defaultRowHeight="15" customHeight="1"/>
  <cols>
    <col min="1" max="6" width="12.66406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Malpica Herrera</cp:lastModifiedBy>
  <dcterms:created xsi:type="dcterms:W3CDTF">2026-05-06T00:42:50Z</dcterms:created>
  <dcterms:modified xsi:type="dcterms:W3CDTF">2026-05-06T00:42:50Z</dcterms:modified>
</cp:coreProperties>
</file>