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pica/Desktop/BASE DE DATOS/"/>
    </mc:Choice>
  </mc:AlternateContent>
  <xr:revisionPtr revIDLastSave="0" documentId="13_ncr:1_{C78EC0F8-CB19-F847-9602-9FF67A73B741}" xr6:coauthVersionLast="47" xr6:coauthVersionMax="47" xr10:uidLastSave="{00000000-0000-0000-0000-000000000000}"/>
  <bookViews>
    <workbookView xWindow="0" yWindow="0" windowWidth="28800" windowHeight="18000" xr2:uid="{2340FD23-ED8C-41A4-9AEC-5B28C222B7A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3" i="1" l="1"/>
  <c r="C113" i="1"/>
  <c r="B113" i="1"/>
  <c r="A113" i="1"/>
  <c r="M112" i="1"/>
  <c r="C112" i="1"/>
  <c r="B112" i="1"/>
  <c r="A112" i="1"/>
  <c r="M111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M41" i="1"/>
  <c r="C41" i="1"/>
  <c r="B41" i="1"/>
  <c r="A41" i="1"/>
  <c r="M40" i="1"/>
  <c r="C40" i="1"/>
  <c r="B40" i="1"/>
  <c r="A40" i="1"/>
  <c r="M39" i="1"/>
  <c r="C39" i="1"/>
  <c r="B39" i="1"/>
  <c r="A39" i="1"/>
  <c r="M38" i="1"/>
  <c r="C38" i="1"/>
  <c r="B38" i="1"/>
  <c r="A38" i="1"/>
  <c r="M37" i="1"/>
  <c r="C37" i="1"/>
  <c r="B37" i="1"/>
  <c r="A37" i="1"/>
  <c r="M36" i="1"/>
  <c r="C36" i="1"/>
  <c r="B36" i="1"/>
  <c r="A36" i="1"/>
  <c r="M35" i="1"/>
  <c r="C35" i="1"/>
  <c r="B35" i="1"/>
  <c r="A35" i="1"/>
  <c r="M34" i="1"/>
  <c r="C34" i="1"/>
  <c r="B34" i="1"/>
  <c r="A34" i="1"/>
  <c r="M33" i="1"/>
  <c r="C33" i="1"/>
  <c r="B33" i="1"/>
  <c r="A33" i="1"/>
  <c r="M32" i="1"/>
  <c r="C32" i="1"/>
  <c r="B32" i="1"/>
  <c r="A32" i="1"/>
  <c r="M31" i="1"/>
  <c r="C31" i="1"/>
  <c r="B31" i="1"/>
  <c r="A31" i="1"/>
  <c r="M30" i="1"/>
  <c r="C30" i="1"/>
  <c r="B30" i="1"/>
  <c r="A30" i="1"/>
  <c r="M29" i="1"/>
  <c r="C29" i="1"/>
  <c r="B29" i="1"/>
  <c r="A29" i="1"/>
  <c r="M28" i="1"/>
  <c r="C28" i="1"/>
  <c r="B28" i="1"/>
  <c r="A28" i="1"/>
  <c r="M27" i="1"/>
  <c r="C27" i="1"/>
  <c r="B27" i="1"/>
  <c r="A27" i="1"/>
  <c r="M26" i="1"/>
  <c r="C26" i="1"/>
  <c r="B26" i="1"/>
  <c r="A26" i="1"/>
  <c r="M25" i="1"/>
  <c r="C25" i="1"/>
  <c r="B25" i="1"/>
  <c r="A25" i="1"/>
  <c r="M24" i="1"/>
  <c r="C24" i="1"/>
  <c r="B24" i="1"/>
  <c r="A24" i="1"/>
  <c r="M23" i="1"/>
  <c r="C23" i="1"/>
  <c r="B23" i="1"/>
  <c r="A23" i="1"/>
  <c r="M22" i="1"/>
  <c r="C22" i="1"/>
  <c r="B22" i="1"/>
  <c r="A22" i="1"/>
  <c r="M21" i="1"/>
  <c r="C21" i="1"/>
  <c r="B21" i="1"/>
  <c r="A21" i="1"/>
  <c r="M20" i="1"/>
  <c r="C20" i="1"/>
  <c r="B20" i="1"/>
  <c r="A20" i="1"/>
  <c r="M19" i="1"/>
  <c r="C19" i="1"/>
  <c r="B19" i="1"/>
  <c r="A19" i="1"/>
  <c r="M18" i="1"/>
  <c r="C18" i="1"/>
  <c r="B18" i="1"/>
  <c r="A18" i="1"/>
  <c r="M17" i="1"/>
  <c r="C17" i="1"/>
  <c r="B17" i="1"/>
  <c r="A17" i="1"/>
  <c r="M16" i="1"/>
  <c r="C16" i="1"/>
  <c r="B16" i="1"/>
  <c r="A16" i="1"/>
  <c r="M15" i="1"/>
  <c r="C15" i="1"/>
  <c r="B15" i="1"/>
  <c r="A15" i="1"/>
  <c r="M14" i="1"/>
  <c r="C14" i="1"/>
  <c r="B14" i="1"/>
  <c r="A14" i="1"/>
  <c r="M13" i="1"/>
  <c r="C13" i="1"/>
  <c r="B13" i="1"/>
  <c r="A13" i="1"/>
  <c r="M12" i="1"/>
  <c r="C12" i="1"/>
  <c r="B12" i="1"/>
  <c r="A12" i="1"/>
  <c r="M11" i="1"/>
  <c r="C11" i="1"/>
  <c r="B11" i="1"/>
  <c r="A11" i="1"/>
  <c r="M10" i="1"/>
  <c r="C10" i="1"/>
  <c r="B10" i="1"/>
  <c r="A10" i="1"/>
  <c r="M9" i="1"/>
  <c r="C9" i="1"/>
  <c r="B9" i="1"/>
  <c r="A9" i="1"/>
  <c r="M8" i="1"/>
  <c r="C8" i="1"/>
  <c r="B8" i="1"/>
  <c r="A8" i="1"/>
  <c r="M7" i="1"/>
  <c r="C7" i="1"/>
  <c r="B7" i="1"/>
  <c r="A7" i="1"/>
  <c r="M6" i="1"/>
  <c r="C6" i="1"/>
  <c r="B6" i="1"/>
  <c r="A6" i="1"/>
  <c r="M5" i="1"/>
  <c r="C5" i="1"/>
  <c r="B5" i="1"/>
  <c r="A5" i="1"/>
  <c r="M4" i="1"/>
  <c r="C4" i="1"/>
  <c r="B4" i="1"/>
  <c r="A4" i="1"/>
  <c r="M3" i="1"/>
  <c r="C3" i="1"/>
  <c r="B3" i="1"/>
  <c r="A3" i="1"/>
  <c r="M2" i="1"/>
  <c r="C2" i="1"/>
  <c r="B2" i="1"/>
  <c r="A2" i="1"/>
</calcChain>
</file>

<file path=xl/sharedStrings.xml><?xml version="1.0" encoding="utf-8"?>
<sst xmlns="http://schemas.openxmlformats.org/spreadsheetml/2006/main" count="1229" uniqueCount="392">
  <si>
    <t>ALBERTO</t>
  </si>
  <si>
    <t>Alimentos de Alta Calidad El Pedregal SA de CV</t>
  </si>
  <si>
    <t>A definir</t>
  </si>
  <si>
    <t>Paquete sin transporte</t>
  </si>
  <si>
    <t>Envio Correo</t>
  </si>
  <si>
    <t>karla.partidav@el-pedregal.com</t>
  </si>
  <si>
    <t>Karla Partida</t>
  </si>
  <si>
    <t>si</t>
  </si>
  <si>
    <t>NA</t>
  </si>
  <si>
    <t>Juan Gutemberg #112</t>
  </si>
  <si>
    <t>Reforma y Ferrocarriles Nacionales</t>
  </si>
  <si>
    <t>51-250 emp</t>
  </si>
  <si>
    <t>150 emp</t>
  </si>
  <si>
    <t>Centro de Servicio Avemex SA de CV</t>
  </si>
  <si>
    <t>angelica.perez@avemex.com.mx</t>
  </si>
  <si>
    <t>Angélica Pérez</t>
  </si>
  <si>
    <t>Calle 4 Hangar #14</t>
  </si>
  <si>
    <t>San Pedro Totoltepec</t>
  </si>
  <si>
    <t>Ya han ido a KZ, checar historial</t>
  </si>
  <si>
    <t>Productos Duna SA de CV</t>
  </si>
  <si>
    <t>Calle 3 Mz. 8</t>
  </si>
  <si>
    <t>Vesta</t>
  </si>
  <si>
    <t>No quisieron recibir la información</t>
  </si>
  <si>
    <t>Terminal Toluca SA de CV</t>
  </si>
  <si>
    <t>Escuela no Interesada</t>
  </si>
  <si>
    <t>Felipe Berriozabal #101</t>
  </si>
  <si>
    <t>Terminal</t>
  </si>
  <si>
    <t>Valeo Sistemas Electrónicos SA de CV</t>
  </si>
  <si>
    <t>No Contesta</t>
  </si>
  <si>
    <t>Juan Salgado #101</t>
  </si>
  <si>
    <t>Barrio San Gabriel</t>
  </si>
  <si>
    <t>250+ emp</t>
  </si>
  <si>
    <t>Pastas Alimenticias Laziali SA de CV</t>
  </si>
  <si>
    <t>4 Norte Mz. 410 Lote 17 #301</t>
  </si>
  <si>
    <t>Toluca 2000</t>
  </si>
  <si>
    <t>Uvamex S de RL de CV</t>
  </si>
  <si>
    <t>Calle 4 #4</t>
  </si>
  <si>
    <t>Embalajes Continentales SA de CV</t>
  </si>
  <si>
    <t>dfuentes@grupak.com.mx</t>
  </si>
  <si>
    <t>Dulce Fuentes</t>
  </si>
  <si>
    <t>Cuatro Norte #302</t>
  </si>
  <si>
    <t>San Andrés Cuexcontitlán</t>
  </si>
  <si>
    <t>180 emp</t>
  </si>
  <si>
    <t>General Motors de México S de RL de CV</t>
  </si>
  <si>
    <t>Industria Minera #700</t>
  </si>
  <si>
    <t>Zona Industrial</t>
  </si>
  <si>
    <t>Operadora de Cinemas SA de CV</t>
  </si>
  <si>
    <t>Número Equivocado</t>
  </si>
  <si>
    <t>Alfredo del Mazo #705</t>
  </si>
  <si>
    <t>Tlacopa</t>
  </si>
  <si>
    <t>DIA</t>
  </si>
  <si>
    <t>Semana</t>
  </si>
  <si>
    <t>Canal</t>
  </si>
  <si>
    <t>Fecha</t>
  </si>
  <si>
    <t>Ejecutivo</t>
  </si>
  <si>
    <t>Ruta</t>
  </si>
  <si>
    <t>Tipo</t>
  </si>
  <si>
    <t>Escuela</t>
  </si>
  <si>
    <t>Nombre de Escuela</t>
  </si>
  <si>
    <t>Fecha Visita</t>
  </si>
  <si>
    <t>Paquete de interes</t>
  </si>
  <si>
    <t>Concepto</t>
  </si>
  <si>
    <t>Mes</t>
  </si>
  <si>
    <t>Telefono</t>
  </si>
  <si>
    <t>Correo</t>
  </si>
  <si>
    <t>Contacto</t>
  </si>
  <si>
    <t>Escuela Nueva</t>
  </si>
  <si>
    <t>Municipio / Alcaldía</t>
  </si>
  <si>
    <t>CCT</t>
  </si>
  <si>
    <t>Calle y No.</t>
  </si>
  <si>
    <t>Colonia</t>
  </si>
  <si>
    <t>CP</t>
  </si>
  <si>
    <t>Modificación</t>
  </si>
  <si>
    <t>Aforo</t>
  </si>
  <si>
    <t>Parque</t>
  </si>
  <si>
    <t>Indelpa SA de CV</t>
  </si>
  <si>
    <t>vmota@indelpa.com.mx</t>
  </si>
  <si>
    <t>Valeria Mota</t>
  </si>
  <si>
    <t>Prolongación #4 Norte</t>
  </si>
  <si>
    <t>270 emp</t>
  </si>
  <si>
    <t>alicia.delvalle@gm.com</t>
  </si>
  <si>
    <t>Industria Automotriz #307</t>
  </si>
  <si>
    <t>Distribuidora de Textiles Avante SA de CV</t>
  </si>
  <si>
    <t>fperalta@avantetextil.com.mx</t>
  </si>
  <si>
    <t>Industria Automotriz #128</t>
  </si>
  <si>
    <t>Sección 3</t>
  </si>
  <si>
    <t>Funcosa SA de CV</t>
  </si>
  <si>
    <t>agonzalez@funcosa.com.mx</t>
  </si>
  <si>
    <t>Guillermo Marconi Esq. Héroes de Nacozari</t>
  </si>
  <si>
    <t>A de A México SA de CV</t>
  </si>
  <si>
    <t>jcuadra@adea.com.mx</t>
  </si>
  <si>
    <t>Carr. Toluca-Naucalpan Km 52.8</t>
  </si>
  <si>
    <t>Hablar entre 8 y 9am</t>
  </si>
  <si>
    <t>Mundo Dulce SA de CV</t>
  </si>
  <si>
    <t>jgomez@mundodulce.com.mx</t>
  </si>
  <si>
    <t>Miguel Alemán #100</t>
  </si>
  <si>
    <t>Liquimex SA de CV</t>
  </si>
  <si>
    <t>eduardo.garcia1@danone.com</t>
  </si>
  <si>
    <t>Miguel Alemán #521</t>
  </si>
  <si>
    <t>Gestamp Toluca SA de CV</t>
  </si>
  <si>
    <t>abrito@mx.gestamp.com</t>
  </si>
  <si>
    <t>Independencia Mz. 2</t>
  </si>
  <si>
    <t>Bralo de Mexico SA de CV</t>
  </si>
  <si>
    <t>juan.suarez@bralo.com.mx</t>
  </si>
  <si>
    <t xml:space="preserve">Lic. Juan Suárez </t>
  </si>
  <si>
    <t>Eje 7 Norte #110</t>
  </si>
  <si>
    <t>Menshen Mexicana S de RL de CV</t>
  </si>
  <si>
    <t>nsierra@menshenmex.com</t>
  </si>
  <si>
    <t>Lic. Norma Sierra</t>
  </si>
  <si>
    <t>Ernesto Monroy #109</t>
  </si>
  <si>
    <t>Exportec II</t>
  </si>
  <si>
    <t>Fuerza Hidráulica SA de CV</t>
  </si>
  <si>
    <t>dnv221611421@gmail.com</t>
  </si>
  <si>
    <t>Laura Olivares</t>
  </si>
  <si>
    <t>Camino a San Pedro Totoltepec #50</t>
  </si>
  <si>
    <t>Coesillos</t>
  </si>
  <si>
    <t>72 emp</t>
  </si>
  <si>
    <t>Embalajes Duna SA de CV</t>
  </si>
  <si>
    <t>direccion@duna.com.mx</t>
  </si>
  <si>
    <t>Central Mz. 2</t>
  </si>
  <si>
    <t>Aceros Anglo SA de CV</t>
  </si>
  <si>
    <t>Electrificación #103</t>
  </si>
  <si>
    <t>Independencia</t>
  </si>
  <si>
    <t>Remolques y Plataformas de Toluca SA de CV</t>
  </si>
  <si>
    <t>admon.ventas@carroceriasrepsa.com</t>
  </si>
  <si>
    <t>Correo Institucional</t>
  </si>
  <si>
    <t>Pablo Villavicencio #301</t>
  </si>
  <si>
    <t>La Magdalena</t>
  </si>
  <si>
    <t>Aluminio Puro SA de CV</t>
  </si>
  <si>
    <t>aluminiopuro@prodigy.net.mx</t>
  </si>
  <si>
    <t>Albert Einstein #202</t>
  </si>
  <si>
    <t>Alubin de México SA de CV</t>
  </si>
  <si>
    <t>jacosta@alubin.com.mx</t>
  </si>
  <si>
    <t>Calle 2 Sur #120</t>
  </si>
  <si>
    <t>Constructora e Inmobiliaria de la Península S de RL de CV</t>
  </si>
  <si>
    <t>cei.lapeninsula@gmail.com</t>
  </si>
  <si>
    <t>Venustiano Carranza #502</t>
  </si>
  <si>
    <t>Universidad</t>
  </si>
  <si>
    <t>Bimbo SA de CV</t>
  </si>
  <si>
    <t>fernando.lopez03@grupobimbo.com</t>
  </si>
  <si>
    <t>Ex-Rancho San Antonio Abad s/n</t>
  </si>
  <si>
    <t>Android de México S de RL de CV</t>
  </si>
  <si>
    <t>rcaceres@android-ind.com</t>
  </si>
  <si>
    <t>Independencia #1809</t>
  </si>
  <si>
    <t>Burndy Products México SA de CV</t>
  </si>
  <si>
    <t>amoctezuma@burndy.com.mx</t>
  </si>
  <si>
    <t>Calle 5 #104</t>
  </si>
  <si>
    <t>Chupa Chups Industrial Mexicana SA de CV</t>
  </si>
  <si>
    <t>alejandra.arriaga@mx.pvmgrop.com</t>
  </si>
  <si>
    <t>Av. Central Mz. 5 y 6</t>
  </si>
  <si>
    <t>CPG Mexicana SA de CV</t>
  </si>
  <si>
    <t>fhernandez@cpgmx.com</t>
  </si>
  <si>
    <t>5 Norte #3</t>
  </si>
  <si>
    <t>Ekaser SA de CV</t>
  </si>
  <si>
    <t>Alfonso Gómez de Orozco #122</t>
  </si>
  <si>
    <t>Gates de México SA de CV</t>
  </si>
  <si>
    <t>mb6074@gates.com</t>
  </si>
  <si>
    <t>Av. 1° de mayo</t>
  </si>
  <si>
    <t>Villas Fontana II</t>
  </si>
  <si>
    <t>Grupo Corporativo SA de CV</t>
  </si>
  <si>
    <t>roberto_a@pcptissue.com.mx</t>
  </si>
  <si>
    <t>2 Sur H-13 #112</t>
  </si>
  <si>
    <t>Industria Mexicana de Reciclaje SA de CV</t>
  </si>
  <si>
    <t>cesar.carrillo@imer_mex.com.mx</t>
  </si>
  <si>
    <t>Carr. Toluca-Naucalpan Km 52.8 #1501</t>
  </si>
  <si>
    <t>Kuka Systems de México S de RL de CV</t>
  </si>
  <si>
    <t>liliana.aviles@kukanao.com</t>
  </si>
  <si>
    <t>Calle 2 Sur #215</t>
  </si>
  <si>
    <t>Maquiladora DGB Jeans SA de CV</t>
  </si>
  <si>
    <t>manuel.ceron@cimarron.com.mx</t>
  </si>
  <si>
    <t>Calle 4 Norte Lt. 5 Mz. 14</t>
  </si>
  <si>
    <t>Mopesa Motores Power SA</t>
  </si>
  <si>
    <t>Número no existe</t>
  </si>
  <si>
    <t>mercadotecnia@mopesa.com.mx</t>
  </si>
  <si>
    <t>Antiguo Camino a San Lorenzo #295</t>
  </si>
  <si>
    <t>Sanatorio Florencia SA de CV</t>
  </si>
  <si>
    <t>contabilidad@sanatorioflorencia.com.mx</t>
  </si>
  <si>
    <t>Vicente Guerrero #205</t>
  </si>
  <si>
    <t>Morelos</t>
  </si>
  <si>
    <t>Intercarton S de RL de CV</t>
  </si>
  <si>
    <t>rosalva@intercarton.com.mx</t>
  </si>
  <si>
    <t>Lic. Rosalva Sánchez Díaz</t>
  </si>
  <si>
    <t>5 No. Lt. 13</t>
  </si>
  <si>
    <t>Tolcua 2000</t>
  </si>
  <si>
    <t>Grupo Cuauhtémoc Moctezuma SA de CV</t>
  </si>
  <si>
    <t xml:space="preserve"> Sólo Recibe información</t>
  </si>
  <si>
    <t>javier.ramos@cuamoo.com</t>
  </si>
  <si>
    <t>México-Toluca Km 59.5</t>
  </si>
  <si>
    <t>Toluca</t>
  </si>
  <si>
    <t>ZF Chasis Components</t>
  </si>
  <si>
    <t>antonio.rosales@zf.com</t>
  </si>
  <si>
    <t>7 Nte. s/n Mz. J Lt. 2 y 3</t>
  </si>
  <si>
    <t>Barcel SA de CV</t>
  </si>
  <si>
    <t>gabriela.canales@grupobimbo.com</t>
  </si>
  <si>
    <t>Retorno Thomás Alva Edison #109</t>
  </si>
  <si>
    <t>San Lorenzo Tepaltitlán</t>
  </si>
  <si>
    <t>socio comercial</t>
  </si>
  <si>
    <t>Cesvi México SA de CV</t>
  </si>
  <si>
    <t>ovelazquez@cesvimexico.com.mx</t>
  </si>
  <si>
    <t>Calle 1 Sur #101</t>
  </si>
  <si>
    <t>Hilos y Estambres el Águila 2000 SA de CV</t>
  </si>
  <si>
    <t>jjvc2002@hotmail.com</t>
  </si>
  <si>
    <t>6 Nte. #106 (Parque Industrial Toluca 2000)</t>
  </si>
  <si>
    <t>Chrysler de México SA de CV</t>
  </si>
  <si>
    <t>rodrigo.martinezrosas@chrysler.com</t>
  </si>
  <si>
    <t>Carretera México-Toluca Km 60.5</t>
  </si>
  <si>
    <t>Transportes Especiales Mex SA de CV</t>
  </si>
  <si>
    <t>lourdes.garcia@tremexlogistics.com</t>
  </si>
  <si>
    <t>Isidro Fabela Sur #511</t>
  </si>
  <si>
    <t>Qualamex SA de CV</t>
  </si>
  <si>
    <t>csaavedra@quala.com.mx</t>
  </si>
  <si>
    <t>6 Norte #113</t>
  </si>
  <si>
    <t xml:space="preserve"> </t>
  </si>
  <si>
    <t>Garpiel SA de CV</t>
  </si>
  <si>
    <t>garpiel@prodigy.net.mx</t>
  </si>
  <si>
    <t>Tenango #802</t>
  </si>
  <si>
    <t>San Luis Obispo</t>
  </si>
  <si>
    <t>Nueva Wal-Mart de México S de RL de CV</t>
  </si>
  <si>
    <t>Av. Heriberto Enríquez #1037</t>
  </si>
  <si>
    <t>Azteca</t>
  </si>
  <si>
    <t>Schneider Electric México SA de CV</t>
  </si>
  <si>
    <t>4 Norte #101</t>
  </si>
  <si>
    <t>Faske Industrial SA de CV Planta 1</t>
  </si>
  <si>
    <t>Alfonso González de Orozco #189</t>
  </si>
  <si>
    <t>Detroit Diesel Remanufacturing Mexicana S de RL de CV</t>
  </si>
  <si>
    <t>Villa Cuauhtémoc s/n nave #5</t>
  </si>
  <si>
    <t>Villa Santín</t>
  </si>
  <si>
    <t>Janel SA de CV</t>
  </si>
  <si>
    <t>contabil@janel.com.mx</t>
  </si>
  <si>
    <t>Leonardo Da Vinci #521</t>
  </si>
  <si>
    <t>Celanese</t>
  </si>
  <si>
    <t>Vicente Lombardo #104</t>
  </si>
  <si>
    <t>Transformadora Industrial Metálica SA de CV</t>
  </si>
  <si>
    <t>Eje 1 Norte #125</t>
  </si>
  <si>
    <t>no me contestó RH pero tienen mis datos</t>
  </si>
  <si>
    <t>Trelleborg Automotive México SA de CV</t>
  </si>
  <si>
    <t>Bluepaper SA de CV</t>
  </si>
  <si>
    <t>Alfonso Gómez de Orozco #119</t>
  </si>
  <si>
    <t>Grupo Gysapol SA de CV</t>
  </si>
  <si>
    <t>msantiago@plastimadera.com</t>
  </si>
  <si>
    <t>Calle #5 Lt 1 Mz 10</t>
  </si>
  <si>
    <t>Sealy Mattress Sompany S de RL de CV</t>
  </si>
  <si>
    <t>Alfonso Gómez de Orozco #113</t>
  </si>
  <si>
    <t>Sigpack SA de CV</t>
  </si>
  <si>
    <t>Juan Slgado Almazán #1408</t>
  </si>
  <si>
    <t>Servicios Selder SA de CV</t>
  </si>
  <si>
    <t>yaguilarh@selder.com.mx</t>
  </si>
  <si>
    <t>Yazmín Aguilar</t>
  </si>
  <si>
    <t>Fernando Villalpando #48</t>
  </si>
  <si>
    <t>Univisa SA de CV</t>
  </si>
  <si>
    <t>San Pedro Totoltepec Km 1</t>
  </si>
  <si>
    <t>Industrias Notesa SA de CV</t>
  </si>
  <si>
    <t>admontoluca@notesa.com.mx</t>
  </si>
  <si>
    <t>Enedina Arévalo #108</t>
  </si>
  <si>
    <t>OSG Royco SA de CV</t>
  </si>
  <si>
    <t>alfredo.mercado@osgroyco.com.mx</t>
  </si>
  <si>
    <t>Alfredo Mercado</t>
  </si>
  <si>
    <t>Eje 1 Norte Calle #5</t>
  </si>
  <si>
    <t>Operbus SA de CV</t>
  </si>
  <si>
    <t>Marie Curie #334</t>
  </si>
  <si>
    <t>Chantilly SA de CV</t>
  </si>
  <si>
    <t>Lt 6 Mz E #Polongación 4 Norte</t>
  </si>
  <si>
    <t>Operadora Comercial de Desarrollo SA de CV</t>
  </si>
  <si>
    <t>Juárez Sur #211</t>
  </si>
  <si>
    <t>Centro</t>
  </si>
  <si>
    <t>Industrias Kirkwood SA de CV</t>
  </si>
  <si>
    <t>luz.gonzalez@kirkwood.com.mx</t>
  </si>
  <si>
    <t>Luz González</t>
  </si>
  <si>
    <t>Calle #4 Norte</t>
  </si>
  <si>
    <t>quieren hacer un convenio con KZ</t>
  </si>
  <si>
    <t>Productos Inoxidables para la Industria SA de CV</t>
  </si>
  <si>
    <t>margarita.morales@prodinox.com.mx</t>
  </si>
  <si>
    <t>Margarita Morales</t>
  </si>
  <si>
    <t>Av. Roberto Fulton #901</t>
  </si>
  <si>
    <t>San Lorenzo Tepaltitlán Centro</t>
  </si>
  <si>
    <t>Construcción y Señalamiento SA de CV</t>
  </si>
  <si>
    <t>grupocyssa@gmail.com</t>
  </si>
  <si>
    <t>Amalia Rebollar</t>
  </si>
  <si>
    <t>José Guadalupe Posada #66</t>
  </si>
  <si>
    <t>Los Ángeles</t>
  </si>
  <si>
    <t>Grupo Creysi SA de CV</t>
  </si>
  <si>
    <t>rhumanos1@babycreysi.com</t>
  </si>
  <si>
    <t>Recursos Humanos</t>
  </si>
  <si>
    <t>Mz. 3 Lt. 1, 2 y 3</t>
  </si>
  <si>
    <t>Turismos y Autobuses México Toluca Triángulo Flecha SA de CV</t>
  </si>
  <si>
    <t>gerenterh@caminante.mx</t>
  </si>
  <si>
    <t>Lic. Hiram Granciano</t>
  </si>
  <si>
    <t>Valle Verde</t>
  </si>
  <si>
    <t>Tecsiquim SA de CV</t>
  </si>
  <si>
    <t>Calle 7 note #102</t>
  </si>
  <si>
    <t>Construcciones Berrelleza SA de CV</t>
  </si>
  <si>
    <t>berrelleza89@gmail.com</t>
  </si>
  <si>
    <t>Pino Suárez #118</t>
  </si>
  <si>
    <t>San Buenaventura</t>
  </si>
  <si>
    <t>Aero Personal SA de CV</t>
  </si>
  <si>
    <t>gsanchez@aeropersonal.com.mx</t>
  </si>
  <si>
    <t>Lic. Gabriela Sánchez</t>
  </si>
  <si>
    <t>Aviación General #31</t>
  </si>
  <si>
    <t>Proyectos Construcciones y Mantenimiento Industrial SA de CV</t>
  </si>
  <si>
    <t>Sor Juana Inés de la Cruz #403</t>
  </si>
  <si>
    <t>Cuauhtémoc</t>
  </si>
  <si>
    <t>Cinepolis de México SA de CV</t>
  </si>
  <si>
    <t>Centro Dinámico Pegaso SA de CV</t>
  </si>
  <si>
    <t>mpg@pegaso.com.mx</t>
  </si>
  <si>
    <t>Maritza Padilla</t>
  </si>
  <si>
    <t>Carr. Toluca-Naucalpan Km 52.5</t>
  </si>
  <si>
    <t>San Mateo Otzacatipan</t>
  </si>
  <si>
    <t>Ing. Teodoro Albarrán Pliego SA de CV</t>
  </si>
  <si>
    <t>Allende Sur #602</t>
  </si>
  <si>
    <t>Francisco Murguia El Ranchito</t>
  </si>
  <si>
    <t>Bonafont SA de CV</t>
  </si>
  <si>
    <t>Villa Cuauhtémoc Mz. 420</t>
  </si>
  <si>
    <t>Balcones Santín</t>
  </si>
  <si>
    <t>SC Johnson and Son SA de CV</t>
  </si>
  <si>
    <t>Blvd. Miguel Alemán #4535 (Exportec II)</t>
  </si>
  <si>
    <t>Cremería Americana SA de CV</t>
  </si>
  <si>
    <t>Central s/n</t>
  </si>
  <si>
    <t>Transdiza SA de CV</t>
  </si>
  <si>
    <t>Vialidad Toluca-Atlacomulco #1850</t>
  </si>
  <si>
    <t>La Retama</t>
  </si>
  <si>
    <t>Autotransportes de Pasajeros México Toluca San Luis Mixtepec Querétaro Flecha Roja SA de CV</t>
  </si>
  <si>
    <t>Venustiano Carranza #602 (Central de Autobuses)</t>
  </si>
  <si>
    <t>Altamirano</t>
  </si>
  <si>
    <t>Autobuses México Toluca Zinacantepec y Ramales SA de CV</t>
  </si>
  <si>
    <t>Felipe Berriozabal #105</t>
  </si>
  <si>
    <t>Auto Express Frontera Norte SA de CV</t>
  </si>
  <si>
    <t>Alfredo Nobel s/n</t>
  </si>
  <si>
    <t>Caminante Aeropuerto SA de CV</t>
  </si>
  <si>
    <t>Gral. Felipe Berriozabal #101</t>
  </si>
  <si>
    <t>Calzado Van Vien SA de CV</t>
  </si>
  <si>
    <t>recursoshumanos@vanvien.com.mx</t>
  </si>
  <si>
    <t>Héroes de Nacozari #205 (Parque Ind. Toluca)</t>
  </si>
  <si>
    <t>Ferrocarriles Nacionales</t>
  </si>
  <si>
    <t>BBM CPG Mexicana SA de CV</t>
  </si>
  <si>
    <t>Servicios Profesionales de Apoyo al Transporte</t>
  </si>
  <si>
    <t>Gral. V Carranza #602</t>
  </si>
  <si>
    <t>Faske Industrial SA de CV</t>
  </si>
  <si>
    <t>javier.zepeda@faske.com.mx</t>
  </si>
  <si>
    <t>Javier Zepeda</t>
  </si>
  <si>
    <t>Alfonso Gómez de Orozco #189</t>
  </si>
  <si>
    <t>Fabián Pichardo Rivas</t>
  </si>
  <si>
    <t>José María Morelos #34</t>
  </si>
  <si>
    <t>Villas de Santa Ana III</t>
  </si>
  <si>
    <t>aaguirre@janel.com.mx</t>
  </si>
  <si>
    <t>Guadalupe</t>
  </si>
  <si>
    <t>Servicios Corporativos Cesvi SA de CV</t>
  </si>
  <si>
    <t>Uno #101</t>
  </si>
  <si>
    <t>Plasticorrales SA de CV</t>
  </si>
  <si>
    <t>Central #10</t>
  </si>
  <si>
    <t>Poliuretanos SA de CV</t>
  </si>
  <si>
    <t>4 Sur Lt. 1 al 11</t>
  </si>
  <si>
    <t>Blue Paper SA de CV</t>
  </si>
  <si>
    <t>Juan Salgado #100</t>
  </si>
  <si>
    <t>Reproducciones Fotomecánicas SA de CV</t>
  </si>
  <si>
    <t>arturo.ramirez@qg.com</t>
  </si>
  <si>
    <t>Arturo Ramírez</t>
  </si>
  <si>
    <t>7 Norte Esq 1 Norte</t>
  </si>
  <si>
    <t>KWD Industrias SA de CV</t>
  </si>
  <si>
    <t>4 Norte #100 B</t>
  </si>
  <si>
    <t>Elmex Superior SA de CV</t>
  </si>
  <si>
    <t>Eje 4 #4</t>
  </si>
  <si>
    <t>Fácil NA de México S de RL de CV</t>
  </si>
  <si>
    <t>Calle 5 Sur #58</t>
  </si>
  <si>
    <t>Mac Rotativas SA A de CV</t>
  </si>
  <si>
    <t>Exportec #2</t>
  </si>
  <si>
    <t>mgonzalez@editorial.com.mx</t>
  </si>
  <si>
    <t>Lt. 8 Mz. 3</t>
  </si>
  <si>
    <t>Dana de México Corporación SRL de CV</t>
  </si>
  <si>
    <t>norma.gomez@dana.com</t>
  </si>
  <si>
    <t>Norma Gómez</t>
  </si>
  <si>
    <t>Grupo Industrial Toluca SA de CV</t>
  </si>
  <si>
    <t>Juan Gutemberg #108</t>
  </si>
  <si>
    <t>Reforma</t>
  </si>
  <si>
    <t>Foli de México SA de CV</t>
  </si>
  <si>
    <t>leonardo.rebollar@foli.com.mx</t>
  </si>
  <si>
    <t>Eje 1 norte #103</t>
  </si>
  <si>
    <t>Braxico Manufacturing SA de CV</t>
  </si>
  <si>
    <t>jr@braxico.mx</t>
  </si>
  <si>
    <t>Teodor Albarrán Pliego #106</t>
  </si>
  <si>
    <t>Santa Cruz Azcapotzaltongo Centro</t>
  </si>
  <si>
    <t>KAVAK Lerma</t>
  </si>
  <si>
    <t>ayuda@kavak.com</t>
  </si>
  <si>
    <t>Lerma</t>
  </si>
  <si>
    <t>Carr. Amomolulco 36.4 Km</t>
  </si>
  <si>
    <t>Ocoyoacac</t>
  </si>
  <si>
    <t>CESEHSA</t>
  </si>
  <si>
    <t>info@cesehsa.com.mx</t>
  </si>
  <si>
    <t>Bahía de todos los Santos #166</t>
  </si>
  <si>
    <t>Santa Ana Tlapaltitlán</t>
  </si>
  <si>
    <t>CICSA Toluca</t>
  </si>
  <si>
    <t>Paseo Tollocan #1229 int. 7-A 3</t>
  </si>
  <si>
    <t>Santa María Totoltepec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</si>
</sst>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2" fillId="0" borderId="0" xfId="1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2" fillId="0" borderId="0" xfId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2" fillId="5" borderId="0" xfId="1" applyFill="1" applyBorder="1" applyAlignment="1">
      <alignment horizontal="center"/>
    </xf>
    <xf numFmtId="0" fontId="0" fillId="5" borderId="0" xfId="0" applyFill="1"/>
    <xf numFmtId="4" fontId="0" fillId="5" borderId="0" xfId="0" applyNumberFormat="1" applyFill="1" applyAlignment="1">
      <alignment horizontal="left"/>
    </xf>
    <xf numFmtId="0" fontId="0" fillId="5" borderId="0" xfId="0" applyFill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2" fillId="0" borderId="0" xfId="1" applyBorder="1" applyAlignment="1" applyProtection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quotePrefix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0" xfId="1" applyFont="1" applyBorder="1" applyAlignment="1" applyProtection="1">
      <alignment horizontal="center"/>
    </xf>
    <xf numFmtId="0" fontId="3" fillId="0" borderId="0" xfId="0" applyFont="1" applyAlignment="1">
      <alignment wrapText="1"/>
    </xf>
    <xf numFmtId="14" fontId="3" fillId="0" borderId="0" xfId="0" applyNumberFormat="1" applyFont="1"/>
    <xf numFmtId="4" fontId="0" fillId="0" borderId="0" xfId="0" applyNumberFormat="1" applyAlignment="1">
      <alignment horizontal="left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2" fillId="5" borderId="0" xfId="1" applyFill="1" applyBorder="1" applyAlignment="1">
      <alignment horizontal="center" vertical="center" wrapText="1"/>
    </xf>
    <xf numFmtId="0" fontId="2" fillId="0" borderId="0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be1a89f6e0058d7/Documentos/KidZania%20PC/Indicador%20FL%20Alberto%20de%20la%20Torre%20(diario)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´s"/>
      <sheetName val="BD"/>
      <sheetName val="DATOS"/>
    </sheetNames>
    <sheetDataSet>
      <sheetData sheetId="0"/>
      <sheetData sheetId="1"/>
      <sheetData sheetId="2">
        <row r="1">
          <cell r="E1">
            <v>43766</v>
          </cell>
          <cell r="F1" t="str">
            <v>Lunes</v>
          </cell>
          <cell r="G1" t="str">
            <v>5a Sem</v>
          </cell>
        </row>
        <row r="2">
          <cell r="E2">
            <v>43767</v>
          </cell>
          <cell r="F2" t="str">
            <v>Martes</v>
          </cell>
          <cell r="G2" t="str">
            <v>5a Sem</v>
          </cell>
          <cell r="H2" t="str">
            <v>RODRIGO G.</v>
          </cell>
          <cell r="I2" t="str">
            <v>FL</v>
          </cell>
        </row>
        <row r="3">
          <cell r="E3">
            <v>43768</v>
          </cell>
          <cell r="F3" t="str">
            <v>Miércoles</v>
          </cell>
          <cell r="G3" t="str">
            <v>5a Sem</v>
          </cell>
          <cell r="H3" t="str">
            <v>CLAUDIA</v>
          </cell>
          <cell r="I3" t="str">
            <v>FL</v>
          </cell>
        </row>
        <row r="4">
          <cell r="E4">
            <v>43769</v>
          </cell>
          <cell r="F4" t="str">
            <v>Jueves</v>
          </cell>
          <cell r="G4" t="str">
            <v>5a Sem</v>
          </cell>
          <cell r="H4" t="str">
            <v>ROD</v>
          </cell>
          <cell r="I4" t="str">
            <v>FL</v>
          </cell>
        </row>
        <row r="5">
          <cell r="E5">
            <v>43770</v>
          </cell>
          <cell r="F5" t="str">
            <v>Viernes</v>
          </cell>
          <cell r="G5" t="str">
            <v>1a Sem</v>
          </cell>
          <cell r="H5" t="str">
            <v>MARCO</v>
          </cell>
          <cell r="I5" t="str">
            <v>FL</v>
          </cell>
        </row>
        <row r="6">
          <cell r="E6">
            <v>43771</v>
          </cell>
          <cell r="F6" t="str">
            <v>Sábado</v>
          </cell>
          <cell r="G6" t="str">
            <v>1a Sem</v>
          </cell>
          <cell r="H6" t="str">
            <v>S. MOGUEL</v>
          </cell>
          <cell r="I6" t="str">
            <v>FL</v>
          </cell>
        </row>
        <row r="7">
          <cell r="E7">
            <v>43772</v>
          </cell>
          <cell r="F7" t="str">
            <v>Domingo</v>
          </cell>
          <cell r="G7" t="str">
            <v>1a Sem</v>
          </cell>
          <cell r="H7" t="str">
            <v>PATRICIA</v>
          </cell>
          <cell r="I7" t="str">
            <v>FL</v>
          </cell>
        </row>
        <row r="8">
          <cell r="E8">
            <v>43773</v>
          </cell>
          <cell r="F8" t="str">
            <v>Lunes</v>
          </cell>
          <cell r="G8" t="str">
            <v>1a Sem</v>
          </cell>
          <cell r="H8" t="str">
            <v>SEBASTIAN</v>
          </cell>
          <cell r="I8" t="str">
            <v>FL</v>
          </cell>
        </row>
        <row r="9">
          <cell r="E9">
            <v>43774</v>
          </cell>
          <cell r="F9" t="str">
            <v>Martes</v>
          </cell>
          <cell r="G9" t="str">
            <v>1a Sem</v>
          </cell>
          <cell r="H9" t="str">
            <v>SAMANTHA</v>
          </cell>
          <cell r="I9" t="str">
            <v>FL</v>
          </cell>
        </row>
        <row r="10">
          <cell r="E10">
            <v>43775</v>
          </cell>
          <cell r="F10" t="str">
            <v>Miércoles</v>
          </cell>
          <cell r="G10" t="str">
            <v>1a Sem</v>
          </cell>
          <cell r="H10" t="str">
            <v>JAIME</v>
          </cell>
          <cell r="I10" t="str">
            <v>FL</v>
          </cell>
        </row>
        <row r="11">
          <cell r="E11">
            <v>43776</v>
          </cell>
          <cell r="F11" t="str">
            <v>Jueves</v>
          </cell>
          <cell r="G11" t="str">
            <v>1a Sem</v>
          </cell>
          <cell r="H11" t="str">
            <v>ALFONSO</v>
          </cell>
          <cell r="I11" t="str">
            <v>FL</v>
          </cell>
        </row>
        <row r="12">
          <cell r="E12">
            <v>43777</v>
          </cell>
          <cell r="F12" t="str">
            <v>Viernes</v>
          </cell>
          <cell r="G12" t="str">
            <v>1a Sem</v>
          </cell>
          <cell r="H12" t="str">
            <v>ALBERTO</v>
          </cell>
          <cell r="I12" t="str">
            <v>FL</v>
          </cell>
        </row>
        <row r="13">
          <cell r="E13">
            <v>43778</v>
          </cell>
          <cell r="F13" t="str">
            <v>Sábado</v>
          </cell>
          <cell r="G13" t="str">
            <v>1a Sem</v>
          </cell>
          <cell r="H13"/>
          <cell r="I13" t="str">
            <v>FL</v>
          </cell>
        </row>
        <row r="14">
          <cell r="E14">
            <v>43779</v>
          </cell>
          <cell r="F14" t="str">
            <v>Domingo</v>
          </cell>
          <cell r="G14" t="str">
            <v>1a Sem</v>
          </cell>
          <cell r="H14" t="str">
            <v>YADIRA</v>
          </cell>
          <cell r="I14" t="str">
            <v>VPT</v>
          </cell>
        </row>
        <row r="15">
          <cell r="E15">
            <v>43780</v>
          </cell>
          <cell r="F15" t="str">
            <v>Lunes</v>
          </cell>
          <cell r="G15" t="str">
            <v>2a Sem</v>
          </cell>
          <cell r="H15" t="str">
            <v>CECILIA</v>
          </cell>
          <cell r="I15" t="str">
            <v>VPT</v>
          </cell>
        </row>
        <row r="16">
          <cell r="E16">
            <v>43781</v>
          </cell>
          <cell r="F16" t="str">
            <v>Martes</v>
          </cell>
          <cell r="G16" t="str">
            <v>2a Sem</v>
          </cell>
          <cell r="H16" t="str">
            <v>EMMANUEL</v>
          </cell>
          <cell r="I16" t="str">
            <v>VPT</v>
          </cell>
        </row>
        <row r="17">
          <cell r="E17">
            <v>43782</v>
          </cell>
          <cell r="F17" t="str">
            <v>Miércoles</v>
          </cell>
          <cell r="G17" t="str">
            <v>2a Sem</v>
          </cell>
          <cell r="H17" t="str">
            <v>CRISTOPHER</v>
          </cell>
          <cell r="I17" t="str">
            <v>VPT</v>
          </cell>
        </row>
        <row r="18">
          <cell r="E18">
            <v>43783</v>
          </cell>
          <cell r="F18" t="str">
            <v>Jueves</v>
          </cell>
          <cell r="G18" t="str">
            <v>2a Sem</v>
          </cell>
        </row>
        <row r="19">
          <cell r="E19">
            <v>43784</v>
          </cell>
          <cell r="F19" t="str">
            <v>Viernes</v>
          </cell>
          <cell r="G19" t="str">
            <v>2a Sem</v>
          </cell>
        </row>
        <row r="20">
          <cell r="E20">
            <v>43785</v>
          </cell>
          <cell r="F20" t="str">
            <v>Sábado</v>
          </cell>
          <cell r="G20" t="str">
            <v>2a Sem</v>
          </cell>
        </row>
        <row r="21">
          <cell r="E21">
            <v>43786</v>
          </cell>
          <cell r="F21" t="str">
            <v>Domingo</v>
          </cell>
          <cell r="G21" t="str">
            <v>2a Sem</v>
          </cell>
        </row>
        <row r="22">
          <cell r="E22">
            <v>43787</v>
          </cell>
          <cell r="F22" t="str">
            <v>Lunes</v>
          </cell>
          <cell r="G22" t="str">
            <v>3a Sem</v>
          </cell>
        </row>
        <row r="23">
          <cell r="E23">
            <v>43788</v>
          </cell>
          <cell r="F23" t="str">
            <v>Martes</v>
          </cell>
          <cell r="G23" t="str">
            <v>3a Sem</v>
          </cell>
        </row>
        <row r="24">
          <cell r="E24">
            <v>43789</v>
          </cell>
          <cell r="F24" t="str">
            <v>Miércoles</v>
          </cell>
          <cell r="G24" t="str">
            <v>3a Sem</v>
          </cell>
        </row>
        <row r="25">
          <cell r="E25">
            <v>43790</v>
          </cell>
          <cell r="F25" t="str">
            <v>Jueves</v>
          </cell>
          <cell r="G25" t="str">
            <v>3a Sem</v>
          </cell>
        </row>
        <row r="26">
          <cell r="E26">
            <v>43791</v>
          </cell>
          <cell r="F26" t="str">
            <v>Viernes</v>
          </cell>
          <cell r="G26" t="str">
            <v>3a Sem</v>
          </cell>
        </row>
        <row r="27">
          <cell r="E27">
            <v>43792</v>
          </cell>
          <cell r="F27" t="str">
            <v>Sábado</v>
          </cell>
          <cell r="G27" t="str">
            <v>3a Sem</v>
          </cell>
        </row>
        <row r="28">
          <cell r="E28">
            <v>43793</v>
          </cell>
          <cell r="F28" t="str">
            <v>Domingo</v>
          </cell>
          <cell r="G28" t="str">
            <v>3a Sem</v>
          </cell>
        </row>
        <row r="29">
          <cell r="E29">
            <v>43794</v>
          </cell>
          <cell r="F29" t="str">
            <v>Lunes</v>
          </cell>
          <cell r="G29" t="str">
            <v>4a Sem</v>
          </cell>
        </row>
        <row r="30">
          <cell r="E30">
            <v>43795</v>
          </cell>
          <cell r="F30" t="str">
            <v>Martes</v>
          </cell>
          <cell r="G30" t="str">
            <v>4a Sem</v>
          </cell>
        </row>
        <row r="31">
          <cell r="E31">
            <v>43796</v>
          </cell>
          <cell r="F31" t="str">
            <v>Miércoles</v>
          </cell>
          <cell r="G31" t="str">
            <v>4a Sem</v>
          </cell>
        </row>
        <row r="32">
          <cell r="E32">
            <v>43797</v>
          </cell>
          <cell r="F32" t="str">
            <v>Jueves</v>
          </cell>
          <cell r="G32" t="str">
            <v>4a Sem</v>
          </cell>
        </row>
        <row r="33">
          <cell r="E33">
            <v>43798</v>
          </cell>
          <cell r="F33" t="str">
            <v>Viernes</v>
          </cell>
          <cell r="G33" t="str">
            <v>4a Sem</v>
          </cell>
        </row>
        <row r="34">
          <cell r="E34">
            <v>43799</v>
          </cell>
          <cell r="F34" t="str">
            <v>Sábado</v>
          </cell>
          <cell r="G34" t="str">
            <v>4a Sem</v>
          </cell>
        </row>
        <row r="35">
          <cell r="E35">
            <v>43800</v>
          </cell>
          <cell r="F35" t="str">
            <v>Domingo</v>
          </cell>
          <cell r="G35" t="str">
            <v>1a Sem</v>
          </cell>
        </row>
        <row r="36">
          <cell r="E36">
            <v>43801</v>
          </cell>
          <cell r="F36" t="str">
            <v>Lunes</v>
          </cell>
          <cell r="G36" t="str">
            <v>1a Sem</v>
          </cell>
        </row>
        <row r="37">
          <cell r="E37">
            <v>43802</v>
          </cell>
          <cell r="F37" t="str">
            <v>Martes</v>
          </cell>
          <cell r="G37" t="str">
            <v>1a Sem</v>
          </cell>
        </row>
        <row r="38">
          <cell r="E38">
            <v>43803</v>
          </cell>
          <cell r="F38" t="str">
            <v>Miércoles</v>
          </cell>
          <cell r="G38" t="str">
            <v>1a Sem</v>
          </cell>
        </row>
        <row r="39">
          <cell r="E39">
            <v>43804</v>
          </cell>
          <cell r="F39" t="str">
            <v>Jueves</v>
          </cell>
          <cell r="G39" t="str">
            <v>1a Sem</v>
          </cell>
        </row>
        <row r="40">
          <cell r="E40">
            <v>43805</v>
          </cell>
          <cell r="F40" t="str">
            <v>Viernes</v>
          </cell>
          <cell r="G40" t="str">
            <v>1a Sem</v>
          </cell>
        </row>
        <row r="41">
          <cell r="E41">
            <v>43806</v>
          </cell>
          <cell r="F41" t="str">
            <v>Sábado</v>
          </cell>
          <cell r="G41" t="str">
            <v>1a Sem</v>
          </cell>
        </row>
        <row r="42">
          <cell r="E42">
            <v>43807</v>
          </cell>
          <cell r="F42" t="str">
            <v>Domingo</v>
          </cell>
          <cell r="G42" t="str">
            <v>1a Sem</v>
          </cell>
        </row>
        <row r="43">
          <cell r="E43">
            <v>43808</v>
          </cell>
          <cell r="F43" t="str">
            <v>Lunes</v>
          </cell>
          <cell r="G43" t="str">
            <v>2a Sem</v>
          </cell>
        </row>
        <row r="44">
          <cell r="E44">
            <v>43809</v>
          </cell>
          <cell r="F44" t="str">
            <v>Martes</v>
          </cell>
          <cell r="G44" t="str">
            <v>2a Sem</v>
          </cell>
        </row>
        <row r="45">
          <cell r="E45">
            <v>43810</v>
          </cell>
          <cell r="F45" t="str">
            <v>Miércoles</v>
          </cell>
          <cell r="G45" t="str">
            <v>2a Sem</v>
          </cell>
        </row>
        <row r="46">
          <cell r="E46">
            <v>43811</v>
          </cell>
          <cell r="F46" t="str">
            <v>Jueves</v>
          </cell>
          <cell r="G46" t="str">
            <v>2a Sem</v>
          </cell>
        </row>
        <row r="47">
          <cell r="E47">
            <v>43812</v>
          </cell>
          <cell r="F47" t="str">
            <v>Viernes</v>
          </cell>
          <cell r="G47" t="str">
            <v>2a Sem</v>
          </cell>
        </row>
        <row r="48">
          <cell r="E48">
            <v>43813</v>
          </cell>
          <cell r="F48" t="str">
            <v>Sábado</v>
          </cell>
          <cell r="G48" t="str">
            <v>2a Sem</v>
          </cell>
        </row>
        <row r="49">
          <cell r="E49">
            <v>43814</v>
          </cell>
          <cell r="F49" t="str">
            <v>Domingo</v>
          </cell>
          <cell r="G49" t="str">
            <v>2a Sem</v>
          </cell>
        </row>
        <row r="50">
          <cell r="E50">
            <v>43815</v>
          </cell>
          <cell r="F50" t="str">
            <v>Lunes</v>
          </cell>
          <cell r="G50" t="str">
            <v>3a Sem</v>
          </cell>
        </row>
        <row r="51">
          <cell r="E51">
            <v>43816</v>
          </cell>
          <cell r="F51" t="str">
            <v>Martes</v>
          </cell>
          <cell r="G51" t="str">
            <v>3a Sem</v>
          </cell>
        </row>
        <row r="52">
          <cell r="E52">
            <v>43817</v>
          </cell>
          <cell r="F52" t="str">
            <v>Miércoles</v>
          </cell>
          <cell r="G52" t="str">
            <v>3a Sem</v>
          </cell>
        </row>
        <row r="53">
          <cell r="E53">
            <v>43818</v>
          </cell>
          <cell r="F53" t="str">
            <v>Jueves</v>
          </cell>
          <cell r="G53" t="str">
            <v>3a Sem</v>
          </cell>
        </row>
        <row r="54">
          <cell r="E54">
            <v>43819</v>
          </cell>
          <cell r="F54" t="str">
            <v>Viernes</v>
          </cell>
          <cell r="G54" t="str">
            <v>3a Sem</v>
          </cell>
        </row>
        <row r="55">
          <cell r="E55">
            <v>43820</v>
          </cell>
          <cell r="F55" t="str">
            <v>Sábado</v>
          </cell>
          <cell r="G55" t="str">
            <v>3a Sem</v>
          </cell>
        </row>
        <row r="56">
          <cell r="E56">
            <v>43821</v>
          </cell>
          <cell r="F56" t="str">
            <v>Domingo</v>
          </cell>
          <cell r="G56" t="str">
            <v>3a Sem</v>
          </cell>
        </row>
        <row r="57">
          <cell r="E57">
            <v>43822</v>
          </cell>
          <cell r="F57" t="str">
            <v>Lunes</v>
          </cell>
          <cell r="G57" t="str">
            <v>4a Sem</v>
          </cell>
        </row>
        <row r="58">
          <cell r="E58">
            <v>43823</v>
          </cell>
          <cell r="F58" t="str">
            <v>Martes</v>
          </cell>
          <cell r="G58" t="str">
            <v>4a Sem</v>
          </cell>
        </row>
        <row r="59">
          <cell r="E59">
            <v>43824</v>
          </cell>
          <cell r="F59" t="str">
            <v>Miércoles</v>
          </cell>
          <cell r="G59" t="str">
            <v>4a Sem</v>
          </cell>
        </row>
        <row r="60">
          <cell r="E60">
            <v>43825</v>
          </cell>
          <cell r="F60" t="str">
            <v>Jueves</v>
          </cell>
          <cell r="G60" t="str">
            <v>4a Sem</v>
          </cell>
        </row>
        <row r="61">
          <cell r="E61">
            <v>43826</v>
          </cell>
          <cell r="F61" t="str">
            <v>Viernes</v>
          </cell>
          <cell r="G61" t="str">
            <v>4a Sem</v>
          </cell>
        </row>
        <row r="62">
          <cell r="E62">
            <v>43827</v>
          </cell>
          <cell r="F62" t="str">
            <v>Sábado</v>
          </cell>
          <cell r="G62" t="str">
            <v>4a Sem</v>
          </cell>
        </row>
        <row r="63">
          <cell r="E63">
            <v>43828</v>
          </cell>
          <cell r="F63" t="str">
            <v>Domingo</v>
          </cell>
          <cell r="G63" t="str">
            <v>4a Sem</v>
          </cell>
        </row>
        <row r="64">
          <cell r="E64">
            <v>43829</v>
          </cell>
          <cell r="F64" t="str">
            <v>Lunes</v>
          </cell>
          <cell r="G64" t="str">
            <v>5a Sem</v>
          </cell>
        </row>
        <row r="65">
          <cell r="E65">
            <v>43830</v>
          </cell>
          <cell r="F65" t="str">
            <v>Martes</v>
          </cell>
          <cell r="G65" t="str">
            <v>5a Sem</v>
          </cell>
        </row>
        <row r="66">
          <cell r="E66">
            <v>43831</v>
          </cell>
          <cell r="F66" t="str">
            <v>Miércoles</v>
          </cell>
          <cell r="G66"/>
        </row>
        <row r="67">
          <cell r="E67">
            <v>43832</v>
          </cell>
          <cell r="F67" t="str">
            <v>Jueves</v>
          </cell>
          <cell r="G67"/>
        </row>
        <row r="68">
          <cell r="E68">
            <v>43833</v>
          </cell>
          <cell r="F68" t="str">
            <v>Viernes</v>
          </cell>
          <cell r="G68"/>
        </row>
        <row r="69">
          <cell r="E69">
            <v>43834</v>
          </cell>
          <cell r="F69" t="str">
            <v>Sábado</v>
          </cell>
          <cell r="G69"/>
        </row>
        <row r="70">
          <cell r="E70">
            <v>43835</v>
          </cell>
          <cell r="F70" t="str">
            <v>Domingo</v>
          </cell>
          <cell r="G70"/>
        </row>
        <row r="71">
          <cell r="E71">
            <v>43836</v>
          </cell>
          <cell r="F71" t="str">
            <v>Lunes</v>
          </cell>
          <cell r="G71"/>
        </row>
        <row r="72">
          <cell r="E72">
            <v>43837</v>
          </cell>
          <cell r="F72" t="str">
            <v>Martes</v>
          </cell>
          <cell r="G72"/>
        </row>
        <row r="73">
          <cell r="E73">
            <v>43838</v>
          </cell>
          <cell r="F73" t="str">
            <v>Miércoles</v>
          </cell>
          <cell r="G73"/>
        </row>
        <row r="74">
          <cell r="E74">
            <v>43839</v>
          </cell>
          <cell r="F74" t="str">
            <v>Jueves</v>
          </cell>
          <cell r="G74"/>
        </row>
        <row r="75">
          <cell r="E75">
            <v>43840</v>
          </cell>
          <cell r="F75" t="str">
            <v>Viernes</v>
          </cell>
          <cell r="G75"/>
        </row>
        <row r="76">
          <cell r="E76">
            <v>43841</v>
          </cell>
          <cell r="F76" t="str">
            <v>Sábado</v>
          </cell>
          <cell r="G76"/>
        </row>
        <row r="77">
          <cell r="E77">
            <v>43842</v>
          </cell>
          <cell r="F77" t="str">
            <v>Domingo</v>
          </cell>
          <cell r="G77"/>
        </row>
        <row r="78">
          <cell r="E78">
            <v>43843</v>
          </cell>
          <cell r="F78" t="str">
            <v>Lunes</v>
          </cell>
          <cell r="G78"/>
        </row>
        <row r="79">
          <cell r="E79">
            <v>43844</v>
          </cell>
          <cell r="F79" t="str">
            <v>Martes</v>
          </cell>
          <cell r="G79"/>
        </row>
        <row r="80">
          <cell r="E80">
            <v>43845</v>
          </cell>
          <cell r="F80" t="str">
            <v>Miércoles</v>
          </cell>
          <cell r="G80"/>
        </row>
        <row r="81">
          <cell r="E81">
            <v>43846</v>
          </cell>
          <cell r="F81" t="str">
            <v>Jueves</v>
          </cell>
          <cell r="G81"/>
        </row>
        <row r="82">
          <cell r="E82">
            <v>43847</v>
          </cell>
          <cell r="F82" t="str">
            <v>Viernes</v>
          </cell>
          <cell r="G82"/>
        </row>
        <row r="83">
          <cell r="E83">
            <v>43848</v>
          </cell>
          <cell r="F83" t="str">
            <v>Sábado</v>
          </cell>
          <cell r="G83"/>
        </row>
        <row r="84">
          <cell r="E84">
            <v>43849</v>
          </cell>
          <cell r="F84" t="str">
            <v>Domingo</v>
          </cell>
          <cell r="G84"/>
        </row>
        <row r="85">
          <cell r="E85">
            <v>43850</v>
          </cell>
          <cell r="F85" t="str">
            <v>Lunes</v>
          </cell>
          <cell r="G85"/>
        </row>
        <row r="86">
          <cell r="E86">
            <v>43851</v>
          </cell>
          <cell r="F86" t="str">
            <v>Martes</v>
          </cell>
          <cell r="G86"/>
        </row>
        <row r="87">
          <cell r="E87">
            <v>43852</v>
          </cell>
          <cell r="F87" t="str">
            <v>Miércoles</v>
          </cell>
          <cell r="G87"/>
        </row>
        <row r="88">
          <cell r="E88">
            <v>43853</v>
          </cell>
          <cell r="F88" t="str">
            <v>Jueves</v>
          </cell>
          <cell r="G88"/>
        </row>
        <row r="89">
          <cell r="E89">
            <v>43854</v>
          </cell>
          <cell r="F89" t="str">
            <v>Viernes</v>
          </cell>
          <cell r="G89"/>
        </row>
        <row r="90">
          <cell r="E90">
            <v>43855</v>
          </cell>
          <cell r="F90" t="str">
            <v>Sábado</v>
          </cell>
          <cell r="G90"/>
        </row>
        <row r="91">
          <cell r="E91">
            <v>43856</v>
          </cell>
          <cell r="F91" t="str">
            <v>Domingo</v>
          </cell>
          <cell r="G91"/>
        </row>
        <row r="92">
          <cell r="E92">
            <v>43857</v>
          </cell>
          <cell r="F92" t="str">
            <v>Lunes</v>
          </cell>
          <cell r="G92"/>
        </row>
        <row r="93">
          <cell r="E93">
            <v>43858</v>
          </cell>
          <cell r="F93" t="str">
            <v>Martes</v>
          </cell>
          <cell r="G93"/>
        </row>
        <row r="94">
          <cell r="E94">
            <v>43859</v>
          </cell>
          <cell r="F94" t="str">
            <v>Miércoles</v>
          </cell>
          <cell r="G94"/>
        </row>
        <row r="95">
          <cell r="E95">
            <v>43860</v>
          </cell>
          <cell r="F95" t="str">
            <v>Jueves</v>
          </cell>
          <cell r="G95"/>
        </row>
        <row r="96">
          <cell r="E96">
            <v>43861</v>
          </cell>
          <cell r="F96" t="str">
            <v>Viernes</v>
          </cell>
          <cell r="G96"/>
        </row>
        <row r="97">
          <cell r="E97">
            <v>43862</v>
          </cell>
          <cell r="F97" t="str">
            <v>Sábado</v>
          </cell>
          <cell r="G97"/>
        </row>
        <row r="98">
          <cell r="E98">
            <v>43863</v>
          </cell>
          <cell r="F98" t="str">
            <v>Domingo</v>
          </cell>
          <cell r="G98"/>
        </row>
        <row r="99">
          <cell r="E99">
            <v>43864</v>
          </cell>
          <cell r="F99" t="str">
            <v>Lunes</v>
          </cell>
          <cell r="G99"/>
        </row>
        <row r="100">
          <cell r="E100">
            <v>43865</v>
          </cell>
          <cell r="F100" t="str">
            <v>Martes</v>
          </cell>
          <cell r="G100"/>
        </row>
        <row r="101">
          <cell r="E101">
            <v>43866</v>
          </cell>
          <cell r="F101" t="str">
            <v>Miércoles</v>
          </cell>
          <cell r="G101"/>
        </row>
        <row r="102">
          <cell r="E102">
            <v>43867</v>
          </cell>
          <cell r="F102" t="str">
            <v>Jueves</v>
          </cell>
          <cell r="G102"/>
        </row>
        <row r="103">
          <cell r="E103">
            <v>43868</v>
          </cell>
          <cell r="F103" t="str">
            <v>Viernes</v>
          </cell>
          <cell r="G103"/>
        </row>
        <row r="104">
          <cell r="E104">
            <v>43869</v>
          </cell>
          <cell r="F104" t="str">
            <v>Sábado</v>
          </cell>
          <cell r="G104"/>
        </row>
        <row r="105">
          <cell r="E105">
            <v>43870</v>
          </cell>
          <cell r="F105" t="str">
            <v>Domingo</v>
          </cell>
          <cell r="G105"/>
        </row>
        <row r="106">
          <cell r="E106">
            <v>43871</v>
          </cell>
          <cell r="F106" t="str">
            <v>Lunes</v>
          </cell>
          <cell r="G106"/>
        </row>
        <row r="107">
          <cell r="E107">
            <v>43872</v>
          </cell>
          <cell r="F107" t="str">
            <v>Martes</v>
          </cell>
          <cell r="G107"/>
        </row>
        <row r="108">
          <cell r="E108">
            <v>43873</v>
          </cell>
          <cell r="F108" t="str">
            <v>Miércoles</v>
          </cell>
          <cell r="G108"/>
        </row>
        <row r="109">
          <cell r="E109">
            <v>43874</v>
          </cell>
          <cell r="F109" t="str">
            <v>Jueves</v>
          </cell>
          <cell r="G109"/>
        </row>
        <row r="110">
          <cell r="E110">
            <v>43875</v>
          </cell>
          <cell r="F110" t="str">
            <v>Viernes</v>
          </cell>
          <cell r="G110"/>
        </row>
        <row r="111">
          <cell r="E111">
            <v>43876</v>
          </cell>
          <cell r="F111" t="str">
            <v>Sábado</v>
          </cell>
          <cell r="G111"/>
        </row>
        <row r="112">
          <cell r="E112">
            <v>43877</v>
          </cell>
          <cell r="F112" t="str">
            <v>Domingo</v>
          </cell>
          <cell r="G112"/>
        </row>
        <row r="113">
          <cell r="E113">
            <v>43878</v>
          </cell>
          <cell r="F113" t="str">
            <v>Lunes</v>
          </cell>
          <cell r="G113"/>
        </row>
        <row r="114">
          <cell r="E114">
            <v>43879</v>
          </cell>
          <cell r="F114" t="str">
            <v>Martes</v>
          </cell>
          <cell r="G114"/>
        </row>
        <row r="115">
          <cell r="E115">
            <v>43880</v>
          </cell>
          <cell r="F115" t="str">
            <v>Miércoles</v>
          </cell>
          <cell r="G115"/>
        </row>
        <row r="116">
          <cell r="E116">
            <v>43881</v>
          </cell>
          <cell r="F116" t="str">
            <v>Jueves</v>
          </cell>
          <cell r="G116"/>
        </row>
        <row r="117">
          <cell r="E117">
            <v>43882</v>
          </cell>
          <cell r="F117" t="str">
            <v>Viernes</v>
          </cell>
          <cell r="G117"/>
        </row>
        <row r="118">
          <cell r="E118">
            <v>43883</v>
          </cell>
          <cell r="F118" t="str">
            <v>Sábado</v>
          </cell>
          <cell r="G118"/>
        </row>
        <row r="119">
          <cell r="E119">
            <v>43884</v>
          </cell>
          <cell r="F119" t="str">
            <v>Domingo</v>
          </cell>
          <cell r="G119"/>
        </row>
        <row r="120">
          <cell r="E120">
            <v>43885</v>
          </cell>
          <cell r="F120" t="str">
            <v>Lunes</v>
          </cell>
          <cell r="G120"/>
        </row>
        <row r="121">
          <cell r="E121">
            <v>43886</v>
          </cell>
          <cell r="F121" t="str">
            <v>Martes</v>
          </cell>
          <cell r="G121"/>
        </row>
        <row r="122">
          <cell r="E122">
            <v>43887</v>
          </cell>
          <cell r="F122" t="str">
            <v>Miércoles</v>
          </cell>
          <cell r="G122"/>
        </row>
        <row r="123">
          <cell r="E123">
            <v>43888</v>
          </cell>
          <cell r="F123" t="str">
            <v>Jueves</v>
          </cell>
          <cell r="G123"/>
        </row>
        <row r="124">
          <cell r="E124">
            <v>43889</v>
          </cell>
          <cell r="F124" t="str">
            <v>Viernes</v>
          </cell>
          <cell r="G124"/>
        </row>
        <row r="125">
          <cell r="E125">
            <v>43890</v>
          </cell>
          <cell r="F125" t="str">
            <v>Sábado</v>
          </cell>
          <cell r="G125"/>
        </row>
        <row r="126">
          <cell r="E126">
            <v>43891</v>
          </cell>
          <cell r="F126" t="str">
            <v>Domingo</v>
          </cell>
          <cell r="G126"/>
        </row>
        <row r="127">
          <cell r="E127">
            <v>43892</v>
          </cell>
          <cell r="F127" t="str">
            <v>Lunes</v>
          </cell>
          <cell r="G127"/>
        </row>
        <row r="128">
          <cell r="E128">
            <v>43893</v>
          </cell>
          <cell r="F128" t="str">
            <v>Martes</v>
          </cell>
          <cell r="G128"/>
        </row>
        <row r="129">
          <cell r="E129">
            <v>43894</v>
          </cell>
          <cell r="F129" t="str">
            <v>Miércoles</v>
          </cell>
          <cell r="G129"/>
        </row>
        <row r="130">
          <cell r="E130">
            <v>43895</v>
          </cell>
          <cell r="F130" t="str">
            <v>Jueves</v>
          </cell>
          <cell r="G130"/>
        </row>
        <row r="131">
          <cell r="E131">
            <v>43896</v>
          </cell>
          <cell r="F131" t="str">
            <v>Viernes</v>
          </cell>
          <cell r="G131"/>
        </row>
        <row r="132">
          <cell r="E132">
            <v>43897</v>
          </cell>
          <cell r="F132" t="str">
            <v>Sábado</v>
          </cell>
          <cell r="G132"/>
        </row>
        <row r="133">
          <cell r="E133">
            <v>43898</v>
          </cell>
          <cell r="F133" t="str">
            <v>Domingo</v>
          </cell>
          <cell r="G133"/>
        </row>
        <row r="134">
          <cell r="E134">
            <v>43899</v>
          </cell>
          <cell r="F134" t="str">
            <v>Lunes</v>
          </cell>
          <cell r="G134"/>
        </row>
        <row r="135">
          <cell r="E135">
            <v>43900</v>
          </cell>
          <cell r="F135" t="str">
            <v>Martes</v>
          </cell>
          <cell r="G135"/>
        </row>
        <row r="136">
          <cell r="E136">
            <v>43901</v>
          </cell>
          <cell r="F136" t="str">
            <v>Miércoles</v>
          </cell>
          <cell r="G136"/>
        </row>
        <row r="137">
          <cell r="E137">
            <v>43902</v>
          </cell>
          <cell r="F137" t="str">
            <v>Jueves</v>
          </cell>
          <cell r="G137"/>
        </row>
        <row r="138">
          <cell r="E138">
            <v>43903</v>
          </cell>
          <cell r="F138" t="str">
            <v>Viernes</v>
          </cell>
          <cell r="G138"/>
        </row>
        <row r="139">
          <cell r="E139">
            <v>43904</v>
          </cell>
          <cell r="F139" t="str">
            <v>Sábado</v>
          </cell>
          <cell r="G139"/>
        </row>
        <row r="140">
          <cell r="E140">
            <v>43905</v>
          </cell>
          <cell r="F140" t="str">
            <v>Domingo</v>
          </cell>
          <cell r="G140"/>
        </row>
        <row r="141">
          <cell r="E141">
            <v>43906</v>
          </cell>
          <cell r="F141" t="str">
            <v>Lunes</v>
          </cell>
          <cell r="G141"/>
        </row>
        <row r="142">
          <cell r="E142">
            <v>43907</v>
          </cell>
          <cell r="F142" t="str">
            <v>Martes</v>
          </cell>
          <cell r="G142"/>
        </row>
        <row r="143">
          <cell r="E143">
            <v>43908</v>
          </cell>
          <cell r="F143" t="str">
            <v>Miércoles</v>
          </cell>
          <cell r="G143"/>
        </row>
        <row r="144">
          <cell r="E144">
            <v>43909</v>
          </cell>
          <cell r="F144" t="str">
            <v>Jueves</v>
          </cell>
          <cell r="G144"/>
        </row>
        <row r="145">
          <cell r="E145">
            <v>43910</v>
          </cell>
          <cell r="F145" t="str">
            <v>Viernes</v>
          </cell>
          <cell r="G145"/>
        </row>
        <row r="146">
          <cell r="E146">
            <v>43911</v>
          </cell>
          <cell r="F146" t="str">
            <v>Sábado</v>
          </cell>
          <cell r="G146"/>
        </row>
        <row r="147">
          <cell r="E147">
            <v>43912</v>
          </cell>
          <cell r="F147" t="str">
            <v>Domingo</v>
          </cell>
          <cell r="G147"/>
        </row>
        <row r="148">
          <cell r="E148">
            <v>43913</v>
          </cell>
          <cell r="F148" t="str">
            <v>Lunes</v>
          </cell>
          <cell r="G148"/>
        </row>
        <row r="149">
          <cell r="E149">
            <v>43914</v>
          </cell>
          <cell r="F149" t="str">
            <v>Martes</v>
          </cell>
          <cell r="G149"/>
        </row>
        <row r="150">
          <cell r="E150">
            <v>43915</v>
          </cell>
          <cell r="F150" t="str">
            <v>Miércoles</v>
          </cell>
          <cell r="G150"/>
        </row>
        <row r="151">
          <cell r="E151">
            <v>43916</v>
          </cell>
          <cell r="F151" t="str">
            <v>Jueves</v>
          </cell>
          <cell r="G151"/>
        </row>
        <row r="152">
          <cell r="E152">
            <v>43917</v>
          </cell>
          <cell r="F152" t="str">
            <v>Viernes</v>
          </cell>
          <cell r="G152"/>
        </row>
        <row r="153">
          <cell r="E153">
            <v>43918</v>
          </cell>
          <cell r="F153" t="str">
            <v>Sábado</v>
          </cell>
          <cell r="G153"/>
        </row>
        <row r="154">
          <cell r="E154">
            <v>43919</v>
          </cell>
          <cell r="F154" t="str">
            <v>Domingo</v>
          </cell>
          <cell r="G154"/>
        </row>
        <row r="155">
          <cell r="E155">
            <v>43920</v>
          </cell>
          <cell r="F155" t="str">
            <v>Lunes</v>
          </cell>
          <cell r="G155"/>
        </row>
        <row r="156">
          <cell r="E156">
            <v>43921</v>
          </cell>
          <cell r="F156" t="str">
            <v>Martes</v>
          </cell>
          <cell r="G156"/>
        </row>
        <row r="157">
          <cell r="E157">
            <v>43922</v>
          </cell>
          <cell r="F157" t="str">
            <v>Miércoles</v>
          </cell>
          <cell r="G157"/>
        </row>
        <row r="158">
          <cell r="E158">
            <v>43923</v>
          </cell>
          <cell r="F158" t="str">
            <v>Jueves</v>
          </cell>
          <cell r="G158"/>
        </row>
        <row r="159">
          <cell r="E159">
            <v>43924</v>
          </cell>
          <cell r="F159" t="str">
            <v>Viernes</v>
          </cell>
          <cell r="G159"/>
        </row>
        <row r="160">
          <cell r="E160">
            <v>43925</v>
          </cell>
          <cell r="F160" t="str">
            <v>Sábado</v>
          </cell>
          <cell r="G160"/>
        </row>
        <row r="161">
          <cell r="E161">
            <v>43926</v>
          </cell>
          <cell r="F161" t="str">
            <v>Domingo</v>
          </cell>
          <cell r="G161"/>
        </row>
        <row r="162">
          <cell r="E162">
            <v>43927</v>
          </cell>
          <cell r="F162" t="str">
            <v>Lunes</v>
          </cell>
          <cell r="G162"/>
        </row>
        <row r="163">
          <cell r="E163">
            <v>43928</v>
          </cell>
          <cell r="F163" t="str">
            <v>Martes</v>
          </cell>
          <cell r="G163"/>
        </row>
        <row r="164">
          <cell r="E164">
            <v>43929</v>
          </cell>
          <cell r="F164" t="str">
            <v>Miércoles</v>
          </cell>
          <cell r="G164"/>
        </row>
        <row r="165">
          <cell r="E165">
            <v>43930</v>
          </cell>
          <cell r="F165" t="str">
            <v>Jueves</v>
          </cell>
          <cell r="G165"/>
        </row>
        <row r="166">
          <cell r="E166">
            <v>43931</v>
          </cell>
          <cell r="F166" t="str">
            <v>Viernes</v>
          </cell>
          <cell r="G166"/>
        </row>
        <row r="167">
          <cell r="E167">
            <v>43932</v>
          </cell>
          <cell r="F167" t="str">
            <v>Sábado</v>
          </cell>
          <cell r="G167"/>
        </row>
        <row r="168">
          <cell r="E168">
            <v>43933</v>
          </cell>
          <cell r="F168" t="str">
            <v>Domingo</v>
          </cell>
          <cell r="G168"/>
        </row>
        <row r="169">
          <cell r="E169">
            <v>43934</v>
          </cell>
          <cell r="F169" t="str">
            <v>Lunes</v>
          </cell>
          <cell r="G169"/>
        </row>
        <row r="170">
          <cell r="E170">
            <v>43935</v>
          </cell>
          <cell r="F170" t="str">
            <v>Martes</v>
          </cell>
          <cell r="G170"/>
        </row>
        <row r="171">
          <cell r="E171">
            <v>43936</v>
          </cell>
          <cell r="F171" t="str">
            <v>Miércoles</v>
          </cell>
          <cell r="G171"/>
        </row>
        <row r="172">
          <cell r="E172">
            <v>43937</v>
          </cell>
          <cell r="F172" t="str">
            <v>Jueves</v>
          </cell>
          <cell r="G172"/>
        </row>
        <row r="173">
          <cell r="E173">
            <v>43938</v>
          </cell>
          <cell r="F173" t="str">
            <v>Viernes</v>
          </cell>
          <cell r="G173"/>
        </row>
        <row r="174">
          <cell r="E174">
            <v>43939</v>
          </cell>
          <cell r="F174" t="str">
            <v>Sábado</v>
          </cell>
          <cell r="G174"/>
        </row>
        <row r="175">
          <cell r="E175">
            <v>43940</v>
          </cell>
          <cell r="F175" t="str">
            <v>Domingo</v>
          </cell>
          <cell r="G175"/>
        </row>
        <row r="176">
          <cell r="E176">
            <v>43941</v>
          </cell>
          <cell r="F176" t="str">
            <v>Lunes</v>
          </cell>
          <cell r="G176"/>
        </row>
        <row r="177">
          <cell r="E177">
            <v>43942</v>
          </cell>
          <cell r="F177" t="str">
            <v>Martes</v>
          </cell>
          <cell r="G177"/>
        </row>
        <row r="178">
          <cell r="E178">
            <v>43943</v>
          </cell>
          <cell r="F178" t="str">
            <v>Miércoles</v>
          </cell>
          <cell r="G178"/>
        </row>
        <row r="179">
          <cell r="E179">
            <v>43944</v>
          </cell>
          <cell r="F179" t="str">
            <v>Jueves</v>
          </cell>
          <cell r="G179"/>
        </row>
        <row r="180">
          <cell r="E180">
            <v>43945</v>
          </cell>
          <cell r="F180" t="str">
            <v>Viernes</v>
          </cell>
          <cell r="G180"/>
        </row>
        <row r="181">
          <cell r="E181">
            <v>43946</v>
          </cell>
          <cell r="F181" t="str">
            <v>Sábado</v>
          </cell>
          <cell r="G181"/>
        </row>
        <row r="182">
          <cell r="E182">
            <v>43947</v>
          </cell>
          <cell r="F182" t="str">
            <v>Domingo</v>
          </cell>
          <cell r="G182"/>
        </row>
        <row r="183">
          <cell r="E183">
            <v>43948</v>
          </cell>
          <cell r="F183" t="str">
            <v>Lunes</v>
          </cell>
          <cell r="G183"/>
        </row>
        <row r="184">
          <cell r="E184">
            <v>43949</v>
          </cell>
          <cell r="F184" t="str">
            <v>Martes</v>
          </cell>
          <cell r="G184"/>
        </row>
        <row r="185">
          <cell r="E185">
            <v>43950</v>
          </cell>
          <cell r="F185" t="str">
            <v>Miércoles</v>
          </cell>
          <cell r="G185"/>
        </row>
        <row r="186">
          <cell r="E186">
            <v>43951</v>
          </cell>
          <cell r="F186" t="str">
            <v>Jueves</v>
          </cell>
          <cell r="G186"/>
        </row>
        <row r="187">
          <cell r="E187">
            <v>43952</v>
          </cell>
          <cell r="F187" t="str">
            <v>Viernes</v>
          </cell>
          <cell r="G187"/>
        </row>
        <row r="188">
          <cell r="E188">
            <v>43953</v>
          </cell>
          <cell r="F188" t="str">
            <v>Sábado</v>
          </cell>
          <cell r="G188"/>
        </row>
        <row r="189">
          <cell r="E189">
            <v>43954</v>
          </cell>
          <cell r="F189" t="str">
            <v>Domingo</v>
          </cell>
          <cell r="G189"/>
        </row>
        <row r="190">
          <cell r="E190">
            <v>43955</v>
          </cell>
          <cell r="F190" t="str">
            <v>Lunes</v>
          </cell>
          <cell r="G190"/>
        </row>
        <row r="191">
          <cell r="E191">
            <v>43956</v>
          </cell>
          <cell r="F191" t="str">
            <v>Martes</v>
          </cell>
          <cell r="G191"/>
        </row>
        <row r="192">
          <cell r="E192">
            <v>43957</v>
          </cell>
          <cell r="F192" t="str">
            <v>Miércoles</v>
          </cell>
          <cell r="G192"/>
        </row>
        <row r="193">
          <cell r="E193">
            <v>43958</v>
          </cell>
          <cell r="F193" t="str">
            <v>Jueves</v>
          </cell>
          <cell r="G193"/>
        </row>
        <row r="194">
          <cell r="E194">
            <v>43959</v>
          </cell>
          <cell r="F194" t="str">
            <v>Viernes</v>
          </cell>
          <cell r="G194"/>
        </row>
        <row r="195">
          <cell r="E195">
            <v>43960</v>
          </cell>
          <cell r="F195" t="str">
            <v>Sábado</v>
          </cell>
          <cell r="G195"/>
        </row>
        <row r="196">
          <cell r="E196">
            <v>43961</v>
          </cell>
          <cell r="F196" t="str">
            <v>Domingo</v>
          </cell>
          <cell r="G196"/>
        </row>
        <row r="197">
          <cell r="E197">
            <v>43962</v>
          </cell>
          <cell r="F197" t="str">
            <v>Lunes</v>
          </cell>
          <cell r="G197"/>
        </row>
        <row r="198">
          <cell r="E198">
            <v>43963</v>
          </cell>
          <cell r="F198" t="str">
            <v>Martes</v>
          </cell>
          <cell r="G198"/>
        </row>
        <row r="199">
          <cell r="E199">
            <v>43964</v>
          </cell>
          <cell r="F199" t="str">
            <v>Miércoles</v>
          </cell>
          <cell r="G199"/>
        </row>
        <row r="200">
          <cell r="E200">
            <v>43965</v>
          </cell>
          <cell r="F200" t="str">
            <v>Jueves</v>
          </cell>
          <cell r="G200"/>
        </row>
        <row r="201">
          <cell r="E201">
            <v>43966</v>
          </cell>
          <cell r="F201" t="str">
            <v>Viernes</v>
          </cell>
          <cell r="G201"/>
        </row>
        <row r="202">
          <cell r="E202">
            <v>43967</v>
          </cell>
          <cell r="F202" t="str">
            <v>Sábado</v>
          </cell>
          <cell r="G202"/>
        </row>
        <row r="203">
          <cell r="E203">
            <v>43968</v>
          </cell>
          <cell r="F203" t="str">
            <v>Domingo</v>
          </cell>
          <cell r="G203"/>
        </row>
        <row r="204">
          <cell r="E204">
            <v>43969</v>
          </cell>
          <cell r="F204" t="str">
            <v>Lunes</v>
          </cell>
          <cell r="G204"/>
        </row>
        <row r="205">
          <cell r="E205">
            <v>43970</v>
          </cell>
          <cell r="F205" t="str">
            <v>Martes</v>
          </cell>
          <cell r="G205"/>
        </row>
        <row r="206">
          <cell r="E206">
            <v>43971</v>
          </cell>
          <cell r="F206" t="str">
            <v>Miércoles</v>
          </cell>
          <cell r="G206"/>
        </row>
        <row r="207">
          <cell r="E207">
            <v>43972</v>
          </cell>
          <cell r="F207" t="str">
            <v>Jueves</v>
          </cell>
          <cell r="G207"/>
        </row>
        <row r="208">
          <cell r="E208">
            <v>43973</v>
          </cell>
          <cell r="F208" t="str">
            <v>Viernes</v>
          </cell>
          <cell r="G208"/>
        </row>
        <row r="209">
          <cell r="E209">
            <v>43974</v>
          </cell>
          <cell r="F209" t="str">
            <v>Sábado</v>
          </cell>
          <cell r="G209"/>
        </row>
        <row r="210">
          <cell r="E210">
            <v>43975</v>
          </cell>
          <cell r="F210" t="str">
            <v>Domingo</v>
          </cell>
          <cell r="G210"/>
        </row>
        <row r="211">
          <cell r="E211">
            <v>43976</v>
          </cell>
          <cell r="F211" t="str">
            <v>Lunes</v>
          </cell>
          <cell r="G211"/>
        </row>
        <row r="212">
          <cell r="E212">
            <v>43977</v>
          </cell>
          <cell r="F212" t="str">
            <v>Martes</v>
          </cell>
          <cell r="G212"/>
        </row>
        <row r="213">
          <cell r="E213">
            <v>43978</v>
          </cell>
          <cell r="F213" t="str">
            <v>Miércoles</v>
          </cell>
          <cell r="G213"/>
        </row>
        <row r="214">
          <cell r="E214">
            <v>43979</v>
          </cell>
          <cell r="F214" t="str">
            <v>Jueves</v>
          </cell>
          <cell r="G214"/>
        </row>
        <row r="215">
          <cell r="E215">
            <v>43980</v>
          </cell>
          <cell r="F215" t="str">
            <v>Viernes</v>
          </cell>
          <cell r="G215"/>
        </row>
        <row r="216">
          <cell r="E216">
            <v>43981</v>
          </cell>
          <cell r="F216" t="str">
            <v>Sábado</v>
          </cell>
          <cell r="G216"/>
        </row>
        <row r="217">
          <cell r="E217">
            <v>43982</v>
          </cell>
          <cell r="F217" t="str">
            <v>Domingo</v>
          </cell>
          <cell r="G217"/>
        </row>
        <row r="218">
          <cell r="E218">
            <v>43983</v>
          </cell>
          <cell r="F218" t="str">
            <v>Lunes</v>
          </cell>
          <cell r="G218"/>
        </row>
        <row r="219">
          <cell r="E219">
            <v>43984</v>
          </cell>
          <cell r="F219" t="str">
            <v>Martes</v>
          </cell>
          <cell r="G219"/>
        </row>
        <row r="220">
          <cell r="E220">
            <v>43985</v>
          </cell>
          <cell r="F220" t="str">
            <v>Miércoles</v>
          </cell>
          <cell r="G220"/>
        </row>
        <row r="221">
          <cell r="E221">
            <v>43986</v>
          </cell>
          <cell r="F221" t="str">
            <v>Jueves</v>
          </cell>
          <cell r="G221"/>
        </row>
        <row r="222">
          <cell r="E222">
            <v>43987</v>
          </cell>
          <cell r="F222" t="str">
            <v>Viernes</v>
          </cell>
          <cell r="G222"/>
        </row>
        <row r="223">
          <cell r="E223">
            <v>43988</v>
          </cell>
          <cell r="F223" t="str">
            <v>Sábado</v>
          </cell>
          <cell r="G223"/>
        </row>
        <row r="224">
          <cell r="E224">
            <v>43989</v>
          </cell>
          <cell r="F224" t="str">
            <v>Domingo</v>
          </cell>
          <cell r="G224"/>
        </row>
        <row r="225">
          <cell r="E225">
            <v>43990</v>
          </cell>
          <cell r="F225" t="str">
            <v>Lunes</v>
          </cell>
          <cell r="G225"/>
        </row>
        <row r="226">
          <cell r="E226">
            <v>43991</v>
          </cell>
          <cell r="F226" t="str">
            <v>Martes</v>
          </cell>
          <cell r="G226"/>
        </row>
        <row r="227">
          <cell r="E227">
            <v>43992</v>
          </cell>
          <cell r="F227" t="str">
            <v>Miércoles</v>
          </cell>
          <cell r="G227"/>
        </row>
        <row r="228">
          <cell r="E228">
            <v>43993</v>
          </cell>
          <cell r="F228" t="str">
            <v>Jueves</v>
          </cell>
          <cell r="G228"/>
        </row>
        <row r="229">
          <cell r="E229">
            <v>43994</v>
          </cell>
          <cell r="F229" t="str">
            <v>Viernes</v>
          </cell>
          <cell r="G229"/>
        </row>
        <row r="230">
          <cell r="E230">
            <v>43995</v>
          </cell>
          <cell r="F230" t="str">
            <v>Sábado</v>
          </cell>
          <cell r="G230"/>
        </row>
        <row r="231">
          <cell r="E231">
            <v>43996</v>
          </cell>
          <cell r="F231" t="str">
            <v>Domingo</v>
          </cell>
          <cell r="G231"/>
        </row>
        <row r="232">
          <cell r="E232">
            <v>43997</v>
          </cell>
          <cell r="F232" t="str">
            <v>Lunes</v>
          </cell>
          <cell r="G232"/>
        </row>
        <row r="233">
          <cell r="E233">
            <v>43998</v>
          </cell>
          <cell r="F233" t="str">
            <v>Martes</v>
          </cell>
          <cell r="G233"/>
        </row>
        <row r="234">
          <cell r="E234">
            <v>43999</v>
          </cell>
          <cell r="F234" t="str">
            <v>Miércoles</v>
          </cell>
          <cell r="G234"/>
        </row>
        <row r="235">
          <cell r="E235">
            <v>44000</v>
          </cell>
          <cell r="F235" t="str">
            <v>Jueves</v>
          </cell>
          <cell r="G235"/>
        </row>
        <row r="236">
          <cell r="E236">
            <v>44001</v>
          </cell>
          <cell r="F236" t="str">
            <v>Viernes</v>
          </cell>
          <cell r="G236"/>
        </row>
        <row r="237">
          <cell r="E237">
            <v>44002</v>
          </cell>
          <cell r="F237" t="str">
            <v>Sábado</v>
          </cell>
          <cell r="G237"/>
        </row>
        <row r="238">
          <cell r="E238">
            <v>44003</v>
          </cell>
          <cell r="F238" t="str">
            <v>Domingo</v>
          </cell>
          <cell r="G238"/>
        </row>
        <row r="239">
          <cell r="E239">
            <v>44004</v>
          </cell>
          <cell r="F239" t="str">
            <v>Lunes</v>
          </cell>
          <cell r="G239"/>
        </row>
        <row r="240">
          <cell r="E240">
            <v>44005</v>
          </cell>
          <cell r="F240" t="str">
            <v>Martes</v>
          </cell>
          <cell r="G240"/>
        </row>
        <row r="241">
          <cell r="E241">
            <v>44006</v>
          </cell>
          <cell r="F241" t="str">
            <v>Miércoles</v>
          </cell>
          <cell r="G241"/>
        </row>
        <row r="242">
          <cell r="E242">
            <v>44007</v>
          </cell>
          <cell r="F242" t="str">
            <v>Jueves</v>
          </cell>
          <cell r="G242"/>
        </row>
        <row r="243">
          <cell r="E243">
            <v>44008</v>
          </cell>
          <cell r="F243" t="str">
            <v>Viernes</v>
          </cell>
          <cell r="G243"/>
        </row>
        <row r="244">
          <cell r="E244">
            <v>44009</v>
          </cell>
          <cell r="F244" t="str">
            <v>Sábado</v>
          </cell>
          <cell r="G244"/>
        </row>
        <row r="245">
          <cell r="E245">
            <v>44010</v>
          </cell>
          <cell r="F245" t="str">
            <v>Domingo</v>
          </cell>
          <cell r="G245"/>
        </row>
        <row r="246">
          <cell r="E246">
            <v>44011</v>
          </cell>
          <cell r="F246" t="str">
            <v>Lunes</v>
          </cell>
          <cell r="G246"/>
        </row>
        <row r="247">
          <cell r="E247">
            <v>44012</v>
          </cell>
          <cell r="F247" t="str">
            <v>Martes</v>
          </cell>
          <cell r="G247"/>
        </row>
        <row r="248">
          <cell r="E248">
            <v>44013</v>
          </cell>
          <cell r="F248" t="str">
            <v>Miércoles</v>
          </cell>
          <cell r="G248"/>
        </row>
        <row r="249">
          <cell r="E249">
            <v>44014</v>
          </cell>
          <cell r="F249" t="str">
            <v>Jueves</v>
          </cell>
          <cell r="G249"/>
        </row>
        <row r="250">
          <cell r="E250">
            <v>44015</v>
          </cell>
          <cell r="F250" t="str">
            <v>Viernes</v>
          </cell>
          <cell r="G250"/>
        </row>
        <row r="251">
          <cell r="E251">
            <v>44016</v>
          </cell>
          <cell r="F251" t="str">
            <v>Sábado</v>
          </cell>
          <cell r="G251"/>
        </row>
        <row r="252">
          <cell r="E252">
            <v>44017</v>
          </cell>
          <cell r="F252" t="str">
            <v>Domingo</v>
          </cell>
          <cell r="G252"/>
        </row>
        <row r="253">
          <cell r="E253">
            <v>44018</v>
          </cell>
          <cell r="F253" t="str">
            <v>Lunes</v>
          </cell>
          <cell r="G253"/>
        </row>
        <row r="254">
          <cell r="E254">
            <v>44019</v>
          </cell>
          <cell r="F254" t="str">
            <v>Martes</v>
          </cell>
          <cell r="G254"/>
        </row>
        <row r="255">
          <cell r="E255">
            <v>44020</v>
          </cell>
          <cell r="F255" t="str">
            <v>Miércoles</v>
          </cell>
          <cell r="G255"/>
        </row>
        <row r="256">
          <cell r="E256">
            <v>44021</v>
          </cell>
          <cell r="F256" t="str">
            <v>Jueves</v>
          </cell>
          <cell r="G256"/>
        </row>
        <row r="257">
          <cell r="E257">
            <v>44022</v>
          </cell>
          <cell r="F257" t="str">
            <v>Viernes</v>
          </cell>
          <cell r="G257"/>
        </row>
        <row r="258">
          <cell r="E258">
            <v>44023</v>
          </cell>
          <cell r="F258" t="str">
            <v>Sábado</v>
          </cell>
          <cell r="G258"/>
        </row>
        <row r="259">
          <cell r="E259">
            <v>44024</v>
          </cell>
          <cell r="F259" t="str">
            <v>Domingo</v>
          </cell>
          <cell r="G259"/>
        </row>
        <row r="260">
          <cell r="E260">
            <v>44025</v>
          </cell>
          <cell r="F260" t="str">
            <v>Lunes</v>
          </cell>
          <cell r="G260"/>
        </row>
        <row r="261">
          <cell r="E261">
            <v>44026</v>
          </cell>
          <cell r="F261" t="str">
            <v>Martes</v>
          </cell>
          <cell r="G261"/>
        </row>
        <row r="262">
          <cell r="E262">
            <v>44027</v>
          </cell>
          <cell r="F262" t="str">
            <v>Miércoles</v>
          </cell>
          <cell r="G262"/>
        </row>
        <row r="263">
          <cell r="E263">
            <v>44028</v>
          </cell>
          <cell r="F263" t="str">
            <v>Jueves</v>
          </cell>
          <cell r="G263"/>
        </row>
        <row r="264">
          <cell r="E264">
            <v>44029</v>
          </cell>
          <cell r="F264" t="str">
            <v>Viernes</v>
          </cell>
          <cell r="G264"/>
        </row>
        <row r="265">
          <cell r="E265">
            <v>44030</v>
          </cell>
          <cell r="F265" t="str">
            <v>Sábado</v>
          </cell>
          <cell r="G265"/>
        </row>
        <row r="266">
          <cell r="E266">
            <v>44031</v>
          </cell>
          <cell r="F266" t="str">
            <v>Domingo</v>
          </cell>
          <cell r="G266"/>
        </row>
        <row r="267">
          <cell r="E267">
            <v>44032</v>
          </cell>
          <cell r="F267" t="str">
            <v>Lunes</v>
          </cell>
          <cell r="G267"/>
        </row>
        <row r="268">
          <cell r="E268">
            <v>44033</v>
          </cell>
          <cell r="F268" t="str">
            <v>Martes</v>
          </cell>
          <cell r="G268"/>
        </row>
        <row r="269">
          <cell r="E269">
            <v>44034</v>
          </cell>
          <cell r="F269" t="str">
            <v>Miércoles</v>
          </cell>
          <cell r="G269"/>
        </row>
        <row r="270">
          <cell r="E270">
            <v>44035</v>
          </cell>
          <cell r="F270" t="str">
            <v>Jueves</v>
          </cell>
          <cell r="G270"/>
        </row>
        <row r="271">
          <cell r="E271">
            <v>44036</v>
          </cell>
          <cell r="F271" t="str">
            <v>Viernes</v>
          </cell>
          <cell r="G271"/>
        </row>
        <row r="272">
          <cell r="E272">
            <v>44037</v>
          </cell>
          <cell r="F272" t="str">
            <v>Sábado</v>
          </cell>
          <cell r="G272"/>
        </row>
        <row r="273">
          <cell r="E273">
            <v>44038</v>
          </cell>
          <cell r="F273" t="str">
            <v>Domingo</v>
          </cell>
          <cell r="G273"/>
        </row>
        <row r="274">
          <cell r="E274">
            <v>44039</v>
          </cell>
          <cell r="F274" t="str">
            <v>Lunes</v>
          </cell>
          <cell r="G274"/>
        </row>
        <row r="275">
          <cell r="E275">
            <v>44040</v>
          </cell>
          <cell r="F275" t="str">
            <v>Martes</v>
          </cell>
          <cell r="G275"/>
        </row>
        <row r="276">
          <cell r="E276">
            <v>44041</v>
          </cell>
          <cell r="F276" t="str">
            <v>Miércoles</v>
          </cell>
          <cell r="G276"/>
        </row>
        <row r="277">
          <cell r="E277">
            <v>44042</v>
          </cell>
          <cell r="F277" t="str">
            <v>Jueves</v>
          </cell>
          <cell r="G277"/>
        </row>
        <row r="278">
          <cell r="E278">
            <v>44043</v>
          </cell>
          <cell r="F278" t="str">
            <v>Viernes</v>
          </cell>
          <cell r="G278"/>
        </row>
        <row r="279">
          <cell r="E279">
            <v>44044</v>
          </cell>
          <cell r="F279" t="str">
            <v>Sábado</v>
          </cell>
          <cell r="G279"/>
        </row>
        <row r="280">
          <cell r="E280">
            <v>44045</v>
          </cell>
          <cell r="F280" t="str">
            <v>Domingo</v>
          </cell>
          <cell r="G280"/>
        </row>
        <row r="281">
          <cell r="E281">
            <v>44046</v>
          </cell>
          <cell r="F281" t="str">
            <v>Lunes</v>
          </cell>
          <cell r="G281"/>
        </row>
        <row r="282">
          <cell r="E282">
            <v>44047</v>
          </cell>
          <cell r="F282" t="str">
            <v>Martes</v>
          </cell>
          <cell r="G282"/>
        </row>
        <row r="283">
          <cell r="E283">
            <v>44048</v>
          </cell>
          <cell r="F283" t="str">
            <v>Miércoles</v>
          </cell>
          <cell r="G283"/>
        </row>
        <row r="284">
          <cell r="E284">
            <v>44049</v>
          </cell>
          <cell r="F284" t="str">
            <v>Jueves</v>
          </cell>
          <cell r="G284"/>
        </row>
        <row r="285">
          <cell r="E285">
            <v>44050</v>
          </cell>
          <cell r="F285" t="str">
            <v>Viernes</v>
          </cell>
          <cell r="G285"/>
        </row>
        <row r="286">
          <cell r="E286">
            <v>44051</v>
          </cell>
          <cell r="F286" t="str">
            <v>Sábado</v>
          </cell>
          <cell r="G286"/>
        </row>
        <row r="287">
          <cell r="E287">
            <v>44052</v>
          </cell>
          <cell r="F287" t="str">
            <v>Domingo</v>
          </cell>
          <cell r="G287"/>
        </row>
        <row r="288">
          <cell r="E288">
            <v>44053</v>
          </cell>
          <cell r="F288" t="str">
            <v>Lunes</v>
          </cell>
          <cell r="G288"/>
        </row>
        <row r="289">
          <cell r="E289">
            <v>44054</v>
          </cell>
          <cell r="F289" t="str">
            <v>Martes</v>
          </cell>
          <cell r="G289"/>
        </row>
        <row r="290">
          <cell r="E290">
            <v>44055</v>
          </cell>
          <cell r="F290" t="str">
            <v>Miércoles</v>
          </cell>
          <cell r="G290"/>
        </row>
        <row r="291">
          <cell r="E291">
            <v>44056</v>
          </cell>
          <cell r="F291" t="str">
            <v>Jueves</v>
          </cell>
          <cell r="G291"/>
        </row>
        <row r="292">
          <cell r="E292">
            <v>44057</v>
          </cell>
          <cell r="F292" t="str">
            <v>Viernes</v>
          </cell>
          <cell r="G292"/>
        </row>
        <row r="293">
          <cell r="E293">
            <v>44058</v>
          </cell>
          <cell r="F293" t="str">
            <v>Sábado</v>
          </cell>
          <cell r="G293"/>
        </row>
        <row r="294">
          <cell r="E294">
            <v>44059</v>
          </cell>
          <cell r="F294" t="str">
            <v>Domingo</v>
          </cell>
          <cell r="G294"/>
        </row>
        <row r="295">
          <cell r="E295">
            <v>44060</v>
          </cell>
          <cell r="F295" t="str">
            <v>Lunes</v>
          </cell>
          <cell r="G295"/>
        </row>
        <row r="296">
          <cell r="E296">
            <v>44061</v>
          </cell>
          <cell r="F296" t="str">
            <v>Martes</v>
          </cell>
          <cell r="G296"/>
        </row>
        <row r="297">
          <cell r="E297">
            <v>44062</v>
          </cell>
          <cell r="F297" t="str">
            <v>Miércoles</v>
          </cell>
          <cell r="G297"/>
        </row>
        <row r="298">
          <cell r="E298">
            <v>44063</v>
          </cell>
          <cell r="F298" t="str">
            <v>Jueves</v>
          </cell>
          <cell r="G298"/>
        </row>
        <row r="299">
          <cell r="E299">
            <v>44064</v>
          </cell>
          <cell r="F299" t="str">
            <v>Viernes</v>
          </cell>
          <cell r="G299"/>
        </row>
        <row r="300">
          <cell r="E300">
            <v>44065</v>
          </cell>
          <cell r="F300" t="str">
            <v>Sábado</v>
          </cell>
          <cell r="G300"/>
        </row>
        <row r="301">
          <cell r="E301">
            <v>44066</v>
          </cell>
          <cell r="F301" t="str">
            <v>Domingo</v>
          </cell>
          <cell r="G301"/>
        </row>
        <row r="302">
          <cell r="E302">
            <v>44067</v>
          </cell>
          <cell r="F302" t="str">
            <v>Lunes</v>
          </cell>
          <cell r="G302"/>
        </row>
        <row r="303">
          <cell r="E303">
            <v>44068</v>
          </cell>
          <cell r="F303" t="str">
            <v>Martes</v>
          </cell>
          <cell r="G303"/>
        </row>
        <row r="304">
          <cell r="E304">
            <v>44069</v>
          </cell>
          <cell r="F304" t="str">
            <v>Miércoles</v>
          </cell>
          <cell r="G304"/>
        </row>
        <row r="305">
          <cell r="E305">
            <v>44070</v>
          </cell>
          <cell r="F305" t="str">
            <v>Jueves</v>
          </cell>
          <cell r="G305"/>
        </row>
        <row r="306">
          <cell r="E306">
            <v>44071</v>
          </cell>
          <cell r="F306" t="str">
            <v>Viernes</v>
          </cell>
          <cell r="G306"/>
        </row>
        <row r="307">
          <cell r="E307">
            <v>44072</v>
          </cell>
          <cell r="F307" t="str">
            <v>Sábado</v>
          </cell>
          <cell r="G307"/>
        </row>
        <row r="308">
          <cell r="E308">
            <v>44073</v>
          </cell>
          <cell r="F308" t="str">
            <v>Domingo</v>
          </cell>
          <cell r="G308"/>
        </row>
        <row r="309">
          <cell r="E309">
            <v>44074</v>
          </cell>
          <cell r="F309" t="str">
            <v>Lunes</v>
          </cell>
          <cell r="G309"/>
        </row>
        <row r="310">
          <cell r="E310">
            <v>44075</v>
          </cell>
          <cell r="F310" t="str">
            <v>Martes</v>
          </cell>
          <cell r="G310"/>
        </row>
        <row r="311">
          <cell r="E311">
            <v>44076</v>
          </cell>
          <cell r="F311" t="str">
            <v>Miércoles</v>
          </cell>
          <cell r="G311"/>
        </row>
        <row r="312">
          <cell r="E312">
            <v>44077</v>
          </cell>
          <cell r="F312" t="str">
            <v>Jueves</v>
          </cell>
          <cell r="G312"/>
        </row>
        <row r="313">
          <cell r="E313">
            <v>44078</v>
          </cell>
          <cell r="F313" t="str">
            <v>Viernes</v>
          </cell>
          <cell r="G313"/>
        </row>
        <row r="314">
          <cell r="E314">
            <v>44079</v>
          </cell>
          <cell r="F314" t="str">
            <v>Sábado</v>
          </cell>
          <cell r="G314"/>
        </row>
        <row r="315">
          <cell r="E315">
            <v>44080</v>
          </cell>
          <cell r="F315" t="str">
            <v>Domingo</v>
          </cell>
          <cell r="G315"/>
        </row>
        <row r="316">
          <cell r="E316">
            <v>44081</v>
          </cell>
          <cell r="F316" t="str">
            <v>Lunes</v>
          </cell>
          <cell r="G316"/>
        </row>
        <row r="317">
          <cell r="E317">
            <v>44082</v>
          </cell>
          <cell r="F317" t="str">
            <v>Martes</v>
          </cell>
          <cell r="G317"/>
        </row>
        <row r="318">
          <cell r="E318">
            <v>44083</v>
          </cell>
          <cell r="F318" t="str">
            <v>Miércoles</v>
          </cell>
          <cell r="G318"/>
        </row>
        <row r="319">
          <cell r="E319">
            <v>44084</v>
          </cell>
          <cell r="F319" t="str">
            <v>Jueves</v>
          </cell>
          <cell r="G319"/>
        </row>
        <row r="320">
          <cell r="E320">
            <v>44085</v>
          </cell>
          <cell r="F320" t="str">
            <v>Viernes</v>
          </cell>
          <cell r="G320"/>
        </row>
        <row r="321">
          <cell r="E321">
            <v>44086</v>
          </cell>
          <cell r="F321" t="str">
            <v>Sábado</v>
          </cell>
          <cell r="G321"/>
        </row>
        <row r="322">
          <cell r="E322">
            <v>44087</v>
          </cell>
          <cell r="F322" t="str">
            <v>Domingo</v>
          </cell>
          <cell r="G322"/>
        </row>
        <row r="323">
          <cell r="E323">
            <v>44088</v>
          </cell>
          <cell r="F323" t="str">
            <v>Lunes</v>
          </cell>
          <cell r="G323"/>
        </row>
        <row r="324">
          <cell r="E324">
            <v>44089</v>
          </cell>
          <cell r="F324" t="str">
            <v>Martes</v>
          </cell>
          <cell r="G324"/>
        </row>
        <row r="325">
          <cell r="E325">
            <v>44090</v>
          </cell>
          <cell r="F325" t="str">
            <v>Miércoles</v>
          </cell>
          <cell r="G325"/>
        </row>
        <row r="326">
          <cell r="E326">
            <v>44091</v>
          </cell>
          <cell r="F326" t="str">
            <v>Jueves</v>
          </cell>
          <cell r="G326"/>
        </row>
        <row r="327">
          <cell r="E327">
            <v>44092</v>
          </cell>
          <cell r="F327" t="str">
            <v>Viernes</v>
          </cell>
          <cell r="G327"/>
        </row>
        <row r="328">
          <cell r="E328">
            <v>44093</v>
          </cell>
          <cell r="F328" t="str">
            <v>Sábado</v>
          </cell>
          <cell r="G328"/>
        </row>
        <row r="329">
          <cell r="E329">
            <v>44094</v>
          </cell>
          <cell r="F329" t="str">
            <v>Domingo</v>
          </cell>
          <cell r="G329"/>
        </row>
        <row r="330">
          <cell r="E330">
            <v>44095</v>
          </cell>
          <cell r="F330" t="str">
            <v>Lunes</v>
          </cell>
          <cell r="G330"/>
        </row>
        <row r="331">
          <cell r="E331">
            <v>44096</v>
          </cell>
          <cell r="F331" t="str">
            <v>Martes</v>
          </cell>
          <cell r="G331"/>
        </row>
        <row r="332">
          <cell r="E332">
            <v>44097</v>
          </cell>
          <cell r="F332" t="str">
            <v>Miércoles</v>
          </cell>
          <cell r="G332"/>
        </row>
        <row r="333">
          <cell r="E333">
            <v>44098</v>
          </cell>
          <cell r="F333" t="str">
            <v>Jueves</v>
          </cell>
          <cell r="G333"/>
        </row>
        <row r="334">
          <cell r="E334">
            <v>44099</v>
          </cell>
          <cell r="F334" t="str">
            <v>Viernes</v>
          </cell>
          <cell r="G334"/>
        </row>
        <row r="335">
          <cell r="E335">
            <v>44100</v>
          </cell>
          <cell r="F335" t="str">
            <v>Sábado</v>
          </cell>
          <cell r="G335"/>
        </row>
        <row r="336">
          <cell r="E336">
            <v>44101</v>
          </cell>
          <cell r="F336" t="str">
            <v>Domingo</v>
          </cell>
          <cell r="G336"/>
        </row>
        <row r="337">
          <cell r="E337">
            <v>44102</v>
          </cell>
          <cell r="F337" t="str">
            <v>Lunes</v>
          </cell>
          <cell r="G337"/>
        </row>
        <row r="338">
          <cell r="E338">
            <v>44103</v>
          </cell>
          <cell r="F338" t="str">
            <v>Martes</v>
          </cell>
          <cell r="G338"/>
        </row>
        <row r="339">
          <cell r="E339">
            <v>44104</v>
          </cell>
          <cell r="F339" t="str">
            <v>Miércoles</v>
          </cell>
          <cell r="G339"/>
        </row>
        <row r="340">
          <cell r="E340">
            <v>44105</v>
          </cell>
          <cell r="F340" t="str">
            <v>Jueves</v>
          </cell>
          <cell r="G340"/>
        </row>
        <row r="341">
          <cell r="E341">
            <v>44106</v>
          </cell>
          <cell r="F341" t="str">
            <v>Viernes</v>
          </cell>
          <cell r="G341"/>
        </row>
        <row r="342">
          <cell r="E342">
            <v>44107</v>
          </cell>
          <cell r="F342" t="str">
            <v>Sábado</v>
          </cell>
          <cell r="G342"/>
        </row>
        <row r="343">
          <cell r="E343">
            <v>44108</v>
          </cell>
          <cell r="F343" t="str">
            <v>Domingo</v>
          </cell>
          <cell r="G343"/>
        </row>
        <row r="344">
          <cell r="E344">
            <v>44109</v>
          </cell>
          <cell r="F344" t="str">
            <v>Lunes</v>
          </cell>
          <cell r="G344"/>
        </row>
        <row r="345">
          <cell r="E345">
            <v>44110</v>
          </cell>
          <cell r="F345" t="str">
            <v>Martes</v>
          </cell>
          <cell r="G345"/>
        </row>
        <row r="346">
          <cell r="E346">
            <v>44111</v>
          </cell>
          <cell r="F346" t="str">
            <v>Miércoles</v>
          </cell>
          <cell r="G346"/>
        </row>
        <row r="347">
          <cell r="E347">
            <v>44112</v>
          </cell>
          <cell r="F347" t="str">
            <v>Jueves</v>
          </cell>
          <cell r="G347"/>
        </row>
        <row r="348">
          <cell r="E348">
            <v>44113</v>
          </cell>
          <cell r="F348" t="str">
            <v>Viernes</v>
          </cell>
          <cell r="G348"/>
        </row>
        <row r="349">
          <cell r="E349">
            <v>44114</v>
          </cell>
          <cell r="F349" t="str">
            <v>Sábado</v>
          </cell>
          <cell r="G349"/>
        </row>
        <row r="350">
          <cell r="E350">
            <v>44115</v>
          </cell>
          <cell r="F350" t="str">
            <v>Domingo</v>
          </cell>
          <cell r="G350"/>
        </row>
        <row r="351">
          <cell r="E351">
            <v>44116</v>
          </cell>
          <cell r="F351" t="str">
            <v>Lunes</v>
          </cell>
          <cell r="G351"/>
        </row>
        <row r="352">
          <cell r="E352">
            <v>44117</v>
          </cell>
          <cell r="F352" t="str">
            <v>Martes</v>
          </cell>
          <cell r="G352"/>
        </row>
        <row r="353">
          <cell r="E353">
            <v>44118</v>
          </cell>
          <cell r="F353" t="str">
            <v>Miércoles</v>
          </cell>
          <cell r="G353"/>
        </row>
        <row r="354">
          <cell r="E354">
            <v>44119</v>
          </cell>
          <cell r="F354" t="str">
            <v>Jueves</v>
          </cell>
          <cell r="G354"/>
        </row>
        <row r="355">
          <cell r="E355">
            <v>44120</v>
          </cell>
          <cell r="F355" t="str">
            <v>Viernes</v>
          </cell>
          <cell r="G355"/>
        </row>
        <row r="356">
          <cell r="E356">
            <v>44121</v>
          </cell>
          <cell r="F356" t="str">
            <v>Sábado</v>
          </cell>
          <cell r="G356"/>
        </row>
        <row r="357">
          <cell r="E357">
            <v>44122</v>
          </cell>
          <cell r="F357" t="str">
            <v>Domingo</v>
          </cell>
          <cell r="G357"/>
        </row>
        <row r="358">
          <cell r="E358">
            <v>44123</v>
          </cell>
          <cell r="F358" t="str">
            <v>Lunes</v>
          </cell>
          <cell r="G358"/>
        </row>
        <row r="359">
          <cell r="E359">
            <v>44124</v>
          </cell>
          <cell r="F359" t="str">
            <v>Martes</v>
          </cell>
          <cell r="G359"/>
        </row>
        <row r="360">
          <cell r="E360">
            <v>44125</v>
          </cell>
          <cell r="F360" t="str">
            <v>Miércoles</v>
          </cell>
          <cell r="G360"/>
        </row>
        <row r="361">
          <cell r="E361">
            <v>44126</v>
          </cell>
          <cell r="F361" t="str">
            <v>Jueves</v>
          </cell>
          <cell r="G361"/>
        </row>
        <row r="362">
          <cell r="E362">
            <v>44127</v>
          </cell>
          <cell r="F362" t="str">
            <v>Viernes</v>
          </cell>
          <cell r="G362"/>
        </row>
        <row r="363">
          <cell r="E363">
            <v>44128</v>
          </cell>
          <cell r="F363" t="str">
            <v>Sábado</v>
          </cell>
          <cell r="G363"/>
        </row>
        <row r="364">
          <cell r="E364">
            <v>44129</v>
          </cell>
          <cell r="F364" t="str">
            <v>Domingo</v>
          </cell>
          <cell r="G364"/>
        </row>
        <row r="365">
          <cell r="E365">
            <v>44130</v>
          </cell>
          <cell r="F365" t="str">
            <v>Lunes</v>
          </cell>
          <cell r="G365"/>
        </row>
        <row r="366">
          <cell r="E366">
            <v>44131</v>
          </cell>
          <cell r="F366" t="str">
            <v>Martes</v>
          </cell>
          <cell r="G366"/>
        </row>
        <row r="367">
          <cell r="E367">
            <v>44132</v>
          </cell>
          <cell r="F367" t="str">
            <v>Miércoles</v>
          </cell>
          <cell r="G367"/>
        </row>
        <row r="368">
          <cell r="E368">
            <v>44133</v>
          </cell>
          <cell r="F368" t="str">
            <v>Jueves</v>
          </cell>
          <cell r="G368"/>
        </row>
        <row r="369">
          <cell r="E369">
            <v>44134</v>
          </cell>
          <cell r="F369" t="str">
            <v>Viernes</v>
          </cell>
          <cell r="G369"/>
        </row>
        <row r="370">
          <cell r="E370">
            <v>44135</v>
          </cell>
          <cell r="F370" t="str">
            <v>Sábado</v>
          </cell>
          <cell r="G370"/>
        </row>
        <row r="371">
          <cell r="E371">
            <v>44136</v>
          </cell>
          <cell r="F371" t="str">
            <v>Domingo</v>
          </cell>
          <cell r="G371"/>
        </row>
        <row r="372">
          <cell r="E372">
            <v>44137</v>
          </cell>
          <cell r="F372" t="str">
            <v>Lunes</v>
          </cell>
          <cell r="G372"/>
        </row>
        <row r="373">
          <cell r="E373">
            <v>44138</v>
          </cell>
          <cell r="F373" t="str">
            <v>Martes</v>
          </cell>
          <cell r="G373"/>
        </row>
        <row r="374">
          <cell r="E374">
            <v>44139</v>
          </cell>
          <cell r="F374" t="str">
            <v>Miércoles</v>
          </cell>
          <cell r="G374"/>
        </row>
        <row r="375">
          <cell r="E375">
            <v>44140</v>
          </cell>
          <cell r="F375" t="str">
            <v>Jueves</v>
          </cell>
          <cell r="G375"/>
        </row>
        <row r="376">
          <cell r="E376">
            <v>44141</v>
          </cell>
          <cell r="F376" t="str">
            <v>Viernes</v>
          </cell>
          <cell r="G376"/>
        </row>
        <row r="377">
          <cell r="E377">
            <v>44142</v>
          </cell>
          <cell r="F377" t="str">
            <v>Sábado</v>
          </cell>
          <cell r="G377"/>
        </row>
        <row r="378">
          <cell r="E378">
            <v>44143</v>
          </cell>
          <cell r="F378" t="str">
            <v>Domingo</v>
          </cell>
          <cell r="G378"/>
        </row>
        <row r="379">
          <cell r="E379">
            <v>44144</v>
          </cell>
          <cell r="F379" t="str">
            <v>Lunes</v>
          </cell>
          <cell r="G379"/>
        </row>
        <row r="380">
          <cell r="E380">
            <v>44145</v>
          </cell>
          <cell r="F380" t="str">
            <v>Martes</v>
          </cell>
          <cell r="G380"/>
        </row>
        <row r="381">
          <cell r="E381">
            <v>44146</v>
          </cell>
          <cell r="F381" t="str">
            <v>Miércoles</v>
          </cell>
          <cell r="G381"/>
        </row>
        <row r="382">
          <cell r="E382">
            <v>44147</v>
          </cell>
          <cell r="F382" t="str">
            <v>Jueves</v>
          </cell>
          <cell r="G382"/>
        </row>
        <row r="383">
          <cell r="E383">
            <v>44148</v>
          </cell>
          <cell r="F383" t="str">
            <v>Viernes</v>
          </cell>
          <cell r="G383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oberto_a@pcptissue.com.mx" TargetMode="External"/><Relationship Id="rId21" Type="http://schemas.openxmlformats.org/officeDocument/2006/relationships/hyperlink" Target="mailto:fernando.lopez03@grupobimbo.com" TargetMode="External"/><Relationship Id="rId34" Type="http://schemas.openxmlformats.org/officeDocument/2006/relationships/hyperlink" Target="mailto:javier.ramos@cuamoo.com" TargetMode="External"/><Relationship Id="rId42" Type="http://schemas.openxmlformats.org/officeDocument/2006/relationships/hyperlink" Target="mailto:garpiel@prodigy.net.mx" TargetMode="External"/><Relationship Id="rId47" Type="http://schemas.openxmlformats.org/officeDocument/2006/relationships/hyperlink" Target="mailto:alfredo.mercado@osgroyco.com.mx" TargetMode="External"/><Relationship Id="rId50" Type="http://schemas.openxmlformats.org/officeDocument/2006/relationships/hyperlink" Target="mailto:grupocyssa@gmail.com" TargetMode="External"/><Relationship Id="rId55" Type="http://schemas.openxmlformats.org/officeDocument/2006/relationships/hyperlink" Target="mailto:mpg@pegaso.com.mx" TargetMode="External"/><Relationship Id="rId63" Type="http://schemas.openxmlformats.org/officeDocument/2006/relationships/hyperlink" Target="mailto:jr@braxico.mx" TargetMode="External"/><Relationship Id="rId7" Type="http://schemas.openxmlformats.org/officeDocument/2006/relationships/hyperlink" Target="mailto:fperalta@avantetextil.com.mx" TargetMode="External"/><Relationship Id="rId2" Type="http://schemas.openxmlformats.org/officeDocument/2006/relationships/hyperlink" Target="mailto:angelica.perez@avemex.com.mx" TargetMode="External"/><Relationship Id="rId16" Type="http://schemas.openxmlformats.org/officeDocument/2006/relationships/hyperlink" Target="mailto:direccion@duna.com.mx" TargetMode="External"/><Relationship Id="rId29" Type="http://schemas.openxmlformats.org/officeDocument/2006/relationships/hyperlink" Target="mailto:manuel.ceron@cimarron.com.mx" TargetMode="External"/><Relationship Id="rId11" Type="http://schemas.openxmlformats.org/officeDocument/2006/relationships/hyperlink" Target="mailto:eduardo.garcia1@danone.com" TargetMode="External"/><Relationship Id="rId24" Type="http://schemas.openxmlformats.org/officeDocument/2006/relationships/hyperlink" Target="mailto:fhernandez@cpgmx.com" TargetMode="External"/><Relationship Id="rId32" Type="http://schemas.openxmlformats.org/officeDocument/2006/relationships/hyperlink" Target="mailto:alejandra.arriaga@mx.pvmgrop.com" TargetMode="External"/><Relationship Id="rId37" Type="http://schemas.openxmlformats.org/officeDocument/2006/relationships/hyperlink" Target="mailto:ovelazquez@cesvimexico.com.mx" TargetMode="External"/><Relationship Id="rId40" Type="http://schemas.openxmlformats.org/officeDocument/2006/relationships/hyperlink" Target="mailto:lourdes.garcia@tremexlogistics.com" TargetMode="External"/><Relationship Id="rId45" Type="http://schemas.openxmlformats.org/officeDocument/2006/relationships/hyperlink" Target="mailto:admontoluca@notesa.com.mx" TargetMode="External"/><Relationship Id="rId53" Type="http://schemas.openxmlformats.org/officeDocument/2006/relationships/hyperlink" Target="mailto:berrelleza89@gmail.com" TargetMode="External"/><Relationship Id="rId58" Type="http://schemas.openxmlformats.org/officeDocument/2006/relationships/hyperlink" Target="mailto:aaguirre@janel.com.mx" TargetMode="External"/><Relationship Id="rId5" Type="http://schemas.openxmlformats.org/officeDocument/2006/relationships/hyperlink" Target="mailto:vmota@indelpa.com.mx" TargetMode="External"/><Relationship Id="rId61" Type="http://schemas.openxmlformats.org/officeDocument/2006/relationships/hyperlink" Target="mailto:norma.gomez@dana.com" TargetMode="External"/><Relationship Id="rId19" Type="http://schemas.openxmlformats.org/officeDocument/2006/relationships/hyperlink" Target="mailto:jacosta@alubin.com.mx" TargetMode="External"/><Relationship Id="rId14" Type="http://schemas.openxmlformats.org/officeDocument/2006/relationships/hyperlink" Target="mailto:nsierra@menshenmex.com" TargetMode="External"/><Relationship Id="rId22" Type="http://schemas.openxmlformats.org/officeDocument/2006/relationships/hyperlink" Target="mailto:rcaceres@android-ind.com" TargetMode="External"/><Relationship Id="rId27" Type="http://schemas.openxmlformats.org/officeDocument/2006/relationships/hyperlink" Target="mailto:cesar.carrillo@imer_mex.com.mx" TargetMode="External"/><Relationship Id="rId30" Type="http://schemas.openxmlformats.org/officeDocument/2006/relationships/hyperlink" Target="mailto:mercadotecnia@mopesa.com.mx" TargetMode="External"/><Relationship Id="rId35" Type="http://schemas.openxmlformats.org/officeDocument/2006/relationships/hyperlink" Target="mailto:antonio.rosales@zf.com" TargetMode="External"/><Relationship Id="rId43" Type="http://schemas.openxmlformats.org/officeDocument/2006/relationships/hyperlink" Target="mailto:contabil@janel.com.mx" TargetMode="External"/><Relationship Id="rId48" Type="http://schemas.openxmlformats.org/officeDocument/2006/relationships/hyperlink" Target="mailto:luz.gonzalez@kirkwood.com.mx" TargetMode="External"/><Relationship Id="rId56" Type="http://schemas.openxmlformats.org/officeDocument/2006/relationships/hyperlink" Target="mailto:recursoshumanos@vanvien.com.mx" TargetMode="External"/><Relationship Id="rId64" Type="http://schemas.openxmlformats.org/officeDocument/2006/relationships/hyperlink" Target="mailto:info@cesehsa.com.mx" TargetMode="External"/><Relationship Id="rId8" Type="http://schemas.openxmlformats.org/officeDocument/2006/relationships/hyperlink" Target="mailto:agonzalez@funcosa.com.mx" TargetMode="External"/><Relationship Id="rId51" Type="http://schemas.openxmlformats.org/officeDocument/2006/relationships/hyperlink" Target="mailto:rhumanos1@babycreysi.com" TargetMode="External"/><Relationship Id="rId3" Type="http://schemas.openxmlformats.org/officeDocument/2006/relationships/hyperlink" Target="mailto:angelica.perez@avemex.com.mx" TargetMode="External"/><Relationship Id="rId12" Type="http://schemas.openxmlformats.org/officeDocument/2006/relationships/hyperlink" Target="mailto:abrito@mx.gestamp.com" TargetMode="External"/><Relationship Id="rId17" Type="http://schemas.openxmlformats.org/officeDocument/2006/relationships/hyperlink" Target="mailto:admon.ventas@carroceriasrepsa.com" TargetMode="External"/><Relationship Id="rId25" Type="http://schemas.openxmlformats.org/officeDocument/2006/relationships/hyperlink" Target="mailto:mb6074@gates.com" TargetMode="External"/><Relationship Id="rId33" Type="http://schemas.openxmlformats.org/officeDocument/2006/relationships/hyperlink" Target="mailto:rosalva@intercarton.com.mx" TargetMode="External"/><Relationship Id="rId38" Type="http://schemas.openxmlformats.org/officeDocument/2006/relationships/hyperlink" Target="mailto:jjvc2002@hotmail.com" TargetMode="External"/><Relationship Id="rId46" Type="http://schemas.openxmlformats.org/officeDocument/2006/relationships/hyperlink" Target="mailto:yaguilarh@selder.com.mx" TargetMode="External"/><Relationship Id="rId59" Type="http://schemas.openxmlformats.org/officeDocument/2006/relationships/hyperlink" Target="mailto:arturo.ramirez@qg.com" TargetMode="External"/><Relationship Id="rId20" Type="http://schemas.openxmlformats.org/officeDocument/2006/relationships/hyperlink" Target="mailto:cei.lapeninsula@gmail.com" TargetMode="External"/><Relationship Id="rId41" Type="http://schemas.openxmlformats.org/officeDocument/2006/relationships/hyperlink" Target="mailto:csaavedra@quala.com.mx" TargetMode="External"/><Relationship Id="rId54" Type="http://schemas.openxmlformats.org/officeDocument/2006/relationships/hyperlink" Target="mailto:gsanchez@aeropersonal.com.mx" TargetMode="External"/><Relationship Id="rId62" Type="http://schemas.openxmlformats.org/officeDocument/2006/relationships/hyperlink" Target="mailto:leonardo.rebollar@foli.com.mx" TargetMode="External"/><Relationship Id="rId1" Type="http://schemas.openxmlformats.org/officeDocument/2006/relationships/hyperlink" Target="mailto:karla.partidav@el-pedregal.com" TargetMode="External"/><Relationship Id="rId6" Type="http://schemas.openxmlformats.org/officeDocument/2006/relationships/hyperlink" Target="mailto:alicia.delvalle@gm.com" TargetMode="External"/><Relationship Id="rId15" Type="http://schemas.openxmlformats.org/officeDocument/2006/relationships/hyperlink" Target="mailto:dnv221611421@gmail.com" TargetMode="External"/><Relationship Id="rId23" Type="http://schemas.openxmlformats.org/officeDocument/2006/relationships/hyperlink" Target="mailto:amoctezuma@burndy.com.mx" TargetMode="External"/><Relationship Id="rId28" Type="http://schemas.openxmlformats.org/officeDocument/2006/relationships/hyperlink" Target="mailto:liliana.aviles@kukanao.com" TargetMode="External"/><Relationship Id="rId36" Type="http://schemas.openxmlformats.org/officeDocument/2006/relationships/hyperlink" Target="mailto:gabriela.canales@grupobimbo.com" TargetMode="External"/><Relationship Id="rId49" Type="http://schemas.openxmlformats.org/officeDocument/2006/relationships/hyperlink" Target="mailto:margarita.morales@prodinox.com.mx" TargetMode="External"/><Relationship Id="rId57" Type="http://schemas.openxmlformats.org/officeDocument/2006/relationships/hyperlink" Target="mailto:javier.zepeda@faske.com.mx" TargetMode="External"/><Relationship Id="rId10" Type="http://schemas.openxmlformats.org/officeDocument/2006/relationships/hyperlink" Target="mailto:jgomez@mundodulce.com.mx" TargetMode="External"/><Relationship Id="rId31" Type="http://schemas.openxmlformats.org/officeDocument/2006/relationships/hyperlink" Target="mailto:contabilidad@sanatorioflorencia.com.mx" TargetMode="External"/><Relationship Id="rId44" Type="http://schemas.openxmlformats.org/officeDocument/2006/relationships/hyperlink" Target="mailto:msantiago@plastimadera.com" TargetMode="External"/><Relationship Id="rId52" Type="http://schemas.openxmlformats.org/officeDocument/2006/relationships/hyperlink" Target="mailto:gerenterh@caminante.mx" TargetMode="External"/><Relationship Id="rId60" Type="http://schemas.openxmlformats.org/officeDocument/2006/relationships/hyperlink" Target="mailto:mgonzalez@editorial.com.mx" TargetMode="External"/><Relationship Id="rId65" Type="http://schemas.openxmlformats.org/officeDocument/2006/relationships/hyperlink" Target="mailto:ayuda@kavak.com" TargetMode="External"/><Relationship Id="rId4" Type="http://schemas.openxmlformats.org/officeDocument/2006/relationships/hyperlink" Target="mailto:dfuentes@grupak.com.mx" TargetMode="External"/><Relationship Id="rId9" Type="http://schemas.openxmlformats.org/officeDocument/2006/relationships/hyperlink" Target="mailto:jcuadra@adea.com.mx" TargetMode="External"/><Relationship Id="rId13" Type="http://schemas.openxmlformats.org/officeDocument/2006/relationships/hyperlink" Target="mailto:juan.suarez@bralo.com.mx" TargetMode="External"/><Relationship Id="rId18" Type="http://schemas.openxmlformats.org/officeDocument/2006/relationships/hyperlink" Target="mailto:aluminiopuro@prodigy.net.mx" TargetMode="External"/><Relationship Id="rId39" Type="http://schemas.openxmlformats.org/officeDocument/2006/relationships/hyperlink" Target="mailto:rodrigo.martinezrosas@chrysl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743B-1B03-443F-84F5-B2F8B17632D2}">
  <dimension ref="A1:Z113"/>
  <sheetViews>
    <sheetView tabSelected="1" topLeftCell="J93" zoomScale="110" zoomScaleNormal="110" workbookViewId="0">
      <selection activeCell="O124" sqref="O124"/>
    </sheetView>
  </sheetViews>
  <sheetFormatPr baseColWidth="10" defaultRowHeight="15" x14ac:dyDescent="0.2"/>
  <cols>
    <col min="9" max="9" width="43.5" customWidth="1"/>
    <col min="12" max="12" width="20.83203125" customWidth="1"/>
    <col min="13" max="13" width="11" bestFit="1" customWidth="1"/>
    <col min="14" max="14" width="11.1640625" bestFit="1" customWidth="1"/>
    <col min="15" max="15" width="37.83203125" customWidth="1"/>
    <col min="16" max="16" width="22.83203125" customWidth="1"/>
    <col min="20" max="20" width="30.83203125" customWidth="1"/>
    <col min="21" max="21" width="34.83203125" customWidth="1"/>
  </cols>
  <sheetData>
    <row r="1" spans="1:26" ht="16" x14ac:dyDescent="0.2">
      <c r="A1" s="9" t="s">
        <v>50</v>
      </c>
      <c r="B1" s="10" t="s">
        <v>51</v>
      </c>
      <c r="C1" s="10" t="s">
        <v>52</v>
      </c>
      <c r="D1" s="11" t="s">
        <v>53</v>
      </c>
      <c r="E1" s="12" t="s">
        <v>54</v>
      </c>
      <c r="F1" s="13" t="s">
        <v>55</v>
      </c>
      <c r="G1" s="12" t="s">
        <v>56</v>
      </c>
      <c r="H1" s="12" t="s">
        <v>57</v>
      </c>
      <c r="I1" s="13" t="s">
        <v>58</v>
      </c>
      <c r="J1" s="13" t="s">
        <v>59</v>
      </c>
      <c r="K1" s="13" t="s">
        <v>60</v>
      </c>
      <c r="L1" s="12" t="s">
        <v>61</v>
      </c>
      <c r="M1" s="14" t="s">
        <v>62</v>
      </c>
      <c r="N1" s="15" t="s">
        <v>63</v>
      </c>
      <c r="O1" s="14" t="s">
        <v>64</v>
      </c>
      <c r="P1" s="14" t="s">
        <v>65</v>
      </c>
      <c r="Q1" s="14" t="s">
        <v>66</v>
      </c>
      <c r="R1" s="16" t="s">
        <v>67</v>
      </c>
      <c r="S1" s="17" t="s">
        <v>68</v>
      </c>
      <c r="T1" s="18" t="s">
        <v>69</v>
      </c>
      <c r="U1" s="14" t="s">
        <v>70</v>
      </c>
      <c r="V1" s="19" t="s">
        <v>71</v>
      </c>
      <c r="W1" s="14" t="s">
        <v>72</v>
      </c>
      <c r="X1" s="14" t="s">
        <v>73</v>
      </c>
      <c r="Y1" s="14" t="s">
        <v>74</v>
      </c>
    </row>
    <row r="2" spans="1:26" ht="16" x14ac:dyDescent="0.2">
      <c r="A2" t="str">
        <f>VLOOKUP(D2,[1]DATOS!$E:$F,2,0)</f>
        <v>Lunes</v>
      </c>
      <c r="B2">
        <f>VLOOKUP(D2,[1]DATOS!E:G,3,0)</f>
        <v>0</v>
      </c>
      <c r="C2" t="str">
        <f>VLOOKUP(E2,[1]DATOS!$H$2:$I$17,2,0)</f>
        <v>FL</v>
      </c>
      <c r="D2" s="1">
        <v>43941</v>
      </c>
      <c r="E2" t="s">
        <v>0</v>
      </c>
      <c r="F2">
        <v>10</v>
      </c>
      <c r="I2" s="2" t="s">
        <v>1</v>
      </c>
      <c r="J2" s="3" t="s">
        <v>2</v>
      </c>
      <c r="K2" t="s">
        <v>3</v>
      </c>
      <c r="L2" s="4" t="s">
        <v>4</v>
      </c>
      <c r="M2">
        <f t="shared" ref="M2:M41" si="0">MONTH(D2)</f>
        <v>4</v>
      </c>
      <c r="N2" s="3">
        <v>7222134008</v>
      </c>
      <c r="O2" s="5" t="s">
        <v>5</v>
      </c>
      <c r="P2" t="s">
        <v>6</v>
      </c>
      <c r="Q2" t="s">
        <v>7</v>
      </c>
      <c r="R2" s="2"/>
      <c r="S2" s="6" t="s">
        <v>8</v>
      </c>
      <c r="T2" s="2" t="s">
        <v>9</v>
      </c>
      <c r="U2" s="2" t="s">
        <v>10</v>
      </c>
      <c r="V2" s="7">
        <v>50070</v>
      </c>
      <c r="X2" t="s">
        <v>11</v>
      </c>
      <c r="Z2" t="s">
        <v>12</v>
      </c>
    </row>
    <row r="3" spans="1:26" ht="16" x14ac:dyDescent="0.2">
      <c r="A3" t="str">
        <f>VLOOKUP(D3,[1]DATOS!$E:$F,2,0)</f>
        <v>Lunes</v>
      </c>
      <c r="B3">
        <f>VLOOKUP(D3,[1]DATOS!E:G,3,0)</f>
        <v>0</v>
      </c>
      <c r="C3" t="str">
        <f>VLOOKUP(E3,[1]DATOS!$H$2:$I$17,2,0)</f>
        <v>FL</v>
      </c>
      <c r="D3" s="1">
        <v>43941</v>
      </c>
      <c r="E3" t="s">
        <v>0</v>
      </c>
      <c r="F3">
        <v>10</v>
      </c>
      <c r="I3" s="2" t="s">
        <v>13</v>
      </c>
      <c r="J3" s="3" t="s">
        <v>2</v>
      </c>
      <c r="K3" t="s">
        <v>3</v>
      </c>
      <c r="L3" s="4" t="s">
        <v>4</v>
      </c>
      <c r="M3">
        <f t="shared" si="0"/>
        <v>4</v>
      </c>
      <c r="N3" s="3">
        <v>7222793000</v>
      </c>
      <c r="O3" s="5" t="s">
        <v>14</v>
      </c>
      <c r="P3" t="s">
        <v>15</v>
      </c>
      <c r="Q3" t="s">
        <v>7</v>
      </c>
      <c r="R3" s="2"/>
      <c r="S3" s="6" t="s">
        <v>8</v>
      </c>
      <c r="T3" s="2" t="s">
        <v>16</v>
      </c>
      <c r="U3" s="2" t="s">
        <v>17</v>
      </c>
      <c r="V3" s="7">
        <v>50226</v>
      </c>
      <c r="X3" t="s">
        <v>11</v>
      </c>
      <c r="Z3" t="s">
        <v>18</v>
      </c>
    </row>
    <row r="4" spans="1:26" ht="16" x14ac:dyDescent="0.2">
      <c r="A4" t="str">
        <f>VLOOKUP(D4,[1]DATOS!$E:$F,2,0)</f>
        <v>Lunes</v>
      </c>
      <c r="B4">
        <f>VLOOKUP(D4,[1]DATOS!E:G,3,0)</f>
        <v>0</v>
      </c>
      <c r="C4" t="str">
        <f>VLOOKUP(E4,[1]DATOS!$H$2:$I$17,2,0)</f>
        <v>FL</v>
      </c>
      <c r="D4" s="1">
        <v>43941</v>
      </c>
      <c r="E4" t="s">
        <v>0</v>
      </c>
      <c r="F4">
        <v>10</v>
      </c>
      <c r="I4" s="2" t="s">
        <v>19</v>
      </c>
      <c r="J4" s="3" t="s">
        <v>2</v>
      </c>
      <c r="K4" t="s">
        <v>3</v>
      </c>
      <c r="L4" s="4" t="s">
        <v>4</v>
      </c>
      <c r="M4">
        <f t="shared" si="0"/>
        <v>4</v>
      </c>
      <c r="N4" s="3">
        <v>7222792880</v>
      </c>
      <c r="O4" s="5"/>
      <c r="Q4" t="s">
        <v>7</v>
      </c>
      <c r="R4" s="2"/>
      <c r="S4" s="6" t="s">
        <v>8</v>
      </c>
      <c r="T4" s="2" t="s">
        <v>20</v>
      </c>
      <c r="U4" s="2" t="s">
        <v>21</v>
      </c>
      <c r="V4" s="7">
        <v>50233</v>
      </c>
      <c r="X4" t="s">
        <v>11</v>
      </c>
      <c r="Z4" t="s">
        <v>22</v>
      </c>
    </row>
    <row r="5" spans="1:26" ht="16" x14ac:dyDescent="0.2">
      <c r="A5" t="str">
        <f>VLOOKUP(D5,[1]DATOS!$E:$F,2,0)</f>
        <v>Lunes</v>
      </c>
      <c r="B5">
        <f>VLOOKUP(D5,[1]DATOS!E:G,3,0)</f>
        <v>0</v>
      </c>
      <c r="C5" t="str">
        <f>VLOOKUP(E5,[1]DATOS!$H$2:$I$17,2,0)</f>
        <v>FL</v>
      </c>
      <c r="D5" s="1">
        <v>43941</v>
      </c>
      <c r="E5" t="s">
        <v>0</v>
      </c>
      <c r="F5">
        <v>10</v>
      </c>
      <c r="I5" s="2" t="s">
        <v>23</v>
      </c>
      <c r="J5" s="3" t="s">
        <v>2</v>
      </c>
      <c r="K5" t="s">
        <v>3</v>
      </c>
      <c r="L5" s="4" t="s">
        <v>24</v>
      </c>
      <c r="M5">
        <f t="shared" si="0"/>
        <v>4</v>
      </c>
      <c r="N5" s="3">
        <v>7222170196</v>
      </c>
      <c r="O5" s="5"/>
      <c r="Q5" t="s">
        <v>7</v>
      </c>
      <c r="R5" s="2"/>
      <c r="S5" s="6" t="s">
        <v>8</v>
      </c>
      <c r="T5" s="2" t="s">
        <v>25</v>
      </c>
      <c r="U5" s="2" t="s">
        <v>26</v>
      </c>
      <c r="V5" s="7">
        <v>50140</v>
      </c>
      <c r="X5" t="s">
        <v>11</v>
      </c>
    </row>
    <row r="6" spans="1:26" ht="16" x14ac:dyDescent="0.2">
      <c r="A6" t="str">
        <f>VLOOKUP(D6,[1]DATOS!$E:$F,2,0)</f>
        <v>Lunes</v>
      </c>
      <c r="B6">
        <f>VLOOKUP(D6,[1]DATOS!E:G,3,0)</f>
        <v>0</v>
      </c>
      <c r="C6" t="str">
        <f>VLOOKUP(E6,[1]DATOS!$H$2:$I$17,2,0)</f>
        <v>FL</v>
      </c>
      <c r="D6" s="1">
        <v>43941</v>
      </c>
      <c r="E6" t="s">
        <v>0</v>
      </c>
      <c r="F6">
        <v>10</v>
      </c>
      <c r="I6" s="2" t="s">
        <v>27</v>
      </c>
      <c r="J6" s="3" t="s">
        <v>2</v>
      </c>
      <c r="K6" t="s">
        <v>3</v>
      </c>
      <c r="L6" s="4" t="s">
        <v>28</v>
      </c>
      <c r="M6">
        <f t="shared" si="0"/>
        <v>4</v>
      </c>
      <c r="N6" s="3">
        <v>7222794051</v>
      </c>
      <c r="O6" s="5"/>
      <c r="Q6" t="s">
        <v>7</v>
      </c>
      <c r="R6" s="2"/>
      <c r="S6" s="6" t="s">
        <v>8</v>
      </c>
      <c r="T6" s="2" t="s">
        <v>29</v>
      </c>
      <c r="U6" s="2" t="s">
        <v>30</v>
      </c>
      <c r="V6" s="7">
        <v>50200</v>
      </c>
      <c r="X6" t="s">
        <v>31</v>
      </c>
    </row>
    <row r="7" spans="1:26" ht="16" x14ac:dyDescent="0.2">
      <c r="A7" t="str">
        <f>VLOOKUP(D7,[1]DATOS!$E:$F,2,0)</f>
        <v>Lunes</v>
      </c>
      <c r="B7">
        <f>VLOOKUP(D7,[1]DATOS!E:G,3,0)</f>
        <v>0</v>
      </c>
      <c r="C7" t="str">
        <f>VLOOKUP(E7,[1]DATOS!$H$2:$I$17,2,0)</f>
        <v>FL</v>
      </c>
      <c r="D7" s="1">
        <v>43941</v>
      </c>
      <c r="E7" t="s">
        <v>0</v>
      </c>
      <c r="F7">
        <v>10</v>
      </c>
      <c r="I7" s="2" t="s">
        <v>32</v>
      </c>
      <c r="J7" s="3" t="s">
        <v>2</v>
      </c>
      <c r="K7" t="s">
        <v>3</v>
      </c>
      <c r="L7" s="4" t="s">
        <v>28</v>
      </c>
      <c r="M7">
        <f t="shared" si="0"/>
        <v>4</v>
      </c>
      <c r="N7" s="3">
        <v>7222496152</v>
      </c>
      <c r="O7" s="5"/>
      <c r="Q7" t="s">
        <v>7</v>
      </c>
      <c r="R7" s="2"/>
      <c r="S7" s="6" t="s">
        <v>8</v>
      </c>
      <c r="T7" s="2" t="s">
        <v>33</v>
      </c>
      <c r="U7" s="2" t="s">
        <v>34</v>
      </c>
      <c r="V7" s="7">
        <v>50233</v>
      </c>
      <c r="X7" t="s">
        <v>11</v>
      </c>
    </row>
    <row r="8" spans="1:26" ht="16" x14ac:dyDescent="0.2">
      <c r="A8" t="str">
        <f>VLOOKUP(D8,[1]DATOS!$E:$F,2,0)</f>
        <v>Lunes</v>
      </c>
      <c r="B8">
        <f>VLOOKUP(D8,[1]DATOS!E:G,3,0)</f>
        <v>0</v>
      </c>
      <c r="C8" t="str">
        <f>VLOOKUP(E8,[1]DATOS!$H$2:$I$17,2,0)</f>
        <v>FL</v>
      </c>
      <c r="D8" s="1">
        <v>43941</v>
      </c>
      <c r="E8" t="s">
        <v>0</v>
      </c>
      <c r="F8">
        <v>10</v>
      </c>
      <c r="I8" s="2" t="s">
        <v>35</v>
      </c>
      <c r="J8" s="3" t="s">
        <v>2</v>
      </c>
      <c r="K8" t="s">
        <v>3</v>
      </c>
      <c r="L8" s="4" t="s">
        <v>4</v>
      </c>
      <c r="M8">
        <f t="shared" si="0"/>
        <v>4</v>
      </c>
      <c r="N8" s="3">
        <v>7222793054</v>
      </c>
      <c r="O8" s="5" t="s">
        <v>14</v>
      </c>
      <c r="P8" t="s">
        <v>15</v>
      </c>
      <c r="Q8" t="s">
        <v>7</v>
      </c>
      <c r="R8" s="2"/>
      <c r="S8" s="6" t="s">
        <v>8</v>
      </c>
      <c r="T8" s="2" t="s">
        <v>36</v>
      </c>
      <c r="U8" s="2" t="s">
        <v>17</v>
      </c>
      <c r="V8" s="7">
        <v>50226</v>
      </c>
      <c r="X8" t="s">
        <v>11</v>
      </c>
      <c r="Z8" t="s">
        <v>18</v>
      </c>
    </row>
    <row r="9" spans="1:26" ht="16" x14ac:dyDescent="0.2">
      <c r="A9" t="str">
        <f>VLOOKUP(D9,[1]DATOS!$E:$F,2,0)</f>
        <v>Lunes</v>
      </c>
      <c r="B9">
        <f>VLOOKUP(D9,[1]DATOS!E:G,3,0)</f>
        <v>0</v>
      </c>
      <c r="C9" t="str">
        <f>VLOOKUP(E9,[1]DATOS!$H$2:$I$17,2,0)</f>
        <v>FL</v>
      </c>
      <c r="D9" s="1">
        <v>43941</v>
      </c>
      <c r="E9" t="s">
        <v>0</v>
      </c>
      <c r="F9">
        <v>10</v>
      </c>
      <c r="I9" s="2" t="s">
        <v>37</v>
      </c>
      <c r="J9" s="3" t="s">
        <v>2</v>
      </c>
      <c r="K9" t="s">
        <v>3</v>
      </c>
      <c r="L9" s="4" t="s">
        <v>4</v>
      </c>
      <c r="M9">
        <f t="shared" si="0"/>
        <v>4</v>
      </c>
      <c r="N9" s="3">
        <v>7225480670</v>
      </c>
      <c r="O9" s="5" t="s">
        <v>38</v>
      </c>
      <c r="P9" t="s">
        <v>39</v>
      </c>
      <c r="Q9" t="s">
        <v>7</v>
      </c>
      <c r="R9" s="2"/>
      <c r="S9" s="6" t="s">
        <v>8</v>
      </c>
      <c r="T9" s="2" t="s">
        <v>40</v>
      </c>
      <c r="U9" s="2" t="s">
        <v>41</v>
      </c>
      <c r="V9" s="7">
        <v>50200</v>
      </c>
      <c r="X9" t="s">
        <v>11</v>
      </c>
      <c r="Z9" t="s">
        <v>42</v>
      </c>
    </row>
    <row r="10" spans="1:26" ht="16" x14ac:dyDescent="0.2">
      <c r="A10" t="str">
        <f>VLOOKUP(D10,[1]DATOS!$E:$F,2,0)</f>
        <v>Lunes</v>
      </c>
      <c r="B10">
        <f>VLOOKUP(D10,[1]DATOS!E:G,3,0)</f>
        <v>0</v>
      </c>
      <c r="C10" t="str">
        <f>VLOOKUP(E10,[1]DATOS!$H$2:$I$17,2,0)</f>
        <v>FL</v>
      </c>
      <c r="D10" s="1">
        <v>43941</v>
      </c>
      <c r="E10" t="s">
        <v>0</v>
      </c>
      <c r="F10">
        <v>10</v>
      </c>
      <c r="I10" s="2" t="s">
        <v>43</v>
      </c>
      <c r="J10" s="3" t="s">
        <v>2</v>
      </c>
      <c r="K10" t="s">
        <v>3</v>
      </c>
      <c r="L10" s="4" t="s">
        <v>28</v>
      </c>
      <c r="M10">
        <f t="shared" si="0"/>
        <v>4</v>
      </c>
      <c r="N10" s="3">
        <v>7222795486</v>
      </c>
      <c r="O10" s="8"/>
      <c r="Q10" t="s">
        <v>7</v>
      </c>
      <c r="R10" s="2"/>
      <c r="S10" s="6" t="s">
        <v>8</v>
      </c>
      <c r="T10" s="2" t="s">
        <v>44</v>
      </c>
      <c r="U10" s="2" t="s">
        <v>45</v>
      </c>
      <c r="V10" s="7">
        <v>50071</v>
      </c>
      <c r="X10" t="s">
        <v>31</v>
      </c>
    </row>
    <row r="11" spans="1:26" ht="16" x14ac:dyDescent="0.2">
      <c r="A11" t="str">
        <f>VLOOKUP(D11,[1]DATOS!$E:$F,2,0)</f>
        <v>Lunes</v>
      </c>
      <c r="B11">
        <f>VLOOKUP(D11,[1]DATOS!E:G,3,0)</f>
        <v>0</v>
      </c>
      <c r="C11" t="str">
        <f>VLOOKUP(E11,[1]DATOS!$H$2:$I$17,2,0)</f>
        <v>FL</v>
      </c>
      <c r="D11" s="1">
        <v>43941</v>
      </c>
      <c r="E11" t="s">
        <v>0</v>
      </c>
      <c r="F11">
        <v>10</v>
      </c>
      <c r="I11" s="2" t="s">
        <v>46</v>
      </c>
      <c r="J11" s="3" t="s">
        <v>2</v>
      </c>
      <c r="K11" t="s">
        <v>3</v>
      </c>
      <c r="L11" s="4" t="s">
        <v>47</v>
      </c>
      <c r="M11">
        <f t="shared" si="0"/>
        <v>4</v>
      </c>
      <c r="N11" s="3">
        <v>7222370175</v>
      </c>
      <c r="O11" s="5"/>
      <c r="Q11" t="s">
        <v>7</v>
      </c>
      <c r="R11" s="2"/>
      <c r="S11" s="6" t="s">
        <v>8</v>
      </c>
      <c r="T11" s="2" t="s">
        <v>48</v>
      </c>
      <c r="U11" s="2" t="s">
        <v>49</v>
      </c>
      <c r="V11" s="7">
        <v>50010</v>
      </c>
      <c r="X11" t="s">
        <v>11</v>
      </c>
    </row>
    <row r="12" spans="1:26" ht="16" x14ac:dyDescent="0.2">
      <c r="A12" t="str">
        <f>VLOOKUP(D12,[1]DATOS!$E:$F,2,0)</f>
        <v>Martes</v>
      </c>
      <c r="B12">
        <f>VLOOKUP(D12,[1]DATOS!E:G,3,0)</f>
        <v>0</v>
      </c>
      <c r="C12" t="str">
        <f>VLOOKUP(E12,[1]DATOS!$H$2:$I$17,2,0)</f>
        <v>FL</v>
      </c>
      <c r="D12" s="1">
        <v>43942</v>
      </c>
      <c r="E12" t="s">
        <v>0</v>
      </c>
      <c r="F12">
        <v>10</v>
      </c>
      <c r="I12" s="2" t="s">
        <v>75</v>
      </c>
      <c r="J12" s="3" t="s">
        <v>2</v>
      </c>
      <c r="K12" t="s">
        <v>3</v>
      </c>
      <c r="L12" s="4" t="s">
        <v>4</v>
      </c>
      <c r="M12">
        <f t="shared" si="0"/>
        <v>4</v>
      </c>
      <c r="N12" s="3">
        <v>7222496222</v>
      </c>
      <c r="O12" s="5" t="s">
        <v>76</v>
      </c>
      <c r="P12" t="s">
        <v>77</v>
      </c>
      <c r="Q12" t="s">
        <v>7</v>
      </c>
      <c r="R12" s="2"/>
      <c r="S12" s="6" t="s">
        <v>8</v>
      </c>
      <c r="T12" s="2" t="s">
        <v>78</v>
      </c>
      <c r="U12" s="2" t="s">
        <v>34</v>
      </c>
      <c r="V12" s="7">
        <v>50233</v>
      </c>
      <c r="X12" t="s">
        <v>11</v>
      </c>
      <c r="Y12" t="s">
        <v>79</v>
      </c>
    </row>
    <row r="13" spans="1:26" ht="16" x14ac:dyDescent="0.2">
      <c r="A13" t="str">
        <f>VLOOKUP(D13,[1]DATOS!$E:$F,2,0)</f>
        <v>Martes</v>
      </c>
      <c r="B13">
        <f>VLOOKUP(D13,[1]DATOS!E:G,3,0)</f>
        <v>0</v>
      </c>
      <c r="C13" t="str">
        <f>VLOOKUP(E13,[1]DATOS!$H$2:$I$17,2,0)</f>
        <v>FL</v>
      </c>
      <c r="D13" s="1">
        <v>43942</v>
      </c>
      <c r="E13" t="s">
        <v>0</v>
      </c>
      <c r="F13">
        <v>10</v>
      </c>
      <c r="I13" s="2" t="s">
        <v>43</v>
      </c>
      <c r="J13" s="3" t="s">
        <v>2</v>
      </c>
      <c r="K13" t="s">
        <v>3</v>
      </c>
      <c r="L13" s="4" t="s">
        <v>28</v>
      </c>
      <c r="M13">
        <f t="shared" si="0"/>
        <v>4</v>
      </c>
      <c r="N13" s="3">
        <v>7222792081</v>
      </c>
      <c r="O13" s="5" t="s">
        <v>80</v>
      </c>
      <c r="Q13" t="s">
        <v>7</v>
      </c>
      <c r="R13" s="2"/>
      <c r="S13" s="6" t="s">
        <v>8</v>
      </c>
      <c r="T13" s="2" t="s">
        <v>81</v>
      </c>
      <c r="U13" s="2" t="s">
        <v>45</v>
      </c>
      <c r="V13" s="7">
        <v>50071</v>
      </c>
      <c r="X13" t="s">
        <v>31</v>
      </c>
    </row>
    <row r="14" spans="1:26" ht="16" x14ac:dyDescent="0.2">
      <c r="A14" t="str">
        <f>VLOOKUP(D14,[1]DATOS!$E:$F,2,0)</f>
        <v>Martes</v>
      </c>
      <c r="B14">
        <f>VLOOKUP(D14,[1]DATOS!E:G,3,0)</f>
        <v>0</v>
      </c>
      <c r="C14" t="str">
        <f>VLOOKUP(E14,[1]DATOS!$H$2:$I$17,2,0)</f>
        <v>FL</v>
      </c>
      <c r="D14" s="1">
        <v>43942</v>
      </c>
      <c r="E14" t="s">
        <v>0</v>
      </c>
      <c r="F14">
        <v>10</v>
      </c>
      <c r="I14" s="2" t="s">
        <v>82</v>
      </c>
      <c r="J14" s="3" t="s">
        <v>2</v>
      </c>
      <c r="K14" t="s">
        <v>3</v>
      </c>
      <c r="L14" s="4" t="s">
        <v>28</v>
      </c>
      <c r="M14">
        <f t="shared" si="0"/>
        <v>4</v>
      </c>
      <c r="N14" s="3">
        <v>7222790900</v>
      </c>
      <c r="O14" s="5" t="s">
        <v>83</v>
      </c>
      <c r="Q14" t="s">
        <v>7</v>
      </c>
      <c r="R14" s="2"/>
      <c r="S14" s="6" t="s">
        <v>8</v>
      </c>
      <c r="T14" s="2" t="s">
        <v>84</v>
      </c>
      <c r="U14" s="2" t="s">
        <v>85</v>
      </c>
      <c r="V14" s="7">
        <v>50200</v>
      </c>
      <c r="X14" t="s">
        <v>31</v>
      </c>
    </row>
    <row r="15" spans="1:26" ht="16" x14ac:dyDescent="0.2">
      <c r="A15" t="str">
        <f>VLOOKUP(D15,[1]DATOS!$E:$F,2,0)</f>
        <v>Martes</v>
      </c>
      <c r="B15">
        <f>VLOOKUP(D15,[1]DATOS!E:G,3,0)</f>
        <v>0</v>
      </c>
      <c r="C15" t="str">
        <f>VLOOKUP(E15,[1]DATOS!$H$2:$I$17,2,0)</f>
        <v>FL</v>
      </c>
      <c r="D15" s="1">
        <v>43942</v>
      </c>
      <c r="E15" t="s">
        <v>0</v>
      </c>
      <c r="F15">
        <v>10</v>
      </c>
      <c r="I15" s="2" t="s">
        <v>86</v>
      </c>
      <c r="J15" s="3" t="s">
        <v>2</v>
      </c>
      <c r="K15" t="s">
        <v>3</v>
      </c>
      <c r="L15" s="4" t="s">
        <v>28</v>
      </c>
      <c r="M15">
        <f t="shared" si="0"/>
        <v>4</v>
      </c>
      <c r="N15" s="3">
        <v>7222146291</v>
      </c>
      <c r="O15" s="5" t="s">
        <v>87</v>
      </c>
      <c r="Q15" t="s">
        <v>7</v>
      </c>
      <c r="R15" s="2"/>
      <c r="S15" s="6" t="s">
        <v>8</v>
      </c>
      <c r="T15" s="2" t="s">
        <v>88</v>
      </c>
      <c r="U15" s="2" t="s">
        <v>10</v>
      </c>
      <c r="V15" s="7">
        <v>50070</v>
      </c>
      <c r="X15" t="s">
        <v>11</v>
      </c>
    </row>
    <row r="16" spans="1:26" ht="16" x14ac:dyDescent="0.2">
      <c r="A16" t="str">
        <f>VLOOKUP(D16,[1]DATOS!$E:$F,2,0)</f>
        <v>Martes</v>
      </c>
      <c r="B16">
        <f>VLOOKUP(D16,[1]DATOS!E:G,3,0)</f>
        <v>0</v>
      </c>
      <c r="C16" t="str">
        <f>VLOOKUP(E16,[1]DATOS!$H$2:$I$17,2,0)</f>
        <v>FL</v>
      </c>
      <c r="D16" s="1">
        <v>43942</v>
      </c>
      <c r="E16" t="s">
        <v>0</v>
      </c>
      <c r="F16">
        <v>10</v>
      </c>
      <c r="I16" s="2" t="s">
        <v>89</v>
      </c>
      <c r="J16" s="3" t="s">
        <v>2</v>
      </c>
      <c r="K16" t="s">
        <v>3</v>
      </c>
      <c r="L16" s="4" t="s">
        <v>28</v>
      </c>
      <c r="M16">
        <f t="shared" si="0"/>
        <v>4</v>
      </c>
      <c r="N16" s="3">
        <v>7222762200</v>
      </c>
      <c r="O16" s="5" t="s">
        <v>90</v>
      </c>
      <c r="Q16" t="s">
        <v>7</v>
      </c>
      <c r="R16" s="2"/>
      <c r="S16" s="6" t="s">
        <v>8</v>
      </c>
      <c r="T16" s="2" t="s">
        <v>91</v>
      </c>
      <c r="U16" s="2" t="s">
        <v>34</v>
      </c>
      <c r="V16" s="7">
        <v>50233</v>
      </c>
      <c r="X16" t="s">
        <v>11</v>
      </c>
      <c r="Y16" t="s">
        <v>92</v>
      </c>
    </row>
    <row r="17" spans="1:26" ht="16" x14ac:dyDescent="0.2">
      <c r="A17" t="str">
        <f>VLOOKUP(D17,[1]DATOS!$E:$F,2,0)</f>
        <v>Martes</v>
      </c>
      <c r="B17">
        <f>VLOOKUP(D17,[1]DATOS!E:G,3,0)</f>
        <v>0</v>
      </c>
      <c r="C17" t="str">
        <f>VLOOKUP(E17,[1]DATOS!$H$2:$I$17,2,0)</f>
        <v>FL</v>
      </c>
      <c r="D17" s="1">
        <v>43942</v>
      </c>
      <c r="E17" t="s">
        <v>0</v>
      </c>
      <c r="F17">
        <v>10</v>
      </c>
      <c r="I17" s="2" t="s">
        <v>93</v>
      </c>
      <c r="J17" s="3" t="s">
        <v>2</v>
      </c>
      <c r="K17" t="s">
        <v>3</v>
      </c>
      <c r="L17" s="4" t="s">
        <v>28</v>
      </c>
      <c r="M17">
        <f t="shared" si="0"/>
        <v>4</v>
      </c>
      <c r="N17" s="3">
        <v>7222732356</v>
      </c>
      <c r="O17" s="5" t="s">
        <v>94</v>
      </c>
      <c r="Q17" t="s">
        <v>7</v>
      </c>
      <c r="R17" s="2"/>
      <c r="S17" s="6" t="s">
        <v>8</v>
      </c>
      <c r="T17" s="2" t="s">
        <v>95</v>
      </c>
      <c r="U17" s="2" t="s">
        <v>85</v>
      </c>
      <c r="V17" s="7">
        <v>50200</v>
      </c>
      <c r="X17" t="s">
        <v>31</v>
      </c>
    </row>
    <row r="18" spans="1:26" ht="16" x14ac:dyDescent="0.2">
      <c r="A18" t="str">
        <f>VLOOKUP(D18,[1]DATOS!$E:$F,2,0)</f>
        <v>Martes</v>
      </c>
      <c r="B18">
        <f>VLOOKUP(D18,[1]DATOS!E:G,3,0)</f>
        <v>0</v>
      </c>
      <c r="C18" t="str">
        <f>VLOOKUP(E18,[1]DATOS!$H$2:$I$17,2,0)</f>
        <v>FL</v>
      </c>
      <c r="D18" s="1">
        <v>43942</v>
      </c>
      <c r="E18" t="s">
        <v>0</v>
      </c>
      <c r="F18">
        <v>10</v>
      </c>
      <c r="I18" s="2" t="s">
        <v>96</v>
      </c>
      <c r="J18" s="3" t="s">
        <v>2</v>
      </c>
      <c r="K18" t="s">
        <v>3</v>
      </c>
      <c r="L18" s="4" t="s">
        <v>28</v>
      </c>
      <c r="M18">
        <f t="shared" si="0"/>
        <v>4</v>
      </c>
      <c r="N18" s="3">
        <v>7222735292</v>
      </c>
      <c r="O18" s="5" t="s">
        <v>97</v>
      </c>
      <c r="Q18" t="s">
        <v>7</v>
      </c>
      <c r="R18" s="2"/>
      <c r="S18" s="6" t="s">
        <v>8</v>
      </c>
      <c r="T18" s="2" t="s">
        <v>98</v>
      </c>
      <c r="U18" s="2" t="s">
        <v>17</v>
      </c>
      <c r="V18" s="7">
        <v>50200</v>
      </c>
      <c r="X18" t="s">
        <v>11</v>
      </c>
    </row>
    <row r="19" spans="1:26" ht="16" x14ac:dyDescent="0.2">
      <c r="A19" t="str">
        <f>VLOOKUP(D19,[1]DATOS!$E:$F,2,0)</f>
        <v>Martes</v>
      </c>
      <c r="B19">
        <f>VLOOKUP(D19,[1]DATOS!E:G,3,0)</f>
        <v>0</v>
      </c>
      <c r="C19" t="str">
        <f>VLOOKUP(E19,[1]DATOS!$H$2:$I$17,2,0)</f>
        <v>FL</v>
      </c>
      <c r="D19" s="1">
        <v>43942</v>
      </c>
      <c r="E19" t="s">
        <v>0</v>
      </c>
      <c r="F19">
        <v>10</v>
      </c>
      <c r="I19" s="2" t="s">
        <v>99</v>
      </c>
      <c r="J19" s="3" t="s">
        <v>2</v>
      </c>
      <c r="K19" t="s">
        <v>3</v>
      </c>
      <c r="L19" s="4" t="s">
        <v>28</v>
      </c>
      <c r="M19">
        <f t="shared" si="0"/>
        <v>4</v>
      </c>
      <c r="N19" s="3">
        <v>7222758900</v>
      </c>
      <c r="O19" s="5" t="s">
        <v>100</v>
      </c>
      <c r="Q19" t="s">
        <v>7</v>
      </c>
      <c r="R19" s="2"/>
      <c r="S19" s="6" t="s">
        <v>8</v>
      </c>
      <c r="T19" s="2" t="s">
        <v>101</v>
      </c>
      <c r="U19" s="2" t="s">
        <v>10</v>
      </c>
      <c r="V19" s="7">
        <v>50070</v>
      </c>
      <c r="X19" t="s">
        <v>11</v>
      </c>
    </row>
    <row r="20" spans="1:26" ht="16" x14ac:dyDescent="0.2">
      <c r="A20" t="str">
        <f>VLOOKUP(D20,[1]DATOS!$E:$F,2,0)</f>
        <v>Martes</v>
      </c>
      <c r="B20">
        <f>VLOOKUP(D20,[1]DATOS!E:G,3,0)</f>
        <v>0</v>
      </c>
      <c r="C20" t="str">
        <f>VLOOKUP(E20,[1]DATOS!$H$2:$I$17,2,0)</f>
        <v>FL</v>
      </c>
      <c r="D20" s="1">
        <v>43942</v>
      </c>
      <c r="E20" t="s">
        <v>0</v>
      </c>
      <c r="F20">
        <v>10</v>
      </c>
      <c r="I20" s="2" t="s">
        <v>102</v>
      </c>
      <c r="J20" s="3" t="s">
        <v>2</v>
      </c>
      <c r="K20" t="s">
        <v>3</v>
      </c>
      <c r="L20" s="4" t="s">
        <v>4</v>
      </c>
      <c r="M20">
        <f t="shared" si="0"/>
        <v>4</v>
      </c>
      <c r="N20" s="3">
        <v>7222497126</v>
      </c>
      <c r="O20" s="5" t="s">
        <v>103</v>
      </c>
      <c r="P20" t="s">
        <v>104</v>
      </c>
      <c r="Q20" t="s">
        <v>7</v>
      </c>
      <c r="R20" s="2"/>
      <c r="S20" s="6" t="s">
        <v>8</v>
      </c>
      <c r="T20" s="2" t="s">
        <v>105</v>
      </c>
      <c r="U20" s="2" t="s">
        <v>34</v>
      </c>
      <c r="V20" s="7">
        <v>50233</v>
      </c>
      <c r="X20" t="s">
        <v>11</v>
      </c>
    </row>
    <row r="21" spans="1:26" ht="16" x14ac:dyDescent="0.2">
      <c r="A21" t="str">
        <f>VLOOKUP(D21,[1]DATOS!$E:$F,2,0)</f>
        <v>Martes</v>
      </c>
      <c r="B21">
        <f>VLOOKUP(D21,[1]DATOS!E:G,3,0)</f>
        <v>0</v>
      </c>
      <c r="C21" t="str">
        <f>VLOOKUP(E21,[1]DATOS!$H$2:$I$17,2,0)</f>
        <v>FL</v>
      </c>
      <c r="D21" s="1">
        <v>43942</v>
      </c>
      <c r="E21" t="s">
        <v>0</v>
      </c>
      <c r="F21">
        <v>10</v>
      </c>
      <c r="I21" s="2" t="s">
        <v>106</v>
      </c>
      <c r="J21" s="3" t="s">
        <v>2</v>
      </c>
      <c r="K21" t="s">
        <v>3</v>
      </c>
      <c r="L21" s="4" t="s">
        <v>4</v>
      </c>
      <c r="M21">
        <f t="shared" si="0"/>
        <v>4</v>
      </c>
      <c r="N21" s="3">
        <v>7222734782</v>
      </c>
      <c r="O21" s="5" t="s">
        <v>107</v>
      </c>
      <c r="P21" t="s">
        <v>108</v>
      </c>
      <c r="Q21" t="s">
        <v>7</v>
      </c>
      <c r="R21" s="2"/>
      <c r="S21" s="6" t="s">
        <v>8</v>
      </c>
      <c r="T21" s="2" t="s">
        <v>109</v>
      </c>
      <c r="U21" s="2" t="s">
        <v>110</v>
      </c>
      <c r="V21" s="7">
        <v>50233</v>
      </c>
      <c r="X21" t="s">
        <v>11</v>
      </c>
    </row>
    <row r="22" spans="1:26" ht="16" x14ac:dyDescent="0.2">
      <c r="A22" t="str">
        <f>VLOOKUP(D22,[1]DATOS!$E:$F,2,0)</f>
        <v>Miércoles</v>
      </c>
      <c r="B22">
        <f>VLOOKUP(D22,[1]DATOS!E:G,3,0)</f>
        <v>0</v>
      </c>
      <c r="C22" t="str">
        <f>VLOOKUP(E22,[1]DATOS!$H$2:$I$17,2,0)</f>
        <v>FL</v>
      </c>
      <c r="D22" s="1">
        <v>43943</v>
      </c>
      <c r="E22" t="s">
        <v>0</v>
      </c>
      <c r="F22">
        <v>10</v>
      </c>
      <c r="I22" s="2" t="s">
        <v>111</v>
      </c>
      <c r="J22" s="3" t="s">
        <v>2</v>
      </c>
      <c r="K22" t="s">
        <v>3</v>
      </c>
      <c r="L22" s="4" t="s">
        <v>4</v>
      </c>
      <c r="M22">
        <f t="shared" si="0"/>
        <v>4</v>
      </c>
      <c r="N22" s="3">
        <v>7221801760</v>
      </c>
      <c r="O22" s="5" t="s">
        <v>112</v>
      </c>
      <c r="P22" t="s">
        <v>113</v>
      </c>
      <c r="Q22" t="s">
        <v>7</v>
      </c>
      <c r="R22" s="2"/>
      <c r="S22" s="6" t="s">
        <v>8</v>
      </c>
      <c r="T22" s="2" t="s">
        <v>114</v>
      </c>
      <c r="U22" s="2" t="s">
        <v>115</v>
      </c>
      <c r="V22" s="7">
        <v>50246</v>
      </c>
      <c r="X22" t="s">
        <v>11</v>
      </c>
      <c r="Z22" t="s">
        <v>116</v>
      </c>
    </row>
    <row r="23" spans="1:26" ht="16" x14ac:dyDescent="0.2">
      <c r="A23" t="str">
        <f>VLOOKUP(D23,[1]DATOS!$E:$F,2,0)</f>
        <v>Miércoles</v>
      </c>
      <c r="B23">
        <f>VLOOKUP(D23,[1]DATOS!E:G,3,0)</f>
        <v>0</v>
      </c>
      <c r="C23" t="str">
        <f>VLOOKUP(E23,[1]DATOS!$H$2:$I$17,2,0)</f>
        <v>FL</v>
      </c>
      <c r="D23" s="1">
        <v>43943</v>
      </c>
      <c r="E23" t="s">
        <v>0</v>
      </c>
      <c r="F23">
        <v>10</v>
      </c>
      <c r="I23" s="2" t="s">
        <v>117</v>
      </c>
      <c r="J23" s="3" t="s">
        <v>2</v>
      </c>
      <c r="K23" t="s">
        <v>3</v>
      </c>
      <c r="L23" s="4" t="s">
        <v>47</v>
      </c>
      <c r="M23">
        <f t="shared" si="0"/>
        <v>4</v>
      </c>
      <c r="N23" s="3">
        <v>7222497290</v>
      </c>
      <c r="O23" s="5" t="s">
        <v>118</v>
      </c>
      <c r="Q23" t="s">
        <v>7</v>
      </c>
      <c r="R23" s="2"/>
      <c r="S23" s="6" t="s">
        <v>8</v>
      </c>
      <c r="T23" s="2" t="s">
        <v>119</v>
      </c>
      <c r="U23" s="2" t="s">
        <v>34</v>
      </c>
      <c r="V23" s="7">
        <v>50233</v>
      </c>
      <c r="X23" t="s">
        <v>11</v>
      </c>
    </row>
    <row r="24" spans="1:26" ht="16" x14ac:dyDescent="0.2">
      <c r="A24" t="str">
        <f>VLOOKUP(D24,[1]DATOS!$E:$F,2,0)</f>
        <v>Miércoles</v>
      </c>
      <c r="B24">
        <f>VLOOKUP(D24,[1]DATOS!E:G,3,0)</f>
        <v>0</v>
      </c>
      <c r="C24" t="str">
        <f>VLOOKUP(E24,[1]DATOS!$H$2:$I$17,2,0)</f>
        <v>FL</v>
      </c>
      <c r="D24" s="1">
        <v>43943</v>
      </c>
      <c r="E24" t="s">
        <v>0</v>
      </c>
      <c r="F24">
        <v>10</v>
      </c>
      <c r="I24" s="2" t="s">
        <v>120</v>
      </c>
      <c r="J24" s="3" t="s">
        <v>2</v>
      </c>
      <c r="K24" t="s">
        <v>3</v>
      </c>
      <c r="L24" s="4" t="s">
        <v>28</v>
      </c>
      <c r="M24">
        <f t="shared" si="0"/>
        <v>4</v>
      </c>
      <c r="N24" s="3">
        <v>7222143019</v>
      </c>
      <c r="O24" s="8"/>
      <c r="Q24" t="s">
        <v>7</v>
      </c>
      <c r="R24" s="2"/>
      <c r="S24" s="6" t="s">
        <v>8</v>
      </c>
      <c r="T24" s="2" t="s">
        <v>121</v>
      </c>
      <c r="U24" s="2" t="s">
        <v>122</v>
      </c>
      <c r="V24" s="7">
        <v>50070</v>
      </c>
      <c r="X24" t="s">
        <v>11</v>
      </c>
    </row>
    <row r="25" spans="1:26" ht="16" x14ac:dyDescent="0.2">
      <c r="A25" t="str">
        <f>VLOOKUP(D25,[1]DATOS!$E:$F,2,0)</f>
        <v>Miércoles</v>
      </c>
      <c r="B25">
        <f>VLOOKUP(D25,[1]DATOS!E:G,3,0)</f>
        <v>0</v>
      </c>
      <c r="C25" t="str">
        <f>VLOOKUP(E25,[1]DATOS!$H$2:$I$17,2,0)</f>
        <v>FL</v>
      </c>
      <c r="D25" s="1">
        <v>43943</v>
      </c>
      <c r="E25" t="s">
        <v>0</v>
      </c>
      <c r="F25">
        <v>10</v>
      </c>
      <c r="I25" s="2" t="s">
        <v>123</v>
      </c>
      <c r="J25" s="3" t="s">
        <v>2</v>
      </c>
      <c r="K25" t="s">
        <v>3</v>
      </c>
      <c r="L25" s="4" t="s">
        <v>4</v>
      </c>
      <c r="M25">
        <f t="shared" si="0"/>
        <v>4</v>
      </c>
      <c r="N25" s="3">
        <v>7222373990</v>
      </c>
      <c r="O25" s="5" t="s">
        <v>124</v>
      </c>
      <c r="P25" t="s">
        <v>125</v>
      </c>
      <c r="Q25" t="s">
        <v>7</v>
      </c>
      <c r="R25" s="2"/>
      <c r="S25" s="6" t="s">
        <v>8</v>
      </c>
      <c r="T25" s="2" t="s">
        <v>126</v>
      </c>
      <c r="U25" s="2" t="s">
        <v>127</v>
      </c>
      <c r="V25" s="7">
        <v>50010</v>
      </c>
      <c r="X25" t="s">
        <v>11</v>
      </c>
    </row>
    <row r="26" spans="1:26" ht="16" x14ac:dyDescent="0.2">
      <c r="A26" t="str">
        <f>VLOOKUP(D26,[1]DATOS!$E:$F,2,0)</f>
        <v>Miércoles</v>
      </c>
      <c r="B26">
        <f>VLOOKUP(D26,[1]DATOS!E:G,3,0)</f>
        <v>0</v>
      </c>
      <c r="C26" t="str">
        <f>VLOOKUP(E26,[1]DATOS!$H$2:$I$17,2,0)</f>
        <v>FL</v>
      </c>
      <c r="D26" s="1">
        <v>43943</v>
      </c>
      <c r="E26" t="s">
        <v>0</v>
      </c>
      <c r="F26">
        <v>10</v>
      </c>
      <c r="I26" s="2" t="s">
        <v>128</v>
      </c>
      <c r="J26" s="3" t="s">
        <v>2</v>
      </c>
      <c r="K26" t="s">
        <v>3</v>
      </c>
      <c r="L26" s="4" t="s">
        <v>28</v>
      </c>
      <c r="M26">
        <f t="shared" si="0"/>
        <v>4</v>
      </c>
      <c r="N26" s="3">
        <v>7221992267</v>
      </c>
      <c r="O26" s="5" t="s">
        <v>129</v>
      </c>
      <c r="Q26" t="s">
        <v>7</v>
      </c>
      <c r="R26" s="2"/>
      <c r="S26" s="6" t="s">
        <v>8</v>
      </c>
      <c r="T26" s="2" t="s">
        <v>130</v>
      </c>
      <c r="U26" s="2" t="s">
        <v>45</v>
      </c>
      <c r="V26" s="7">
        <v>50071</v>
      </c>
      <c r="X26" t="s">
        <v>11</v>
      </c>
    </row>
    <row r="27" spans="1:26" ht="16" x14ac:dyDescent="0.2">
      <c r="A27" t="str">
        <f>VLOOKUP(D27,[1]DATOS!$E:$F,2,0)</f>
        <v>Miércoles</v>
      </c>
      <c r="B27">
        <f>VLOOKUP(D27,[1]DATOS!E:G,3,0)</f>
        <v>0</v>
      </c>
      <c r="C27" t="str">
        <f>VLOOKUP(E27,[1]DATOS!$H$2:$I$17,2,0)</f>
        <v>FL</v>
      </c>
      <c r="D27" s="1">
        <v>43943</v>
      </c>
      <c r="E27" t="s">
        <v>0</v>
      </c>
      <c r="F27">
        <v>10</v>
      </c>
      <c r="I27" s="2" t="s">
        <v>131</v>
      </c>
      <c r="J27" s="3" t="s">
        <v>2</v>
      </c>
      <c r="K27" t="s">
        <v>3</v>
      </c>
      <c r="L27" s="4" t="s">
        <v>28</v>
      </c>
      <c r="M27">
        <f t="shared" si="0"/>
        <v>4</v>
      </c>
      <c r="N27" s="3">
        <v>7222621500</v>
      </c>
      <c r="O27" s="5" t="s">
        <v>132</v>
      </c>
      <c r="Q27" t="s">
        <v>7</v>
      </c>
      <c r="R27" s="2"/>
      <c r="S27" s="6" t="s">
        <v>8</v>
      </c>
      <c r="T27" s="2" t="s">
        <v>133</v>
      </c>
      <c r="U27" s="2" t="s">
        <v>30</v>
      </c>
      <c r="V27" s="7">
        <v>50200</v>
      </c>
      <c r="X27" t="s">
        <v>11</v>
      </c>
    </row>
    <row r="28" spans="1:26" ht="16" x14ac:dyDescent="0.2">
      <c r="A28" t="str">
        <f>VLOOKUP(D28,[1]DATOS!$E:$F,2,0)</f>
        <v>Miércoles</v>
      </c>
      <c r="B28">
        <f>VLOOKUP(D28,[1]DATOS!E:G,3,0)</f>
        <v>0</v>
      </c>
      <c r="C28" t="str">
        <f>VLOOKUP(E28,[1]DATOS!$H$2:$I$17,2,0)</f>
        <v>FL</v>
      </c>
      <c r="D28" s="1">
        <v>43943</v>
      </c>
      <c r="E28" t="s">
        <v>0</v>
      </c>
      <c r="F28">
        <v>10</v>
      </c>
      <c r="I28" s="2" t="s">
        <v>134</v>
      </c>
      <c r="J28" s="3" t="s">
        <v>2</v>
      </c>
      <c r="K28" t="s">
        <v>3</v>
      </c>
      <c r="L28" s="4" t="s">
        <v>28</v>
      </c>
      <c r="M28">
        <f t="shared" si="0"/>
        <v>4</v>
      </c>
      <c r="N28" s="3">
        <v>7222805868</v>
      </c>
      <c r="O28" s="5" t="s">
        <v>135</v>
      </c>
      <c r="Q28" t="s">
        <v>7</v>
      </c>
      <c r="R28" s="2"/>
      <c r="S28" s="6" t="s">
        <v>8</v>
      </c>
      <c r="T28" s="2" t="s">
        <v>136</v>
      </c>
      <c r="U28" s="2" t="s">
        <v>137</v>
      </c>
      <c r="V28" s="7">
        <v>50130</v>
      </c>
      <c r="X28" t="s">
        <v>11</v>
      </c>
    </row>
    <row r="29" spans="1:26" ht="16" x14ac:dyDescent="0.2">
      <c r="A29" t="str">
        <f>VLOOKUP(D29,[1]DATOS!$E:$F,2,0)</f>
        <v>Miércoles</v>
      </c>
      <c r="B29">
        <f>VLOOKUP(D29,[1]DATOS!E:G,3,0)</f>
        <v>0</v>
      </c>
      <c r="C29" t="str">
        <f>VLOOKUP(E29,[1]DATOS!$H$2:$I$17,2,0)</f>
        <v>FL</v>
      </c>
      <c r="D29" s="1">
        <v>43943</v>
      </c>
      <c r="E29" t="s">
        <v>0</v>
      </c>
      <c r="F29">
        <v>10</v>
      </c>
      <c r="I29" s="2" t="s">
        <v>138</v>
      </c>
      <c r="J29" s="3" t="s">
        <v>2</v>
      </c>
      <c r="K29" t="s">
        <v>3</v>
      </c>
      <c r="L29" s="4" t="s">
        <v>28</v>
      </c>
      <c r="M29">
        <f t="shared" si="0"/>
        <v>4</v>
      </c>
      <c r="N29" s="3">
        <v>7222791256</v>
      </c>
      <c r="O29" s="5" t="s">
        <v>139</v>
      </c>
      <c r="Q29" t="s">
        <v>7</v>
      </c>
      <c r="R29" s="2"/>
      <c r="S29" s="6" t="s">
        <v>8</v>
      </c>
      <c r="T29" s="2" t="s">
        <v>140</v>
      </c>
      <c r="U29" s="2" t="s">
        <v>17</v>
      </c>
      <c r="V29" s="7">
        <v>50226</v>
      </c>
      <c r="X29" t="s">
        <v>31</v>
      </c>
    </row>
    <row r="30" spans="1:26" ht="16" x14ac:dyDescent="0.2">
      <c r="A30" t="str">
        <f>VLOOKUP(D30,[1]DATOS!$E:$F,2,0)</f>
        <v>Miércoles</v>
      </c>
      <c r="B30">
        <f>VLOOKUP(D30,[1]DATOS!E:G,3,0)</f>
        <v>0</v>
      </c>
      <c r="C30" t="str">
        <f>VLOOKUP(E30,[1]DATOS!$H$2:$I$17,2,0)</f>
        <v>FL</v>
      </c>
      <c r="D30" s="1">
        <v>43943</v>
      </c>
      <c r="E30" t="s">
        <v>0</v>
      </c>
      <c r="F30">
        <v>10</v>
      </c>
      <c r="I30" s="2" t="s">
        <v>141</v>
      </c>
      <c r="J30" s="3" t="s">
        <v>2</v>
      </c>
      <c r="K30" t="s">
        <v>3</v>
      </c>
      <c r="L30" s="4" t="s">
        <v>28</v>
      </c>
      <c r="M30">
        <f t="shared" si="0"/>
        <v>4</v>
      </c>
      <c r="N30" s="3">
        <v>7222288309</v>
      </c>
      <c r="O30" s="5" t="s">
        <v>142</v>
      </c>
      <c r="Q30" t="s">
        <v>7</v>
      </c>
      <c r="R30" s="2"/>
      <c r="S30" s="6" t="s">
        <v>8</v>
      </c>
      <c r="T30" s="2" t="s">
        <v>143</v>
      </c>
      <c r="U30" s="2" t="s">
        <v>45</v>
      </c>
      <c r="V30" s="7">
        <v>50071</v>
      </c>
      <c r="X30" t="s">
        <v>11</v>
      </c>
    </row>
    <row r="31" spans="1:26" ht="16" x14ac:dyDescent="0.2">
      <c r="A31" t="str">
        <f>VLOOKUP(D31,[1]DATOS!$E:$F,2,0)</f>
        <v>Miércoles</v>
      </c>
      <c r="B31">
        <f>VLOOKUP(D31,[1]DATOS!E:G,3,0)</f>
        <v>0</v>
      </c>
      <c r="C31" t="str">
        <f>VLOOKUP(E31,[1]DATOS!$H$2:$I$17,2,0)</f>
        <v>FL</v>
      </c>
      <c r="D31" s="1">
        <v>43943</v>
      </c>
      <c r="E31" t="s">
        <v>0</v>
      </c>
      <c r="F31">
        <v>10</v>
      </c>
      <c r="I31" s="2" t="s">
        <v>144</v>
      </c>
      <c r="J31" s="3" t="s">
        <v>2</v>
      </c>
      <c r="K31" t="s">
        <v>3</v>
      </c>
      <c r="L31" s="4" t="s">
        <v>28</v>
      </c>
      <c r="M31">
        <f t="shared" si="0"/>
        <v>4</v>
      </c>
      <c r="N31" s="3">
        <v>7222654400</v>
      </c>
      <c r="O31" s="5" t="s">
        <v>145</v>
      </c>
      <c r="Q31" t="s">
        <v>7</v>
      </c>
      <c r="R31" s="2"/>
      <c r="S31" s="6" t="s">
        <v>8</v>
      </c>
      <c r="T31" s="2" t="s">
        <v>146</v>
      </c>
      <c r="U31" s="2" t="s">
        <v>21</v>
      </c>
      <c r="V31" s="7">
        <v>50233</v>
      </c>
      <c r="X31" t="s">
        <v>31</v>
      </c>
    </row>
    <row r="32" spans="1:26" ht="16" x14ac:dyDescent="0.2">
      <c r="A32" t="str">
        <f>VLOOKUP(D32,[1]DATOS!$E:$F,2,0)</f>
        <v>Jueves</v>
      </c>
      <c r="B32">
        <f>VLOOKUP(D32,[1]DATOS!E:G,3,0)</f>
        <v>0</v>
      </c>
      <c r="C32" t="str">
        <f>VLOOKUP(E32,[1]DATOS!$H$2:$I$17,2,0)</f>
        <v>FL</v>
      </c>
      <c r="D32" s="1">
        <v>43944</v>
      </c>
      <c r="E32" t="s">
        <v>0</v>
      </c>
      <c r="F32">
        <v>10</v>
      </c>
      <c r="I32" s="2" t="s">
        <v>147</v>
      </c>
      <c r="J32" s="3" t="s">
        <v>2</v>
      </c>
      <c r="K32" t="s">
        <v>3</v>
      </c>
      <c r="L32" s="4" t="s">
        <v>28</v>
      </c>
      <c r="M32">
        <f t="shared" si="0"/>
        <v>4</v>
      </c>
      <c r="N32" s="3">
        <v>7222766880</v>
      </c>
      <c r="O32" s="5" t="s">
        <v>148</v>
      </c>
      <c r="Q32" t="s">
        <v>7</v>
      </c>
      <c r="R32" s="2"/>
      <c r="S32" s="6" t="s">
        <v>8</v>
      </c>
      <c r="T32" s="2" t="s">
        <v>149</v>
      </c>
      <c r="U32" s="2" t="s">
        <v>34</v>
      </c>
      <c r="V32" s="7">
        <v>50233</v>
      </c>
      <c r="X32" s="7" t="s">
        <v>11</v>
      </c>
    </row>
    <row r="33" spans="1:26" ht="16" x14ac:dyDescent="0.2">
      <c r="A33" t="str">
        <f>VLOOKUP(D33,[1]DATOS!$E:$F,2,0)</f>
        <v>Jueves</v>
      </c>
      <c r="B33">
        <f>VLOOKUP(D33,[1]DATOS!E:G,3,0)</f>
        <v>0</v>
      </c>
      <c r="C33" t="str">
        <f>VLOOKUP(E33,[1]DATOS!$H$2:$I$17,2,0)</f>
        <v>FL</v>
      </c>
      <c r="D33" s="1">
        <v>43944</v>
      </c>
      <c r="E33" t="s">
        <v>0</v>
      </c>
      <c r="F33">
        <v>10</v>
      </c>
      <c r="I33" s="2" t="s">
        <v>150</v>
      </c>
      <c r="J33" s="3" t="s">
        <v>2</v>
      </c>
      <c r="K33" t="s">
        <v>3</v>
      </c>
      <c r="L33" s="4" t="s">
        <v>28</v>
      </c>
      <c r="M33">
        <f t="shared" si="0"/>
        <v>4</v>
      </c>
      <c r="N33" s="3">
        <v>7222497070</v>
      </c>
      <c r="O33" s="5" t="s">
        <v>151</v>
      </c>
      <c r="Q33" t="s">
        <v>7</v>
      </c>
      <c r="R33" s="2"/>
      <c r="S33" s="6" t="s">
        <v>8</v>
      </c>
      <c r="T33" s="2" t="s">
        <v>152</v>
      </c>
      <c r="U33" s="2" t="s">
        <v>34</v>
      </c>
      <c r="V33" s="7">
        <v>50233</v>
      </c>
      <c r="X33" s="7" t="s">
        <v>11</v>
      </c>
    </row>
    <row r="34" spans="1:26" ht="16" x14ac:dyDescent="0.2">
      <c r="A34" t="str">
        <f>VLOOKUP(D34,[1]DATOS!$E:$F,2,0)</f>
        <v>Jueves</v>
      </c>
      <c r="B34">
        <f>VLOOKUP(D34,[1]DATOS!E:G,3,0)</f>
        <v>0</v>
      </c>
      <c r="C34" t="str">
        <f>VLOOKUP(E34,[1]DATOS!$H$2:$I$17,2,0)</f>
        <v>FL</v>
      </c>
      <c r="D34" s="1">
        <v>43944</v>
      </c>
      <c r="E34" t="s">
        <v>0</v>
      </c>
      <c r="F34">
        <v>10</v>
      </c>
      <c r="I34" s="2" t="s">
        <v>153</v>
      </c>
      <c r="J34" s="3" t="s">
        <v>2</v>
      </c>
      <c r="K34" t="s">
        <v>3</v>
      </c>
      <c r="L34" s="4" t="s">
        <v>28</v>
      </c>
      <c r="M34">
        <f t="shared" si="0"/>
        <v>4</v>
      </c>
      <c r="N34" s="3">
        <v>7222622800</v>
      </c>
      <c r="Q34" t="s">
        <v>7</v>
      </c>
      <c r="R34" s="2"/>
      <c r="S34" s="6" t="s">
        <v>8</v>
      </c>
      <c r="T34" s="2" t="s">
        <v>154</v>
      </c>
      <c r="U34" s="2" t="s">
        <v>110</v>
      </c>
      <c r="V34" s="7">
        <v>50223</v>
      </c>
      <c r="X34" s="7" t="s">
        <v>31</v>
      </c>
    </row>
    <row r="35" spans="1:26" ht="16" x14ac:dyDescent="0.2">
      <c r="A35" t="str">
        <f>VLOOKUP(D35,[1]DATOS!$E:$F,2,0)</f>
        <v>Jueves</v>
      </c>
      <c r="B35">
        <f>VLOOKUP(D35,[1]DATOS!E:G,3,0)</f>
        <v>0</v>
      </c>
      <c r="C35" t="str">
        <f>VLOOKUP(E35,[1]DATOS!$H$2:$I$17,2,0)</f>
        <v>FL</v>
      </c>
      <c r="D35" s="1">
        <v>43944</v>
      </c>
      <c r="E35" t="s">
        <v>0</v>
      </c>
      <c r="F35">
        <v>10</v>
      </c>
      <c r="I35" s="2" t="s">
        <v>155</v>
      </c>
      <c r="J35" s="3" t="s">
        <v>2</v>
      </c>
      <c r="K35" t="s">
        <v>3</v>
      </c>
      <c r="L35" s="4" t="s">
        <v>28</v>
      </c>
      <c r="M35">
        <f t="shared" si="0"/>
        <v>4</v>
      </c>
      <c r="N35" s="3">
        <v>7222651799</v>
      </c>
      <c r="O35" s="5" t="s">
        <v>156</v>
      </c>
      <c r="Q35" t="s">
        <v>7</v>
      </c>
      <c r="R35" s="2"/>
      <c r="S35" s="6" t="s">
        <v>8</v>
      </c>
      <c r="T35" s="2" t="s">
        <v>157</v>
      </c>
      <c r="U35" s="2" t="s">
        <v>158</v>
      </c>
      <c r="V35" s="7">
        <v>50070</v>
      </c>
      <c r="X35" s="7" t="s">
        <v>31</v>
      </c>
    </row>
    <row r="36" spans="1:26" ht="16" x14ac:dyDescent="0.2">
      <c r="A36" t="str">
        <f>VLOOKUP(D36,[1]DATOS!$E:$F,2,0)</f>
        <v>Jueves</v>
      </c>
      <c r="B36">
        <f>VLOOKUP(D36,[1]DATOS!E:G,3,0)</f>
        <v>0</v>
      </c>
      <c r="C36" t="str">
        <f>VLOOKUP(E36,[1]DATOS!$H$2:$I$17,2,0)</f>
        <v>FL</v>
      </c>
      <c r="D36" s="1">
        <v>43944</v>
      </c>
      <c r="E36" t="s">
        <v>0</v>
      </c>
      <c r="F36">
        <v>10</v>
      </c>
      <c r="I36" s="2" t="s">
        <v>159</v>
      </c>
      <c r="J36" s="3" t="s">
        <v>2</v>
      </c>
      <c r="K36" t="s">
        <v>3</v>
      </c>
      <c r="L36" s="4" t="s">
        <v>28</v>
      </c>
      <c r="M36">
        <f t="shared" si="0"/>
        <v>4</v>
      </c>
      <c r="N36" s="3">
        <v>7222492216</v>
      </c>
      <c r="O36" s="5" t="s">
        <v>160</v>
      </c>
      <c r="Q36" t="s">
        <v>7</v>
      </c>
      <c r="R36" s="2"/>
      <c r="S36" s="6" t="s">
        <v>8</v>
      </c>
      <c r="T36" s="2" t="s">
        <v>161</v>
      </c>
      <c r="U36" s="2" t="s">
        <v>34</v>
      </c>
      <c r="V36" s="7">
        <v>50233</v>
      </c>
      <c r="X36" s="7" t="s">
        <v>11</v>
      </c>
    </row>
    <row r="37" spans="1:26" ht="16" x14ac:dyDescent="0.2">
      <c r="A37" t="str">
        <f>VLOOKUP(D37,[1]DATOS!$E:$F,2,0)</f>
        <v>Jueves</v>
      </c>
      <c r="B37">
        <f>VLOOKUP(D37,[1]DATOS!E:G,3,0)</f>
        <v>0</v>
      </c>
      <c r="C37" t="str">
        <f>VLOOKUP(E37,[1]DATOS!$H$2:$I$17,2,0)</f>
        <v>FL</v>
      </c>
      <c r="D37" s="1">
        <v>43944</v>
      </c>
      <c r="E37" t="s">
        <v>0</v>
      </c>
      <c r="F37">
        <v>10</v>
      </c>
      <c r="I37" s="2" t="s">
        <v>162</v>
      </c>
      <c r="J37" s="3" t="s">
        <v>2</v>
      </c>
      <c r="K37" t="s">
        <v>3</v>
      </c>
      <c r="L37" s="4" t="s">
        <v>28</v>
      </c>
      <c r="M37">
        <f t="shared" si="0"/>
        <v>4</v>
      </c>
      <c r="N37" s="3">
        <v>7222770471</v>
      </c>
      <c r="O37" s="5" t="s">
        <v>163</v>
      </c>
      <c r="Q37" t="s">
        <v>7</v>
      </c>
      <c r="R37" s="2"/>
      <c r="S37" s="6" t="s">
        <v>8</v>
      </c>
      <c r="T37" s="2" t="s">
        <v>164</v>
      </c>
      <c r="U37" s="2" t="s">
        <v>21</v>
      </c>
      <c r="V37" s="7">
        <v>50233</v>
      </c>
      <c r="X37" s="7" t="s">
        <v>31</v>
      </c>
    </row>
    <row r="38" spans="1:26" ht="16" x14ac:dyDescent="0.2">
      <c r="A38" t="str">
        <f>VLOOKUP(D38,[1]DATOS!$E:$F,2,0)</f>
        <v>Jueves</v>
      </c>
      <c r="B38">
        <f>VLOOKUP(D38,[1]DATOS!E:G,3,0)</f>
        <v>0</v>
      </c>
      <c r="C38" t="str">
        <f>VLOOKUP(E38,[1]DATOS!$H$2:$I$17,2,0)</f>
        <v>FL</v>
      </c>
      <c r="D38" s="1">
        <v>43944</v>
      </c>
      <c r="E38" t="s">
        <v>0</v>
      </c>
      <c r="F38">
        <v>10</v>
      </c>
      <c r="I38" s="2" t="s">
        <v>165</v>
      </c>
      <c r="J38" s="3" t="s">
        <v>2</v>
      </c>
      <c r="K38" t="s">
        <v>3</v>
      </c>
      <c r="L38" s="4" t="s">
        <v>28</v>
      </c>
      <c r="M38">
        <f t="shared" si="0"/>
        <v>4</v>
      </c>
      <c r="N38" s="3">
        <v>7222492310</v>
      </c>
      <c r="O38" s="5" t="s">
        <v>166</v>
      </c>
      <c r="Q38" t="s">
        <v>7</v>
      </c>
      <c r="R38" s="2"/>
      <c r="S38" s="6" t="s">
        <v>8</v>
      </c>
      <c r="T38" s="2" t="s">
        <v>167</v>
      </c>
      <c r="U38" s="2" t="s">
        <v>34</v>
      </c>
      <c r="V38" s="7">
        <v>50233</v>
      </c>
      <c r="X38" s="7" t="s">
        <v>11</v>
      </c>
    </row>
    <row r="39" spans="1:26" ht="16" x14ac:dyDescent="0.2">
      <c r="A39" t="str">
        <f>VLOOKUP(D39,[1]DATOS!$E:$F,2,0)</f>
        <v>Jueves</v>
      </c>
      <c r="B39">
        <f>VLOOKUP(D39,[1]DATOS!E:G,3,0)</f>
        <v>0</v>
      </c>
      <c r="C39" t="str">
        <f>VLOOKUP(E39,[1]DATOS!$H$2:$I$17,2,0)</f>
        <v>FL</v>
      </c>
      <c r="D39" s="1">
        <v>43944</v>
      </c>
      <c r="E39" t="s">
        <v>0</v>
      </c>
      <c r="F39">
        <v>10</v>
      </c>
      <c r="I39" s="2" t="s">
        <v>168</v>
      </c>
      <c r="J39" s="3" t="s">
        <v>2</v>
      </c>
      <c r="K39" t="s">
        <v>3</v>
      </c>
      <c r="L39" s="4" t="s">
        <v>28</v>
      </c>
      <c r="M39">
        <f t="shared" si="0"/>
        <v>4</v>
      </c>
      <c r="N39" s="3">
        <v>7222799200</v>
      </c>
      <c r="O39" s="5" t="s">
        <v>169</v>
      </c>
      <c r="Q39" t="s">
        <v>7</v>
      </c>
      <c r="R39" s="2"/>
      <c r="S39" s="6" t="s">
        <v>8</v>
      </c>
      <c r="T39" s="2" t="s">
        <v>170</v>
      </c>
      <c r="U39" s="2" t="s">
        <v>30</v>
      </c>
      <c r="V39" s="7">
        <v>50200</v>
      </c>
      <c r="X39" s="7" t="s">
        <v>11</v>
      </c>
    </row>
    <row r="40" spans="1:26" ht="16" x14ac:dyDescent="0.2">
      <c r="A40" t="str">
        <f>VLOOKUP(D40,[1]DATOS!$E:$F,2,0)</f>
        <v>Jueves</v>
      </c>
      <c r="B40">
        <f>VLOOKUP(D40,[1]DATOS!E:G,3,0)</f>
        <v>0</v>
      </c>
      <c r="C40" t="str">
        <f>VLOOKUP(E40,[1]DATOS!$H$2:$I$17,2,0)</f>
        <v>FL</v>
      </c>
      <c r="D40" s="1">
        <v>43944</v>
      </c>
      <c r="E40" t="s">
        <v>0</v>
      </c>
      <c r="F40">
        <v>10</v>
      </c>
      <c r="I40" s="2" t="s">
        <v>171</v>
      </c>
      <c r="J40" s="3" t="s">
        <v>2</v>
      </c>
      <c r="K40" t="s">
        <v>3</v>
      </c>
      <c r="L40" s="4" t="s">
        <v>172</v>
      </c>
      <c r="M40">
        <f t="shared" si="0"/>
        <v>4</v>
      </c>
      <c r="N40" s="3">
        <v>7222724455</v>
      </c>
      <c r="O40" s="5" t="s">
        <v>173</v>
      </c>
      <c r="Q40" t="s">
        <v>7</v>
      </c>
      <c r="R40" s="2"/>
      <c r="S40" s="6" t="s">
        <v>8</v>
      </c>
      <c r="T40" s="2" t="s">
        <v>174</v>
      </c>
      <c r="U40" s="2" t="s">
        <v>49</v>
      </c>
      <c r="V40" s="7">
        <v>50010</v>
      </c>
      <c r="X40" s="7" t="s">
        <v>11</v>
      </c>
    </row>
    <row r="41" spans="1:26" ht="16" x14ac:dyDescent="0.2">
      <c r="A41" t="str">
        <f>VLOOKUP(D41,[1]DATOS!$E:$F,2,0)</f>
        <v>Jueves</v>
      </c>
      <c r="B41">
        <f>VLOOKUP(D41,[1]DATOS!E:G,3,0)</f>
        <v>0</v>
      </c>
      <c r="C41" t="str">
        <f>VLOOKUP(E41,[1]DATOS!$H$2:$I$17,2,0)</f>
        <v>FL</v>
      </c>
      <c r="D41" s="1">
        <v>43944</v>
      </c>
      <c r="E41" t="s">
        <v>0</v>
      </c>
      <c r="F41">
        <v>10</v>
      </c>
      <c r="I41" s="2" t="s">
        <v>175</v>
      </c>
      <c r="J41" s="3" t="s">
        <v>2</v>
      </c>
      <c r="K41" t="s">
        <v>3</v>
      </c>
      <c r="L41" s="4" t="s">
        <v>28</v>
      </c>
      <c r="M41">
        <f t="shared" si="0"/>
        <v>4</v>
      </c>
      <c r="N41" s="3">
        <v>7222140013</v>
      </c>
      <c r="O41" s="5" t="s">
        <v>176</v>
      </c>
      <c r="Q41" t="s">
        <v>7</v>
      </c>
      <c r="R41" s="2"/>
      <c r="S41" s="6" t="s">
        <v>8</v>
      </c>
      <c r="T41" s="2" t="s">
        <v>177</v>
      </c>
      <c r="U41" s="2" t="s">
        <v>178</v>
      </c>
      <c r="V41" s="7">
        <v>50120</v>
      </c>
      <c r="X41" s="7" t="s">
        <v>31</v>
      </c>
    </row>
    <row r="42" spans="1:26" ht="16" x14ac:dyDescent="0.2">
      <c r="A42" t="str">
        <f>VLOOKUP(D42,[1]DATOS!$E:$F,2,0)</f>
        <v>Lunes</v>
      </c>
      <c r="B42">
        <f>VLOOKUP(D42,[1]DATOS!E:G,3,0)</f>
        <v>0</v>
      </c>
      <c r="C42" t="str">
        <f>VLOOKUP(E42,[1]DATOS!$H$2:$I$17,2,0)</f>
        <v>FL</v>
      </c>
      <c r="D42" s="1">
        <v>43955</v>
      </c>
      <c r="E42" t="s">
        <v>0</v>
      </c>
      <c r="F42">
        <v>10</v>
      </c>
      <c r="I42" s="2" t="s">
        <v>179</v>
      </c>
      <c r="J42" s="3" t="s">
        <v>2</v>
      </c>
      <c r="K42" t="s">
        <v>3</v>
      </c>
      <c r="L42" s="4" t="s">
        <v>4</v>
      </c>
      <c r="M42">
        <v>5</v>
      </c>
      <c r="N42" s="20">
        <v>7222799333</v>
      </c>
      <c r="O42" s="8" t="s">
        <v>180</v>
      </c>
      <c r="P42" t="s">
        <v>181</v>
      </c>
      <c r="Q42" t="s">
        <v>7</v>
      </c>
      <c r="R42" s="2"/>
      <c r="S42" s="6" t="s">
        <v>8</v>
      </c>
      <c r="T42" s="2" t="s">
        <v>182</v>
      </c>
      <c r="U42" s="2" t="s">
        <v>183</v>
      </c>
      <c r="V42" s="7">
        <v>50233</v>
      </c>
      <c r="X42" t="s">
        <v>11</v>
      </c>
    </row>
    <row r="43" spans="1:26" ht="16" x14ac:dyDescent="0.2">
      <c r="A43" t="str">
        <f>VLOOKUP(D43,[1]DATOS!$E:$F,2,0)</f>
        <v>Lunes</v>
      </c>
      <c r="B43">
        <f>VLOOKUP(D43,[1]DATOS!E:G,3,0)</f>
        <v>0</v>
      </c>
      <c r="C43" t="str">
        <f>VLOOKUP(E43,[1]DATOS!$H$2:$I$17,2,0)</f>
        <v>FL</v>
      </c>
      <c r="D43" s="1">
        <v>43955</v>
      </c>
      <c r="E43" t="s">
        <v>0</v>
      </c>
      <c r="F43">
        <v>10</v>
      </c>
      <c r="I43" s="2" t="s">
        <v>184</v>
      </c>
      <c r="J43" s="3" t="s">
        <v>2</v>
      </c>
      <c r="K43" t="s">
        <v>3</v>
      </c>
      <c r="L43" s="4" t="s">
        <v>185</v>
      </c>
      <c r="M43">
        <v>5</v>
      </c>
      <c r="N43" s="20">
        <v>7222798100</v>
      </c>
      <c r="O43" s="8" t="s">
        <v>186</v>
      </c>
      <c r="Q43" t="s">
        <v>7</v>
      </c>
      <c r="R43" s="2"/>
      <c r="S43" s="6" t="s">
        <v>8</v>
      </c>
      <c r="T43" s="2" t="s">
        <v>187</v>
      </c>
      <c r="U43" s="2" t="s">
        <v>188</v>
      </c>
      <c r="V43" s="7">
        <v>50071</v>
      </c>
      <c r="X43" t="s">
        <v>31</v>
      </c>
    </row>
    <row r="44" spans="1:26" ht="16" x14ac:dyDescent="0.2">
      <c r="A44" t="str">
        <f>VLOOKUP(D44,[1]DATOS!$E:$F,2,0)</f>
        <v>Lunes</v>
      </c>
      <c r="B44">
        <f>VLOOKUP(D44,[1]DATOS!E:G,3,0)</f>
        <v>0</v>
      </c>
      <c r="C44" t="str">
        <f>VLOOKUP(E44,[1]DATOS!$H$2:$I$17,2,0)</f>
        <v>FL</v>
      </c>
      <c r="D44" s="1">
        <v>43955</v>
      </c>
      <c r="E44" t="s">
        <v>0</v>
      </c>
      <c r="F44">
        <v>10</v>
      </c>
      <c r="I44" s="2" t="s">
        <v>189</v>
      </c>
      <c r="J44" s="3" t="s">
        <v>2</v>
      </c>
      <c r="K44" t="s">
        <v>3</v>
      </c>
      <c r="L44" s="4" t="s">
        <v>185</v>
      </c>
      <c r="M44">
        <v>5</v>
      </c>
      <c r="N44" s="20">
        <v>7222769800</v>
      </c>
      <c r="O44" s="8" t="s">
        <v>190</v>
      </c>
      <c r="Q44" t="s">
        <v>7</v>
      </c>
      <c r="R44" s="2"/>
      <c r="S44" s="6" t="s">
        <v>8</v>
      </c>
      <c r="T44" s="2" t="s">
        <v>191</v>
      </c>
      <c r="U44" s="2" t="s">
        <v>34</v>
      </c>
      <c r="V44" s="7">
        <v>50233</v>
      </c>
      <c r="X44" t="s">
        <v>11</v>
      </c>
    </row>
    <row r="45" spans="1:26" ht="16" x14ac:dyDescent="0.2">
      <c r="A45" t="str">
        <f>VLOOKUP(D45,[1]DATOS!$E:$F,2,0)</f>
        <v>Lunes</v>
      </c>
      <c r="B45">
        <f>VLOOKUP(D45,[1]DATOS!E:G,3,0)</f>
        <v>0</v>
      </c>
      <c r="C45" t="str">
        <f>VLOOKUP(E45,[1]DATOS!$H$2:$I$17,2,0)</f>
        <v>FL</v>
      </c>
      <c r="D45" s="1">
        <v>43955</v>
      </c>
      <c r="E45" t="s">
        <v>0</v>
      </c>
      <c r="F45">
        <v>10</v>
      </c>
      <c r="I45" s="2" t="s">
        <v>192</v>
      </c>
      <c r="J45" s="3" t="s">
        <v>2</v>
      </c>
      <c r="K45" t="s">
        <v>3</v>
      </c>
      <c r="L45" s="4"/>
      <c r="M45">
        <v>5</v>
      </c>
      <c r="N45" s="20">
        <v>7222150080</v>
      </c>
      <c r="O45" s="8" t="s">
        <v>193</v>
      </c>
      <c r="Q45" t="s">
        <v>7</v>
      </c>
      <c r="R45" s="2"/>
      <c r="S45" s="6" t="s">
        <v>8</v>
      </c>
      <c r="T45" s="2" t="s">
        <v>194</v>
      </c>
      <c r="U45" s="2" t="s">
        <v>195</v>
      </c>
      <c r="V45" s="7">
        <v>50010</v>
      </c>
      <c r="X45" t="s">
        <v>31</v>
      </c>
      <c r="Z45" t="s">
        <v>196</v>
      </c>
    </row>
    <row r="46" spans="1:26" ht="16" x14ac:dyDescent="0.2">
      <c r="A46" t="str">
        <f>VLOOKUP(D46,[1]DATOS!$E:$F,2,0)</f>
        <v>Lunes</v>
      </c>
      <c r="B46">
        <f>VLOOKUP(D46,[1]DATOS!E:G,3,0)</f>
        <v>0</v>
      </c>
      <c r="C46" t="str">
        <f>VLOOKUP(E46,[1]DATOS!$H$2:$I$17,2,0)</f>
        <v>FL</v>
      </c>
      <c r="D46" s="1">
        <v>43955</v>
      </c>
      <c r="E46" t="s">
        <v>0</v>
      </c>
      <c r="F46">
        <v>10</v>
      </c>
      <c r="I46" s="2" t="s">
        <v>197</v>
      </c>
      <c r="J46" s="3" t="s">
        <v>2</v>
      </c>
      <c r="K46" t="s">
        <v>3</v>
      </c>
      <c r="L46" s="4" t="s">
        <v>28</v>
      </c>
      <c r="M46">
        <v>5</v>
      </c>
      <c r="N46" s="20">
        <v>7222792850</v>
      </c>
      <c r="O46" s="8" t="s">
        <v>198</v>
      </c>
      <c r="Q46" t="s">
        <v>7</v>
      </c>
      <c r="R46" s="2"/>
      <c r="S46" s="6" t="s">
        <v>8</v>
      </c>
      <c r="T46" s="2" t="s">
        <v>199</v>
      </c>
      <c r="U46" s="2" t="s">
        <v>34</v>
      </c>
      <c r="V46" s="7">
        <v>50233</v>
      </c>
      <c r="X46" t="s">
        <v>11</v>
      </c>
    </row>
    <row r="47" spans="1:26" ht="16" x14ac:dyDescent="0.2">
      <c r="A47" t="str">
        <f>VLOOKUP(D47,[1]DATOS!$E:$F,2,0)</f>
        <v>Lunes</v>
      </c>
      <c r="B47">
        <f>VLOOKUP(D47,[1]DATOS!E:G,3,0)</f>
        <v>0</v>
      </c>
      <c r="C47" t="str">
        <f>VLOOKUP(E47,[1]DATOS!$H$2:$I$17,2,0)</f>
        <v>FL</v>
      </c>
      <c r="D47" s="1">
        <v>43955</v>
      </c>
      <c r="E47" t="s">
        <v>0</v>
      </c>
      <c r="F47">
        <v>10</v>
      </c>
      <c r="I47" s="2" t="s">
        <v>200</v>
      </c>
      <c r="J47" s="3" t="s">
        <v>2</v>
      </c>
      <c r="K47" t="s">
        <v>3</v>
      </c>
      <c r="L47" s="4" t="s">
        <v>172</v>
      </c>
      <c r="M47">
        <v>5</v>
      </c>
      <c r="N47" s="20">
        <v>7222799380</v>
      </c>
      <c r="O47" s="8" t="s">
        <v>201</v>
      </c>
      <c r="Q47" t="s">
        <v>7</v>
      </c>
      <c r="R47" s="2"/>
      <c r="S47" s="6" t="s">
        <v>8</v>
      </c>
      <c r="T47" s="2" t="s">
        <v>202</v>
      </c>
      <c r="U47" s="2" t="s">
        <v>34</v>
      </c>
      <c r="V47" s="7">
        <v>50233</v>
      </c>
      <c r="X47" t="s">
        <v>11</v>
      </c>
    </row>
    <row r="48" spans="1:26" ht="16" x14ac:dyDescent="0.2">
      <c r="A48" t="str">
        <f>VLOOKUP(D48,[1]DATOS!$E:$F,2,0)</f>
        <v>Lunes</v>
      </c>
      <c r="B48">
        <f>VLOOKUP(D48,[1]DATOS!E:G,3,0)</f>
        <v>0</v>
      </c>
      <c r="C48" t="str">
        <f>VLOOKUP(E48,[1]DATOS!$H$2:$I$17,2,0)</f>
        <v>FL</v>
      </c>
      <c r="D48" s="1">
        <v>43955</v>
      </c>
      <c r="E48" t="s">
        <v>0</v>
      </c>
      <c r="F48">
        <v>10</v>
      </c>
      <c r="I48" s="2" t="s">
        <v>203</v>
      </c>
      <c r="J48" s="3" t="s">
        <v>2</v>
      </c>
      <c r="K48" t="s">
        <v>3</v>
      </c>
      <c r="L48" s="4" t="s">
        <v>28</v>
      </c>
      <c r="M48">
        <v>5</v>
      </c>
      <c r="N48" s="20">
        <v>5550817959</v>
      </c>
      <c r="O48" s="8" t="s">
        <v>204</v>
      </c>
      <c r="Q48" t="s">
        <v>7</v>
      </c>
      <c r="R48" s="2"/>
      <c r="S48" s="6" t="s">
        <v>8</v>
      </c>
      <c r="T48" s="2" t="s">
        <v>205</v>
      </c>
      <c r="U48" s="2" t="s">
        <v>45</v>
      </c>
      <c r="V48" s="7">
        <v>50071</v>
      </c>
      <c r="X48" t="s">
        <v>11</v>
      </c>
    </row>
    <row r="49" spans="1:26" ht="16" x14ac:dyDescent="0.2">
      <c r="A49" t="str">
        <f>VLOOKUP(D49,[1]DATOS!$E:$F,2,0)</f>
        <v>Lunes</v>
      </c>
      <c r="B49">
        <f>VLOOKUP(D49,[1]DATOS!E:G,3,0)</f>
        <v>0</v>
      </c>
      <c r="C49" t="str">
        <f>VLOOKUP(E49,[1]DATOS!$H$2:$I$17,2,0)</f>
        <v>FL</v>
      </c>
      <c r="D49" s="1">
        <v>43955</v>
      </c>
      <c r="E49" t="s">
        <v>0</v>
      </c>
      <c r="F49">
        <v>10</v>
      </c>
      <c r="I49" s="2" t="s">
        <v>206</v>
      </c>
      <c r="J49" s="3" t="s">
        <v>2</v>
      </c>
      <c r="K49" t="s">
        <v>3</v>
      </c>
      <c r="L49" s="4" t="s">
        <v>28</v>
      </c>
      <c r="M49">
        <v>5</v>
      </c>
      <c r="N49" s="20">
        <v>7222126273</v>
      </c>
      <c r="O49" s="8" t="s">
        <v>207</v>
      </c>
      <c r="Q49" t="s">
        <v>7</v>
      </c>
      <c r="R49" s="2"/>
      <c r="S49" s="6" t="s">
        <v>8</v>
      </c>
      <c r="T49" s="2" t="s">
        <v>208</v>
      </c>
      <c r="U49" s="2" t="s">
        <v>137</v>
      </c>
      <c r="V49" s="7">
        <v>50130</v>
      </c>
      <c r="X49" t="s">
        <v>11</v>
      </c>
    </row>
    <row r="50" spans="1:26" ht="16" x14ac:dyDescent="0.2">
      <c r="A50" t="str">
        <f>VLOOKUP(D50,[1]DATOS!$E:$F,2,0)</f>
        <v>Lunes</v>
      </c>
      <c r="B50">
        <f>VLOOKUP(D50,[1]DATOS!E:G,3,0)</f>
        <v>0</v>
      </c>
      <c r="C50" t="str">
        <f>VLOOKUP(E50,[1]DATOS!$H$2:$I$17,2,0)</f>
        <v>FL</v>
      </c>
      <c r="D50" s="1">
        <v>43955</v>
      </c>
      <c r="E50" t="s">
        <v>0</v>
      </c>
      <c r="F50">
        <v>10</v>
      </c>
      <c r="I50" s="2" t="s">
        <v>209</v>
      </c>
      <c r="J50" s="3" t="s">
        <v>2</v>
      </c>
      <c r="K50" t="s">
        <v>3</v>
      </c>
      <c r="L50" s="4" t="s">
        <v>28</v>
      </c>
      <c r="M50">
        <v>5</v>
      </c>
      <c r="N50" s="20">
        <v>7222762880</v>
      </c>
      <c r="O50" s="8" t="s">
        <v>210</v>
      </c>
      <c r="Q50" t="s">
        <v>7</v>
      </c>
      <c r="R50" s="2"/>
      <c r="S50" s="6" t="s">
        <v>8</v>
      </c>
      <c r="T50" s="2" t="s">
        <v>211</v>
      </c>
      <c r="U50" s="2" t="s">
        <v>34</v>
      </c>
      <c r="V50" s="7">
        <v>50233</v>
      </c>
      <c r="W50" t="s">
        <v>212</v>
      </c>
      <c r="X50" t="s">
        <v>31</v>
      </c>
    </row>
    <row r="51" spans="1:26" ht="16" x14ac:dyDescent="0.2">
      <c r="A51" t="str">
        <f>VLOOKUP(D51,[1]DATOS!$E:$F,2,0)</f>
        <v>Lunes</v>
      </c>
      <c r="B51">
        <f>VLOOKUP(D51,[1]DATOS!E:G,3,0)</f>
        <v>0</v>
      </c>
      <c r="C51" t="str">
        <f>VLOOKUP(E51,[1]DATOS!$H$2:$I$17,2,0)</f>
        <v>FL</v>
      </c>
      <c r="D51" s="1">
        <v>43955</v>
      </c>
      <c r="E51" t="s">
        <v>0</v>
      </c>
      <c r="F51">
        <v>10</v>
      </c>
      <c r="I51" s="2" t="s">
        <v>213</v>
      </c>
      <c r="J51" s="3" t="s">
        <v>2</v>
      </c>
      <c r="K51" t="s">
        <v>3</v>
      </c>
      <c r="L51" s="4" t="s">
        <v>28</v>
      </c>
      <c r="M51">
        <v>5</v>
      </c>
      <c r="N51" s="20">
        <v>7222140205</v>
      </c>
      <c r="O51" s="8" t="s">
        <v>214</v>
      </c>
      <c r="Q51" t="s">
        <v>7</v>
      </c>
      <c r="R51" s="2"/>
      <c r="S51" s="6" t="s">
        <v>8</v>
      </c>
      <c r="T51" s="2" t="s">
        <v>215</v>
      </c>
      <c r="U51" s="2" t="s">
        <v>216</v>
      </c>
      <c r="V51" s="7">
        <v>50040</v>
      </c>
      <c r="X51" t="s">
        <v>11</v>
      </c>
    </row>
    <row r="52" spans="1:26" x14ac:dyDescent="0.2">
      <c r="A52" t="str">
        <f>VLOOKUP(D52,[1]DATOS!$E:$F,2,0)</f>
        <v>Martes</v>
      </c>
      <c r="B52">
        <f>VLOOKUP(D52,[1]DATOS!E:G,3,0)</f>
        <v>0</v>
      </c>
      <c r="C52" t="str">
        <f>VLOOKUP(E52,[1]DATOS!$H$2:$I$17,2,0)</f>
        <v>FL</v>
      </c>
      <c r="D52" s="1">
        <v>43956</v>
      </c>
      <c r="E52" t="s">
        <v>0</v>
      </c>
      <c r="F52">
        <v>10</v>
      </c>
      <c r="I52" s="2" t="s">
        <v>217</v>
      </c>
      <c r="J52" s="3" t="s">
        <v>2</v>
      </c>
      <c r="K52" t="s">
        <v>3</v>
      </c>
      <c r="L52" s="4"/>
      <c r="M52">
        <v>5</v>
      </c>
      <c r="N52" s="20">
        <v>7222234356</v>
      </c>
      <c r="O52" s="8"/>
      <c r="Q52" t="s">
        <v>7</v>
      </c>
      <c r="R52" s="2"/>
      <c r="T52" s="2" t="s">
        <v>218</v>
      </c>
      <c r="U52" s="2" t="s">
        <v>219</v>
      </c>
      <c r="V52" s="7">
        <v>50180</v>
      </c>
      <c r="X52" t="s">
        <v>31</v>
      </c>
      <c r="Z52" t="s">
        <v>196</v>
      </c>
    </row>
    <row r="53" spans="1:26" x14ac:dyDescent="0.2">
      <c r="A53" t="str">
        <f>VLOOKUP(D53,[1]DATOS!$E:$F,2,0)</f>
        <v>Martes</v>
      </c>
      <c r="B53">
        <f>VLOOKUP(D53,[1]DATOS!E:G,3,0)</f>
        <v>0</v>
      </c>
      <c r="C53" t="str">
        <f>VLOOKUP(E53,[1]DATOS!$H$2:$I$17,2,0)</f>
        <v>FL</v>
      </c>
      <c r="D53" s="1">
        <v>43956</v>
      </c>
      <c r="E53" t="s">
        <v>0</v>
      </c>
      <c r="F53">
        <v>10</v>
      </c>
      <c r="I53" s="2" t="s">
        <v>220</v>
      </c>
      <c r="J53" s="3" t="s">
        <v>2</v>
      </c>
      <c r="K53" t="s">
        <v>3</v>
      </c>
      <c r="L53" s="4" t="s">
        <v>28</v>
      </c>
      <c r="M53">
        <v>5</v>
      </c>
      <c r="N53" s="20">
        <v>7222769271</v>
      </c>
      <c r="O53" s="8"/>
      <c r="Q53" t="s">
        <v>7</v>
      </c>
      <c r="R53" s="2"/>
      <c r="T53" s="2" t="s">
        <v>221</v>
      </c>
      <c r="U53" s="2" t="s">
        <v>34</v>
      </c>
      <c r="V53" s="7">
        <v>50233</v>
      </c>
      <c r="X53" t="s">
        <v>11</v>
      </c>
    </row>
    <row r="54" spans="1:26" x14ac:dyDescent="0.2">
      <c r="A54" t="str">
        <f>VLOOKUP(D54,[1]DATOS!$E:$F,2,0)</f>
        <v>Martes</v>
      </c>
      <c r="B54">
        <f>VLOOKUP(D54,[1]DATOS!E:G,3,0)</f>
        <v>0</v>
      </c>
      <c r="C54" t="str">
        <f>VLOOKUP(E54,[1]DATOS!$H$2:$I$17,2,0)</f>
        <v>FL</v>
      </c>
      <c r="D54" s="1">
        <v>43956</v>
      </c>
      <c r="E54" t="s">
        <v>0</v>
      </c>
      <c r="F54">
        <v>10</v>
      </c>
      <c r="I54" s="2" t="s">
        <v>222</v>
      </c>
      <c r="J54" s="3" t="s">
        <v>2</v>
      </c>
      <c r="K54" t="s">
        <v>3</v>
      </c>
      <c r="L54" s="4" t="s">
        <v>47</v>
      </c>
      <c r="M54">
        <v>5</v>
      </c>
      <c r="N54" s="20">
        <v>7223191818</v>
      </c>
      <c r="O54" s="8"/>
      <c r="Q54" t="s">
        <v>7</v>
      </c>
      <c r="R54" s="2"/>
      <c r="T54" s="2" t="s">
        <v>223</v>
      </c>
      <c r="U54" s="2" t="s">
        <v>110</v>
      </c>
      <c r="V54" s="7">
        <v>50223</v>
      </c>
      <c r="X54" t="s">
        <v>11</v>
      </c>
    </row>
    <row r="55" spans="1:26" x14ac:dyDescent="0.2">
      <c r="A55" t="str">
        <f>VLOOKUP(D55,[1]DATOS!$E:$F,2,0)</f>
        <v>Martes</v>
      </c>
      <c r="B55">
        <f>VLOOKUP(D55,[1]DATOS!E:G,3,0)</f>
        <v>0</v>
      </c>
      <c r="C55" t="str">
        <f>VLOOKUP(E55,[1]DATOS!$H$2:$I$17,2,0)</f>
        <v>FL</v>
      </c>
      <c r="D55" s="1">
        <v>43956</v>
      </c>
      <c r="E55" t="s">
        <v>0</v>
      </c>
      <c r="F55">
        <v>10</v>
      </c>
      <c r="I55" s="2" t="s">
        <v>224</v>
      </c>
      <c r="J55" s="3" t="s">
        <v>2</v>
      </c>
      <c r="K55" t="s">
        <v>3</v>
      </c>
      <c r="L55" s="4" t="s">
        <v>28</v>
      </c>
      <c r="M55">
        <v>5</v>
      </c>
      <c r="N55" s="20">
        <v>7222622700</v>
      </c>
      <c r="O55" s="8"/>
      <c r="Q55" t="s">
        <v>7</v>
      </c>
      <c r="R55" s="2"/>
      <c r="T55" s="2" t="s">
        <v>225</v>
      </c>
      <c r="U55" s="2" t="s">
        <v>226</v>
      </c>
      <c r="V55" s="7">
        <v>50214</v>
      </c>
      <c r="X55" t="s">
        <v>11</v>
      </c>
    </row>
    <row r="56" spans="1:26" x14ac:dyDescent="0.2">
      <c r="A56" t="str">
        <f>VLOOKUP(D56,[1]DATOS!$E:$F,2,0)</f>
        <v>Martes</v>
      </c>
      <c r="B56">
        <f>VLOOKUP(D56,[1]DATOS!E:G,3,0)</f>
        <v>0</v>
      </c>
      <c r="C56" t="str">
        <f>VLOOKUP(E56,[1]DATOS!$H$2:$I$17,2,0)</f>
        <v>FL</v>
      </c>
      <c r="D56" s="1">
        <v>43956</v>
      </c>
      <c r="E56" t="s">
        <v>0</v>
      </c>
      <c r="F56">
        <v>10</v>
      </c>
      <c r="I56" s="2" t="s">
        <v>227</v>
      </c>
      <c r="J56" s="3" t="s">
        <v>2</v>
      </c>
      <c r="K56" t="s">
        <v>3</v>
      </c>
      <c r="L56" s="4" t="s">
        <v>28</v>
      </c>
      <c r="M56">
        <v>5</v>
      </c>
      <c r="N56" s="20">
        <v>5556469000</v>
      </c>
      <c r="O56" s="8" t="s">
        <v>228</v>
      </c>
      <c r="Q56" t="s">
        <v>7</v>
      </c>
      <c r="R56" s="2"/>
      <c r="T56" s="2" t="s">
        <v>229</v>
      </c>
      <c r="U56" s="2" t="s">
        <v>230</v>
      </c>
      <c r="V56" s="7">
        <v>50010</v>
      </c>
      <c r="X56" t="s">
        <v>11</v>
      </c>
    </row>
    <row r="57" spans="1:26" x14ac:dyDescent="0.2">
      <c r="A57" t="str">
        <f>VLOOKUP(D57,[1]DATOS!$E:$F,2,0)</f>
        <v>Martes</v>
      </c>
      <c r="B57">
        <f>VLOOKUP(D57,[1]DATOS!E:G,3,0)</f>
        <v>0</v>
      </c>
      <c r="C57" t="str">
        <f>VLOOKUP(E57,[1]DATOS!$H$2:$I$17,2,0)</f>
        <v>FL</v>
      </c>
      <c r="D57" s="1">
        <v>43956</v>
      </c>
      <c r="E57" t="s">
        <v>0</v>
      </c>
      <c r="F57">
        <v>10</v>
      </c>
      <c r="G57" s="21"/>
      <c r="H57" s="21"/>
      <c r="I57" s="21" t="s">
        <v>232</v>
      </c>
      <c r="J57" s="3" t="s">
        <v>2</v>
      </c>
      <c r="K57" t="s">
        <v>3</v>
      </c>
      <c r="L57" s="4" t="s">
        <v>185</v>
      </c>
      <c r="M57">
        <v>5</v>
      </c>
      <c r="N57" s="22">
        <v>7222497630</v>
      </c>
      <c r="O57" s="23"/>
      <c r="P57" s="21"/>
      <c r="Q57" t="s">
        <v>7</v>
      </c>
      <c r="R57" s="21"/>
      <c r="S57" s="24"/>
      <c r="T57" s="21" t="s">
        <v>233</v>
      </c>
      <c r="U57" s="25" t="s">
        <v>34</v>
      </c>
      <c r="V57" s="26">
        <v>50233</v>
      </c>
      <c r="X57" t="s">
        <v>11</v>
      </c>
      <c r="Z57" t="s">
        <v>234</v>
      </c>
    </row>
    <row r="58" spans="1:26" x14ac:dyDescent="0.2">
      <c r="A58" t="str">
        <f>VLOOKUP(D58,[1]DATOS!$E:$F,2,0)</f>
        <v>Martes</v>
      </c>
      <c r="B58">
        <f>VLOOKUP(D58,[1]DATOS!E:G,3,0)</f>
        <v>0</v>
      </c>
      <c r="C58" t="str">
        <f>VLOOKUP(E58,[1]DATOS!$H$2:$I$17,2,0)</f>
        <v>FL</v>
      </c>
      <c r="D58" s="1">
        <v>43956</v>
      </c>
      <c r="E58" t="s">
        <v>0</v>
      </c>
      <c r="F58">
        <v>10</v>
      </c>
      <c r="G58" s="2"/>
      <c r="H58" s="2"/>
      <c r="I58" s="21" t="s">
        <v>235</v>
      </c>
      <c r="J58" s="3" t="s">
        <v>2</v>
      </c>
      <c r="K58" t="s">
        <v>3</v>
      </c>
      <c r="L58" s="4" t="s">
        <v>28</v>
      </c>
      <c r="M58">
        <v>5</v>
      </c>
      <c r="N58" s="20">
        <v>7222620206</v>
      </c>
      <c r="O58" s="8"/>
      <c r="P58" s="2"/>
      <c r="Q58" t="s">
        <v>7</v>
      </c>
      <c r="R58" s="2"/>
      <c r="T58" s="2" t="s">
        <v>91</v>
      </c>
      <c r="U58" s="2" t="s">
        <v>34</v>
      </c>
      <c r="V58" s="7">
        <v>50233</v>
      </c>
      <c r="X58" t="s">
        <v>31</v>
      </c>
    </row>
    <row r="59" spans="1:26" x14ac:dyDescent="0.2">
      <c r="A59" t="str">
        <f>VLOOKUP(D59,[1]DATOS!$E:$F,2,0)</f>
        <v>Martes</v>
      </c>
      <c r="B59">
        <f>VLOOKUP(D59,[1]DATOS!E:G,3,0)</f>
        <v>0</v>
      </c>
      <c r="C59" t="str">
        <f>VLOOKUP(E59,[1]DATOS!$H$2:$I$17,2,0)</f>
        <v>FL</v>
      </c>
      <c r="D59" s="1">
        <v>43956</v>
      </c>
      <c r="E59" t="s">
        <v>0</v>
      </c>
      <c r="F59">
        <v>10</v>
      </c>
      <c r="G59" s="2"/>
      <c r="H59" s="2"/>
      <c r="I59" s="21" t="s">
        <v>236</v>
      </c>
      <c r="J59" s="3" t="s">
        <v>2</v>
      </c>
      <c r="K59" t="s">
        <v>3</v>
      </c>
      <c r="L59" s="4" t="s">
        <v>47</v>
      </c>
      <c r="M59">
        <v>5</v>
      </c>
      <c r="N59" s="20">
        <v>7222732511</v>
      </c>
      <c r="O59" s="8"/>
      <c r="P59" s="2"/>
      <c r="Q59" t="s">
        <v>7</v>
      </c>
      <c r="R59" s="2"/>
      <c r="T59" s="2" t="s">
        <v>237</v>
      </c>
      <c r="U59" s="2" t="s">
        <v>110</v>
      </c>
      <c r="V59" s="7">
        <v>50223</v>
      </c>
      <c r="X59" t="s">
        <v>11</v>
      </c>
    </row>
    <row r="60" spans="1:26" x14ac:dyDescent="0.2">
      <c r="A60" t="str">
        <f>VLOOKUP(D60,[1]DATOS!$E:$F,2,0)</f>
        <v>Martes</v>
      </c>
      <c r="B60">
        <f>VLOOKUP(D60,[1]DATOS!E:G,3,0)</f>
        <v>0</v>
      </c>
      <c r="C60" t="str">
        <f>VLOOKUP(E60,[1]DATOS!$H$2:$I$17,2,0)</f>
        <v>FL</v>
      </c>
      <c r="D60" s="1">
        <v>43956</v>
      </c>
      <c r="E60" t="s">
        <v>0</v>
      </c>
      <c r="F60">
        <v>10</v>
      </c>
      <c r="G60" s="2"/>
      <c r="H60" s="2"/>
      <c r="I60" s="21" t="s">
        <v>238</v>
      </c>
      <c r="J60" s="3" t="s">
        <v>2</v>
      </c>
      <c r="K60" t="s">
        <v>3</v>
      </c>
      <c r="L60" s="4" t="s">
        <v>4</v>
      </c>
      <c r="M60">
        <v>5</v>
      </c>
      <c r="N60" s="20">
        <v>7222790164</v>
      </c>
      <c r="O60" s="8" t="s">
        <v>239</v>
      </c>
      <c r="P60" s="2"/>
      <c r="Q60" t="s">
        <v>7</v>
      </c>
      <c r="R60" s="2"/>
      <c r="T60" s="2" t="s">
        <v>240</v>
      </c>
      <c r="U60" s="2" t="s">
        <v>34</v>
      </c>
      <c r="V60" s="7">
        <v>50233</v>
      </c>
      <c r="X60" t="s">
        <v>11</v>
      </c>
    </row>
    <row r="61" spans="1:26" x14ac:dyDescent="0.2">
      <c r="A61" t="str">
        <f>VLOOKUP(D61,[1]DATOS!$E:$F,2,0)</f>
        <v>Martes</v>
      </c>
      <c r="B61">
        <f>VLOOKUP(D61,[1]DATOS!E:G,3,0)</f>
        <v>0</v>
      </c>
      <c r="C61" t="str">
        <f>VLOOKUP(E61,[1]DATOS!$H$2:$I$17,2,0)</f>
        <v>FL</v>
      </c>
      <c r="D61" s="1">
        <v>43956</v>
      </c>
      <c r="E61" t="s">
        <v>0</v>
      </c>
      <c r="F61">
        <v>10</v>
      </c>
      <c r="G61" s="2"/>
      <c r="H61" s="2"/>
      <c r="I61" s="21" t="s">
        <v>241</v>
      </c>
      <c r="J61" s="3" t="s">
        <v>2</v>
      </c>
      <c r="K61" t="s">
        <v>3</v>
      </c>
      <c r="L61" s="4" t="s">
        <v>28</v>
      </c>
      <c r="M61">
        <v>5</v>
      </c>
      <c r="N61" s="20">
        <v>7222731810</v>
      </c>
      <c r="O61" s="8"/>
      <c r="P61" s="2"/>
      <c r="Q61" t="s">
        <v>7</v>
      </c>
      <c r="R61" s="2"/>
      <c r="T61" s="2" t="s">
        <v>242</v>
      </c>
      <c r="U61" s="2" t="s">
        <v>110</v>
      </c>
      <c r="V61" s="7">
        <v>50233</v>
      </c>
      <c r="X61" t="s">
        <v>31</v>
      </c>
    </row>
    <row r="62" spans="1:26" x14ac:dyDescent="0.2">
      <c r="A62" t="str">
        <f>VLOOKUP(D62,[1]DATOS!$E:$F,2,0)</f>
        <v>Martes</v>
      </c>
      <c r="B62">
        <f>VLOOKUP(D62,[1]DATOS!E:G,3,0)</f>
        <v>0</v>
      </c>
      <c r="C62" t="str">
        <f>VLOOKUP(E62,[1]DATOS!$H$2:$I$17,2,0)</f>
        <v>FL</v>
      </c>
      <c r="D62" s="1">
        <v>43956</v>
      </c>
      <c r="E62" t="s">
        <v>0</v>
      </c>
      <c r="F62">
        <v>10</v>
      </c>
      <c r="G62" s="2"/>
      <c r="H62" s="2"/>
      <c r="I62" s="21" t="s">
        <v>243</v>
      </c>
      <c r="J62" s="3" t="s">
        <v>2</v>
      </c>
      <c r="K62" t="s">
        <v>3</v>
      </c>
      <c r="L62" s="4" t="s">
        <v>28</v>
      </c>
      <c r="M62">
        <v>5</v>
      </c>
      <c r="N62" s="20">
        <v>7222731048</v>
      </c>
      <c r="O62" s="8"/>
      <c r="P62" s="2"/>
      <c r="Q62" t="s">
        <v>7</v>
      </c>
      <c r="R62" s="2"/>
      <c r="T62" s="2" t="s">
        <v>244</v>
      </c>
      <c r="U62" s="2" t="s">
        <v>110</v>
      </c>
      <c r="V62" s="7">
        <v>50223</v>
      </c>
      <c r="X62" t="s">
        <v>11</v>
      </c>
    </row>
    <row r="63" spans="1:26" x14ac:dyDescent="0.2">
      <c r="A63" t="str">
        <f>VLOOKUP(D63,[1]DATOS!$E:$F,2,0)</f>
        <v>Martes</v>
      </c>
      <c r="B63">
        <f>VLOOKUP(D63,[1]DATOS!E:G,3,0)</f>
        <v>0</v>
      </c>
      <c r="C63" t="str">
        <f>VLOOKUP(E63,[1]DATOS!$H$2:$I$17,2,0)</f>
        <v>FL</v>
      </c>
      <c r="D63" s="1">
        <v>43956</v>
      </c>
      <c r="E63" t="s">
        <v>0</v>
      </c>
      <c r="F63">
        <v>10</v>
      </c>
      <c r="G63" s="2"/>
      <c r="H63" s="2"/>
      <c r="I63" s="21" t="s">
        <v>245</v>
      </c>
      <c r="J63" s="3" t="s">
        <v>2</v>
      </c>
      <c r="K63" t="s">
        <v>3</v>
      </c>
      <c r="L63" s="4" t="s">
        <v>4</v>
      </c>
      <c r="M63">
        <v>5</v>
      </c>
      <c r="N63" s="20">
        <v>7222497144</v>
      </c>
      <c r="O63" s="8" t="s">
        <v>246</v>
      </c>
      <c r="P63" s="2" t="s">
        <v>247</v>
      </c>
      <c r="Q63" t="s">
        <v>7</v>
      </c>
      <c r="R63" s="2"/>
      <c r="T63" s="2" t="s">
        <v>248</v>
      </c>
      <c r="U63" s="2" t="s">
        <v>34</v>
      </c>
      <c r="V63" s="7">
        <v>50233</v>
      </c>
      <c r="X63" t="s">
        <v>11</v>
      </c>
    </row>
    <row r="64" spans="1:26" x14ac:dyDescent="0.2">
      <c r="A64" t="str">
        <f>VLOOKUP(D64,[1]DATOS!$E:$F,2,0)</f>
        <v>Martes</v>
      </c>
      <c r="B64">
        <f>VLOOKUP(D64,[1]DATOS!E:G,3,0)</f>
        <v>0</v>
      </c>
      <c r="C64" t="str">
        <f>VLOOKUP(E64,[1]DATOS!$H$2:$I$17,2,0)</f>
        <v>FL</v>
      </c>
      <c r="D64" s="1">
        <v>43956</v>
      </c>
      <c r="E64" t="s">
        <v>0</v>
      </c>
      <c r="F64">
        <v>10</v>
      </c>
      <c r="G64" s="2"/>
      <c r="H64" s="2"/>
      <c r="I64" s="2" t="s">
        <v>249</v>
      </c>
      <c r="J64" s="3" t="s">
        <v>2</v>
      </c>
      <c r="K64" t="s">
        <v>3</v>
      </c>
      <c r="L64" s="4" t="s">
        <v>28</v>
      </c>
      <c r="M64">
        <v>5</v>
      </c>
      <c r="N64" s="20">
        <v>7222164100</v>
      </c>
      <c r="O64" s="8"/>
      <c r="P64" s="2"/>
      <c r="Q64" t="s">
        <v>7</v>
      </c>
      <c r="R64" s="2"/>
      <c r="T64" s="2" t="s">
        <v>250</v>
      </c>
      <c r="U64" s="2" t="s">
        <v>30</v>
      </c>
      <c r="V64" s="7">
        <v>50200</v>
      </c>
      <c r="X64" t="s">
        <v>11</v>
      </c>
    </row>
    <row r="65" spans="1:26" x14ac:dyDescent="0.2">
      <c r="A65" t="str">
        <f>VLOOKUP(D65,[1]DATOS!$E:$F,2,0)</f>
        <v>Martes</v>
      </c>
      <c r="B65">
        <f>VLOOKUP(D65,[1]DATOS!E:G,3,0)</f>
        <v>0</v>
      </c>
      <c r="C65" t="str">
        <f>VLOOKUP(E65,[1]DATOS!$H$2:$I$17,2,0)</f>
        <v>FL</v>
      </c>
      <c r="D65" s="1">
        <v>43956</v>
      </c>
      <c r="E65" t="s">
        <v>0</v>
      </c>
      <c r="F65">
        <v>10</v>
      </c>
      <c r="G65" s="2"/>
      <c r="H65" s="2"/>
      <c r="I65" s="21" t="s">
        <v>251</v>
      </c>
      <c r="J65" s="3" t="s">
        <v>2</v>
      </c>
      <c r="K65" t="s">
        <v>3</v>
      </c>
      <c r="L65" s="4" t="s">
        <v>172</v>
      </c>
      <c r="M65">
        <v>5</v>
      </c>
      <c r="N65" s="20">
        <v>7222731070</v>
      </c>
      <c r="O65" s="8" t="s">
        <v>252</v>
      </c>
      <c r="P65" s="2"/>
      <c r="Q65" t="s">
        <v>7</v>
      </c>
      <c r="R65" s="2"/>
      <c r="T65" s="2" t="s">
        <v>253</v>
      </c>
      <c r="U65" s="2" t="s">
        <v>110</v>
      </c>
      <c r="V65" s="7">
        <v>50223</v>
      </c>
      <c r="X65" t="s">
        <v>11</v>
      </c>
    </row>
    <row r="66" spans="1:26" x14ac:dyDescent="0.2">
      <c r="A66" t="str">
        <f>VLOOKUP(D66,[1]DATOS!$E:$F,2,0)</f>
        <v>Martes</v>
      </c>
      <c r="B66">
        <f>VLOOKUP(D66,[1]DATOS!E:G,3,0)</f>
        <v>0</v>
      </c>
      <c r="C66" t="str">
        <f>VLOOKUP(E66,[1]DATOS!$H$2:$I$17,2,0)</f>
        <v>FL</v>
      </c>
      <c r="D66" s="1">
        <v>43956</v>
      </c>
      <c r="E66" t="s">
        <v>0</v>
      </c>
      <c r="F66">
        <v>10</v>
      </c>
      <c r="G66" s="2"/>
      <c r="H66" s="2"/>
      <c r="I66" s="2" t="s">
        <v>254</v>
      </c>
      <c r="J66" s="3" t="s">
        <v>2</v>
      </c>
      <c r="K66" t="s">
        <v>3</v>
      </c>
      <c r="L66" s="4" t="s">
        <v>4</v>
      </c>
      <c r="M66">
        <v>5</v>
      </c>
      <c r="N66" s="20">
        <v>7222793608</v>
      </c>
      <c r="O66" s="8" t="s">
        <v>255</v>
      </c>
      <c r="P66" s="2" t="s">
        <v>256</v>
      </c>
      <c r="Q66" t="s">
        <v>7</v>
      </c>
      <c r="R66" s="2"/>
      <c r="T66" s="2" t="s">
        <v>257</v>
      </c>
      <c r="U66" s="2" t="s">
        <v>30</v>
      </c>
      <c r="V66" s="7">
        <v>50200</v>
      </c>
      <c r="W66" s="3"/>
      <c r="X66" t="s">
        <v>31</v>
      </c>
    </row>
    <row r="67" spans="1:26" x14ac:dyDescent="0.2">
      <c r="A67" t="str">
        <f>VLOOKUP(D67,[1]DATOS!$E:$F,2,0)</f>
        <v>Martes</v>
      </c>
      <c r="B67">
        <f>VLOOKUP(D67,[1]DATOS!E:G,3,0)</f>
        <v>0</v>
      </c>
      <c r="C67" t="str">
        <f>VLOOKUP(E67,[1]DATOS!$H$2:$I$17,2,0)</f>
        <v>FL</v>
      </c>
      <c r="D67" s="1">
        <v>43956</v>
      </c>
      <c r="E67" t="s">
        <v>0</v>
      </c>
      <c r="F67">
        <v>10</v>
      </c>
      <c r="G67" s="2"/>
      <c r="H67" s="2"/>
      <c r="I67" s="2" t="s">
        <v>258</v>
      </c>
      <c r="J67" s="3" t="s">
        <v>2</v>
      </c>
      <c r="K67" t="s">
        <v>3</v>
      </c>
      <c r="L67" s="4" t="s">
        <v>28</v>
      </c>
      <c r="M67">
        <v>5</v>
      </c>
      <c r="N67" s="20">
        <v>7222262660</v>
      </c>
      <c r="O67" s="8"/>
      <c r="P67" s="2"/>
      <c r="Q67" t="s">
        <v>7</v>
      </c>
      <c r="R67" s="2"/>
      <c r="T67" s="2" t="s">
        <v>259</v>
      </c>
      <c r="U67" s="2" t="s">
        <v>122</v>
      </c>
      <c r="V67" s="7">
        <v>50070</v>
      </c>
      <c r="W67" s="3"/>
      <c r="X67" t="s">
        <v>11</v>
      </c>
    </row>
    <row r="68" spans="1:26" x14ac:dyDescent="0.2">
      <c r="A68" t="str">
        <f>VLOOKUP(D68,[1]DATOS!$E:$F,2,0)</f>
        <v>Martes</v>
      </c>
      <c r="B68">
        <f>VLOOKUP(D68,[1]DATOS!E:G,3,0)</f>
        <v>0</v>
      </c>
      <c r="C68" t="str">
        <f>VLOOKUP(E68,[1]DATOS!$H$2:$I$17,2,0)</f>
        <v>FL</v>
      </c>
      <c r="D68" s="1">
        <v>43956</v>
      </c>
      <c r="E68" t="s">
        <v>0</v>
      </c>
      <c r="F68">
        <v>10</v>
      </c>
      <c r="G68" s="2"/>
      <c r="H68" s="2"/>
      <c r="I68" s="2" t="s">
        <v>260</v>
      </c>
      <c r="J68" s="3" t="s">
        <v>2</v>
      </c>
      <c r="K68" t="s">
        <v>3</v>
      </c>
      <c r="L68" s="4" t="s">
        <v>28</v>
      </c>
      <c r="M68">
        <v>5</v>
      </c>
      <c r="N68" s="20">
        <v>7224622600</v>
      </c>
      <c r="O68" s="8"/>
      <c r="P68" s="2"/>
      <c r="Q68" t="s">
        <v>7</v>
      </c>
      <c r="R68" s="2"/>
      <c r="T68" s="2" t="s">
        <v>261</v>
      </c>
      <c r="U68" s="2" t="s">
        <v>34</v>
      </c>
      <c r="V68" s="7">
        <v>50233</v>
      </c>
      <c r="W68" s="3"/>
      <c r="X68" t="s">
        <v>31</v>
      </c>
    </row>
    <row r="69" spans="1:26" x14ac:dyDescent="0.2">
      <c r="A69" t="str">
        <f>VLOOKUP(D69,[1]DATOS!$E:$F,2,0)</f>
        <v>Martes</v>
      </c>
      <c r="B69">
        <f>VLOOKUP(D69,[1]DATOS!E:G,3,0)</f>
        <v>0</v>
      </c>
      <c r="C69" t="str">
        <f>VLOOKUP(E69,[1]DATOS!$H$2:$I$17,2,0)</f>
        <v>FL</v>
      </c>
      <c r="D69" s="1">
        <v>43956</v>
      </c>
      <c r="E69" t="s">
        <v>0</v>
      </c>
      <c r="F69">
        <v>10</v>
      </c>
      <c r="G69" s="2"/>
      <c r="H69" s="2"/>
      <c r="I69" s="2" t="s">
        <v>262</v>
      </c>
      <c r="J69" s="3" t="s">
        <v>2</v>
      </c>
      <c r="K69" t="s">
        <v>3</v>
      </c>
      <c r="L69" s="4" t="s">
        <v>28</v>
      </c>
      <c r="M69">
        <v>5</v>
      </c>
      <c r="N69" s="20">
        <v>7222145755</v>
      </c>
      <c r="O69" s="8"/>
      <c r="P69" s="2"/>
      <c r="Q69" t="s">
        <v>7</v>
      </c>
      <c r="R69" s="2"/>
      <c r="T69" s="2" t="s">
        <v>263</v>
      </c>
      <c r="U69" s="2" t="s">
        <v>264</v>
      </c>
      <c r="V69" s="7">
        <v>50000</v>
      </c>
      <c r="W69" s="3"/>
      <c r="X69" t="s">
        <v>11</v>
      </c>
    </row>
    <row r="70" spans="1:26" x14ac:dyDescent="0.2">
      <c r="A70" t="str">
        <f>VLOOKUP(D70,[1]DATOS!$E:$F,2,0)</f>
        <v>Martes</v>
      </c>
      <c r="B70">
        <f>VLOOKUP(D70,[1]DATOS!E:G,3,0)</f>
        <v>0</v>
      </c>
      <c r="C70" t="str">
        <f>VLOOKUP(E70,[1]DATOS!$H$2:$I$17,2,0)</f>
        <v>FL</v>
      </c>
      <c r="D70" s="1">
        <v>43956</v>
      </c>
      <c r="E70" t="s">
        <v>0</v>
      </c>
      <c r="F70">
        <v>10</v>
      </c>
      <c r="G70" s="2"/>
      <c r="H70" s="2"/>
      <c r="I70" s="2" t="s">
        <v>265</v>
      </c>
      <c r="J70" s="3" t="s">
        <v>2</v>
      </c>
      <c r="K70" t="s">
        <v>3</v>
      </c>
      <c r="L70" s="4" t="s">
        <v>4</v>
      </c>
      <c r="M70">
        <v>5</v>
      </c>
      <c r="N70" s="20">
        <v>7222657500</v>
      </c>
      <c r="O70" s="8" t="s">
        <v>266</v>
      </c>
      <c r="P70" s="2" t="s">
        <v>267</v>
      </c>
      <c r="Q70" t="s">
        <v>7</v>
      </c>
      <c r="R70" s="2"/>
      <c r="T70" s="2" t="s">
        <v>268</v>
      </c>
      <c r="U70" s="2" t="s">
        <v>34</v>
      </c>
      <c r="V70" s="7">
        <v>50233</v>
      </c>
      <c r="W70" s="3"/>
      <c r="X70" t="s">
        <v>31</v>
      </c>
      <c r="Z70" t="s">
        <v>269</v>
      </c>
    </row>
    <row r="71" spans="1:26" x14ac:dyDescent="0.2">
      <c r="A71" t="str">
        <f>VLOOKUP(D71,[1]DATOS!$E:$F,2,0)</f>
        <v>Miércoles</v>
      </c>
      <c r="B71">
        <f>VLOOKUP(D71,[1]DATOS!E:G,3,0)</f>
        <v>0</v>
      </c>
      <c r="C71" t="str">
        <f>VLOOKUP(E71,[1]DATOS!$H$2:$I$17,2,0)</f>
        <v>FL</v>
      </c>
      <c r="D71" s="1">
        <v>43957</v>
      </c>
      <c r="E71" t="s">
        <v>0</v>
      </c>
      <c r="F71">
        <v>10</v>
      </c>
      <c r="I71" s="2" t="s">
        <v>270</v>
      </c>
      <c r="J71" s="3" t="s">
        <v>2</v>
      </c>
      <c r="K71" t="s">
        <v>3</v>
      </c>
      <c r="L71" s="4" t="s">
        <v>4</v>
      </c>
      <c r="M71">
        <v>5</v>
      </c>
      <c r="N71" s="20">
        <v>7222726530</v>
      </c>
      <c r="O71" s="8" t="s">
        <v>271</v>
      </c>
      <c r="P71" t="s">
        <v>272</v>
      </c>
      <c r="Q71" t="s">
        <v>7</v>
      </c>
      <c r="R71" s="2"/>
      <c r="S71" t="s">
        <v>8</v>
      </c>
      <c r="T71" s="2" t="s">
        <v>273</v>
      </c>
      <c r="U71" s="2" t="s">
        <v>274</v>
      </c>
      <c r="V71" s="7">
        <v>50010</v>
      </c>
      <c r="X71" t="s">
        <v>31</v>
      </c>
    </row>
    <row r="72" spans="1:26" x14ac:dyDescent="0.2">
      <c r="A72" t="str">
        <f>VLOOKUP(D72,[1]DATOS!$E:$F,2,0)</f>
        <v>Miércoles</v>
      </c>
      <c r="B72">
        <f>VLOOKUP(D72,[1]DATOS!E:G,3,0)</f>
        <v>0</v>
      </c>
      <c r="C72" t="str">
        <f>VLOOKUP(E72,[1]DATOS!$H$2:$I$17,2,0)</f>
        <v>FL</v>
      </c>
      <c r="D72" s="1">
        <v>43957</v>
      </c>
      <c r="E72" t="s">
        <v>0</v>
      </c>
      <c r="F72">
        <v>10</v>
      </c>
      <c r="G72" s="27"/>
      <c r="H72" s="27"/>
      <c r="I72" s="28" t="s">
        <v>275</v>
      </c>
      <c r="J72" s="3" t="s">
        <v>2</v>
      </c>
      <c r="K72" t="s">
        <v>3</v>
      </c>
      <c r="L72" s="4" t="s">
        <v>4</v>
      </c>
      <c r="M72">
        <v>5</v>
      </c>
      <c r="N72" s="29">
        <v>7222196580</v>
      </c>
      <c r="O72" s="30" t="s">
        <v>276</v>
      </c>
      <c r="P72" s="27" t="s">
        <v>277</v>
      </c>
      <c r="Q72" t="s">
        <v>7</v>
      </c>
      <c r="R72" s="28"/>
      <c r="S72" s="31" t="s">
        <v>8</v>
      </c>
      <c r="T72" s="32" t="s">
        <v>278</v>
      </c>
      <c r="U72" s="32" t="s">
        <v>279</v>
      </c>
      <c r="V72" s="33">
        <v>50020</v>
      </c>
      <c r="W72" s="31"/>
      <c r="X72" s="31" t="s">
        <v>11</v>
      </c>
      <c r="Y72" s="31"/>
    </row>
    <row r="73" spans="1:26" x14ac:dyDescent="0.2">
      <c r="A73" t="str">
        <f>VLOOKUP(D73,[1]DATOS!$E:$F,2,0)</f>
        <v>Miércoles</v>
      </c>
      <c r="B73">
        <f>VLOOKUP(D73,[1]DATOS!E:G,3,0)</f>
        <v>0</v>
      </c>
      <c r="C73" t="str">
        <f>VLOOKUP(E73,[1]DATOS!$H$2:$I$17,2,0)</f>
        <v>FL</v>
      </c>
      <c r="D73" s="1">
        <v>43957</v>
      </c>
      <c r="E73" t="s">
        <v>0</v>
      </c>
      <c r="F73">
        <v>10</v>
      </c>
      <c r="G73" s="27"/>
      <c r="H73" s="27"/>
      <c r="I73" s="28" t="s">
        <v>280</v>
      </c>
      <c r="J73" s="3" t="s">
        <v>2</v>
      </c>
      <c r="K73" t="s">
        <v>3</v>
      </c>
      <c r="L73" s="4" t="s">
        <v>4</v>
      </c>
      <c r="M73">
        <v>5</v>
      </c>
      <c r="N73" s="29">
        <v>5541618000</v>
      </c>
      <c r="O73" s="30" t="s">
        <v>281</v>
      </c>
      <c r="P73" s="27" t="s">
        <v>282</v>
      </c>
      <c r="Q73" t="s">
        <v>7</v>
      </c>
      <c r="R73" s="28"/>
      <c r="S73" s="31" t="s">
        <v>8</v>
      </c>
      <c r="T73" s="32" t="s">
        <v>283</v>
      </c>
      <c r="U73" s="32" t="s">
        <v>30</v>
      </c>
      <c r="V73" s="34">
        <v>50200</v>
      </c>
      <c r="W73" s="31"/>
      <c r="X73" s="31" t="s">
        <v>11</v>
      </c>
      <c r="Y73" s="31"/>
    </row>
    <row r="74" spans="1:26" x14ac:dyDescent="0.2">
      <c r="A74" t="str">
        <f>VLOOKUP(D74,[1]DATOS!$E:$F,2,0)</f>
        <v>Miércoles</v>
      </c>
      <c r="B74">
        <f>VLOOKUP(D74,[1]DATOS!E:G,3,0)</f>
        <v>0</v>
      </c>
      <c r="C74" t="str">
        <f>VLOOKUP(E74,[1]DATOS!$H$2:$I$17,2,0)</f>
        <v>FL</v>
      </c>
      <c r="D74" s="1">
        <v>43957</v>
      </c>
      <c r="E74" t="s">
        <v>0</v>
      </c>
      <c r="F74">
        <v>10</v>
      </c>
      <c r="G74" s="27"/>
      <c r="H74" s="27"/>
      <c r="I74" s="28" t="s">
        <v>284</v>
      </c>
      <c r="J74" s="3" t="s">
        <v>2</v>
      </c>
      <c r="K74" t="s">
        <v>3</v>
      </c>
      <c r="L74" s="4" t="s">
        <v>4</v>
      </c>
      <c r="M74">
        <v>5</v>
      </c>
      <c r="N74" s="29">
        <v>5552711433</v>
      </c>
      <c r="O74" s="30" t="s">
        <v>285</v>
      </c>
      <c r="P74" s="27" t="s">
        <v>286</v>
      </c>
      <c r="Q74" t="s">
        <v>7</v>
      </c>
      <c r="R74" s="28"/>
      <c r="S74" s="31" t="s">
        <v>8</v>
      </c>
      <c r="T74" s="32" t="s">
        <v>25</v>
      </c>
      <c r="U74" s="32" t="s">
        <v>287</v>
      </c>
      <c r="V74" s="34">
        <v>50140</v>
      </c>
      <c r="W74" s="31"/>
      <c r="X74" s="31" t="s">
        <v>31</v>
      </c>
      <c r="Y74" s="31"/>
    </row>
    <row r="75" spans="1:26" x14ac:dyDescent="0.2">
      <c r="A75" t="str">
        <f>VLOOKUP(D75,[1]DATOS!$E:$F,2,0)</f>
        <v>Miércoles</v>
      </c>
      <c r="B75">
        <f>VLOOKUP(D75,[1]DATOS!E:G,3,0)</f>
        <v>0</v>
      </c>
      <c r="C75" t="str">
        <f>VLOOKUP(E75,[1]DATOS!$H$2:$I$17,2,0)</f>
        <v>FL</v>
      </c>
      <c r="D75" s="1">
        <v>43957</v>
      </c>
      <c r="E75" t="s">
        <v>0</v>
      </c>
      <c r="F75">
        <v>10</v>
      </c>
      <c r="G75" s="27"/>
      <c r="H75" s="27"/>
      <c r="I75" s="28" t="s">
        <v>288</v>
      </c>
      <c r="J75" s="3" t="s">
        <v>2</v>
      </c>
      <c r="K75" t="s">
        <v>3</v>
      </c>
      <c r="L75" s="4" t="s">
        <v>28</v>
      </c>
      <c r="M75">
        <v>5</v>
      </c>
      <c r="N75" s="29">
        <v>7222496210</v>
      </c>
      <c r="O75" s="35"/>
      <c r="P75" s="27"/>
      <c r="Q75" t="s">
        <v>7</v>
      </c>
      <c r="R75" s="28"/>
      <c r="S75" s="31" t="s">
        <v>8</v>
      </c>
      <c r="T75" s="32" t="s">
        <v>289</v>
      </c>
      <c r="U75" s="32" t="s">
        <v>30</v>
      </c>
      <c r="V75" s="34">
        <v>50200</v>
      </c>
      <c r="W75" s="31"/>
      <c r="X75" s="31" t="s">
        <v>11</v>
      </c>
      <c r="Y75" s="31"/>
    </row>
    <row r="76" spans="1:26" x14ac:dyDescent="0.2">
      <c r="A76" t="str">
        <f>VLOOKUP(D76,[1]DATOS!$E:$F,2,0)</f>
        <v>Miércoles</v>
      </c>
      <c r="B76">
        <f>VLOOKUP(D76,[1]DATOS!E:G,3,0)</f>
        <v>0</v>
      </c>
      <c r="C76" t="str">
        <f>VLOOKUP(E76,[1]DATOS!$H$2:$I$17,2,0)</f>
        <v>FL</v>
      </c>
      <c r="D76" s="1">
        <v>43957</v>
      </c>
      <c r="E76" t="s">
        <v>0</v>
      </c>
      <c r="F76">
        <v>10</v>
      </c>
      <c r="G76" s="27"/>
      <c r="H76" s="27"/>
      <c r="I76" s="28" t="s">
        <v>290</v>
      </c>
      <c r="J76" s="3" t="s">
        <v>2</v>
      </c>
      <c r="K76" t="s">
        <v>3</v>
      </c>
      <c r="L76" s="4" t="s">
        <v>4</v>
      </c>
      <c r="M76">
        <v>5</v>
      </c>
      <c r="N76" s="29">
        <v>7222141437</v>
      </c>
      <c r="O76" s="30" t="s">
        <v>291</v>
      </c>
      <c r="P76" s="27" t="s">
        <v>282</v>
      </c>
      <c r="Q76" t="s">
        <v>7</v>
      </c>
      <c r="R76" s="28"/>
      <c r="S76" s="31" t="s">
        <v>8</v>
      </c>
      <c r="T76" s="32" t="s">
        <v>292</v>
      </c>
      <c r="U76" s="32" t="s">
        <v>293</v>
      </c>
      <c r="V76" s="34">
        <v>50110</v>
      </c>
      <c r="W76" s="31"/>
      <c r="X76" s="31" t="s">
        <v>11</v>
      </c>
      <c r="Y76" s="31"/>
    </row>
    <row r="77" spans="1:26" x14ac:dyDescent="0.2">
      <c r="A77" t="str">
        <f>VLOOKUP(D77,[1]DATOS!$E:$F,2,0)</f>
        <v>Miércoles</v>
      </c>
      <c r="B77">
        <f>VLOOKUP(D77,[1]DATOS!E:G,3,0)</f>
        <v>0</v>
      </c>
      <c r="C77" t="str">
        <f>VLOOKUP(E77,[1]DATOS!$H$2:$I$17,2,0)</f>
        <v>FL</v>
      </c>
      <c r="D77" s="1">
        <v>43957</v>
      </c>
      <c r="E77" t="s">
        <v>0</v>
      </c>
      <c r="F77">
        <v>10</v>
      </c>
      <c r="G77" s="27"/>
      <c r="H77" s="27"/>
      <c r="I77" s="28" t="s">
        <v>294</v>
      </c>
      <c r="J77" s="3" t="s">
        <v>2</v>
      </c>
      <c r="K77" t="s">
        <v>3</v>
      </c>
      <c r="L77" s="4" t="s">
        <v>4</v>
      </c>
      <c r="M77">
        <v>5</v>
      </c>
      <c r="N77" s="29">
        <v>7225480305</v>
      </c>
      <c r="O77" s="30" t="s">
        <v>295</v>
      </c>
      <c r="P77" s="27" t="s">
        <v>296</v>
      </c>
      <c r="Q77" t="s">
        <v>7</v>
      </c>
      <c r="R77" s="28"/>
      <c r="S77" s="31" t="s">
        <v>8</v>
      </c>
      <c r="T77" s="32" t="s">
        <v>297</v>
      </c>
      <c r="U77" s="32" t="s">
        <v>30</v>
      </c>
      <c r="V77" s="34">
        <v>50200</v>
      </c>
      <c r="W77" s="31"/>
      <c r="X77" s="31" t="s">
        <v>11</v>
      </c>
      <c r="Y77" s="31"/>
    </row>
    <row r="78" spans="1:26" x14ac:dyDescent="0.2">
      <c r="A78" t="str">
        <f>VLOOKUP(D78,[1]DATOS!$E:$F,2,0)</f>
        <v>Miércoles</v>
      </c>
      <c r="B78">
        <f>VLOOKUP(D78,[1]DATOS!E:G,3,0)</f>
        <v>0</v>
      </c>
      <c r="C78" t="str">
        <f>VLOOKUP(E78,[1]DATOS!$H$2:$I$17,2,0)</f>
        <v>FL</v>
      </c>
      <c r="D78" s="1">
        <v>43957</v>
      </c>
      <c r="E78" t="s">
        <v>0</v>
      </c>
      <c r="F78">
        <v>10</v>
      </c>
      <c r="G78" s="27"/>
      <c r="H78" s="27"/>
      <c r="I78" s="28" t="s">
        <v>298</v>
      </c>
      <c r="J78" s="3" t="s">
        <v>2</v>
      </c>
      <c r="K78" t="s">
        <v>3</v>
      </c>
      <c r="L78" s="4" t="s">
        <v>28</v>
      </c>
      <c r="M78">
        <v>5</v>
      </c>
      <c r="N78" s="29">
        <v>7222153333</v>
      </c>
      <c r="O78" s="35"/>
      <c r="P78" s="27"/>
      <c r="Q78" t="s">
        <v>7</v>
      </c>
      <c r="R78" s="28"/>
      <c r="S78" s="31" t="s">
        <v>8</v>
      </c>
      <c r="T78" s="32" t="s">
        <v>299</v>
      </c>
      <c r="U78" s="32" t="s">
        <v>300</v>
      </c>
      <c r="V78" s="34">
        <v>50130</v>
      </c>
      <c r="W78" s="31"/>
      <c r="X78" s="31" t="s">
        <v>11</v>
      </c>
      <c r="Y78" s="31"/>
    </row>
    <row r="79" spans="1:26" x14ac:dyDescent="0.2">
      <c r="A79" t="str">
        <f>VLOOKUP(D79,[1]DATOS!$E:$F,2,0)</f>
        <v>Miércoles</v>
      </c>
      <c r="B79">
        <f>VLOOKUP(D79,[1]DATOS!E:G,3,0)</f>
        <v>0</v>
      </c>
      <c r="C79" t="str">
        <f>VLOOKUP(E79,[1]DATOS!$H$2:$I$17,2,0)</f>
        <v>FL</v>
      </c>
      <c r="D79" s="1">
        <v>43957</v>
      </c>
      <c r="E79" t="s">
        <v>0</v>
      </c>
      <c r="F79">
        <v>10</v>
      </c>
      <c r="G79" s="27"/>
      <c r="H79" s="27"/>
      <c r="I79" s="28" t="s">
        <v>301</v>
      </c>
      <c r="J79" s="3" t="s">
        <v>2</v>
      </c>
      <c r="K79" t="s">
        <v>3</v>
      </c>
      <c r="L79" s="4" t="s">
        <v>28</v>
      </c>
      <c r="M79">
        <v>5</v>
      </c>
      <c r="N79" s="29">
        <v>7222145755</v>
      </c>
      <c r="O79" s="35"/>
      <c r="P79" s="27"/>
      <c r="Q79" t="s">
        <v>7</v>
      </c>
      <c r="R79" s="28"/>
      <c r="S79" s="31" t="s">
        <v>8</v>
      </c>
      <c r="T79" s="32" t="s">
        <v>263</v>
      </c>
      <c r="U79" s="32" t="s">
        <v>264</v>
      </c>
      <c r="V79" s="34">
        <v>50000</v>
      </c>
      <c r="W79" s="31"/>
      <c r="X79" s="31" t="s">
        <v>11</v>
      </c>
      <c r="Y79" s="31"/>
    </row>
    <row r="80" spans="1:26" x14ac:dyDescent="0.2">
      <c r="A80" t="str">
        <f>VLOOKUP(D80,[1]DATOS!$E:$F,2,0)</f>
        <v>Miércoles</v>
      </c>
      <c r="B80">
        <f>VLOOKUP(D80,[1]DATOS!E:G,3,0)</f>
        <v>0</v>
      </c>
      <c r="C80" t="str">
        <f>VLOOKUP(E80,[1]DATOS!$H$2:$I$17,2,0)</f>
        <v>FL</v>
      </c>
      <c r="D80" s="1">
        <v>43957</v>
      </c>
      <c r="E80" t="s">
        <v>0</v>
      </c>
      <c r="F80">
        <v>10</v>
      </c>
      <c r="G80" s="27"/>
      <c r="H80" s="27"/>
      <c r="I80" s="28" t="s">
        <v>302</v>
      </c>
      <c r="J80" s="3" t="s">
        <v>2</v>
      </c>
      <c r="K80" t="s">
        <v>3</v>
      </c>
      <c r="L80" s="4" t="s">
        <v>4</v>
      </c>
      <c r="M80">
        <v>5</v>
      </c>
      <c r="N80" s="29">
        <v>7222760256</v>
      </c>
      <c r="O80" s="30" t="s">
        <v>303</v>
      </c>
      <c r="P80" s="27" t="s">
        <v>304</v>
      </c>
      <c r="Q80" t="s">
        <v>7</v>
      </c>
      <c r="R80" s="28"/>
      <c r="S80" s="31" t="s">
        <v>8</v>
      </c>
      <c r="T80" s="32" t="s">
        <v>305</v>
      </c>
      <c r="U80" s="32" t="s">
        <v>306</v>
      </c>
      <c r="V80" s="34">
        <v>50220</v>
      </c>
      <c r="W80" s="31"/>
      <c r="X80" s="31" t="s">
        <v>11</v>
      </c>
      <c r="Y80" s="31"/>
    </row>
    <row r="81" spans="1:25" x14ac:dyDescent="0.2">
      <c r="A81" t="str">
        <f>VLOOKUP(D81,[1]DATOS!$E:$F,2,0)</f>
        <v>Miércoles</v>
      </c>
      <c r="B81">
        <f>VLOOKUP(D81,[1]DATOS!E:G,3,0)</f>
        <v>0</v>
      </c>
      <c r="C81" t="str">
        <f>VLOOKUP(E81,[1]DATOS!$H$2:$I$17,2,0)</f>
        <v>FL</v>
      </c>
      <c r="D81" s="1">
        <v>43957</v>
      </c>
      <c r="E81" t="s">
        <v>0</v>
      </c>
      <c r="F81">
        <v>10</v>
      </c>
      <c r="G81" s="27"/>
      <c r="H81" s="27"/>
      <c r="I81" s="28" t="s">
        <v>307</v>
      </c>
      <c r="J81" s="3" t="s">
        <v>2</v>
      </c>
      <c r="K81" t="s">
        <v>3</v>
      </c>
      <c r="L81" s="4" t="s">
        <v>28</v>
      </c>
      <c r="M81">
        <v>5</v>
      </c>
      <c r="N81" s="29">
        <v>7222159460</v>
      </c>
      <c r="O81" s="35"/>
      <c r="P81" s="27"/>
      <c r="Q81" t="s">
        <v>7</v>
      </c>
      <c r="R81" s="28"/>
      <c r="S81" s="31" t="s">
        <v>8</v>
      </c>
      <c r="T81" s="32" t="s">
        <v>308</v>
      </c>
      <c r="U81" s="32" t="s">
        <v>309</v>
      </c>
      <c r="V81" s="34">
        <v>50130</v>
      </c>
      <c r="W81" s="31"/>
      <c r="X81" s="31" t="s">
        <v>11</v>
      </c>
      <c r="Y81" s="31"/>
    </row>
    <row r="82" spans="1:25" x14ac:dyDescent="0.2">
      <c r="A82" t="str">
        <f>VLOOKUP(D82,[1]DATOS!$E:$F,2,0)</f>
        <v>Miércoles</v>
      </c>
      <c r="B82">
        <f>VLOOKUP(D82,[1]DATOS!E:G,3,0)</f>
        <v>0</v>
      </c>
      <c r="C82" t="str">
        <f>VLOOKUP(E82,[1]DATOS!$H$2:$I$17,2,0)</f>
        <v>FL</v>
      </c>
      <c r="D82" s="1">
        <v>43957</v>
      </c>
      <c r="E82" t="s">
        <v>0</v>
      </c>
      <c r="F82">
        <v>10</v>
      </c>
      <c r="G82" s="27"/>
      <c r="H82" s="27"/>
      <c r="I82" s="28" t="s">
        <v>310</v>
      </c>
      <c r="J82" s="3" t="s">
        <v>2</v>
      </c>
      <c r="K82" t="s">
        <v>3</v>
      </c>
      <c r="L82" s="4" t="s">
        <v>28</v>
      </c>
      <c r="M82">
        <v>5</v>
      </c>
      <c r="N82" s="29">
        <v>7222496879</v>
      </c>
      <c r="O82" s="35"/>
      <c r="P82" s="27"/>
      <c r="Q82" t="s">
        <v>7</v>
      </c>
      <c r="R82" s="28"/>
      <c r="S82" s="31" t="s">
        <v>8</v>
      </c>
      <c r="T82" s="32" t="s">
        <v>311</v>
      </c>
      <c r="U82" s="32" t="s">
        <v>312</v>
      </c>
      <c r="V82" s="34">
        <v>50214</v>
      </c>
      <c r="W82" s="31"/>
      <c r="X82" s="31" t="s">
        <v>11</v>
      </c>
      <c r="Y82" s="31"/>
    </row>
    <row r="83" spans="1:25" x14ac:dyDescent="0.2">
      <c r="A83" t="str">
        <f>VLOOKUP(D83,[1]DATOS!$E:$F,2,0)</f>
        <v>Miércoles</v>
      </c>
      <c r="B83">
        <f>VLOOKUP(D83,[1]DATOS!E:G,3,0)</f>
        <v>0</v>
      </c>
      <c r="C83" t="str">
        <f>VLOOKUP(E83,[1]DATOS!$H$2:$I$17,2,0)</f>
        <v>FL</v>
      </c>
      <c r="D83" s="1">
        <v>43957</v>
      </c>
      <c r="E83" t="s">
        <v>0</v>
      </c>
      <c r="F83">
        <v>10</v>
      </c>
      <c r="G83" s="27"/>
      <c r="H83" s="27"/>
      <c r="I83" s="28" t="s">
        <v>313</v>
      </c>
      <c r="J83" s="3" t="s">
        <v>2</v>
      </c>
      <c r="K83" t="s">
        <v>3</v>
      </c>
      <c r="L83" s="4" t="s">
        <v>28</v>
      </c>
      <c r="M83">
        <v>5</v>
      </c>
      <c r="N83" s="29">
        <v>5552703700</v>
      </c>
      <c r="O83" s="35"/>
      <c r="P83" s="27"/>
      <c r="Q83" t="s">
        <v>7</v>
      </c>
      <c r="R83" s="28"/>
      <c r="S83" s="31" t="s">
        <v>8</v>
      </c>
      <c r="T83" s="32" t="s">
        <v>314</v>
      </c>
      <c r="U83" s="32" t="s">
        <v>30</v>
      </c>
      <c r="V83" s="34">
        <v>50200</v>
      </c>
      <c r="W83" s="31"/>
      <c r="X83" s="31" t="s">
        <v>31</v>
      </c>
      <c r="Y83" s="31"/>
    </row>
    <row r="84" spans="1:25" x14ac:dyDescent="0.2">
      <c r="A84" t="str">
        <f>VLOOKUP(D84,[1]DATOS!$E:$F,2,0)</f>
        <v>Miércoles</v>
      </c>
      <c r="B84">
        <f>VLOOKUP(D84,[1]DATOS!E:G,3,0)</f>
        <v>0</v>
      </c>
      <c r="C84" t="str">
        <f>VLOOKUP(E84,[1]DATOS!$H$2:$I$17,2,0)</f>
        <v>FL</v>
      </c>
      <c r="D84" s="1">
        <v>43957</v>
      </c>
      <c r="E84" t="s">
        <v>0</v>
      </c>
      <c r="F84">
        <v>10</v>
      </c>
      <c r="G84" s="27"/>
      <c r="H84" s="27"/>
      <c r="I84" s="28" t="s">
        <v>315</v>
      </c>
      <c r="J84" s="3" t="s">
        <v>2</v>
      </c>
      <c r="K84" t="s">
        <v>3</v>
      </c>
      <c r="L84" s="4" t="s">
        <v>28</v>
      </c>
      <c r="M84">
        <v>5</v>
      </c>
      <c r="N84" s="29">
        <v>7222790092</v>
      </c>
      <c r="O84" s="35"/>
      <c r="P84" s="27"/>
      <c r="Q84" t="s">
        <v>7</v>
      </c>
      <c r="R84" s="28"/>
      <c r="S84" s="31" t="s">
        <v>8</v>
      </c>
      <c r="T84" s="32" t="s">
        <v>316</v>
      </c>
      <c r="U84" s="32" t="s">
        <v>30</v>
      </c>
      <c r="V84" s="34">
        <v>50200</v>
      </c>
      <c r="W84" s="31"/>
      <c r="X84" s="31" t="s">
        <v>11</v>
      </c>
      <c r="Y84" s="31"/>
    </row>
    <row r="85" spans="1:25" x14ac:dyDescent="0.2">
      <c r="A85" t="str">
        <f>VLOOKUP(D85,[1]DATOS!$E:$F,2,0)</f>
        <v>Miércoles</v>
      </c>
      <c r="B85">
        <f>VLOOKUP(D85,[1]DATOS!E:G,3,0)</f>
        <v>0</v>
      </c>
      <c r="C85" t="str">
        <f>VLOOKUP(E85,[1]DATOS!$H$2:$I$17,2,0)</f>
        <v>FL</v>
      </c>
      <c r="D85" s="1">
        <v>43957</v>
      </c>
      <c r="E85" t="s">
        <v>0</v>
      </c>
      <c r="F85">
        <v>10</v>
      </c>
      <c r="G85" s="27"/>
      <c r="H85" s="27"/>
      <c r="I85" s="28" t="s">
        <v>317</v>
      </c>
      <c r="J85" s="3" t="s">
        <v>2</v>
      </c>
      <c r="K85" t="s">
        <v>3</v>
      </c>
      <c r="L85" s="4" t="s">
        <v>28</v>
      </c>
      <c r="M85">
        <v>5</v>
      </c>
      <c r="N85" s="29">
        <v>5552039022</v>
      </c>
      <c r="O85" s="35"/>
      <c r="P85" s="27"/>
      <c r="Q85" t="s">
        <v>7</v>
      </c>
      <c r="R85" s="28"/>
      <c r="S85" s="31" t="s">
        <v>8</v>
      </c>
      <c r="T85" s="32" t="s">
        <v>318</v>
      </c>
      <c r="U85" s="32" t="s">
        <v>319</v>
      </c>
      <c r="V85" s="34">
        <v>50040</v>
      </c>
      <c r="W85" s="31"/>
      <c r="X85" s="31" t="s">
        <v>11</v>
      </c>
      <c r="Y85" s="31"/>
    </row>
    <row r="86" spans="1:25" x14ac:dyDescent="0.2">
      <c r="A86" t="str">
        <f>VLOOKUP(D86,[1]DATOS!$E:$F,2,0)</f>
        <v>Miércoles</v>
      </c>
      <c r="B86">
        <f>VLOOKUP(D86,[1]DATOS!E:G,3,0)</f>
        <v>0</v>
      </c>
      <c r="C86" t="str">
        <f>VLOOKUP(E86,[1]DATOS!$H$2:$I$17,2,0)</f>
        <v>FL</v>
      </c>
      <c r="D86" s="1">
        <v>43957</v>
      </c>
      <c r="E86" t="s">
        <v>0</v>
      </c>
      <c r="F86">
        <v>10</v>
      </c>
      <c r="G86" s="27"/>
      <c r="H86" s="27"/>
      <c r="I86" s="28" t="s">
        <v>320</v>
      </c>
      <c r="J86" s="3" t="s">
        <v>2</v>
      </c>
      <c r="K86" t="s">
        <v>3</v>
      </c>
      <c r="L86" s="4" t="s">
        <v>28</v>
      </c>
      <c r="M86">
        <v>5</v>
      </c>
      <c r="N86" s="29">
        <v>5552780100</v>
      </c>
      <c r="O86" s="35"/>
      <c r="P86" s="27"/>
      <c r="Q86" t="s">
        <v>7</v>
      </c>
      <c r="R86" s="28"/>
      <c r="S86" s="31" t="s">
        <v>8</v>
      </c>
      <c r="T86" s="32" t="s">
        <v>321</v>
      </c>
      <c r="U86" s="32" t="s">
        <v>322</v>
      </c>
      <c r="V86" s="34">
        <v>50130</v>
      </c>
      <c r="W86" s="31"/>
      <c r="X86" s="31" t="s">
        <v>31</v>
      </c>
      <c r="Y86" s="31"/>
    </row>
    <row r="87" spans="1:25" x14ac:dyDescent="0.2">
      <c r="A87" t="str">
        <f>VLOOKUP(D87,[1]DATOS!$E:$F,2,0)</f>
        <v>Miércoles</v>
      </c>
      <c r="B87">
        <f>VLOOKUP(D87,[1]DATOS!E:G,3,0)</f>
        <v>0</v>
      </c>
      <c r="C87" t="str">
        <f>VLOOKUP(E87,[1]DATOS!$H$2:$I$17,2,0)</f>
        <v>FL</v>
      </c>
      <c r="D87" s="1">
        <v>43957</v>
      </c>
      <c r="E87" t="s">
        <v>0</v>
      </c>
      <c r="F87">
        <v>10</v>
      </c>
      <c r="G87" s="27"/>
      <c r="H87" s="27"/>
      <c r="I87" s="28" t="s">
        <v>323</v>
      </c>
      <c r="J87" s="3" t="s">
        <v>2</v>
      </c>
      <c r="K87" t="s">
        <v>3</v>
      </c>
      <c r="L87" s="4" t="s">
        <v>47</v>
      </c>
      <c r="M87">
        <v>5</v>
      </c>
      <c r="N87" s="29">
        <v>5552770534</v>
      </c>
      <c r="O87" s="35"/>
      <c r="P87" s="27"/>
      <c r="Q87" t="s">
        <v>7</v>
      </c>
      <c r="R87" s="28"/>
      <c r="S87" s="31" t="s">
        <v>8</v>
      </c>
      <c r="T87" s="32" t="s">
        <v>324</v>
      </c>
      <c r="U87" s="32" t="s">
        <v>287</v>
      </c>
      <c r="V87" s="34">
        <v>50140</v>
      </c>
      <c r="W87" s="31"/>
      <c r="X87" s="31" t="s">
        <v>31</v>
      </c>
      <c r="Y87" s="31"/>
    </row>
    <row r="88" spans="1:25" x14ac:dyDescent="0.2">
      <c r="A88" t="str">
        <f>VLOOKUP(D88,[1]DATOS!$E:$F,2,0)</f>
        <v>Miércoles</v>
      </c>
      <c r="B88">
        <f>VLOOKUP(D88,[1]DATOS!E:G,3,0)</f>
        <v>0</v>
      </c>
      <c r="C88" t="str">
        <f>VLOOKUP(E88,[1]DATOS!$H$2:$I$17,2,0)</f>
        <v>FL</v>
      </c>
      <c r="D88" s="1">
        <v>43957</v>
      </c>
      <c r="E88" t="s">
        <v>0</v>
      </c>
      <c r="F88">
        <v>10</v>
      </c>
      <c r="G88" s="27"/>
      <c r="H88" s="27"/>
      <c r="I88" s="28" t="s">
        <v>325</v>
      </c>
      <c r="J88" s="3" t="s">
        <v>2</v>
      </c>
      <c r="K88" t="s">
        <v>3</v>
      </c>
      <c r="L88" s="4" t="s">
        <v>28</v>
      </c>
      <c r="M88">
        <v>5</v>
      </c>
      <c r="N88" s="29">
        <v>7222133725</v>
      </c>
      <c r="O88" s="35"/>
      <c r="P88" s="27"/>
      <c r="Q88" t="s">
        <v>7</v>
      </c>
      <c r="R88" s="28"/>
      <c r="S88" s="31" t="s">
        <v>8</v>
      </c>
      <c r="T88" s="32" t="s">
        <v>326</v>
      </c>
      <c r="U88" s="32" t="s">
        <v>188</v>
      </c>
      <c r="V88" s="34">
        <v>50071</v>
      </c>
      <c r="W88" s="31"/>
      <c r="X88" s="31" t="s">
        <v>11</v>
      </c>
      <c r="Y88" s="31"/>
    </row>
    <row r="89" spans="1:25" x14ac:dyDescent="0.2">
      <c r="A89" t="str">
        <f>VLOOKUP(D89,[1]DATOS!$E:$F,2,0)</f>
        <v>Miércoles</v>
      </c>
      <c r="B89">
        <f>VLOOKUP(D89,[1]DATOS!E:G,3,0)</f>
        <v>0</v>
      </c>
      <c r="C89" t="str">
        <f>VLOOKUP(E89,[1]DATOS!$H$2:$I$17,2,0)</f>
        <v>FL</v>
      </c>
      <c r="D89" s="1">
        <v>43957</v>
      </c>
      <c r="E89" t="s">
        <v>0</v>
      </c>
      <c r="F89">
        <v>10</v>
      </c>
      <c r="G89" s="27"/>
      <c r="H89" s="27"/>
      <c r="I89" s="28" t="s">
        <v>327</v>
      </c>
      <c r="J89" s="3" t="s">
        <v>2</v>
      </c>
      <c r="K89" t="s">
        <v>3</v>
      </c>
      <c r="L89" s="4" t="s">
        <v>28</v>
      </c>
      <c r="M89">
        <v>5</v>
      </c>
      <c r="N89" s="29">
        <v>7222733210</v>
      </c>
      <c r="O89" s="35"/>
      <c r="P89" s="36"/>
      <c r="Q89" t="s">
        <v>7</v>
      </c>
      <c r="R89" s="28"/>
      <c r="S89" s="31" t="s">
        <v>8</v>
      </c>
      <c r="T89" s="32" t="s">
        <v>328</v>
      </c>
      <c r="U89" s="32" t="s">
        <v>26</v>
      </c>
      <c r="V89" s="34">
        <v>50140</v>
      </c>
      <c r="W89" s="31"/>
      <c r="X89" s="31" t="s">
        <v>11</v>
      </c>
      <c r="Y89" s="31"/>
    </row>
    <row r="90" spans="1:25" x14ac:dyDescent="0.2">
      <c r="A90" t="str">
        <f>VLOOKUP(D90,[1]DATOS!$E:$F,2,0)</f>
        <v>Miércoles</v>
      </c>
      <c r="B90">
        <f>VLOOKUP(D90,[1]DATOS!E:G,3,0)</f>
        <v>0</v>
      </c>
      <c r="C90" t="str">
        <f>VLOOKUP(E90,[1]DATOS!$H$2:$I$17,2,0)</f>
        <v>FL</v>
      </c>
      <c r="D90" s="1">
        <v>43957</v>
      </c>
      <c r="E90" t="s">
        <v>0</v>
      </c>
      <c r="F90">
        <v>10</v>
      </c>
      <c r="G90" s="27"/>
      <c r="H90" s="27"/>
      <c r="I90" s="28" t="s">
        <v>329</v>
      </c>
      <c r="J90" s="3" t="s">
        <v>2</v>
      </c>
      <c r="K90" t="s">
        <v>3</v>
      </c>
      <c r="L90" s="4" t="s">
        <v>4</v>
      </c>
      <c r="M90">
        <v>5</v>
      </c>
      <c r="N90" s="29">
        <v>7222158015</v>
      </c>
      <c r="O90" s="30" t="s">
        <v>330</v>
      </c>
      <c r="P90" s="31" t="s">
        <v>282</v>
      </c>
      <c r="Q90" t="s">
        <v>7</v>
      </c>
      <c r="R90" s="28"/>
      <c r="S90" s="31" t="s">
        <v>8</v>
      </c>
      <c r="T90" s="32" t="s">
        <v>331</v>
      </c>
      <c r="U90" s="32" t="s">
        <v>332</v>
      </c>
      <c r="V90" s="34">
        <v>50070</v>
      </c>
      <c r="W90" s="31"/>
      <c r="X90" s="31" t="s">
        <v>31</v>
      </c>
      <c r="Y90" s="31"/>
    </row>
    <row r="91" spans="1:25" x14ac:dyDescent="0.2">
      <c r="A91" t="str">
        <f>VLOOKUP(D91,[1]DATOS!$E:$F,2,0)</f>
        <v>Jueves</v>
      </c>
      <c r="B91">
        <f>VLOOKUP(D91,[1]DATOS!E:G,3,0)</f>
        <v>0</v>
      </c>
      <c r="C91" t="str">
        <f>VLOOKUP(E91,[1]DATOS!$H$2:$I$17,2,0)</f>
        <v>FL</v>
      </c>
      <c r="D91" s="37">
        <v>43958</v>
      </c>
      <c r="E91" t="s">
        <v>0</v>
      </c>
      <c r="F91">
        <v>10</v>
      </c>
      <c r="G91" s="27"/>
      <c r="H91" s="27"/>
      <c r="I91" s="28" t="s">
        <v>89</v>
      </c>
      <c r="J91" s="3" t="s">
        <v>2</v>
      </c>
      <c r="K91" t="s">
        <v>3</v>
      </c>
      <c r="L91" s="4" t="s">
        <v>28</v>
      </c>
      <c r="M91">
        <v>5</v>
      </c>
      <c r="N91" s="29">
        <v>7222762200</v>
      </c>
      <c r="O91" s="30"/>
      <c r="P91" s="31"/>
      <c r="Q91" t="s">
        <v>7</v>
      </c>
      <c r="R91" s="28"/>
      <c r="S91" s="31" t="s">
        <v>8</v>
      </c>
      <c r="T91" s="32" t="s">
        <v>91</v>
      </c>
      <c r="U91" s="32" t="s">
        <v>306</v>
      </c>
      <c r="V91" s="34">
        <v>50220</v>
      </c>
      <c r="W91" s="31"/>
      <c r="X91" s="31" t="s">
        <v>31</v>
      </c>
      <c r="Y91" s="31"/>
    </row>
    <row r="92" spans="1:25" x14ac:dyDescent="0.2">
      <c r="A92" t="str">
        <f>VLOOKUP(D92,[1]DATOS!$E:$F,2,0)</f>
        <v>Jueves</v>
      </c>
      <c r="B92">
        <f>VLOOKUP(D92,[1]DATOS!E:G,3,0)</f>
        <v>0</v>
      </c>
      <c r="C92" t="str">
        <f>VLOOKUP(E92,[1]DATOS!$H$2:$I$17,2,0)</f>
        <v>FL</v>
      </c>
      <c r="D92" s="37">
        <v>43958</v>
      </c>
      <c r="E92" t="s">
        <v>0</v>
      </c>
      <c r="F92">
        <v>10</v>
      </c>
      <c r="G92" s="27"/>
      <c r="H92" s="27"/>
      <c r="I92" s="28" t="s">
        <v>333</v>
      </c>
      <c r="J92" s="3" t="s">
        <v>2</v>
      </c>
      <c r="K92" t="s">
        <v>3</v>
      </c>
      <c r="L92" s="4" t="s">
        <v>28</v>
      </c>
      <c r="M92">
        <v>5</v>
      </c>
      <c r="N92" s="29">
        <v>7222491070</v>
      </c>
      <c r="O92" s="30"/>
      <c r="P92" s="31"/>
      <c r="Q92" t="s">
        <v>7</v>
      </c>
      <c r="R92" s="28"/>
      <c r="S92" s="31" t="s">
        <v>8</v>
      </c>
      <c r="T92" s="32" t="s">
        <v>152</v>
      </c>
      <c r="U92" s="32" t="s">
        <v>34</v>
      </c>
      <c r="V92" s="34">
        <v>50233</v>
      </c>
      <c r="W92" s="31"/>
      <c r="X92" s="31" t="s">
        <v>11</v>
      </c>
      <c r="Y92" s="31"/>
    </row>
    <row r="93" spans="1:25" x14ac:dyDescent="0.2">
      <c r="A93" t="str">
        <f>VLOOKUP(D93,[1]DATOS!$E:$F,2,0)</f>
        <v>Jueves</v>
      </c>
      <c r="B93">
        <f>VLOOKUP(D93,[1]DATOS!E:G,3,0)</f>
        <v>0</v>
      </c>
      <c r="C93" t="str">
        <f>VLOOKUP(E93,[1]DATOS!$H$2:$I$17,2,0)</f>
        <v>FL</v>
      </c>
      <c r="D93" s="37">
        <v>43958</v>
      </c>
      <c r="E93" t="s">
        <v>0</v>
      </c>
      <c r="F93">
        <v>10</v>
      </c>
      <c r="G93" s="27"/>
      <c r="H93" s="27"/>
      <c r="I93" s="28" t="s">
        <v>334</v>
      </c>
      <c r="J93" s="3" t="s">
        <v>2</v>
      </c>
      <c r="K93" t="s">
        <v>3</v>
      </c>
      <c r="L93" s="4" t="s">
        <v>28</v>
      </c>
      <c r="M93">
        <v>5</v>
      </c>
      <c r="N93" s="29">
        <v>5555278100</v>
      </c>
      <c r="O93" s="35"/>
      <c r="P93" s="31"/>
      <c r="Q93" t="s">
        <v>7</v>
      </c>
      <c r="R93" s="28"/>
      <c r="S93" s="31" t="s">
        <v>8</v>
      </c>
      <c r="T93" s="32" t="s">
        <v>335</v>
      </c>
      <c r="U93" s="32" t="s">
        <v>322</v>
      </c>
      <c r="V93" s="34">
        <v>50130</v>
      </c>
      <c r="W93" s="31"/>
      <c r="X93" s="31" t="s">
        <v>31</v>
      </c>
      <c r="Y93" s="31"/>
    </row>
    <row r="94" spans="1:25" x14ac:dyDescent="0.2">
      <c r="A94" t="str">
        <f>VLOOKUP(D94,[1]DATOS!$E:$F,2,0)</f>
        <v>Jueves</v>
      </c>
      <c r="B94">
        <f>VLOOKUP(D94,[1]DATOS!E:G,3,0)</f>
        <v>0</v>
      </c>
      <c r="C94" t="str">
        <f>VLOOKUP(E94,[1]DATOS!$H$2:$I$17,2,0)</f>
        <v>FL</v>
      </c>
      <c r="D94" s="37">
        <v>43958</v>
      </c>
      <c r="E94" t="s">
        <v>0</v>
      </c>
      <c r="F94">
        <v>10</v>
      </c>
      <c r="G94" s="27"/>
      <c r="H94" s="27"/>
      <c r="I94" s="28" t="s">
        <v>336</v>
      </c>
      <c r="J94" s="3" t="s">
        <v>2</v>
      </c>
      <c r="K94" t="s">
        <v>3</v>
      </c>
      <c r="L94" s="4" t="s">
        <v>4</v>
      </c>
      <c r="M94">
        <v>5</v>
      </c>
      <c r="N94" s="29">
        <v>7223191818</v>
      </c>
      <c r="O94" s="30" t="s">
        <v>337</v>
      </c>
      <c r="P94" s="31" t="s">
        <v>338</v>
      </c>
      <c r="Q94" t="s">
        <v>7</v>
      </c>
      <c r="R94" s="28"/>
      <c r="S94" s="31" t="s">
        <v>8</v>
      </c>
      <c r="T94" s="32" t="s">
        <v>339</v>
      </c>
      <c r="U94" s="32" t="s">
        <v>110</v>
      </c>
      <c r="V94" s="34">
        <v>50223</v>
      </c>
      <c r="W94" s="31"/>
      <c r="X94" s="31" t="s">
        <v>11</v>
      </c>
      <c r="Y94" s="31"/>
    </row>
    <row r="95" spans="1:25" x14ac:dyDescent="0.2">
      <c r="A95" t="str">
        <f>VLOOKUP(D95,[1]DATOS!$E:$F,2,0)</f>
        <v>Jueves</v>
      </c>
      <c r="B95">
        <f>VLOOKUP(D95,[1]DATOS!E:G,3,0)</f>
        <v>0</v>
      </c>
      <c r="C95" t="str">
        <f>VLOOKUP(E95,[1]DATOS!$H$2:$I$17,2,0)</f>
        <v>FL</v>
      </c>
      <c r="D95" s="37">
        <v>43958</v>
      </c>
      <c r="E95" t="s">
        <v>0</v>
      </c>
      <c r="F95">
        <v>10</v>
      </c>
      <c r="G95" s="27"/>
      <c r="H95" s="27"/>
      <c r="I95" s="28" t="s">
        <v>340</v>
      </c>
      <c r="J95" s="3" t="s">
        <v>2</v>
      </c>
      <c r="K95" t="s">
        <v>3</v>
      </c>
      <c r="L95" s="4" t="s">
        <v>28</v>
      </c>
      <c r="M95">
        <v>5</v>
      </c>
      <c r="N95" s="29">
        <v>7222164637</v>
      </c>
      <c r="O95" s="35"/>
      <c r="P95" s="31"/>
      <c r="Q95" t="s">
        <v>7</v>
      </c>
      <c r="R95" s="28"/>
      <c r="S95" s="31" t="s">
        <v>8</v>
      </c>
      <c r="T95" s="32" t="s">
        <v>341</v>
      </c>
      <c r="U95" s="32" t="s">
        <v>342</v>
      </c>
      <c r="V95" s="34">
        <v>50160</v>
      </c>
      <c r="W95" s="31"/>
      <c r="X95" s="31" t="s">
        <v>11</v>
      </c>
      <c r="Y95" s="31"/>
    </row>
    <row r="96" spans="1:25" x14ac:dyDescent="0.2">
      <c r="A96" t="str">
        <f>VLOOKUP(D96,[1]DATOS!$E:$F,2,0)</f>
        <v>Jueves</v>
      </c>
      <c r="B96">
        <f>VLOOKUP(D96,[1]DATOS!E:G,3,0)</f>
        <v>0</v>
      </c>
      <c r="C96" t="str">
        <f>VLOOKUP(E96,[1]DATOS!$H$2:$I$17,2,0)</f>
        <v>FL</v>
      </c>
      <c r="D96" s="37">
        <v>43958</v>
      </c>
      <c r="E96" t="s">
        <v>0</v>
      </c>
      <c r="F96">
        <v>10</v>
      </c>
      <c r="G96" s="2"/>
      <c r="I96" s="21" t="s">
        <v>227</v>
      </c>
      <c r="J96" s="3" t="s">
        <v>2</v>
      </c>
      <c r="K96" t="s">
        <v>3</v>
      </c>
      <c r="L96" s="4" t="s">
        <v>4</v>
      </c>
      <c r="M96">
        <v>5</v>
      </c>
      <c r="N96" s="20">
        <v>7223181165</v>
      </c>
      <c r="O96" s="8" t="s">
        <v>343</v>
      </c>
      <c r="P96" t="s">
        <v>282</v>
      </c>
      <c r="Q96" t="s">
        <v>7</v>
      </c>
      <c r="R96" s="2"/>
      <c r="S96" s="31" t="s">
        <v>8</v>
      </c>
      <c r="T96" s="32" t="s">
        <v>231</v>
      </c>
      <c r="U96" s="38" t="s">
        <v>344</v>
      </c>
      <c r="V96" s="7">
        <v>50010</v>
      </c>
      <c r="X96" s="31" t="s">
        <v>11</v>
      </c>
    </row>
    <row r="97" spans="1:25" x14ac:dyDescent="0.2">
      <c r="A97" t="str">
        <f>VLOOKUP(D97,[1]DATOS!$E:$F,2,0)</f>
        <v>Jueves</v>
      </c>
      <c r="B97">
        <f>VLOOKUP(D97,[1]DATOS!E:G,3,0)</f>
        <v>0</v>
      </c>
      <c r="C97" t="str">
        <f>VLOOKUP(E97,[1]DATOS!$H$2:$I$17,2,0)</f>
        <v>FL</v>
      </c>
      <c r="D97" s="37">
        <v>43958</v>
      </c>
      <c r="E97" t="s">
        <v>0</v>
      </c>
      <c r="F97">
        <v>10</v>
      </c>
      <c r="G97" s="2"/>
      <c r="I97" s="21" t="s">
        <v>345</v>
      </c>
      <c r="J97" s="3" t="s">
        <v>2</v>
      </c>
      <c r="K97" t="s">
        <v>3</v>
      </c>
      <c r="L97" s="4" t="s">
        <v>28</v>
      </c>
      <c r="M97">
        <v>5</v>
      </c>
      <c r="N97" s="20">
        <v>7222792850</v>
      </c>
      <c r="O97" s="8"/>
      <c r="Q97" t="s">
        <v>7</v>
      </c>
      <c r="R97" s="2"/>
      <c r="S97" s="31" t="s">
        <v>8</v>
      </c>
      <c r="T97" s="32" t="s">
        <v>346</v>
      </c>
      <c r="U97" s="32" t="s">
        <v>30</v>
      </c>
      <c r="V97" s="7">
        <v>50200</v>
      </c>
      <c r="X97" s="31" t="s">
        <v>11</v>
      </c>
    </row>
    <row r="98" spans="1:25" x14ac:dyDescent="0.2">
      <c r="A98" t="str">
        <f>VLOOKUP(D98,[1]DATOS!$E:$F,2,0)</f>
        <v>Jueves</v>
      </c>
      <c r="B98">
        <f>VLOOKUP(D98,[1]DATOS!E:G,3,0)</f>
        <v>0</v>
      </c>
      <c r="C98" t="str">
        <f>VLOOKUP(E98,[1]DATOS!$H$2:$I$17,2,0)</f>
        <v>FL</v>
      </c>
      <c r="D98" s="37">
        <v>43958</v>
      </c>
      <c r="E98" t="s">
        <v>0</v>
      </c>
      <c r="F98">
        <v>10</v>
      </c>
      <c r="G98" s="2"/>
      <c r="I98" s="21" t="s">
        <v>347</v>
      </c>
      <c r="J98" s="3" t="s">
        <v>2</v>
      </c>
      <c r="K98" t="s">
        <v>3</v>
      </c>
      <c r="L98" s="4" t="s">
        <v>28</v>
      </c>
      <c r="M98">
        <v>5</v>
      </c>
      <c r="N98" s="20">
        <v>7222790164</v>
      </c>
      <c r="O98" s="8"/>
      <c r="Q98" t="s">
        <v>7</v>
      </c>
      <c r="R98" s="2"/>
      <c r="S98" s="31" t="s">
        <v>8</v>
      </c>
      <c r="T98" s="32" t="s">
        <v>348</v>
      </c>
      <c r="U98" s="32" t="s">
        <v>30</v>
      </c>
      <c r="V98" s="7">
        <v>50200</v>
      </c>
      <c r="X98" s="31" t="s">
        <v>11</v>
      </c>
    </row>
    <row r="99" spans="1:25" x14ac:dyDescent="0.2">
      <c r="A99" t="str">
        <f>VLOOKUP(D99,[1]DATOS!$E:$F,2,0)</f>
        <v>Jueves</v>
      </c>
      <c r="B99">
        <f>VLOOKUP(D99,[1]DATOS!E:G,3,0)</f>
        <v>0</v>
      </c>
      <c r="C99" t="str">
        <f>VLOOKUP(E99,[1]DATOS!$H$2:$I$17,2,0)</f>
        <v>FL</v>
      </c>
      <c r="D99" s="37">
        <v>43958</v>
      </c>
      <c r="E99" t="s">
        <v>0</v>
      </c>
      <c r="F99">
        <v>10</v>
      </c>
      <c r="G99" s="2"/>
      <c r="I99" s="21" t="s">
        <v>349</v>
      </c>
      <c r="J99" s="3" t="s">
        <v>2</v>
      </c>
      <c r="K99" t="s">
        <v>3</v>
      </c>
      <c r="L99" s="4" t="s">
        <v>28</v>
      </c>
      <c r="M99">
        <v>5</v>
      </c>
      <c r="N99" s="20">
        <v>7222149900</v>
      </c>
      <c r="O99" s="8"/>
      <c r="Q99" t="s">
        <v>7</v>
      </c>
      <c r="R99" s="2"/>
      <c r="S99" s="31" t="s">
        <v>8</v>
      </c>
      <c r="T99" s="32" t="s">
        <v>350</v>
      </c>
      <c r="U99" s="32" t="s">
        <v>110</v>
      </c>
      <c r="V99" s="7">
        <v>50223</v>
      </c>
      <c r="X99" s="31" t="s">
        <v>11</v>
      </c>
    </row>
    <row r="100" spans="1:25" x14ac:dyDescent="0.2">
      <c r="A100" t="str">
        <f>VLOOKUP(D100,[1]DATOS!$E:$F,2,0)</f>
        <v>Jueves</v>
      </c>
      <c r="B100">
        <f>VLOOKUP(D100,[1]DATOS!E:G,3,0)</f>
        <v>0</v>
      </c>
      <c r="C100" t="str">
        <f>VLOOKUP(E100,[1]DATOS!$H$2:$I$17,2,0)</f>
        <v>FL</v>
      </c>
      <c r="D100" s="37">
        <v>43958</v>
      </c>
      <c r="E100" t="s">
        <v>0</v>
      </c>
      <c r="F100">
        <v>10</v>
      </c>
      <c r="G100" s="2"/>
      <c r="I100" s="21" t="s">
        <v>351</v>
      </c>
      <c r="J100" s="3" t="s">
        <v>2</v>
      </c>
      <c r="K100" t="s">
        <v>3</v>
      </c>
      <c r="L100" s="4" t="s">
        <v>28</v>
      </c>
      <c r="M100">
        <v>5</v>
      </c>
      <c r="N100" s="20">
        <v>7222735428</v>
      </c>
      <c r="O100" s="8"/>
      <c r="Q100" t="s">
        <v>7</v>
      </c>
      <c r="R100" s="2"/>
      <c r="S100" s="31" t="s">
        <v>8</v>
      </c>
      <c r="T100" s="32" t="s">
        <v>352</v>
      </c>
      <c r="U100" s="32" t="s">
        <v>30</v>
      </c>
      <c r="V100" s="7">
        <v>50200</v>
      </c>
      <c r="X100" s="31" t="s">
        <v>11</v>
      </c>
    </row>
    <row r="101" spans="1:25" x14ac:dyDescent="0.2">
      <c r="A101" t="str">
        <f>VLOOKUP(D101,[1]DATOS!$E:$F,2,0)</f>
        <v>Jueves</v>
      </c>
      <c r="B101">
        <f>VLOOKUP(D101,[1]DATOS!E:G,3,0)</f>
        <v>0</v>
      </c>
      <c r="C101" t="str">
        <f>VLOOKUP(E101,[1]DATOS!$H$2:$I$17,2,0)</f>
        <v>FL</v>
      </c>
      <c r="D101" s="37">
        <v>43958</v>
      </c>
      <c r="E101" t="s">
        <v>0</v>
      </c>
      <c r="F101">
        <v>10</v>
      </c>
      <c r="G101" s="2"/>
      <c r="I101" s="21" t="s">
        <v>353</v>
      </c>
      <c r="J101" s="3" t="s">
        <v>2</v>
      </c>
      <c r="K101" t="s">
        <v>3</v>
      </c>
      <c r="L101" s="4" t="s">
        <v>4</v>
      </c>
      <c r="M101">
        <v>5</v>
      </c>
      <c r="N101" s="20">
        <v>7222754040</v>
      </c>
      <c r="O101" s="8" t="s">
        <v>354</v>
      </c>
      <c r="P101" t="s">
        <v>355</v>
      </c>
      <c r="Q101" t="s">
        <v>7</v>
      </c>
      <c r="R101" s="2"/>
      <c r="S101" s="31" t="s">
        <v>8</v>
      </c>
      <c r="T101" s="32" t="s">
        <v>356</v>
      </c>
      <c r="U101" s="32" t="s">
        <v>30</v>
      </c>
      <c r="V101" s="7">
        <v>50200</v>
      </c>
      <c r="X101" s="31" t="s">
        <v>11</v>
      </c>
    </row>
    <row r="102" spans="1:25" x14ac:dyDescent="0.2">
      <c r="A102" t="str">
        <f>VLOOKUP(D102,[1]DATOS!$E:$F,2,0)</f>
        <v>Jueves</v>
      </c>
      <c r="B102">
        <f>VLOOKUP(D102,[1]DATOS!E:G,3,0)</f>
        <v>0</v>
      </c>
      <c r="C102" t="str">
        <f>VLOOKUP(E102,[1]DATOS!$H$2:$I$17,2,0)</f>
        <v>FL</v>
      </c>
      <c r="D102" s="37">
        <v>43958</v>
      </c>
      <c r="E102" t="s">
        <v>0</v>
      </c>
      <c r="F102">
        <v>10</v>
      </c>
      <c r="G102" s="2"/>
      <c r="I102" s="21" t="s">
        <v>357</v>
      </c>
      <c r="J102" s="3" t="s">
        <v>2</v>
      </c>
      <c r="K102" t="s">
        <v>3</v>
      </c>
      <c r="L102" s="4" t="s">
        <v>28</v>
      </c>
      <c r="M102">
        <v>5</v>
      </c>
      <c r="N102" s="20">
        <v>7222657564</v>
      </c>
      <c r="O102" s="8"/>
      <c r="Q102" t="s">
        <v>7</v>
      </c>
      <c r="R102" s="2"/>
      <c r="S102" s="31" t="s">
        <v>8</v>
      </c>
      <c r="T102" s="32" t="s">
        <v>358</v>
      </c>
      <c r="U102" s="32" t="s">
        <v>30</v>
      </c>
      <c r="V102" s="7">
        <v>50200</v>
      </c>
      <c r="X102" s="31" t="s">
        <v>11</v>
      </c>
    </row>
    <row r="103" spans="1:25" x14ac:dyDescent="0.2">
      <c r="A103" t="str">
        <f>VLOOKUP(D103,[1]DATOS!$E:$F,2,0)</f>
        <v>Jueves</v>
      </c>
      <c r="B103">
        <f>VLOOKUP(D103,[1]DATOS!E:G,3,0)</f>
        <v>0</v>
      </c>
      <c r="C103" t="str">
        <f>VLOOKUP(E103,[1]DATOS!$H$2:$I$17,2,0)</f>
        <v>FL</v>
      </c>
      <c r="D103" s="37">
        <v>43958</v>
      </c>
      <c r="E103" t="s">
        <v>0</v>
      </c>
      <c r="F103">
        <v>10</v>
      </c>
      <c r="G103" s="2"/>
      <c r="I103" s="21" t="s">
        <v>359</v>
      </c>
      <c r="J103" s="3" t="s">
        <v>2</v>
      </c>
      <c r="K103" t="s">
        <v>3</v>
      </c>
      <c r="L103" s="4" t="s">
        <v>28</v>
      </c>
      <c r="M103">
        <v>5</v>
      </c>
      <c r="N103" s="20">
        <v>7228859700</v>
      </c>
      <c r="O103" s="8"/>
      <c r="Q103" t="s">
        <v>7</v>
      </c>
      <c r="R103" s="2"/>
      <c r="S103" s="31" t="s">
        <v>8</v>
      </c>
      <c r="T103" s="32" t="s">
        <v>360</v>
      </c>
      <c r="U103" s="32" t="s">
        <v>30</v>
      </c>
      <c r="V103" s="7">
        <v>50200</v>
      </c>
      <c r="X103" s="31" t="s">
        <v>31</v>
      </c>
    </row>
    <row r="104" spans="1:25" x14ac:dyDescent="0.2">
      <c r="A104" t="str">
        <f>VLOOKUP(D104,[1]DATOS!$E:$F,2,0)</f>
        <v>Jueves</v>
      </c>
      <c r="B104">
        <f>VLOOKUP(D104,[1]DATOS!E:G,3,0)</f>
        <v>0</v>
      </c>
      <c r="C104" t="str">
        <f>VLOOKUP(E104,[1]DATOS!$H$2:$I$17,2,0)</f>
        <v>FL</v>
      </c>
      <c r="D104" s="37">
        <v>43958</v>
      </c>
      <c r="E104" t="s">
        <v>0</v>
      </c>
      <c r="F104">
        <v>10</v>
      </c>
      <c r="G104" s="2"/>
      <c r="I104" s="21" t="s">
        <v>361</v>
      </c>
      <c r="J104" s="3" t="s">
        <v>2</v>
      </c>
      <c r="K104" t="s">
        <v>3</v>
      </c>
      <c r="L104" s="4" t="s">
        <v>28</v>
      </c>
      <c r="M104">
        <v>5</v>
      </c>
      <c r="N104" s="20">
        <v>7222799259</v>
      </c>
      <c r="O104" s="8"/>
      <c r="Q104" t="s">
        <v>7</v>
      </c>
      <c r="R104" s="2"/>
      <c r="S104" s="31" t="s">
        <v>8</v>
      </c>
      <c r="T104" s="32" t="s">
        <v>362</v>
      </c>
      <c r="U104" s="32" t="s">
        <v>30</v>
      </c>
      <c r="V104" s="7">
        <v>50200</v>
      </c>
      <c r="X104" s="31" t="s">
        <v>11</v>
      </c>
    </row>
    <row r="105" spans="1:25" x14ac:dyDescent="0.2">
      <c r="A105" t="str">
        <f>VLOOKUP(D105,[1]DATOS!$E:$F,2,0)</f>
        <v>Jueves</v>
      </c>
      <c r="B105">
        <f>VLOOKUP(D105,[1]DATOS!E:G,3,0)</f>
        <v>0</v>
      </c>
      <c r="C105" t="str">
        <f>VLOOKUP(E105,[1]DATOS!$H$2:$I$17,2,0)</f>
        <v>FL</v>
      </c>
      <c r="D105" s="37">
        <v>43958</v>
      </c>
      <c r="E105" t="s">
        <v>0</v>
      </c>
      <c r="F105">
        <v>10</v>
      </c>
      <c r="G105" s="2"/>
      <c r="I105" s="21" t="s">
        <v>363</v>
      </c>
      <c r="J105" s="3" t="s">
        <v>2</v>
      </c>
      <c r="K105" t="s">
        <v>3</v>
      </c>
      <c r="L105" s="4" t="s">
        <v>28</v>
      </c>
      <c r="M105">
        <v>5</v>
      </c>
      <c r="N105" s="20">
        <v>7222760700</v>
      </c>
      <c r="O105" s="8"/>
      <c r="Q105" t="s">
        <v>7</v>
      </c>
      <c r="R105" s="2"/>
      <c r="S105" s="31" t="s">
        <v>8</v>
      </c>
      <c r="T105" s="32" t="s">
        <v>364</v>
      </c>
      <c r="U105" s="32" t="s">
        <v>30</v>
      </c>
      <c r="V105" s="7">
        <v>50200</v>
      </c>
      <c r="X105" s="31" t="s">
        <v>11</v>
      </c>
    </row>
    <row r="106" spans="1:25" x14ac:dyDescent="0.2">
      <c r="A106" t="str">
        <f>VLOOKUP(D106,[1]DATOS!$E:$F,2,0)</f>
        <v>Jueves</v>
      </c>
      <c r="B106">
        <f>VLOOKUP(D106,[1]DATOS!E:G,3,0)</f>
        <v>0</v>
      </c>
      <c r="C106" t="str">
        <f>VLOOKUP(E106,[1]DATOS!$H$2:$I$17,2,0)</f>
        <v>FL</v>
      </c>
      <c r="D106" s="37">
        <v>43958</v>
      </c>
      <c r="E106" t="s">
        <v>0</v>
      </c>
      <c r="F106">
        <v>10</v>
      </c>
      <c r="G106" s="2"/>
      <c r="I106" s="21" t="s">
        <v>363</v>
      </c>
      <c r="J106" s="3" t="s">
        <v>2</v>
      </c>
      <c r="K106" t="s">
        <v>3</v>
      </c>
      <c r="L106" s="4" t="s">
        <v>4</v>
      </c>
      <c r="M106">
        <v>5</v>
      </c>
      <c r="N106" s="20">
        <v>7222497185</v>
      </c>
      <c r="O106" s="8" t="s">
        <v>365</v>
      </c>
      <c r="P106" t="s">
        <v>282</v>
      </c>
      <c r="Q106" t="s">
        <v>7</v>
      </c>
      <c r="R106" s="2"/>
      <c r="S106" s="31" t="s">
        <v>8</v>
      </c>
      <c r="T106" s="32" t="s">
        <v>366</v>
      </c>
      <c r="U106" s="32" t="s">
        <v>110</v>
      </c>
      <c r="V106" s="7">
        <v>50223</v>
      </c>
      <c r="X106" s="31" t="s">
        <v>11</v>
      </c>
    </row>
    <row r="107" spans="1:25" ht="16" x14ac:dyDescent="0.2">
      <c r="A107" t="str">
        <f>VLOOKUP(D107,[1]DATOS!$E:$F,2,0)</f>
        <v>Jueves</v>
      </c>
      <c r="B107">
        <f>VLOOKUP(D107,[1]DATOS!E:G,3,0)</f>
        <v>0</v>
      </c>
      <c r="C107" t="str">
        <f>VLOOKUP(E107,[1]DATOS!$H$2:$I$17,2,0)</f>
        <v>FL</v>
      </c>
      <c r="D107" s="37">
        <v>43958</v>
      </c>
      <c r="E107" t="s">
        <v>0</v>
      </c>
      <c r="F107">
        <v>10</v>
      </c>
      <c r="I107" s="39" t="s">
        <v>367</v>
      </c>
      <c r="J107" s="3" t="s">
        <v>2</v>
      </c>
      <c r="K107" t="s">
        <v>3</v>
      </c>
      <c r="L107" s="4" t="s">
        <v>4</v>
      </c>
      <c r="M107">
        <v>5</v>
      </c>
      <c r="N107" s="40">
        <v>7222358160</v>
      </c>
      <c r="O107" s="41" t="s">
        <v>368</v>
      </c>
      <c r="P107" t="s">
        <v>369</v>
      </c>
      <c r="Q107" t="s">
        <v>7</v>
      </c>
      <c r="R107" s="2"/>
      <c r="S107" s="31" t="s">
        <v>8</v>
      </c>
      <c r="T107" s="32" t="s">
        <v>84</v>
      </c>
      <c r="U107" s="32" t="s">
        <v>30</v>
      </c>
      <c r="V107" s="7">
        <v>50200</v>
      </c>
      <c r="X107" s="31" t="s">
        <v>31</v>
      </c>
    </row>
    <row r="108" spans="1:25" ht="16" x14ac:dyDescent="0.2">
      <c r="A108" t="str">
        <f>VLOOKUP(D108,[1]DATOS!$E:$F,2,0)</f>
        <v>Jueves</v>
      </c>
      <c r="B108">
        <f>VLOOKUP(D108,[1]DATOS!E:G,3,0)</f>
        <v>0</v>
      </c>
      <c r="C108" t="str">
        <f>VLOOKUP(E108,[1]DATOS!$H$2:$I$17,2,0)</f>
        <v>FL</v>
      </c>
      <c r="D108" s="37">
        <v>43958</v>
      </c>
      <c r="E108" t="s">
        <v>0</v>
      </c>
      <c r="F108">
        <v>10</v>
      </c>
      <c r="I108" s="39" t="s">
        <v>370</v>
      </c>
      <c r="J108" s="3" t="s">
        <v>2</v>
      </c>
      <c r="K108" t="s">
        <v>3</v>
      </c>
      <c r="L108" s="4" t="s">
        <v>28</v>
      </c>
      <c r="M108">
        <v>5</v>
      </c>
      <c r="N108" s="40">
        <v>7222149239</v>
      </c>
      <c r="O108" s="41"/>
      <c r="Q108" t="s">
        <v>7</v>
      </c>
      <c r="R108" s="2"/>
      <c r="S108" s="31" t="s">
        <v>8</v>
      </c>
      <c r="T108" s="32" t="s">
        <v>371</v>
      </c>
      <c r="U108" s="32" t="s">
        <v>372</v>
      </c>
      <c r="V108" s="7">
        <v>50070</v>
      </c>
      <c r="X108" s="31" t="s">
        <v>11</v>
      </c>
    </row>
    <row r="109" spans="1:25" ht="16" x14ac:dyDescent="0.2">
      <c r="A109" t="str">
        <f>VLOOKUP(D109,[1]DATOS!$E:$F,2,0)</f>
        <v>Jueves</v>
      </c>
      <c r="B109">
        <f>VLOOKUP(D109,[1]DATOS!E:G,3,0)</f>
        <v>0</v>
      </c>
      <c r="C109" t="str">
        <f>VLOOKUP(E109,[1]DATOS!$H$2:$I$17,2,0)</f>
        <v>FL</v>
      </c>
      <c r="D109" s="37">
        <v>43958</v>
      </c>
      <c r="E109" t="s">
        <v>0</v>
      </c>
      <c r="F109">
        <v>10</v>
      </c>
      <c r="I109" s="39" t="s">
        <v>373</v>
      </c>
      <c r="J109" s="3" t="s">
        <v>2</v>
      </c>
      <c r="K109" t="s">
        <v>3</v>
      </c>
      <c r="L109" s="4" t="s">
        <v>4</v>
      </c>
      <c r="M109">
        <v>5</v>
      </c>
      <c r="N109" s="40">
        <v>5591582100</v>
      </c>
      <c r="O109" s="41" t="s">
        <v>374</v>
      </c>
      <c r="Q109" t="s">
        <v>7</v>
      </c>
      <c r="R109" s="2"/>
      <c r="S109" s="31" t="s">
        <v>8</v>
      </c>
      <c r="T109" s="32" t="s">
        <v>375</v>
      </c>
      <c r="U109" s="32" t="s">
        <v>30</v>
      </c>
      <c r="V109" s="7">
        <v>50200</v>
      </c>
      <c r="X109" s="31" t="s">
        <v>11</v>
      </c>
    </row>
    <row r="110" spans="1:25" ht="16" x14ac:dyDescent="0.2">
      <c r="A110" t="str">
        <f>VLOOKUP(D110,[1]DATOS!$E:$F,2,0)</f>
        <v>Jueves</v>
      </c>
      <c r="B110">
        <f>VLOOKUP(D110,[1]DATOS!E:G,3,0)</f>
        <v>0</v>
      </c>
      <c r="C110" t="str">
        <f>VLOOKUP(E110,[1]DATOS!$H$2:$I$17,2,0)</f>
        <v>FL</v>
      </c>
      <c r="D110" s="37">
        <v>43958</v>
      </c>
      <c r="E110" t="s">
        <v>0</v>
      </c>
      <c r="F110">
        <v>10</v>
      </c>
      <c r="I110" s="39" t="s">
        <v>376</v>
      </c>
      <c r="J110" s="3" t="s">
        <v>2</v>
      </c>
      <c r="K110" t="s">
        <v>3</v>
      </c>
      <c r="L110" s="4" t="s">
        <v>4</v>
      </c>
      <c r="M110">
        <v>5</v>
      </c>
      <c r="N110" s="40">
        <v>7222376651</v>
      </c>
      <c r="O110" s="41" t="s">
        <v>377</v>
      </c>
      <c r="P110" t="s">
        <v>282</v>
      </c>
      <c r="Q110" t="s">
        <v>7</v>
      </c>
      <c r="R110" s="2"/>
      <c r="S110" s="31" t="s">
        <v>8</v>
      </c>
      <c r="T110" s="32" t="s">
        <v>378</v>
      </c>
      <c r="U110" s="32" t="s">
        <v>379</v>
      </c>
      <c r="V110" s="7">
        <v>50290</v>
      </c>
      <c r="X110" s="31" t="s">
        <v>11</v>
      </c>
    </row>
    <row r="111" spans="1:25" x14ac:dyDescent="0.2">
      <c r="A111" t="str">
        <f>VLOOKUP(D111,[1]DATOS!$E:$F,2,0)</f>
        <v>Martes</v>
      </c>
      <c r="B111">
        <f>VLOOKUP(D111,[1]DATOS!E:G,3,0)</f>
        <v>0</v>
      </c>
      <c r="C111" t="str">
        <f>VLOOKUP(E111,[1]DATOS!$H$2:$I$17,2,0)</f>
        <v>FL</v>
      </c>
      <c r="D111" s="1">
        <v>43963</v>
      </c>
      <c r="E111" t="s">
        <v>0</v>
      </c>
      <c r="F111">
        <v>10</v>
      </c>
      <c r="G111" s="31"/>
      <c r="H111" s="31"/>
      <c r="I111" s="32" t="s">
        <v>380</v>
      </c>
      <c r="J111" s="3" t="s">
        <v>2</v>
      </c>
      <c r="K111" t="s">
        <v>3</v>
      </c>
      <c r="L111" s="4" t="s">
        <v>4</v>
      </c>
      <c r="M111" s="31">
        <f t="shared" ref="M111:M113" si="1">MONTH(D111)</f>
        <v>5</v>
      </c>
      <c r="N111" s="20">
        <v>5541629202</v>
      </c>
      <c r="O111" s="42" t="s">
        <v>381</v>
      </c>
      <c r="P111" s="31"/>
      <c r="Q111" t="s">
        <v>7</v>
      </c>
      <c r="R111" s="32" t="s">
        <v>382</v>
      </c>
      <c r="S111" s="31" t="s">
        <v>8</v>
      </c>
      <c r="T111" s="32" t="s">
        <v>383</v>
      </c>
      <c r="U111" s="32" t="s">
        <v>384</v>
      </c>
      <c r="V111" s="34">
        <v>52740</v>
      </c>
      <c r="W111" s="31"/>
      <c r="X111" s="31"/>
      <c r="Y111" s="31"/>
    </row>
    <row r="112" spans="1:25" x14ac:dyDescent="0.2">
      <c r="A112" t="str">
        <f>VLOOKUP(D112,[1]DATOS!$E:$F,2,0)</f>
        <v>Martes</v>
      </c>
      <c r="B112">
        <f>VLOOKUP(D112,[1]DATOS!E:G,3,0)</f>
        <v>0</v>
      </c>
      <c r="C112" t="str">
        <f>VLOOKUP(E112,[1]DATOS!$H$2:$I$17,2,0)</f>
        <v>FL</v>
      </c>
      <c r="D112" s="1">
        <v>43963</v>
      </c>
      <c r="E112" t="s">
        <v>0</v>
      </c>
      <c r="F112">
        <v>10</v>
      </c>
      <c r="G112" s="31"/>
      <c r="H112" s="31"/>
      <c r="I112" s="32" t="s">
        <v>385</v>
      </c>
      <c r="J112" s="3" t="s">
        <v>2</v>
      </c>
      <c r="K112" t="s">
        <v>3</v>
      </c>
      <c r="L112" s="4" t="s">
        <v>4</v>
      </c>
      <c r="M112" s="31">
        <f t="shared" si="1"/>
        <v>5</v>
      </c>
      <c r="N112" s="20">
        <v>7222115701</v>
      </c>
      <c r="O112" s="42" t="s">
        <v>386</v>
      </c>
      <c r="P112" s="31"/>
      <c r="Q112" t="s">
        <v>7</v>
      </c>
      <c r="R112" s="32" t="s">
        <v>188</v>
      </c>
      <c r="S112" s="31" t="s">
        <v>8</v>
      </c>
      <c r="T112" s="32" t="s">
        <v>387</v>
      </c>
      <c r="U112" s="32" t="s">
        <v>388</v>
      </c>
      <c r="V112" s="34">
        <v>50160</v>
      </c>
      <c r="W112" s="31"/>
      <c r="X112" s="31"/>
      <c r="Y112" s="31"/>
    </row>
    <row r="113" spans="1:25" x14ac:dyDescent="0.2">
      <c r="A113" t="str">
        <f>VLOOKUP(D113,[1]DATOS!$E:$F,2,0)</f>
        <v>Martes</v>
      </c>
      <c r="B113">
        <f>VLOOKUP(D113,[1]DATOS!E:G,3,0)</f>
        <v>0</v>
      </c>
      <c r="C113" t="str">
        <f>VLOOKUP(E113,[1]DATOS!$H$2:$I$17,2,0)</f>
        <v>FL</v>
      </c>
      <c r="D113" s="1">
        <v>43963</v>
      </c>
      <c r="E113" t="s">
        <v>0</v>
      </c>
      <c r="F113">
        <v>10</v>
      </c>
      <c r="G113" s="31"/>
      <c r="H113" s="31"/>
      <c r="I113" s="32" t="s">
        <v>389</v>
      </c>
      <c r="J113" s="3" t="s">
        <v>2</v>
      </c>
      <c r="K113" t="s">
        <v>3</v>
      </c>
      <c r="L113" s="4" t="s">
        <v>28</v>
      </c>
      <c r="M113" s="31">
        <f t="shared" si="1"/>
        <v>5</v>
      </c>
      <c r="N113" s="20">
        <v>7222112707</v>
      </c>
      <c r="O113" s="43"/>
      <c r="P113" s="31"/>
      <c r="Q113" t="s">
        <v>7</v>
      </c>
      <c r="R113" s="32" t="s">
        <v>188</v>
      </c>
      <c r="S113" s="31" t="s">
        <v>8</v>
      </c>
      <c r="T113" s="32" t="s">
        <v>390</v>
      </c>
      <c r="U113" s="32" t="s">
        <v>391</v>
      </c>
      <c r="V113" s="34">
        <v>50245</v>
      </c>
      <c r="W113" s="31"/>
      <c r="X113" s="31"/>
      <c r="Y113" s="31"/>
    </row>
  </sheetData>
  <dataValidations count="2">
    <dataValidation type="list" allowBlank="1" showInputMessage="1" showErrorMessage="1" sqref="G10:G21 G35:G41 G71" xr:uid="{E1817FD4-FD06-4352-917C-79AB7165E53A}">
      <formula1>#REF!</formula1>
    </dataValidation>
    <dataValidation type="list" allowBlank="1" showInputMessage="1" showErrorMessage="1" sqref="G72:H95" xr:uid="{37C9FB32-3605-4B1C-8031-C88881D002B9}"/>
  </dataValidations>
  <hyperlinks>
    <hyperlink ref="O2" r:id="rId1" xr:uid="{95ECF19C-DE88-4453-9C72-3E8E8CA385A2}"/>
    <hyperlink ref="O3" r:id="rId2" xr:uid="{EDD29699-42FB-4CCF-ADBC-7DC3FDE98E31}"/>
    <hyperlink ref="O8" r:id="rId3" xr:uid="{D30556A1-F9F8-491A-8F0D-2B957AF16CD5}"/>
    <hyperlink ref="O9" r:id="rId4" xr:uid="{511D4232-6C0A-427E-BE9D-C57FA55045A2}"/>
    <hyperlink ref="O12" r:id="rId5" xr:uid="{22AB5EAB-996B-45E7-BEF8-714A99E3140D}"/>
    <hyperlink ref="O13" r:id="rId6" xr:uid="{FCE4C6CB-CBB7-4960-8948-FA62BF9691E5}"/>
    <hyperlink ref="O14" r:id="rId7" xr:uid="{7BCAC324-E953-4B29-A50F-273C66E1F774}"/>
    <hyperlink ref="O15" r:id="rId8" xr:uid="{748D7BBF-2704-434F-A00F-39CEB4A2D078}"/>
    <hyperlink ref="O16" r:id="rId9" xr:uid="{F900CA5C-1338-4262-A178-1C50E06C59D9}"/>
    <hyperlink ref="O17" r:id="rId10" xr:uid="{21F56B69-F3C0-47B3-BC65-19E44093493C}"/>
    <hyperlink ref="O18" r:id="rId11" xr:uid="{BAE740DB-73F0-4F51-B8FA-F591F7CCCA1F}"/>
    <hyperlink ref="O19" r:id="rId12" xr:uid="{839164ED-3F47-493C-BEA8-A328688C346F}"/>
    <hyperlink ref="O20" r:id="rId13" xr:uid="{8A803225-759E-4FCE-BB7E-54A6E97DD238}"/>
    <hyperlink ref="O21" r:id="rId14" xr:uid="{9189B0C8-0E05-4F80-9729-0CEB7A9F8AA9}"/>
    <hyperlink ref="O22" r:id="rId15" xr:uid="{3AE581B8-F491-4162-A8F3-181C92A2F324}"/>
    <hyperlink ref="O23" r:id="rId16" xr:uid="{2E17D3EE-BC78-4F1A-B7FD-D6B723B13135}"/>
    <hyperlink ref="O25" r:id="rId17" xr:uid="{C948886C-A7F7-4C46-8431-F9F553A4A56C}"/>
    <hyperlink ref="O26" r:id="rId18" xr:uid="{6BFBE753-A8C4-4F7A-BCAD-BA2ADDE89826}"/>
    <hyperlink ref="O27" r:id="rId19" xr:uid="{6579DB06-79ED-45C0-9988-42FB261A0D26}"/>
    <hyperlink ref="O28" r:id="rId20" xr:uid="{D6C4C08B-B7DA-4997-AE4A-DB835C10FBBE}"/>
    <hyperlink ref="O29" r:id="rId21" xr:uid="{1B91249E-260F-4D0C-9F3E-102A05737201}"/>
    <hyperlink ref="O30" r:id="rId22" xr:uid="{DCB0D5F5-96B6-4055-8730-7475513B8AED}"/>
    <hyperlink ref="O31" r:id="rId23" xr:uid="{07CEF793-635A-4CFD-89DD-A6DD619266A7}"/>
    <hyperlink ref="O33" r:id="rId24" xr:uid="{79468D4C-2D30-4136-A31B-F221F683D366}"/>
    <hyperlink ref="O35" r:id="rId25" xr:uid="{BFFF230E-D6B4-4FAE-A960-EFDD8180CA63}"/>
    <hyperlink ref="O36" r:id="rId26" xr:uid="{77100E45-121E-4A51-BDA5-EA214ED6D200}"/>
    <hyperlink ref="O37" r:id="rId27" xr:uid="{7427FE3C-4EA8-464C-BA9B-AE1F2ABB34C7}"/>
    <hyperlink ref="O38" r:id="rId28" xr:uid="{6035E07D-1A5B-4100-9C4F-17668C99B615}"/>
    <hyperlink ref="O39" r:id="rId29" xr:uid="{DC220D21-5165-4D05-BFEC-E3CC200317DD}"/>
    <hyperlink ref="O40" r:id="rId30" xr:uid="{1017D36D-6C46-48D9-A727-35DFB3ABF762}"/>
    <hyperlink ref="O41" r:id="rId31" xr:uid="{246D13C8-78B2-4928-9E24-82AFD54CD246}"/>
    <hyperlink ref="O32" r:id="rId32" xr:uid="{DC499871-1667-439D-8AD0-26DFF008EB75}"/>
    <hyperlink ref="O42" r:id="rId33" xr:uid="{5F77A9F7-A73F-4153-903A-58D638AEA4CC}"/>
    <hyperlink ref="O43" r:id="rId34" xr:uid="{2D63DA8B-4B38-496F-8564-A6E4F8E5C731}"/>
    <hyperlink ref="O44" r:id="rId35" xr:uid="{820AEC44-B17D-4BC9-AD32-A7C2004AB265}"/>
    <hyperlink ref="O45" r:id="rId36" xr:uid="{896FA629-4A03-40E0-9BC0-AA028043A7A6}"/>
    <hyperlink ref="O46" r:id="rId37" xr:uid="{FA48FABD-8C4E-4806-9831-2F6CE0AE94EA}"/>
    <hyperlink ref="O47" r:id="rId38" xr:uid="{4471E0ED-94F8-4F71-A445-27130490AD4D}"/>
    <hyperlink ref="O48" r:id="rId39" xr:uid="{F67D7BFE-1B23-4445-BFC1-E9500DAA6B4D}"/>
    <hyperlink ref="O49" r:id="rId40" xr:uid="{691B438B-D346-499C-98E1-792AF8E7A37F}"/>
    <hyperlink ref="O50" r:id="rId41" xr:uid="{D5B91CDE-96B1-41BF-8A39-73D09504F7EE}"/>
    <hyperlink ref="O51" r:id="rId42" xr:uid="{A5E7D635-0EC5-4EBA-B35E-03C75BFD015A}"/>
    <hyperlink ref="O56" r:id="rId43" xr:uid="{E67A1B89-ACC5-482F-BA0B-A0CB3DF146DE}"/>
    <hyperlink ref="O60" r:id="rId44" xr:uid="{18795F35-2CB3-43F6-9B91-5982260A5123}"/>
    <hyperlink ref="O65" r:id="rId45" xr:uid="{AC5529EA-14D7-468C-84BF-7943C7AE87FB}"/>
    <hyperlink ref="O63" r:id="rId46" xr:uid="{CB28C13C-251A-4D91-B728-B77C936AD28A}"/>
    <hyperlink ref="O66" r:id="rId47" xr:uid="{70179086-E2C2-4C9B-943C-877837CD2323}"/>
    <hyperlink ref="O70" r:id="rId48" xr:uid="{9150F02C-6B6C-425A-AB19-B6EA3D073572}"/>
    <hyperlink ref="O71" r:id="rId49" xr:uid="{2FBF2E89-98CB-4C4B-9CB9-849ED26FCFB4}"/>
    <hyperlink ref="O72" r:id="rId50" xr:uid="{126CA046-22AE-4980-8817-A23474EA500E}"/>
    <hyperlink ref="O73" r:id="rId51" xr:uid="{B4B3A300-FF65-4CAA-A5AA-85B9FF2A3F4F}"/>
    <hyperlink ref="O74" r:id="rId52" xr:uid="{ED445476-0D2A-43C9-A33F-7751488307BF}"/>
    <hyperlink ref="O76" r:id="rId53" xr:uid="{96460E8F-3220-4CF1-BE96-133B1B542B4A}"/>
    <hyperlink ref="O77" r:id="rId54" xr:uid="{237E7D9E-27F9-4BCC-B856-4D262DBF01AB}"/>
    <hyperlink ref="O80" r:id="rId55" xr:uid="{6D5C92AA-D855-49EC-AB90-006951A56064}"/>
    <hyperlink ref="O90" r:id="rId56" xr:uid="{6E0305C8-0226-4C20-BDFF-D48406AB323E}"/>
    <hyperlink ref="O94" r:id="rId57" xr:uid="{9C155ADE-0638-4792-8390-FB866176787D}"/>
    <hyperlink ref="O96" r:id="rId58" xr:uid="{BC84E4D5-EFDB-4611-B513-54BEF0E0AD96}"/>
    <hyperlink ref="O101" r:id="rId59" xr:uid="{F610DEBE-4159-4658-B573-C1786873C1C8}"/>
    <hyperlink ref="O106" r:id="rId60" xr:uid="{417A546F-55F9-4FE3-9FE4-2B9B5E5A2A61}"/>
    <hyperlink ref="O107" r:id="rId61" xr:uid="{1C59EC7B-2DE8-4259-8B0F-1A1CAE4978A7}"/>
    <hyperlink ref="O109" r:id="rId62" xr:uid="{F6D27E90-E816-4844-BD6D-D9AEF54EBA1D}"/>
    <hyperlink ref="O110" r:id="rId63" xr:uid="{73907AA8-6BA7-4A43-8329-D721337D6ADA}"/>
    <hyperlink ref="O112" r:id="rId64" xr:uid="{DE9CE7CF-38C3-44DE-AC70-781ECA723093}"/>
    <hyperlink ref="O111" r:id="rId65" xr:uid="{8D08432C-8D2D-486D-985D-7838B0DFB6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de la torre</dc:creator>
  <cp:lastModifiedBy>JAVIER MALPICA</cp:lastModifiedBy>
  <dcterms:created xsi:type="dcterms:W3CDTF">2020-06-03T18:02:18Z</dcterms:created>
  <dcterms:modified xsi:type="dcterms:W3CDTF">2024-10-15T20:41:15Z</dcterms:modified>
</cp:coreProperties>
</file>