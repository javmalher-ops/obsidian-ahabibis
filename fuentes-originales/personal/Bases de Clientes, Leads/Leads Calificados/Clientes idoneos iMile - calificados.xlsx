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lpica/Desktop/Javier Malpica Herrera/Bases de Clientes, Leads/Leads Calificados/"/>
    </mc:Choice>
  </mc:AlternateContent>
  <xr:revisionPtr revIDLastSave="0" documentId="13_ncr:1_{4ECF5AB7-5832-8B48-9EB8-709DF21A68C5}" xr6:coauthVersionLast="47" xr6:coauthVersionMax="47" xr10:uidLastSave="{00000000-0000-0000-0000-000000000000}"/>
  <bookViews>
    <workbookView xWindow="0" yWindow="600" windowWidth="28800" windowHeight="15800" tabRatio="500" xr2:uid="{00000000-000D-0000-FFFF-FFFF00000000}"/>
  </bookViews>
  <sheets>
    <sheet name="Prospectos iMile" sheetId="1" r:id="rId1"/>
    <sheet name="Canal - Alianzas" sheetId="2" r:id="rId2"/>
    <sheet name="Excluidas" sheetId="3" r:id="rId3"/>
    <sheet name="Resumen" sheetId="4" r:id="rId4"/>
  </sheets>
  <definedNames>
    <definedName name="_xlnm._FilterDatabase" localSheetId="1" hidden="1">'Canal - Alianzas'!$A$1:$L$27</definedName>
    <definedName name="_xlnm._FilterDatabase" localSheetId="2" hidden="1">Excluidas!$A$1:$D$120</definedName>
    <definedName name="_xlnm._FilterDatabase" localSheetId="0" hidden="1">'Prospectos iMile'!$A$1:$L$83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<sst xmlns="http://schemas.openxmlformats.org/spreadsheetml/2006/main" count="1281" uniqueCount="757">
  <si>
    <t>Prioridad</t>
  </si>
  <si>
    <t>Razón social</t>
  </si>
  <si>
    <t>Ciudad de recolección</t>
  </si>
  <si>
    <t>Industria / giro</t>
  </si>
  <si>
    <t>Ingreso anual con Estafeta (MXN)</t>
  </si>
  <si>
    <t>Contacto 1</t>
  </si>
  <si>
    <t>Celular</t>
  </si>
  <si>
    <t>Correo</t>
  </si>
  <si>
    <t>Contacto 2</t>
  </si>
  <si>
    <t>Correo 2</t>
  </si>
  <si>
    <t>Nota de fit iMile</t>
  </si>
  <si>
    <t>Errores / datos a corregir</t>
  </si>
  <si>
    <t>CYBERPUERTA</t>
  </si>
  <si>
    <t>Guadalajara</t>
  </si>
  <si>
    <t>Electrónica - eCommerce puro</t>
  </si>
  <si>
    <t>Jan Plessow</t>
  </si>
  <si>
    <t>3331916909</t>
  </si>
  <si>
    <t>j.plessow@cyberpuerta.mx</t>
  </si>
  <si>
    <t>Cristian Miranda</t>
  </si>
  <si>
    <t>c.miranda@cyberpuerta.mx</t>
  </si>
  <si>
    <t>Líder ecommerce tech GDL, paquete pequeño, alto volumen</t>
  </si>
  <si>
    <t>INNOVA SPORT</t>
  </si>
  <si>
    <t>Monterrey</t>
  </si>
  <si>
    <t>Moda deportiva omnicanal</t>
  </si>
  <si>
    <t>Axel Valdes</t>
  </si>
  <si>
    <t>8126214808</t>
  </si>
  <si>
    <t>axel.valdez@innovasport.com</t>
  </si>
  <si>
    <t>Retail deportivo MTY con fuerte canal online</t>
  </si>
  <si>
    <t>TRENDIER MEXICO</t>
  </si>
  <si>
    <t>CDMX Sur</t>
  </si>
  <si>
    <t>Moda - marketplace C2C</t>
  </si>
  <si>
    <t>Aloma Garcia</t>
  </si>
  <si>
    <t>5544917842</t>
  </si>
  <si>
    <t>aloma.garcia@gotrendier.mx</t>
  </si>
  <si>
    <t>Marketplace de moda 2a mano, 100% envíos individuales CDMX</t>
  </si>
  <si>
    <t>NATURA DISTRIBUIDORA DE MEXICO</t>
  </si>
  <si>
    <t>CDMX (multinivel)</t>
  </si>
  <si>
    <t>Belleza - venta directa</t>
  </si>
  <si>
    <t>Alejandro Martinez</t>
  </si>
  <si>
    <t>5520462463</t>
  </si>
  <si>
    <t>alejandromartinez@natura.net</t>
  </si>
  <si>
    <t>Multinivel: miles de paquetes pequeños diarios, CEDIS EdoMex</t>
  </si>
  <si>
    <t>GRUPO VENTROTEC</t>
  </si>
  <si>
    <t>Electrónica B2B</t>
  </si>
  <si>
    <t>JUAN CARLOS CRUZ</t>
  </si>
  <si>
    <t>3331675491</t>
  </si>
  <si>
    <t>logistica@ventronic.com.mx</t>
  </si>
  <si>
    <t>Ventronic GDL, envíos frecuentes</t>
  </si>
  <si>
    <t>PRICE SERVICES &amp; TRADE</t>
  </si>
  <si>
    <t>Calzado/moda por catálogo</t>
  </si>
  <si>
    <t>Jorge Pinzon</t>
  </si>
  <si>
    <t>5573968728</t>
  </si>
  <si>
    <t>jorge.pinzon@priceshoes.com</t>
  </si>
  <si>
    <t>Price Shoes: venta por catálogo, miles de envíos B2C</t>
  </si>
  <si>
    <t>AUTOZONE DE MEXICO</t>
  </si>
  <si>
    <t>Refacciones auto</t>
  </si>
  <si>
    <t>GUILLERMO VALDEZ</t>
  </si>
  <si>
    <t>1162541055</t>
  </si>
  <si>
    <t>gvaltierra@grupoaxo.com</t>
  </si>
  <si>
    <t>LUIS ALBERTO MARTINEZ</t>
  </si>
  <si>
    <t>alberto.martinez@autozone.com</t>
  </si>
  <si>
    <t>Paquete ligero-mediano, red MTY; ecommerce creciendo</t>
  </si>
  <si>
    <t>Correo no corresponde al dominio de la empresa (grupoaxo.com)</t>
  </si>
  <si>
    <t>ORIFLAME MEXICO</t>
  </si>
  <si>
    <t>Mariana Rubio</t>
  </si>
  <si>
    <t>5552172835</t>
  </si>
  <si>
    <t>mariana.rubio@oriflame.com</t>
  </si>
  <si>
    <t>Multinivel belleza, volumen alto constante</t>
  </si>
  <si>
    <t>FARMASI</t>
  </si>
  <si>
    <t>Eduardo Aguilar</t>
  </si>
  <si>
    <t>5514512332</t>
  </si>
  <si>
    <t>eduardo.aguilar@farmasi.com</t>
  </si>
  <si>
    <t>Multinivel belleza en crecimiento en MX</t>
  </si>
  <si>
    <t>OFFICE DEPOT DE MEXICO</t>
  </si>
  <si>
    <t>CDMX Norte</t>
  </si>
  <si>
    <t>Papelería/oficina omnicanal</t>
  </si>
  <si>
    <t>LUZ  MARIA LARIO</t>
  </si>
  <si>
    <t>5531497036</t>
  </si>
  <si>
    <t>llarios@officedepot.com.mx</t>
  </si>
  <si>
    <t>Ecommerce fuerte, paquete ligero, CDMX</t>
  </si>
  <si>
    <t>NESPRESSO MEXICO</t>
  </si>
  <si>
    <t>Café D2C</t>
  </si>
  <si>
    <t>Yessica Pazarán</t>
  </si>
  <si>
    <t>55 8040 2463</t>
  </si>
  <si>
    <t>yessicaIsabel.Pazaran@nespresso.com</t>
  </si>
  <si>
    <t>Ana Laura García Linares</t>
  </si>
  <si>
    <t>ana.garcia1@nespresso.com</t>
  </si>
  <si>
    <t>Suscripciones recurrentes, paquete ligero, CDMX</t>
  </si>
  <si>
    <t>WALDO'S DOLAR MART DE MEXICO</t>
  </si>
  <si>
    <t>CDMX (departamentales) / CDMX Sur</t>
  </si>
  <si>
    <t>Retail descuento</t>
  </si>
  <si>
    <t>DIANA HAIDE HERNANDEZ</t>
  </si>
  <si>
    <t>reyesdh@Waldos.com</t>
  </si>
  <si>
    <t>Canal ecommerce en expansión (TikTok Shop +159% MoM)</t>
  </si>
  <si>
    <t>PRIVALIA VENTA DIRECTA</t>
  </si>
  <si>
    <t>CDMX (e-commerce)</t>
  </si>
  <si>
    <t>Moda - eCommerce outlet</t>
  </si>
  <si>
    <t>KAREN LUNA</t>
  </si>
  <si>
    <t>5566884841</t>
  </si>
  <si>
    <t>kluna@grupoaxo.com</t>
  </si>
  <si>
    <t>Flash sales = picos de volumen, CDMX (Grupo Axo)</t>
  </si>
  <si>
    <t>DITERMAX CORPORATE</t>
  </si>
  <si>
    <t>Puebla</t>
  </si>
  <si>
    <t>Calzado</t>
  </si>
  <si>
    <t>Ing. Pedro Vazquez Aragón</t>
  </si>
  <si>
    <t>2225050008</t>
  </si>
  <si>
    <t>pedrov@pakar.com</t>
  </si>
  <si>
    <t>Pakar PUE, distribuye calzado a comercios</t>
  </si>
  <si>
    <t>MARY KAY COSMETICS DE MEXICO</t>
  </si>
  <si>
    <t>Adrian Rodriguez</t>
  </si>
  <si>
    <t>8180186761</t>
  </si>
  <si>
    <t>Adrian.RodriguezValdez@mkcorp.com</t>
  </si>
  <si>
    <t>Multinivel belleza, CEDIS MTY</t>
  </si>
  <si>
    <t>NIKKEN LATINOAMERICA</t>
  </si>
  <si>
    <t>Bienestar - venta directa</t>
  </si>
  <si>
    <t>victor garcia</t>
  </si>
  <si>
    <t>556097545</t>
  </si>
  <si>
    <t>victor.garcia@nikkelatam.com</t>
  </si>
  <si>
    <t>Multinivel bienestar</t>
  </si>
  <si>
    <t>Celular no tiene 10 dígitos</t>
  </si>
  <si>
    <t>SERVICIOS SHASA</t>
  </si>
  <si>
    <t>CDMX (departamentales)</t>
  </si>
  <si>
    <t>Moda fast-fashion</t>
  </si>
  <si>
    <t>Diana Laura German Ramirez</t>
  </si>
  <si>
    <t>5548700729</t>
  </si>
  <si>
    <t>dgermanr@shasa.com</t>
  </si>
  <si>
    <t>Shasa, ecommerce + tiendas, CDMX</t>
  </si>
  <si>
    <t>OMNILIFE DE MEXICO</t>
  </si>
  <si>
    <t>Suplementos - venta directa</t>
  </si>
  <si>
    <t>Shira León</t>
  </si>
  <si>
    <t>3313275397</t>
  </si>
  <si>
    <t>shira.leon@omnilife.com</t>
  </si>
  <si>
    <t>Multinivel suplementos, CEDIS GDL</t>
  </si>
  <si>
    <t>CLOE MODA</t>
  </si>
  <si>
    <t>Moda/bolsos D2C</t>
  </si>
  <si>
    <t>Jesús Aurelio Ugalde Barajas</t>
  </si>
  <si>
    <t>3318921733</t>
  </si>
  <si>
    <t>jesusb@oemoda.com</t>
  </si>
  <si>
    <t>Marca mexicana de bolsas, ecommerce propio, GDL</t>
  </si>
  <si>
    <t>ENCANTO MEXICO</t>
  </si>
  <si>
    <t>Moda/calzado</t>
  </si>
  <si>
    <t>ALFONZO LOPEZ</t>
  </si>
  <si>
    <t>5534557823</t>
  </si>
  <si>
    <t>alfonzo.lopez@encanto.com.mx</t>
  </si>
  <si>
    <t>Distribuidor marcas, CDMX ecommerce</t>
  </si>
  <si>
    <t>LUIS HIRAM HUERTA REYES</t>
  </si>
  <si>
    <t>Occidente/GDL (confirmar)</t>
  </si>
  <si>
    <t>Seller marketplace (persona física)</t>
  </si>
  <si>
    <t>Luis Hiram Huerta</t>
  </si>
  <si>
    <t>Revendedor</t>
  </si>
  <si>
    <t>Persona física con alto gasto en paquetería: probable seller Mercado Libre/Amazon. Validar giro</t>
  </si>
  <si>
    <t>Correo con formato inválido</t>
  </si>
  <si>
    <t>NU SKIN MEXICO</t>
  </si>
  <si>
    <t>Alicia Sanchez</t>
  </si>
  <si>
    <t>5541303204</t>
  </si>
  <si>
    <t>asanchezc@nuskin.com</t>
  </si>
  <si>
    <t>Multinivel belleza</t>
  </si>
  <si>
    <t>ODESA</t>
  </si>
  <si>
    <t>Óptica/retail</t>
  </si>
  <si>
    <t>Alan Santiago Garcia Cruz</t>
  </si>
  <si>
    <t>5579468259</t>
  </si>
  <si>
    <t>asgarcia@devlyn.com.mx</t>
  </si>
  <si>
    <t>Maribel Hernandez Suarez</t>
  </si>
  <si>
    <t>hmaribel@devlyn.com.mx</t>
  </si>
  <si>
    <t>Devlyn: paquete pequeño, CDMX</t>
  </si>
  <si>
    <t>HUAWEI TECHNOLOGIES DE MEXICO</t>
  </si>
  <si>
    <t>Electrónica pequeña</t>
  </si>
  <si>
    <t>Francisco Casanova Haro</t>
  </si>
  <si>
    <t>5548841894</t>
  </si>
  <si>
    <t>francisco.casanova.haro@huawei.com</t>
  </si>
  <si>
    <t>Miguel Angel Urquiza</t>
  </si>
  <si>
    <t>miguel.urquiza@huawei.com</t>
  </si>
  <si>
    <t>Ecommerce CDMX</t>
  </si>
  <si>
    <t>MASCOTAS Y COMPAÑIA</t>
  </si>
  <si>
    <t>Pet retail omnicanal</t>
  </si>
  <si>
    <t>Juan Carlos Uribe</t>
  </si>
  <si>
    <t>5519194537</t>
  </si>
  <si>
    <t>jcuribe@petco.com.mx</t>
  </si>
  <si>
    <t>Petco México, paquete ligero-mediano, CDMX</t>
  </si>
  <si>
    <t>DISTRIBUIDOR CELULAR DE LA ZONA</t>
  </si>
  <si>
    <t>CDMX Norte / CDMX Sur</t>
  </si>
  <si>
    <t>Accesorios celular</t>
  </si>
  <si>
    <t>Cuauhtémoc Orozco</t>
  </si>
  <si>
    <t>5559513870</t>
  </si>
  <si>
    <t>corozco@mobo.mx</t>
  </si>
  <si>
    <t>MOBO: accesorios ligeros, alto volumen, CDMX</t>
  </si>
  <si>
    <t>HY CITE MEXICO</t>
  </si>
  <si>
    <t>Hogar - venta directa</t>
  </si>
  <si>
    <t>RAYNALDO LEON</t>
  </si>
  <si>
    <t>3312524444</t>
  </si>
  <si>
    <t>rleon1@hycite.com</t>
  </si>
  <si>
    <t>Royal Prestige, GDL</t>
  </si>
  <si>
    <t>TERRAMAR BRANDS</t>
  </si>
  <si>
    <t>Alberto Ceballos</t>
  </si>
  <si>
    <t>3335526354</t>
  </si>
  <si>
    <t>aceballos@terramarbrans.com</t>
  </si>
  <si>
    <t>Cosméticos GDL, multinivel</t>
  </si>
  <si>
    <t>AUTO-TODO MEXICANA</t>
  </si>
  <si>
    <t>Roberto Alonso Gordon</t>
  </si>
  <si>
    <t>2227946970</t>
  </si>
  <si>
    <t>roberto_alonso@autotodo.com</t>
  </si>
  <si>
    <t>Guadalupe Lizet Leyva Moreno</t>
  </si>
  <si>
    <t>guadalupe_leyva@autotodo.com</t>
  </si>
  <si>
    <t>Distribuidor PUE, envíos frecuentes a talleres</t>
  </si>
  <si>
    <t>XK MEDIA</t>
  </si>
  <si>
    <t>Retail/marketplace</t>
  </si>
  <si>
    <t>Jorge Villanueva</t>
  </si>
  <si>
    <t>8126667319</t>
  </si>
  <si>
    <t>jvillanuevan@falabella.com.mx</t>
  </si>
  <si>
    <t>Linio-Falabella legacy - validar operación actual</t>
  </si>
  <si>
    <t>Correo no corresponde al dominio de la empresa (falabella)</t>
  </si>
  <si>
    <t>XIAOMI SOFTWARE DE MEXICO</t>
  </si>
  <si>
    <r>
      <rPr>
        <sz val="10"/>
        <rFont val="Arial"/>
        <family val="2"/>
      </rPr>
      <t xml:space="preserve">Dennis Duan </t>
    </r>
    <r>
      <rPr>
        <sz val="10"/>
        <rFont val="Noto Sans CJK SC"/>
        <family val="2"/>
      </rPr>
      <t>段勇</t>
    </r>
  </si>
  <si>
    <t>+86 135 2889 7629</t>
  </si>
  <si>
    <t>duanyong1@xiaomi.com</t>
  </si>
  <si>
    <t>Ernesto Abraham Enriquez Villegas</t>
  </si>
  <si>
    <t>ernestoabraham@xiaomi.com</t>
  </si>
  <si>
    <t>Ecommerce mi.com + marketplaces, CDMX</t>
  </si>
  <si>
    <t>DISTRIBUCIONES SAGAJI</t>
  </si>
  <si>
    <t>Consumo masivo</t>
  </si>
  <si>
    <t>Ing Julio Javier Vergara Silva</t>
  </si>
  <si>
    <t>5513846480</t>
  </si>
  <si>
    <t>julio.vergara@sagaji.com.mx</t>
  </si>
  <si>
    <t>Distribuidor PUE</t>
  </si>
  <si>
    <t>MOTOCICLETAS Y EQUIPOS</t>
  </si>
  <si>
    <t>Refacciones moto</t>
  </si>
  <si>
    <t>Luis Navarro</t>
  </si>
  <si>
    <t>3334566072</t>
  </si>
  <si>
    <t>luis.navarro@tvc.mx</t>
  </si>
  <si>
    <t>Motos y Equipos MTY, distribuye a comercios</t>
  </si>
  <si>
    <t>Correo parece de otra empresa (tvc.mx)</t>
  </si>
  <si>
    <t>EDITORIAL PANINI MEXICO</t>
  </si>
  <si>
    <t>Editorial/coleccionables</t>
  </si>
  <si>
    <t>Aldo Covarrubias</t>
  </si>
  <si>
    <t>5527143533</t>
  </si>
  <si>
    <t>jlogistica@panini.com.mx</t>
  </si>
  <si>
    <t>Paquete ligero, CDMX</t>
  </si>
  <si>
    <t>TVCENLINEA.COM</t>
  </si>
  <si>
    <t>Tecnología/seguridad B2B</t>
  </si>
  <si>
    <t>Carmen Guajardo Suro</t>
  </si>
  <si>
    <t>cguajardo@fossil.com</t>
  </si>
  <si>
    <t>TVC MTY: distribuidor con envíos diarios a integradores</t>
  </si>
  <si>
    <t>Correo no corresponde al dominio de la empresa (fossil.com)</t>
  </si>
  <si>
    <t>YVES ROCHER DE MEXICO</t>
  </si>
  <si>
    <t>Carolina Cruz</t>
  </si>
  <si>
    <t>5521095980</t>
  </si>
  <si>
    <t>carolina.cruz@yrnet.com</t>
  </si>
  <si>
    <t>MASLUZ.MX</t>
  </si>
  <si>
    <t>Iluminación eCommerce</t>
  </si>
  <si>
    <t>Juan Pablo Dominguez</t>
  </si>
  <si>
    <t>2222609754</t>
  </si>
  <si>
    <t>juanpablo@gme.mx</t>
  </si>
  <si>
    <t>Pablo Basilio</t>
  </si>
  <si>
    <t>gerente.logistica@gme.mx</t>
  </si>
  <si>
    <t>Ecommerce de iluminación, PUE</t>
  </si>
  <si>
    <t>GRUPO ELECZION,</t>
  </si>
  <si>
    <t>Hermana de Waldo's</t>
  </si>
  <si>
    <t>Correo no corresponde al dominio de la empresa (Waldos.com)</t>
  </si>
  <si>
    <t>PUNDEN</t>
  </si>
  <si>
    <t>eCommerce</t>
  </si>
  <si>
    <t>FABIOLA FONG</t>
  </si>
  <si>
    <t>3344563233</t>
  </si>
  <si>
    <t>admon.punden@gmail.com</t>
  </si>
  <si>
    <t>GDL, validar giro</t>
  </si>
  <si>
    <t>Correo personal, no corporativo</t>
  </si>
  <si>
    <t>FOSSIL MEXICO</t>
  </si>
  <si>
    <t>Accesorios moda</t>
  </si>
  <si>
    <t>Luis Ferro</t>
  </si>
  <si>
    <t>8187041885</t>
  </si>
  <si>
    <t>alejandro.gonzalez.ferro@banorte.com</t>
  </si>
  <si>
    <t>Angelica Davila</t>
  </si>
  <si>
    <t>adavila@fossil.com</t>
  </si>
  <si>
    <t>Paquete pequeño alto valor, MTY</t>
  </si>
  <si>
    <t>Correo no corresponde al dominio de la empresa (banorte)</t>
  </si>
  <si>
    <t>AMWAY DE MEXICO</t>
  </si>
  <si>
    <t>Consumo - venta directa</t>
  </si>
  <si>
    <t>Karina Cardenas</t>
  </si>
  <si>
    <t>8132368343</t>
  </si>
  <si>
    <t>Karina.Cardenas@Amway.com</t>
  </si>
  <si>
    <t>Multinivel consumo</t>
  </si>
  <si>
    <t>SUPLEMENTOS FITNESS DEPORTIVOS</t>
  </si>
  <si>
    <t>Suplementos D2C</t>
  </si>
  <si>
    <t>Sergio Ojeda</t>
  </si>
  <si>
    <t>5559098590</t>
  </si>
  <si>
    <t>sergio@blife.mx</t>
  </si>
  <si>
    <t>Shary Hernadez</t>
  </si>
  <si>
    <t>shary@blife.mx</t>
  </si>
  <si>
    <t>B-Life PUE, paquete ligero recurrente</t>
  </si>
  <si>
    <t>GRUPO CIOSA</t>
  </si>
  <si>
    <t>CARLOS TERRONES</t>
  </si>
  <si>
    <t>3314503959</t>
  </si>
  <si>
    <t>carlos_terrones@ciosa.com</t>
  </si>
  <si>
    <t>Distribuidor GDL</t>
  </si>
  <si>
    <t>EUROFIEL MEXICO</t>
  </si>
  <si>
    <t>Moda omnicanal</t>
  </si>
  <si>
    <t>Martha Navarra</t>
  </si>
  <si>
    <t>3319183506</t>
  </si>
  <si>
    <t>martha.navarro@tendam.es</t>
  </si>
  <si>
    <t>Edith Ibarra</t>
  </si>
  <si>
    <t>edith.ibarra@tendam.es</t>
  </si>
  <si>
    <t>Tendam (Cortefiel), GDL</t>
  </si>
  <si>
    <t>NICE DE MEXICO</t>
  </si>
  <si>
    <t>Yessica Garcia</t>
  </si>
  <si>
    <t>3338167516</t>
  </si>
  <si>
    <t>enviosnices@nices.mx</t>
  </si>
  <si>
    <t>GDL</t>
  </si>
  <si>
    <t>GRUPO PARISINA</t>
  </si>
  <si>
    <t>Telas/mercería retail</t>
  </si>
  <si>
    <t>Alma Lorena Hernandez Reyes</t>
  </si>
  <si>
    <t>5581055364</t>
  </si>
  <si>
    <t>alhernandezr@laparisina.com.mx</t>
  </si>
  <si>
    <t>Ecommerce creciente, paquete ligero, CDMX</t>
  </si>
  <si>
    <t>LIBRERIAS GANDHI</t>
  </si>
  <si>
    <t>Libros omnicanal</t>
  </si>
  <si>
    <t>Miguel Angel Camargo Gomar</t>
  </si>
  <si>
    <t>miguel.camargo@gandhi.com.mx</t>
  </si>
  <si>
    <t>Wendy Guadalupe Vizuet Gonzalez</t>
  </si>
  <si>
    <t>wendy.vizuet@gandhi.com.mx</t>
  </si>
  <si>
    <t>Libros = paquete ligero ideal, CDMX</t>
  </si>
  <si>
    <t>AMERICAN EAGLE MEXICO RETAIL</t>
  </si>
  <si>
    <t>Moda eCommerce</t>
  </si>
  <si>
    <t>Hugo Zamorano</t>
  </si>
  <si>
    <t>3313550873</t>
  </si>
  <si>
    <t>amoranoh@ae.com</t>
  </si>
  <si>
    <t>Luis Osorio</t>
  </si>
  <si>
    <t>osoriol@ae.com</t>
  </si>
  <si>
    <t>Operación ecommerce CDMX</t>
  </si>
  <si>
    <t>BETTERWARE DE MEXICO</t>
  </si>
  <si>
    <t>Angelica Alcazar</t>
  </si>
  <si>
    <t>3328922432</t>
  </si>
  <si>
    <t>aalcazar@better.com.mx</t>
  </si>
  <si>
    <t>Catálogo hogar, CEDIS GDL, paquete pequeño</t>
  </si>
  <si>
    <t>COMERCIALIZADORA DE PERFUMES</t>
  </si>
  <si>
    <t>Perfumería</t>
  </si>
  <si>
    <t>Karen Torres Miranda</t>
  </si>
  <si>
    <t>3316032984</t>
  </si>
  <si>
    <t>karentorres@magnaperfumes.com</t>
  </si>
  <si>
    <t>Magna perfumes GDL, paquete pequeño alto valor</t>
  </si>
  <si>
    <t>HERBAFOODS</t>
  </si>
  <si>
    <t>Alimentos no perecederos</t>
  </si>
  <si>
    <t>Jaime Hernandez</t>
  </si>
  <si>
    <t>3346418321</t>
  </si>
  <si>
    <t>jhernandez@blen.com.mx</t>
  </si>
  <si>
    <t>Adriana Lamas</t>
  </si>
  <si>
    <t>alamas@blen.com.mx</t>
  </si>
  <si>
    <t>Blen GDL</t>
  </si>
  <si>
    <t>TRANSFER FACTOR DE MEXICO</t>
  </si>
  <si>
    <t>Jessica Islas</t>
  </si>
  <si>
    <t>5576616398</t>
  </si>
  <si>
    <t>jessicai@4life.com</t>
  </si>
  <si>
    <t>4Life, multinivel suplementos</t>
  </si>
  <si>
    <t>PRO SALON</t>
  </si>
  <si>
    <t>Belleza profesional</t>
  </si>
  <si>
    <t>Patricia Navarro Cuervo</t>
  </si>
  <si>
    <t>3315202266</t>
  </si>
  <si>
    <t>paty@avyna.info</t>
  </si>
  <si>
    <t>Avyna GDL, envíos a salones y B2C</t>
  </si>
  <si>
    <t>COMPONENTES Y TECNOLOGIA DE MEXICO</t>
  </si>
  <si>
    <t>MIRIAM EDITH IÑÍGUEZ</t>
  </si>
  <si>
    <t>3330372685</t>
  </si>
  <si>
    <t>edith@ddtech.mx</t>
  </si>
  <si>
    <t>DDTech GDL, ecommerce de componentes</t>
  </si>
  <si>
    <t>REFACOM</t>
  </si>
  <si>
    <t>Refacciones</t>
  </si>
  <si>
    <t>Guadalupe Leon</t>
  </si>
  <si>
    <t>3929280716</t>
  </si>
  <si>
    <t>ventas@refacomocotlan.com</t>
  </si>
  <si>
    <t>C&amp;A MEXICO</t>
  </si>
  <si>
    <t>Paulino Duran</t>
  </si>
  <si>
    <t>3315876657</t>
  </si>
  <si>
    <t>pduran@cyamexico.com</t>
  </si>
  <si>
    <t>Ecommerce moda</t>
  </si>
  <si>
    <t>CENTRO REFACCIONARIO EL CANELO</t>
  </si>
  <si>
    <t>Josué Esparza Marquez</t>
  </si>
  <si>
    <t>4494414917</t>
  </si>
  <si>
    <t>josue_esparza@elcaneloautopartes.com.mx</t>
  </si>
  <si>
    <t>El Canelo, GDL</t>
  </si>
  <si>
    <t>VICTORINOX MEXICO</t>
  </si>
  <si>
    <t>Artículos personales</t>
  </si>
  <si>
    <t>Lic. Dalila Barrientos Gonzalez</t>
  </si>
  <si>
    <t>2224840782</t>
  </si>
  <si>
    <t>dalila.barrientos@victorinox.com</t>
  </si>
  <si>
    <t>Lic. Alejandra Gonzalez Ramirez</t>
  </si>
  <si>
    <t>alejandra.gonzalez@victorinox.com</t>
  </si>
  <si>
    <t>PUE, paquete pequeño alto valor</t>
  </si>
  <si>
    <t>NATURE'S SUNSHINE PRODUCTS DE</t>
  </si>
  <si>
    <t>Rene Blanco</t>
  </si>
  <si>
    <t>Rene Blanco &lt;reneb@natr.com&gt;</t>
  </si>
  <si>
    <t>Multinivel suplementos, paquete ligero</t>
  </si>
  <si>
    <t>MAURICIO MENESES PERALTA</t>
  </si>
  <si>
    <t>2224222985</t>
  </si>
  <si>
    <t>mau_joshua@hotmail.com</t>
  </si>
  <si>
    <t>N/A</t>
  </si>
  <si>
    <t>INNOVA IMAGEN</t>
  </si>
  <si>
    <t>Textil/uniformes</t>
  </si>
  <si>
    <t>Andres Cardenas</t>
  </si>
  <si>
    <t>2311550805</t>
  </si>
  <si>
    <t>andres.cardenas@endur.mx</t>
  </si>
  <si>
    <t>Endur PUE</t>
  </si>
  <si>
    <t>MUMUGRAND</t>
  </si>
  <si>
    <t>CDMX (CDL)</t>
  </si>
  <si>
    <t>Moda/retail</t>
  </si>
  <si>
    <t>LUIS MONTES</t>
  </si>
  <si>
    <t>7291855070</t>
  </si>
  <si>
    <t>luis.gutierrez@mumusomx.com</t>
  </si>
  <si>
    <t>Blanca Bustamante</t>
  </si>
  <si>
    <t>blanca.bustamante@mumusomx.com</t>
  </si>
  <si>
    <t>Mumuso CDMX, novedades paquete pequeño</t>
  </si>
  <si>
    <t>RAMIRO JIMENEZ FLORES</t>
  </si>
  <si>
    <t>Ramiro Jimenez</t>
  </si>
  <si>
    <t>3291294254</t>
  </si>
  <si>
    <t>ramirojimenezf@hotmail.com</t>
  </si>
  <si>
    <t>ALDO RIOS PEÑA</t>
  </si>
  <si>
    <t>Aldo Rios Peña</t>
  </si>
  <si>
    <t>4959580304</t>
  </si>
  <si>
    <t>aldo23rios@hotmail.com</t>
  </si>
  <si>
    <t>MINISO MEXICO SAPI DE CV</t>
  </si>
  <si>
    <t>Hogar/novedades retail</t>
  </si>
  <si>
    <t>Jorge Garcia Curiel</t>
  </si>
  <si>
    <t>5523141131</t>
  </si>
  <si>
    <t>Jorge Alberto Garcia Curiel &lt;jorge.garcia@miniso.com.mx&gt;</t>
  </si>
  <si>
    <t>Ecommerce + marketplaces, paquete pequeño</t>
  </si>
  <si>
    <t>AURORA ISABEL GUTIERREZ DE LA TORRE</t>
  </si>
  <si>
    <t>Aurora Isabel Gutierrez</t>
  </si>
  <si>
    <t>3951187506</t>
  </si>
  <si>
    <t>isagtz87@gmail.com</t>
  </si>
  <si>
    <t>MAKA PET</t>
  </si>
  <si>
    <t>Pet food/accesorios</t>
  </si>
  <si>
    <t>Eduardo De la Torre</t>
  </si>
  <si>
    <t>3951907939</t>
  </si>
  <si>
    <t>edelatorre@proan.com</t>
  </si>
  <si>
    <t>GDL (Proan), validar peso &lt;30kg</t>
  </si>
  <si>
    <t>PATRICIA HERNANDEZ MARQUEZ</t>
  </si>
  <si>
    <t>Jorge Vera</t>
  </si>
  <si>
    <t>3781000978</t>
  </si>
  <si>
    <t>jveraesquivias@hotmail.com</t>
  </si>
  <si>
    <t>MARIA DEL ROSARIO RAMIREZ DE LA TOR</t>
  </si>
  <si>
    <t>Manuel Campos</t>
  </si>
  <si>
    <t>3951028691</t>
  </si>
  <si>
    <t>josuecampos054@gmail.com</t>
  </si>
  <si>
    <t>DISTRIBUIDORA HUBA</t>
  </si>
  <si>
    <t>Distribución consumo (validar)</t>
  </si>
  <si>
    <t>Jesús Hurtado Gonzalez</t>
  </si>
  <si>
    <t>3481133967</t>
  </si>
  <si>
    <t>susu--wwe@outlook.com</t>
  </si>
  <si>
    <t>Jesús Hurtado González</t>
  </si>
  <si>
    <t>Validar giro y volumen; correo personal</t>
  </si>
  <si>
    <t>FOREVER LIVING PRODUCTS MEXICO</t>
  </si>
  <si>
    <t>Nestor Ramirez</t>
  </si>
  <si>
    <t>5533836196</t>
  </si>
  <si>
    <t>nflores@foreverliving.com.mx</t>
  </si>
  <si>
    <t>Multinivel</t>
  </si>
  <si>
    <t>OFELIA MEZA AZPEITIA</t>
  </si>
  <si>
    <t>Omar Silva</t>
  </si>
  <si>
    <t>3221350715</t>
  </si>
  <si>
    <t>applebenefitmx@gmail.com</t>
  </si>
  <si>
    <t>JOSE LUIS MARTIN GUERRERO</t>
  </si>
  <si>
    <t>Jose Luis Martin Guerrero</t>
  </si>
  <si>
    <t>3331891128</t>
  </si>
  <si>
    <t>ventascalidelta@hotmail.com</t>
  </si>
  <si>
    <t>ANGEL FABRICIO MUÑOZ LOPEZ</t>
  </si>
  <si>
    <t>Angel Fabricio Muñoz</t>
  </si>
  <si>
    <t>3951347153</t>
  </si>
  <si>
    <t>admonhf13@gmail.com</t>
  </si>
  <si>
    <t>ZERMAT INTERNACIONAL SA DE CV</t>
  </si>
  <si>
    <t>Ricardo Euroza</t>
  </si>
  <si>
    <t>5543223116</t>
  </si>
  <si>
    <t>reuroza@zermat.com.mx</t>
  </si>
  <si>
    <t>Multinivel belleza mexicana</t>
  </si>
  <si>
    <t>STANHOME DE MEXICO</t>
  </si>
  <si>
    <t>Hogar/belleza - venta directa</t>
  </si>
  <si>
    <t>Jose Luis Hernandez Toledano</t>
  </si>
  <si>
    <t>5554073605</t>
  </si>
  <si>
    <t>Jose Luis Hernandez Toledano &lt;jose.hernandez@yrnet.com&gt;</t>
  </si>
  <si>
    <t>YANMEX</t>
  </si>
  <si>
    <t>Hugo Vazquez</t>
  </si>
  <si>
    <t>5578680134</t>
  </si>
  <si>
    <t>Hugo.Vasquez@yanbal.com</t>
  </si>
  <si>
    <t>Yanbal México</t>
  </si>
  <si>
    <t>MEGA AUDIO</t>
  </si>
  <si>
    <t>Electrónica audio</t>
  </si>
  <si>
    <t>FINKELSTEIN NATHAN</t>
  </si>
  <si>
    <t>5534004052</t>
  </si>
  <si>
    <t>nathan@mega-audio.com.mx</t>
  </si>
  <si>
    <t>MICHEL VALENCIA</t>
  </si>
  <si>
    <t>michel@mega-audio.com.mx</t>
  </si>
  <si>
    <t>VITATU NUTRICION Y BIENESTAR</t>
  </si>
  <si>
    <t>ZULEMA TREVIÑO</t>
  </si>
  <si>
    <t>81191063745</t>
  </si>
  <si>
    <t>administracion@vitatumx.com</t>
  </si>
  <si>
    <t>Ecommerce, volumen menor - validar</t>
  </si>
  <si>
    <t>CHEFMAN MEXICO</t>
  </si>
  <si>
    <t>Electrodomésticos pequeños</t>
  </si>
  <si>
    <t>Rosa Maryel Ugalde</t>
  </si>
  <si>
    <t>5576192002</t>
  </si>
  <si>
    <t>rreyna@chefman.com</t>
  </si>
  <si>
    <t>Ecommerce/marketplaces</t>
  </si>
  <si>
    <t>BH TRADE MARKET</t>
  </si>
  <si>
    <t>Consumo</t>
  </si>
  <si>
    <t>Alberto Sandoval</t>
  </si>
  <si>
    <t>5517059137</t>
  </si>
  <si>
    <t>almacen@trademarket.com.mx</t>
  </si>
  <si>
    <t>Validar volumen</t>
  </si>
  <si>
    <t>SOMOS REYES</t>
  </si>
  <si>
    <t>D2C emergente</t>
  </si>
  <si>
    <t>ARTURO MENDEZ DIAZ</t>
  </si>
  <si>
    <t>5534009169</t>
  </si>
  <si>
    <t>arturomendez@somos-reyes.com</t>
  </si>
  <si>
    <t>RODRIGO MARTELO GOMEZ</t>
  </si>
  <si>
    <t>rodrigo@wonderbrands.co</t>
  </si>
  <si>
    <t>Volumen bajo - nutrir</t>
  </si>
  <si>
    <t>Alianza</t>
  </si>
  <si>
    <t>TENDENCYS INNOVATIONS</t>
  </si>
  <si>
    <t>Logística/plataforma</t>
  </si>
  <si>
    <t>Gabriel Garza</t>
  </si>
  <si>
    <t>8118414502</t>
  </si>
  <si>
    <t>gabriel.garza@tendencys.com</t>
  </si>
  <si>
    <t>Agregador, 3PL o plataforma: posible alianza de capacidad, no cliente directo</t>
  </si>
  <si>
    <t>PAKKE MEXICO</t>
  </si>
  <si>
    <t>ERIK TORRES</t>
  </si>
  <si>
    <t>5523104558</t>
  </si>
  <si>
    <t>erik.torres@pakke.com</t>
  </si>
  <si>
    <t>JOSEP ROMAGOSA</t>
  </si>
  <si>
    <t>josep.romagosa@pakke.com</t>
  </si>
  <si>
    <t>ENVIOCLICK</t>
  </si>
  <si>
    <t>Rosa Costes</t>
  </si>
  <si>
    <t>5564131570</t>
  </si>
  <si>
    <t>rosa@envioclick.com</t>
  </si>
  <si>
    <t>PROMOLOGISTICS</t>
  </si>
  <si>
    <t>FELIPE ORDOÑEZ</t>
  </si>
  <si>
    <t>5511050773</t>
  </si>
  <si>
    <t>fordonez@promologistics.com.mx</t>
  </si>
  <si>
    <t>Jonatan Olmos</t>
  </si>
  <si>
    <t>jolmos@promologistics.com.mx</t>
  </si>
  <si>
    <t>INOVIT</t>
  </si>
  <si>
    <t>Pablo Salinas</t>
  </si>
  <si>
    <t>8112901501</t>
  </si>
  <si>
    <t>pablo@enviatodo.com</t>
  </si>
  <si>
    <t>SHIPPER EXPRESS</t>
  </si>
  <si>
    <t>Marco Serrato</t>
  </si>
  <si>
    <t>2212141945</t>
  </si>
  <si>
    <t>marco.s@myshipper.com.mx</t>
  </si>
  <si>
    <t>GETCUBBO</t>
  </si>
  <si>
    <t>Agustin Ortiz Monasterio</t>
  </si>
  <si>
    <t>5542183500</t>
  </si>
  <si>
    <t>agustin@cubbo.com</t>
  </si>
  <si>
    <t>GRUPO PGL MEXICO</t>
  </si>
  <si>
    <t>Maribel Esquivel</t>
  </si>
  <si>
    <t>8117381238</t>
  </si>
  <si>
    <t>maribel.esquivel@pak2go.com</t>
  </si>
  <si>
    <t>SEGMAIL</t>
  </si>
  <si>
    <t>Gabriel Olmedo</t>
  </si>
  <si>
    <t>5530076181</t>
  </si>
  <si>
    <t>golmedo@segmail.co</t>
  </si>
  <si>
    <t>Jonathan Esses</t>
  </si>
  <si>
    <t>jonathan@segmail.co</t>
  </si>
  <si>
    <t>ECOMSUR MX</t>
  </si>
  <si>
    <t>Pedro Albo Fernandez</t>
  </si>
  <si>
    <t>5518080471</t>
  </si>
  <si>
    <t>pealbo@infracommerce.lat</t>
  </si>
  <si>
    <t>MELLON TECHNOLOGY 4 LOGISTICS</t>
  </si>
  <si>
    <t>Eduardo Higuera</t>
  </si>
  <si>
    <t>5552131073</t>
  </si>
  <si>
    <t>eduardo@mellont4l.com</t>
  </si>
  <si>
    <t>CEDIS ALCE</t>
  </si>
  <si>
    <t>ROBERTO BERMEO</t>
  </si>
  <si>
    <t>7223049242</t>
  </si>
  <si>
    <t>carlos.bermeo@vertiche.com.mx</t>
  </si>
  <si>
    <t>ZIIPCO LOGISTIC</t>
  </si>
  <si>
    <t>DANIEL CUBILLAS</t>
  </si>
  <si>
    <t>3332407906</t>
  </si>
  <si>
    <t>daniel.cubillas@ziipco.com.mx</t>
  </si>
  <si>
    <t>LOGISFASHION MEXICO</t>
  </si>
  <si>
    <t>Luis Giovanny Ascencio Ruiz</t>
  </si>
  <si>
    <t>5530336935</t>
  </si>
  <si>
    <t>lgascencio.mex@logisfashion.com</t>
  </si>
  <si>
    <t>Edwin Hernan Leon Tirado</t>
  </si>
  <si>
    <t>ehleon.mex@logisfashion.com</t>
  </si>
  <si>
    <t>BAZAYA MEXICO</t>
  </si>
  <si>
    <t>cliete cerro operaciones en México el 2024</t>
  </si>
  <si>
    <t>Contacto inválido (ya no trabaja / cerró); Sin correo</t>
  </si>
  <si>
    <t>KEKKA SOLUCIONES EN ECOMMERCE</t>
  </si>
  <si>
    <t>Verónica Adriana Juarez Jimenez</t>
  </si>
  <si>
    <t>3327530775</t>
  </si>
  <si>
    <t>gerenciaeasyecommerce@gmail.com</t>
  </si>
  <si>
    <t>6 Y 7 TECNOLOGIAS INTEGRALES</t>
  </si>
  <si>
    <t>MKOMM LOGISTICS</t>
  </si>
  <si>
    <t>Manuel Carreon</t>
  </si>
  <si>
    <t>3311216033</t>
  </si>
  <si>
    <t>mkommlogistics@gmail.com</t>
  </si>
  <si>
    <t>ENVIOPACK MEXICO</t>
  </si>
  <si>
    <t>MARLENE AGUILAR RODRIGUEZ</t>
  </si>
  <si>
    <t>5539024301</t>
  </si>
  <si>
    <t>marlene@enviopack.com</t>
  </si>
  <si>
    <t>Horacio Esteves</t>
  </si>
  <si>
    <t>horacio@enviopack.com</t>
  </si>
  <si>
    <t>GENKA LOGISTICS</t>
  </si>
  <si>
    <t>Raquel Velazquez</t>
  </si>
  <si>
    <t>rvelazquez@genka.mx</t>
  </si>
  <si>
    <t>LOGISCTASH</t>
  </si>
  <si>
    <t>AUREA SANCHEZ</t>
  </si>
  <si>
    <t>5516940015</t>
  </si>
  <si>
    <t>direccioncomercial@tssconsultores.com</t>
  </si>
  <si>
    <t>TREBOR LOGISTICS</t>
  </si>
  <si>
    <t>PORFIRIO SANCHEZ MERINO</t>
  </si>
  <si>
    <t>7774843183</t>
  </si>
  <si>
    <t>p.sanchez.trebor@gmail.com</t>
  </si>
  <si>
    <t>EDARKSTORE</t>
  </si>
  <si>
    <t>CRISTIAN AUSTIN</t>
  </si>
  <si>
    <t>causin@edarkstore.cl</t>
  </si>
  <si>
    <t>BLUE COMMERCE ENTERPRISES</t>
  </si>
  <si>
    <t>MARCOS RABADAN DIEGO</t>
  </si>
  <si>
    <t>7771395869</t>
  </si>
  <si>
    <t>auxiliarcontabilidad@imtra.com.mx</t>
  </si>
  <si>
    <t>LIDERANDO MARKETPLACE</t>
  </si>
  <si>
    <t>PAULINA GONZALEZ</t>
  </si>
  <si>
    <t>5531923276</t>
  </si>
  <si>
    <t>pgonzalez@gaon.mx</t>
  </si>
  <si>
    <t>DISBYTE DE MEXICO</t>
  </si>
  <si>
    <t>DI LULLO LEONARDO</t>
  </si>
  <si>
    <t>1124014254</t>
  </si>
  <si>
    <t>ldilullo@disbyte.com</t>
  </si>
  <si>
    <t>Ciudad</t>
  </si>
  <si>
    <t>Ingreso (MXN)</t>
  </si>
  <si>
    <t>Motivo de exclusión</t>
  </si>
  <si>
    <t>SERVICIOS COMERCIALES AMAZON MEXICO</t>
  </si>
  <si>
    <t>Gran cuenta con logística consolidada o flotilla propia; solo entrar con señal de churn</t>
  </si>
  <si>
    <t>DISTRIBUIDORA LIVERPOOL</t>
  </si>
  <si>
    <t>NU MEXICO FINANCIERA</t>
  </si>
  <si>
    <t>Giro financiero/industrial/documentos o B2B pesado; no fit de paquete &lt;30kg B2C</t>
  </si>
  <si>
    <t>SUBURBIA S DE RL DE CV</t>
  </si>
  <si>
    <t>H &amp; M HENNES &amp; MAURITZ</t>
  </si>
  <si>
    <t>COSTCO DE MEXICO</t>
  </si>
  <si>
    <t>NUEVA WAL MART DE MEXICO</t>
  </si>
  <si>
    <t>ZARA MEXICO CONTRATO 1</t>
  </si>
  <si>
    <t>ULINE SHIPPING SUPPLIES</t>
  </si>
  <si>
    <t>DEREMATE.COM DE MEXICO</t>
  </si>
  <si>
    <t>ITX RETAIL MEXICO</t>
  </si>
  <si>
    <t>ALVACO ENTERPRISES</t>
  </si>
  <si>
    <t>CMI FILTRATION MEXICO</t>
  </si>
  <si>
    <t>TENNIX</t>
  </si>
  <si>
    <t>FONTYLINK LIMITED</t>
  </si>
  <si>
    <t>MASTER LOYALTY GROUP</t>
  </si>
  <si>
    <t>GRUPO COMERCIAL DSW</t>
  </si>
  <si>
    <t>GXO LOGISTICS MEXICO</t>
  </si>
  <si>
    <t>BANCO INVEX SA INSTITUCION DE BANCA</t>
  </si>
  <si>
    <t>HSBC MEXICO SA INSTITUCION DE BANCA</t>
  </si>
  <si>
    <t>EXEL DEL NORTE</t>
  </si>
  <si>
    <t>GRUPO LOGISTICO INTEGRAL</t>
  </si>
  <si>
    <t>FORMAS EFICIENTES</t>
  </si>
  <si>
    <t>INDUSTRIAS JOHN DEERE</t>
  </si>
  <si>
    <t>SBCBSG COMPANY DE MEXICO</t>
  </si>
  <si>
    <t>UALA, SOCIEDAD ANONIMA, INSTITUCION</t>
  </si>
  <si>
    <t>KOMATSU INDUSTRIES MEXICO</t>
  </si>
  <si>
    <t>BANCA MIFEL SA INSTITUCION DE BANCA</t>
  </si>
  <si>
    <t>INDUSTRIAS AUDIOVISUALES MEXICANAS</t>
  </si>
  <si>
    <t>BRITISH AMERICAN TOBACCO MEXICO</t>
  </si>
  <si>
    <t>KUEHNE + NAGEL</t>
  </si>
  <si>
    <t>GRUPO NACIONAL PROVINCIAL</t>
  </si>
  <si>
    <t>Aseguradora; envíos documentales</t>
  </si>
  <si>
    <t>GRUPO ESSCALO</t>
  </si>
  <si>
    <t>FESTO PNEUMATIC</t>
  </si>
  <si>
    <t>WURTH MEXICO</t>
  </si>
  <si>
    <t>SERVICIOS FINANCIEROS SORIANA</t>
  </si>
  <si>
    <t>LX PANTOS MEXICO</t>
  </si>
  <si>
    <t>IGT MEXICO LOTTERY</t>
  </si>
  <si>
    <t>PACIFIC PHARMA GROUP</t>
  </si>
  <si>
    <t>VISA FACILITATION SERVICES MEXICO</t>
  </si>
  <si>
    <t>ABBOTT LABORATORIES DE MEXICO</t>
  </si>
  <si>
    <t>BANCO MERCANTIL DEL NORTE SA</t>
  </si>
  <si>
    <t>RYC CONTRACTORS</t>
  </si>
  <si>
    <t>GRUPO KING BOARD MEXICO</t>
  </si>
  <si>
    <t>HELLMANN CONTRACT LOGISTICS</t>
  </si>
  <si>
    <t>CORPORATIVO SERYSI</t>
  </si>
  <si>
    <t>DISTRIBUCION Y ALMACENAJE ARGO</t>
  </si>
  <si>
    <t>ZARA HOME MEXICO</t>
  </si>
  <si>
    <t>HERDEZ</t>
  </si>
  <si>
    <t>KSMV CAPITAL</t>
  </si>
  <si>
    <t>LA IGLESIA DE JESUCRISTO DE LOS</t>
  </si>
  <si>
    <t>VOLKSWAGEN DE MEXICO SA DE CV</t>
  </si>
  <si>
    <t>ANDREAS STIHL</t>
  </si>
  <si>
    <t>REVKO TECHNOLOGY</t>
  </si>
  <si>
    <t>DOLCE &amp; GABBANA LATINOAMERICA</t>
  </si>
  <si>
    <t>GRUPO DE REPRESENTACION</t>
  </si>
  <si>
    <t>TOKA INTERNACIONAL</t>
  </si>
  <si>
    <t>VELOCI MOTORS</t>
  </si>
  <si>
    <t>BRADESCARD MEXICO,S. DE RL</t>
  </si>
  <si>
    <t>WHATSHOME</t>
  </si>
  <si>
    <t>PABLO RUIZ VELAZCO</t>
  </si>
  <si>
    <t>Contacto indica que ya no opera con Estafeta; sin datos para calificar</t>
  </si>
  <si>
    <t>CEVA FREIGHT MANAGEMENT MEXICO</t>
  </si>
  <si>
    <t>FARMACIA GUADALAJARA</t>
  </si>
  <si>
    <t>DAIMLER VEHICULOS COMERCIALES</t>
  </si>
  <si>
    <t>LABORATORIOS SILANES</t>
  </si>
  <si>
    <t>DISTRIBUIDORA FARMACEUTICA CALDERON</t>
  </si>
  <si>
    <t>VOLKSWAGEN LEASING</t>
  </si>
  <si>
    <t>ADMINISTRADORA RSU</t>
  </si>
  <si>
    <t>FRABEL</t>
  </si>
  <si>
    <t>GLOBAL PAYMENTS TECHNOLOGY MEXICO</t>
  </si>
  <si>
    <t>SICAR SOLUTIONS</t>
  </si>
  <si>
    <t>QUALAMEX</t>
  </si>
  <si>
    <t>POLOMEX</t>
  </si>
  <si>
    <t>GASER DE MEXICO</t>
  </si>
  <si>
    <t>FERRE PAT</t>
  </si>
  <si>
    <t>BIMBO</t>
  </si>
  <si>
    <t>CENTRO DE DISTRIBUCION ORIENTE</t>
  </si>
  <si>
    <t>RADIOMOVIL DIPSA</t>
  </si>
  <si>
    <t>LOGISTICA Y TRANSPORTE PARA LA</t>
  </si>
  <si>
    <t>HISPANIC TELESERVICES DE</t>
  </si>
  <si>
    <t>CDMX (CDL) / CDMX (e-commerce)</t>
  </si>
  <si>
    <t>PASE, SERVICIOS ELECTRONICOS</t>
  </si>
  <si>
    <t>TOTAL SYSTEM SERVICES DE MEXICO</t>
  </si>
  <si>
    <t>YINGJUN LIN</t>
  </si>
  <si>
    <t>OPERADORA PRISSA</t>
  </si>
  <si>
    <t>RODRIGUES COSMETICOS DO BRASIL</t>
  </si>
  <si>
    <t>JUAN CIPRIANO DAVALOS ZARAGOZA</t>
  </si>
  <si>
    <t>LOOMBER GLOBAL SOLUTIONS</t>
  </si>
  <si>
    <t>PROTEINA ANIMAL</t>
  </si>
  <si>
    <t>SERVICIOS COMERCIALES ADVENTURES</t>
  </si>
  <si>
    <t>NEWTRAL MEXICO</t>
  </si>
  <si>
    <t>GÜTERMANN POLYGAL MEXICANA</t>
  </si>
  <si>
    <t>COMEXPROCON</t>
  </si>
  <si>
    <t>CASA LEY</t>
  </si>
  <si>
    <t>SAINT-GOBAIN MEXICO</t>
  </si>
  <si>
    <t>COCO COLIMA</t>
  </si>
  <si>
    <t>SISTEMAS DE ECOLOGIA SOLAR</t>
  </si>
  <si>
    <t>MANTENIMIENTO AUTOSUFICIENTE</t>
  </si>
  <si>
    <t>ISDIN MEXICO</t>
  </si>
  <si>
    <t>SCHENKER INTERNATIONAL</t>
  </si>
  <si>
    <t>MEXICANA DE ELECTRONICA</t>
  </si>
  <si>
    <t>NESTEK DE MEXICO</t>
  </si>
  <si>
    <t>FOLI DE MEXICO</t>
  </si>
  <si>
    <t>SEKO LOGISTICS MEXICO</t>
  </si>
  <si>
    <t>ENLACE Y DISTRIBUCION FARMACEUTICA</t>
  </si>
  <si>
    <t>EL PALACIO DE HIERRO</t>
  </si>
  <si>
    <t>CIMARRONES</t>
  </si>
  <si>
    <t>CAJANAUTA PUNTO COM</t>
  </si>
  <si>
    <t>ADMINISTRADORA DART</t>
  </si>
  <si>
    <t>CASHAHORA</t>
  </si>
  <si>
    <t>IMPORTADORA Y NOVEDADES SOJ</t>
  </si>
  <si>
    <t>LINKER-87 DE MEXICO</t>
  </si>
  <si>
    <t>ASOKAM</t>
  </si>
  <si>
    <t>OPERATOR GROUP XFT</t>
  </si>
  <si>
    <t>GD COMERCIALIZADORA DEL BAJIO</t>
  </si>
  <si>
    <t>TRAPCO</t>
  </si>
  <si>
    <t>AMERICAN TACTICAL</t>
  </si>
  <si>
    <t>MUEBLES DICO</t>
  </si>
  <si>
    <t>AMERICAN COTTON</t>
  </si>
  <si>
    <t>Resumen de calificación vs ICP iMile</t>
  </si>
  <si>
    <t>Prospectos calificados (A/B)</t>
  </si>
  <si>
    <t xml:space="preserve">  → Prioridad Alta (≥$20M ingreso Estafeta)</t>
  </si>
  <si>
    <t xml:space="preserve">  → Prioridad Media ($5-20M)</t>
  </si>
  <si>
    <t xml:space="preserve">  → Prioridad Baja (&lt;$5M)</t>
  </si>
  <si>
    <t>Canal / alianzas (3PL, agregadores, plataformas)</t>
  </si>
  <si>
    <t>Excluidas (saturadas, flotilla propia o fuera de ICP)</t>
  </si>
  <si>
    <t>Con errores de datos a corregir</t>
  </si>
  <si>
    <t>Criterios: recolección en CDMX/EdoMex, GDL, MTY o PUE; paquete &lt;30kg; B2C/D2C/marketplace o distribución frecuente a comercios. Ingreso = gasto anual con Estafeta (proxy de volumen).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</si>
</sst>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charset val="1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1" xfId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7" fillId="3" borderId="1" xfId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rian.RodriguezValdez@mkcorp.com" TargetMode="External"/><Relationship Id="rId3" Type="http://schemas.openxmlformats.org/officeDocument/2006/relationships/hyperlink" Target="mailto:axel.valdez@innovasport.com" TargetMode="External"/><Relationship Id="rId7" Type="http://schemas.openxmlformats.org/officeDocument/2006/relationships/hyperlink" Target="mailto:victor.garcia@nikkelatam.com" TargetMode="External"/><Relationship Id="rId2" Type="http://schemas.openxmlformats.org/officeDocument/2006/relationships/hyperlink" Target="mailto:j.plessow@cyberpuerta.mx" TargetMode="External"/><Relationship Id="rId1" Type="http://schemas.openxmlformats.org/officeDocument/2006/relationships/hyperlink" Target="mailto:julio.vergara@sagaji.com.mx" TargetMode="External"/><Relationship Id="rId6" Type="http://schemas.openxmlformats.org/officeDocument/2006/relationships/hyperlink" Target="mailto:alberto.martinez@autozone.com" TargetMode="External"/><Relationship Id="rId5" Type="http://schemas.openxmlformats.org/officeDocument/2006/relationships/hyperlink" Target="mailto:jorge.pinzon@priceshoes.com" TargetMode="External"/><Relationship Id="rId4" Type="http://schemas.openxmlformats.org/officeDocument/2006/relationships/hyperlink" Target="mailto:aloma.garcia@gotrendier.mx" TargetMode="External"/><Relationship Id="rId9" Type="http://schemas.openxmlformats.org/officeDocument/2006/relationships/hyperlink" Target="mailto:dgermanr@sha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E1" zoomScaleNormal="100" workbookViewId="0">
      <pane ySplit="1" topLeftCell="A2" activePane="bottomLeft" state="frozen"/>
      <selection pane="bottomLeft" activeCell="H18" sqref="H18"/>
    </sheetView>
  </sheetViews>
  <sheetFormatPr baseColWidth="10" defaultColWidth="8.6640625" defaultRowHeight="15"/>
  <cols>
    <col min="1" max="1" width="10" customWidth="1"/>
    <col min="2" max="2" width="32" customWidth="1"/>
    <col min="3" max="3" width="24" customWidth="1"/>
    <col min="4" max="4" width="26" customWidth="1"/>
    <col min="5" max="5" width="16" customWidth="1"/>
    <col min="6" max="6" width="24" customWidth="1"/>
    <col min="7" max="7" width="14" customWidth="1"/>
    <col min="8" max="8" width="30" customWidth="1"/>
    <col min="9" max="9" width="22" customWidth="1"/>
    <col min="10" max="10" width="28" customWidth="1"/>
    <col min="11" max="11" width="42" customWidth="1"/>
    <col min="12" max="12" width="34" customWidth="1"/>
  </cols>
  <sheetData>
    <row r="1" spans="1:12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>
      <c r="A2" s="8" t="str">
        <f t="shared" ref="A2:A33" si="0">IF(E2&gt;=20000000,"1 - Alta",IF(E2&gt;=5000000,"2 - Media","3 - Baja"))</f>
        <v>1 - Alta</v>
      </c>
      <c r="B2" s="8" t="s">
        <v>12</v>
      </c>
      <c r="C2" s="8" t="s">
        <v>13</v>
      </c>
      <c r="D2" s="8" t="s">
        <v>14</v>
      </c>
      <c r="E2" s="9">
        <v>103575390.88</v>
      </c>
      <c r="F2" s="8" t="s">
        <v>15</v>
      </c>
      <c r="G2" s="8" t="s">
        <v>16</v>
      </c>
      <c r="H2" s="10" t="s">
        <v>17</v>
      </c>
      <c r="I2" s="8" t="s">
        <v>18</v>
      </c>
      <c r="J2" s="8" t="s">
        <v>19</v>
      </c>
      <c r="K2" s="8" t="s">
        <v>20</v>
      </c>
      <c r="L2" s="8"/>
    </row>
    <row r="3" spans="1:12" ht="16">
      <c r="A3" s="8" t="str">
        <f t="shared" si="0"/>
        <v>1 - Alta</v>
      </c>
      <c r="B3" s="8" t="s">
        <v>21</v>
      </c>
      <c r="C3" s="8" t="s">
        <v>22</v>
      </c>
      <c r="D3" s="8" t="s">
        <v>23</v>
      </c>
      <c r="E3" s="9">
        <v>103169960.27</v>
      </c>
      <c r="F3" s="8" t="s">
        <v>24</v>
      </c>
      <c r="G3" s="8" t="s">
        <v>25</v>
      </c>
      <c r="H3" s="10" t="s">
        <v>26</v>
      </c>
      <c r="I3" s="8"/>
      <c r="J3" s="8"/>
      <c r="K3" s="8" t="s">
        <v>27</v>
      </c>
      <c r="L3" s="8"/>
    </row>
    <row r="4" spans="1:12" ht="28">
      <c r="A4" s="8" t="str">
        <f t="shared" si="0"/>
        <v>1 - Alta</v>
      </c>
      <c r="B4" s="8" t="s">
        <v>28</v>
      </c>
      <c r="C4" s="8" t="s">
        <v>29</v>
      </c>
      <c r="D4" s="8" t="s">
        <v>30</v>
      </c>
      <c r="E4" s="9">
        <v>82465730.609999999</v>
      </c>
      <c r="F4" s="8" t="s">
        <v>31</v>
      </c>
      <c r="G4" s="8" t="s">
        <v>32</v>
      </c>
      <c r="H4" s="10" t="s">
        <v>33</v>
      </c>
      <c r="I4" s="8" t="s">
        <v>31</v>
      </c>
      <c r="J4" s="8" t="s">
        <v>33</v>
      </c>
      <c r="K4" s="8" t="s">
        <v>34</v>
      </c>
      <c r="L4" s="8"/>
    </row>
    <row r="5" spans="1:12" s="13" customFormat="1" ht="28">
      <c r="A5" s="11" t="str">
        <f t="shared" si="0"/>
        <v>1 - Alta</v>
      </c>
      <c r="B5" s="11" t="s">
        <v>35</v>
      </c>
      <c r="C5" s="11" t="s">
        <v>36</v>
      </c>
      <c r="D5" s="11" t="s">
        <v>37</v>
      </c>
      <c r="E5" s="12">
        <v>68792149.939999998</v>
      </c>
      <c r="F5" s="11" t="s">
        <v>38</v>
      </c>
      <c r="G5" s="11" t="s">
        <v>39</v>
      </c>
      <c r="H5" s="11" t="s">
        <v>40</v>
      </c>
      <c r="I5" s="11"/>
      <c r="J5" s="11"/>
      <c r="K5" s="11" t="s">
        <v>41</v>
      </c>
      <c r="L5" s="11"/>
    </row>
    <row r="6" spans="1:12">
      <c r="A6" s="8" t="str">
        <f t="shared" si="0"/>
        <v>1 - Alta</v>
      </c>
      <c r="B6" s="8" t="s">
        <v>42</v>
      </c>
      <c r="C6" s="8" t="s">
        <v>13</v>
      </c>
      <c r="D6" s="8" t="s">
        <v>43</v>
      </c>
      <c r="E6" s="9">
        <v>49978385.700000003</v>
      </c>
      <c r="F6" s="8" t="s">
        <v>44</v>
      </c>
      <c r="G6" s="8" t="s">
        <v>45</v>
      </c>
      <c r="H6" s="8" t="s">
        <v>46</v>
      </c>
      <c r="I6" s="8"/>
      <c r="J6" s="8"/>
      <c r="K6" s="8" t="s">
        <v>47</v>
      </c>
      <c r="L6" s="8"/>
    </row>
    <row r="7" spans="1:12" ht="28">
      <c r="A7" s="8" t="str">
        <f t="shared" si="0"/>
        <v>1 - Alta</v>
      </c>
      <c r="B7" s="8" t="s">
        <v>48</v>
      </c>
      <c r="C7" s="8" t="s">
        <v>29</v>
      </c>
      <c r="D7" s="8" t="s">
        <v>49</v>
      </c>
      <c r="E7" s="9">
        <v>42351061.869999997</v>
      </c>
      <c r="F7" s="8" t="s">
        <v>50</v>
      </c>
      <c r="G7" s="8" t="s">
        <v>51</v>
      </c>
      <c r="H7" s="10" t="s">
        <v>52</v>
      </c>
      <c r="I7" s="8"/>
      <c r="J7" s="8"/>
      <c r="K7" s="8" t="s">
        <v>53</v>
      </c>
      <c r="L7" s="8"/>
    </row>
    <row r="8" spans="1:12" ht="28">
      <c r="A8" s="8" t="str">
        <f t="shared" si="0"/>
        <v>1 - Alta</v>
      </c>
      <c r="B8" s="8" t="s">
        <v>54</v>
      </c>
      <c r="C8" s="8" t="s">
        <v>22</v>
      </c>
      <c r="D8" s="8" t="s">
        <v>55</v>
      </c>
      <c r="E8" s="9">
        <v>41585713.479999997</v>
      </c>
      <c r="F8" s="8" t="s">
        <v>56</v>
      </c>
      <c r="G8" s="8" t="s">
        <v>57</v>
      </c>
      <c r="H8" s="8" t="s">
        <v>58</v>
      </c>
      <c r="I8" s="8" t="s">
        <v>59</v>
      </c>
      <c r="J8" s="10" t="s">
        <v>60</v>
      </c>
      <c r="K8" s="8" t="s">
        <v>61</v>
      </c>
      <c r="L8" s="8" t="s">
        <v>62</v>
      </c>
    </row>
    <row r="9" spans="1:12">
      <c r="A9" s="8" t="str">
        <f t="shared" si="0"/>
        <v>1 - Alta</v>
      </c>
      <c r="B9" s="8" t="s">
        <v>63</v>
      </c>
      <c r="C9" s="8" t="s">
        <v>36</v>
      </c>
      <c r="D9" s="8" t="s">
        <v>37</v>
      </c>
      <c r="E9" s="9">
        <v>41551329.789999999</v>
      </c>
      <c r="F9" s="8" t="s">
        <v>64</v>
      </c>
      <c r="G9" s="8" t="s">
        <v>65</v>
      </c>
      <c r="H9" s="8" t="s">
        <v>66</v>
      </c>
      <c r="I9" s="8"/>
      <c r="J9" s="8"/>
      <c r="K9" s="8" t="s">
        <v>67</v>
      </c>
      <c r="L9" s="8"/>
    </row>
    <row r="10" spans="1:12">
      <c r="A10" s="8" t="str">
        <f t="shared" si="0"/>
        <v>1 - Alta</v>
      </c>
      <c r="B10" s="8" t="s">
        <v>68</v>
      </c>
      <c r="C10" s="8" t="s">
        <v>36</v>
      </c>
      <c r="D10" s="8" t="s">
        <v>37</v>
      </c>
      <c r="E10" s="9">
        <v>34929674.229999997</v>
      </c>
      <c r="F10" s="8" t="s">
        <v>69</v>
      </c>
      <c r="G10" s="8" t="s">
        <v>70</v>
      </c>
      <c r="H10" s="8" t="s">
        <v>71</v>
      </c>
      <c r="I10" s="8"/>
      <c r="J10" s="8"/>
      <c r="K10" s="8" t="s">
        <v>72</v>
      </c>
      <c r="L10" s="8"/>
    </row>
    <row r="11" spans="1:12">
      <c r="A11" s="8" t="str">
        <f t="shared" si="0"/>
        <v>1 - Alta</v>
      </c>
      <c r="B11" s="8" t="s">
        <v>73</v>
      </c>
      <c r="C11" s="8" t="s">
        <v>74</v>
      </c>
      <c r="D11" s="8" t="s">
        <v>75</v>
      </c>
      <c r="E11" s="9">
        <v>33790064.049999997</v>
      </c>
      <c r="F11" s="8" t="s">
        <v>76</v>
      </c>
      <c r="G11" s="8" t="s">
        <v>77</v>
      </c>
      <c r="H11" s="8" t="s">
        <v>78</v>
      </c>
      <c r="I11" s="8"/>
      <c r="J11" s="8"/>
      <c r="K11" s="8" t="s">
        <v>79</v>
      </c>
      <c r="L11" s="8"/>
    </row>
    <row r="12" spans="1:12" ht="28">
      <c r="A12" s="8" t="str">
        <f t="shared" si="0"/>
        <v>1 - Alta</v>
      </c>
      <c r="B12" s="8" t="s">
        <v>80</v>
      </c>
      <c r="C12" s="8" t="s">
        <v>29</v>
      </c>
      <c r="D12" s="8" t="s">
        <v>81</v>
      </c>
      <c r="E12" s="9">
        <v>30614105.079999998</v>
      </c>
      <c r="F12" s="8" t="s">
        <v>82</v>
      </c>
      <c r="G12" s="8" t="s">
        <v>83</v>
      </c>
      <c r="H12" s="8" t="s">
        <v>84</v>
      </c>
      <c r="I12" s="8" t="s">
        <v>85</v>
      </c>
      <c r="J12" s="8" t="s">
        <v>86</v>
      </c>
      <c r="K12" s="8" t="s">
        <v>87</v>
      </c>
      <c r="L12" s="8"/>
    </row>
    <row r="13" spans="1:12" ht="28">
      <c r="A13" s="11" t="str">
        <f t="shared" si="0"/>
        <v>1 - Alta</v>
      </c>
      <c r="B13" s="11" t="s">
        <v>88</v>
      </c>
      <c r="C13" s="11" t="s">
        <v>89</v>
      </c>
      <c r="D13" s="11" t="s">
        <v>90</v>
      </c>
      <c r="E13" s="12">
        <v>28910597.800000001</v>
      </c>
      <c r="F13" s="11" t="s">
        <v>91</v>
      </c>
      <c r="G13" s="11"/>
      <c r="H13" s="11" t="s">
        <v>92</v>
      </c>
      <c r="I13" s="11"/>
      <c r="J13" s="11"/>
      <c r="K13" s="11" t="s">
        <v>93</v>
      </c>
      <c r="L13" s="11"/>
    </row>
    <row r="14" spans="1:12">
      <c r="A14" s="8" t="str">
        <f t="shared" si="0"/>
        <v>1 - Alta</v>
      </c>
      <c r="B14" s="8" t="s">
        <v>94</v>
      </c>
      <c r="C14" s="8" t="s">
        <v>95</v>
      </c>
      <c r="D14" s="8" t="s">
        <v>96</v>
      </c>
      <c r="E14" s="9">
        <v>26993751.68</v>
      </c>
      <c r="F14" s="8" t="s">
        <v>97</v>
      </c>
      <c r="G14" s="8" t="s">
        <v>98</v>
      </c>
      <c r="H14" s="8" t="s">
        <v>99</v>
      </c>
      <c r="I14" s="8"/>
      <c r="J14" s="8"/>
      <c r="K14" s="8" t="s">
        <v>100</v>
      </c>
      <c r="L14" s="8"/>
    </row>
    <row r="15" spans="1:12" ht="28">
      <c r="A15" s="8" t="str">
        <f t="shared" si="0"/>
        <v>1 - Alta</v>
      </c>
      <c r="B15" s="8" t="s">
        <v>101</v>
      </c>
      <c r="C15" s="8" t="s">
        <v>102</v>
      </c>
      <c r="D15" s="8" t="s">
        <v>103</v>
      </c>
      <c r="E15" s="9">
        <v>25947689.600000001</v>
      </c>
      <c r="F15" s="8" t="s">
        <v>104</v>
      </c>
      <c r="G15" s="8" t="s">
        <v>105</v>
      </c>
      <c r="H15" s="8" t="s">
        <v>106</v>
      </c>
      <c r="I15" s="8" t="s">
        <v>104</v>
      </c>
      <c r="J15" s="8" t="s">
        <v>106</v>
      </c>
      <c r="K15" s="8" t="s">
        <v>107</v>
      </c>
      <c r="L15" s="8"/>
    </row>
    <row r="16" spans="1:12" ht="32">
      <c r="A16" s="8" t="str">
        <f t="shared" si="0"/>
        <v>1 - Alta</v>
      </c>
      <c r="B16" s="8" t="s">
        <v>108</v>
      </c>
      <c r="C16" s="8" t="s">
        <v>22</v>
      </c>
      <c r="D16" s="8" t="s">
        <v>37</v>
      </c>
      <c r="E16" s="9">
        <v>25597812.800000001</v>
      </c>
      <c r="F16" s="8" t="s">
        <v>109</v>
      </c>
      <c r="G16" s="8" t="s">
        <v>110</v>
      </c>
      <c r="H16" s="10" t="s">
        <v>111</v>
      </c>
      <c r="I16" s="8"/>
      <c r="J16" s="8"/>
      <c r="K16" s="8" t="s">
        <v>112</v>
      </c>
      <c r="L16" s="8"/>
    </row>
    <row r="17" spans="1:12" ht="16">
      <c r="A17" s="8" t="str">
        <f t="shared" si="0"/>
        <v>1 - Alta</v>
      </c>
      <c r="B17" s="8" t="s">
        <v>113</v>
      </c>
      <c r="C17" s="8" t="s">
        <v>36</v>
      </c>
      <c r="D17" s="8" t="s">
        <v>114</v>
      </c>
      <c r="E17" s="9">
        <v>23307564.609999999</v>
      </c>
      <c r="F17" s="8" t="s">
        <v>115</v>
      </c>
      <c r="G17" s="8" t="s">
        <v>116</v>
      </c>
      <c r="H17" s="10" t="s">
        <v>117</v>
      </c>
      <c r="I17" s="8"/>
      <c r="J17" s="8"/>
      <c r="K17" s="8" t="s">
        <v>118</v>
      </c>
      <c r="L17" s="8" t="s">
        <v>119</v>
      </c>
    </row>
    <row r="18" spans="1:12" ht="28">
      <c r="A18" s="2" t="str">
        <f t="shared" si="0"/>
        <v>1 - Alta</v>
      </c>
      <c r="B18" s="2" t="s">
        <v>120</v>
      </c>
      <c r="C18" s="2" t="s">
        <v>121</v>
      </c>
      <c r="D18" s="2" t="s">
        <v>122</v>
      </c>
      <c r="E18" s="3">
        <v>21580453.960000001</v>
      </c>
      <c r="F18" s="2" t="s">
        <v>123</v>
      </c>
      <c r="G18" s="2" t="s">
        <v>124</v>
      </c>
      <c r="H18" s="7" t="s">
        <v>125</v>
      </c>
      <c r="I18" s="2"/>
      <c r="J18" s="2"/>
      <c r="K18" s="2" t="s">
        <v>126</v>
      </c>
      <c r="L18" s="2"/>
    </row>
    <row r="19" spans="1:12">
      <c r="A19" s="2" t="str">
        <f t="shared" si="0"/>
        <v>1 - Alta</v>
      </c>
      <c r="B19" s="2" t="s">
        <v>127</v>
      </c>
      <c r="C19" s="2" t="s">
        <v>13</v>
      </c>
      <c r="D19" s="2" t="s">
        <v>128</v>
      </c>
      <c r="E19" s="3">
        <v>20319561.789999999</v>
      </c>
      <c r="F19" s="2" t="s">
        <v>129</v>
      </c>
      <c r="G19" s="2" t="s">
        <v>130</v>
      </c>
      <c r="H19" s="2" t="s">
        <v>131</v>
      </c>
      <c r="I19" s="2"/>
      <c r="J19" s="2"/>
      <c r="K19" s="2" t="s">
        <v>132</v>
      </c>
      <c r="L19" s="2"/>
    </row>
    <row r="20" spans="1:12" ht="28">
      <c r="A20" s="2" t="str">
        <f t="shared" si="0"/>
        <v>2 - Media</v>
      </c>
      <c r="B20" s="2" t="s">
        <v>133</v>
      </c>
      <c r="C20" s="2" t="s">
        <v>13</v>
      </c>
      <c r="D20" s="2" t="s">
        <v>134</v>
      </c>
      <c r="E20" s="3">
        <v>19923867.210000001</v>
      </c>
      <c r="F20" s="2" t="s">
        <v>135</v>
      </c>
      <c r="G20" s="2" t="s">
        <v>136</v>
      </c>
      <c r="H20" s="2" t="s">
        <v>137</v>
      </c>
      <c r="I20" s="2"/>
      <c r="J20" s="2"/>
      <c r="K20" s="2" t="s">
        <v>138</v>
      </c>
      <c r="L20" s="2"/>
    </row>
    <row r="21" spans="1:12">
      <c r="A21" s="2" t="str">
        <f t="shared" si="0"/>
        <v>2 - Media</v>
      </c>
      <c r="B21" s="2" t="s">
        <v>139</v>
      </c>
      <c r="C21" s="2" t="s">
        <v>95</v>
      </c>
      <c r="D21" s="2" t="s">
        <v>140</v>
      </c>
      <c r="E21" s="3">
        <v>18955360.059999999</v>
      </c>
      <c r="F21" s="2" t="s">
        <v>141</v>
      </c>
      <c r="G21" s="2" t="s">
        <v>142</v>
      </c>
      <c r="H21" s="2" t="s">
        <v>143</v>
      </c>
      <c r="I21" s="2"/>
      <c r="J21" s="2"/>
      <c r="K21" s="2" t="s">
        <v>144</v>
      </c>
      <c r="L21" s="2"/>
    </row>
    <row r="22" spans="1:12" ht="28">
      <c r="A22" s="2" t="str">
        <f t="shared" si="0"/>
        <v>2 - Media</v>
      </c>
      <c r="B22" s="2" t="s">
        <v>145</v>
      </c>
      <c r="C22" s="2" t="s">
        <v>146</v>
      </c>
      <c r="D22" s="2" t="s">
        <v>147</v>
      </c>
      <c r="E22" s="3">
        <v>18942814.850000001</v>
      </c>
      <c r="F22" s="2" t="s">
        <v>148</v>
      </c>
      <c r="G22" s="2"/>
      <c r="H22" s="2" t="s">
        <v>149</v>
      </c>
      <c r="I22" s="2"/>
      <c r="J22" s="2"/>
      <c r="K22" s="2" t="s">
        <v>150</v>
      </c>
      <c r="L22" s="2" t="s">
        <v>151</v>
      </c>
    </row>
    <row r="23" spans="1:12">
      <c r="A23" s="2" t="str">
        <f t="shared" si="0"/>
        <v>2 - Media</v>
      </c>
      <c r="B23" s="2" t="s">
        <v>152</v>
      </c>
      <c r="C23" s="2" t="s">
        <v>36</v>
      </c>
      <c r="D23" s="2" t="s">
        <v>37</v>
      </c>
      <c r="E23" s="3">
        <v>18852725.859999999</v>
      </c>
      <c r="F23" s="2" t="s">
        <v>153</v>
      </c>
      <c r="G23" s="2" t="s">
        <v>154</v>
      </c>
      <c r="H23" s="2" t="s">
        <v>155</v>
      </c>
      <c r="I23" s="2"/>
      <c r="J23" s="2"/>
      <c r="K23" s="2" t="s">
        <v>156</v>
      </c>
      <c r="L23" s="2"/>
    </row>
    <row r="24" spans="1:12">
      <c r="A24" s="2" t="str">
        <f t="shared" si="0"/>
        <v>2 - Media</v>
      </c>
      <c r="B24" s="2" t="s">
        <v>157</v>
      </c>
      <c r="C24" s="2" t="s">
        <v>29</v>
      </c>
      <c r="D24" s="2" t="s">
        <v>158</v>
      </c>
      <c r="E24" s="3">
        <v>16982012.059999999</v>
      </c>
      <c r="F24" s="2" t="s">
        <v>159</v>
      </c>
      <c r="G24" s="2" t="s">
        <v>160</v>
      </c>
      <c r="H24" s="2" t="s">
        <v>161</v>
      </c>
      <c r="I24" s="2" t="s">
        <v>162</v>
      </c>
      <c r="J24" s="2" t="s">
        <v>163</v>
      </c>
      <c r="K24" s="2" t="s">
        <v>164</v>
      </c>
      <c r="L24" s="2"/>
    </row>
    <row r="25" spans="1:12" ht="28">
      <c r="A25" s="2" t="str">
        <f t="shared" si="0"/>
        <v>2 - Media</v>
      </c>
      <c r="B25" s="2" t="s">
        <v>165</v>
      </c>
      <c r="C25" s="2" t="s">
        <v>29</v>
      </c>
      <c r="D25" s="2" t="s">
        <v>166</v>
      </c>
      <c r="E25" s="3">
        <v>16754304.27</v>
      </c>
      <c r="F25" s="2" t="s">
        <v>167</v>
      </c>
      <c r="G25" s="2" t="s">
        <v>168</v>
      </c>
      <c r="H25" s="2" t="s">
        <v>169</v>
      </c>
      <c r="I25" s="2" t="s">
        <v>170</v>
      </c>
      <c r="J25" s="2" t="s">
        <v>171</v>
      </c>
      <c r="K25" s="2" t="s">
        <v>172</v>
      </c>
      <c r="L25" s="2"/>
    </row>
    <row r="26" spans="1:12">
      <c r="A26" s="2" t="str">
        <f t="shared" si="0"/>
        <v>2 - Media</v>
      </c>
      <c r="B26" s="2" t="s">
        <v>173</v>
      </c>
      <c r="C26" s="2" t="s">
        <v>74</v>
      </c>
      <c r="D26" s="2" t="s">
        <v>174</v>
      </c>
      <c r="E26" s="3">
        <v>16126681.73</v>
      </c>
      <c r="F26" s="2" t="s">
        <v>175</v>
      </c>
      <c r="G26" s="2" t="s">
        <v>176</v>
      </c>
      <c r="H26" s="2" t="s">
        <v>177</v>
      </c>
      <c r="I26" s="2"/>
      <c r="J26" s="2"/>
      <c r="K26" s="2" t="s">
        <v>178</v>
      </c>
      <c r="L26" s="2"/>
    </row>
    <row r="27" spans="1:12" ht="28">
      <c r="A27" s="2" t="str">
        <f t="shared" si="0"/>
        <v>2 - Media</v>
      </c>
      <c r="B27" s="2" t="s">
        <v>179</v>
      </c>
      <c r="C27" s="2" t="s">
        <v>180</v>
      </c>
      <c r="D27" s="2" t="s">
        <v>181</v>
      </c>
      <c r="E27" s="3">
        <v>15719364.43</v>
      </c>
      <c r="F27" s="2" t="s">
        <v>182</v>
      </c>
      <c r="G27" s="2" t="s">
        <v>183</v>
      </c>
      <c r="H27" s="2" t="s">
        <v>184</v>
      </c>
      <c r="I27" s="2" t="s">
        <v>182</v>
      </c>
      <c r="J27" s="2" t="s">
        <v>184</v>
      </c>
      <c r="K27" s="2" t="s">
        <v>185</v>
      </c>
      <c r="L27" s="2"/>
    </row>
    <row r="28" spans="1:12">
      <c r="A28" s="2" t="str">
        <f t="shared" si="0"/>
        <v>2 - Media</v>
      </c>
      <c r="B28" s="2" t="s">
        <v>186</v>
      </c>
      <c r="C28" s="2" t="s">
        <v>13</v>
      </c>
      <c r="D28" s="2" t="s">
        <v>187</v>
      </c>
      <c r="E28" s="3">
        <v>15366900.539999999</v>
      </c>
      <c r="F28" s="2" t="s">
        <v>188</v>
      </c>
      <c r="G28" s="2" t="s">
        <v>189</v>
      </c>
      <c r="H28" s="2" t="s">
        <v>190</v>
      </c>
      <c r="I28" s="2"/>
      <c r="J28" s="2"/>
      <c r="K28" s="2" t="s">
        <v>191</v>
      </c>
      <c r="L28" s="2"/>
    </row>
    <row r="29" spans="1:12">
      <c r="A29" s="2" t="str">
        <f t="shared" si="0"/>
        <v>2 - Media</v>
      </c>
      <c r="B29" s="2" t="s">
        <v>192</v>
      </c>
      <c r="C29" s="2" t="s">
        <v>13</v>
      </c>
      <c r="D29" s="2" t="s">
        <v>37</v>
      </c>
      <c r="E29" s="3">
        <v>15062413.699999999</v>
      </c>
      <c r="F29" s="2" t="s">
        <v>193</v>
      </c>
      <c r="G29" s="2" t="s">
        <v>194</v>
      </c>
      <c r="H29" s="2" t="s">
        <v>195</v>
      </c>
      <c r="I29" s="2"/>
      <c r="J29" s="2"/>
      <c r="K29" s="2" t="s">
        <v>196</v>
      </c>
      <c r="L29" s="2"/>
    </row>
    <row r="30" spans="1:12" ht="28">
      <c r="A30" s="2" t="str">
        <f t="shared" si="0"/>
        <v>2 - Media</v>
      </c>
      <c r="B30" s="2" t="s">
        <v>197</v>
      </c>
      <c r="C30" s="2" t="s">
        <v>102</v>
      </c>
      <c r="D30" s="2" t="s">
        <v>55</v>
      </c>
      <c r="E30" s="3">
        <v>14637546.99</v>
      </c>
      <c r="F30" s="2" t="s">
        <v>198</v>
      </c>
      <c r="G30" s="2" t="s">
        <v>199</v>
      </c>
      <c r="H30" s="2" t="s">
        <v>200</v>
      </c>
      <c r="I30" s="2" t="s">
        <v>201</v>
      </c>
      <c r="J30" s="2" t="s">
        <v>202</v>
      </c>
      <c r="K30" s="2" t="s">
        <v>203</v>
      </c>
      <c r="L30" s="2"/>
    </row>
    <row r="31" spans="1:12" ht="28">
      <c r="A31" s="2" t="str">
        <f t="shared" si="0"/>
        <v>2 - Media</v>
      </c>
      <c r="B31" s="2" t="s">
        <v>204</v>
      </c>
      <c r="C31" s="2" t="s">
        <v>22</v>
      </c>
      <c r="D31" s="2" t="s">
        <v>205</v>
      </c>
      <c r="E31" s="3">
        <v>14415253.1</v>
      </c>
      <c r="F31" s="2" t="s">
        <v>206</v>
      </c>
      <c r="G31" s="2" t="s">
        <v>207</v>
      </c>
      <c r="H31" s="2" t="s">
        <v>208</v>
      </c>
      <c r="I31" s="2"/>
      <c r="J31" s="2"/>
      <c r="K31" s="2" t="s">
        <v>209</v>
      </c>
      <c r="L31" s="2" t="s">
        <v>210</v>
      </c>
    </row>
    <row r="32" spans="1:12" ht="28">
      <c r="A32" s="2" t="str">
        <f t="shared" si="0"/>
        <v>2 - Media</v>
      </c>
      <c r="B32" s="2" t="s">
        <v>211</v>
      </c>
      <c r="C32" s="2" t="s">
        <v>29</v>
      </c>
      <c r="D32" s="2" t="s">
        <v>166</v>
      </c>
      <c r="E32" s="3">
        <v>13980872.550000001</v>
      </c>
      <c r="F32" s="2" t="s">
        <v>212</v>
      </c>
      <c r="G32" s="2" t="s">
        <v>213</v>
      </c>
      <c r="H32" s="2" t="s">
        <v>214</v>
      </c>
      <c r="I32" s="2" t="s">
        <v>215</v>
      </c>
      <c r="J32" s="2" t="s">
        <v>216</v>
      </c>
      <c r="K32" s="2" t="s">
        <v>217</v>
      </c>
      <c r="L32" s="2"/>
    </row>
    <row r="33" spans="1:12" ht="28">
      <c r="A33" s="2" t="str">
        <f t="shared" si="0"/>
        <v>2 - Media</v>
      </c>
      <c r="B33" s="2" t="s">
        <v>218</v>
      </c>
      <c r="C33" s="2" t="s">
        <v>102</v>
      </c>
      <c r="D33" s="2" t="s">
        <v>219</v>
      </c>
      <c r="E33" s="3">
        <v>13867156.050000001</v>
      </c>
      <c r="F33" s="2" t="s">
        <v>220</v>
      </c>
      <c r="G33" s="2" t="s">
        <v>221</v>
      </c>
      <c r="H33" s="7" t="s">
        <v>222</v>
      </c>
      <c r="I33" s="2" t="s">
        <v>220</v>
      </c>
      <c r="J33" s="2" t="s">
        <v>222</v>
      </c>
      <c r="K33" s="2" t="s">
        <v>223</v>
      </c>
      <c r="L33" s="2"/>
    </row>
    <row r="34" spans="1:12">
      <c r="A34" s="2" t="str">
        <f t="shared" ref="A34:A65" si="1">IF(E34&gt;=20000000,"1 - Alta",IF(E34&gt;=5000000,"2 - Media","3 - Baja"))</f>
        <v>2 - Media</v>
      </c>
      <c r="B34" s="2" t="s">
        <v>224</v>
      </c>
      <c r="C34" s="2" t="s">
        <v>22</v>
      </c>
      <c r="D34" s="2" t="s">
        <v>225</v>
      </c>
      <c r="E34" s="3">
        <v>13363694.99</v>
      </c>
      <c r="F34" s="2" t="s">
        <v>226</v>
      </c>
      <c r="G34" s="2" t="s">
        <v>227</v>
      </c>
      <c r="H34" s="2" t="s">
        <v>228</v>
      </c>
      <c r="I34" s="2"/>
      <c r="J34" s="2"/>
      <c r="K34" s="2" t="s">
        <v>229</v>
      </c>
      <c r="L34" s="2" t="s">
        <v>230</v>
      </c>
    </row>
    <row r="35" spans="1:12">
      <c r="A35" s="2" t="str">
        <f t="shared" si="1"/>
        <v>2 - Media</v>
      </c>
      <c r="B35" s="2" t="s">
        <v>231</v>
      </c>
      <c r="C35" s="2" t="s">
        <v>74</v>
      </c>
      <c r="D35" s="2" t="s">
        <v>232</v>
      </c>
      <c r="E35" s="3">
        <v>13200145.82</v>
      </c>
      <c r="F35" s="2" t="s">
        <v>233</v>
      </c>
      <c r="G35" s="2" t="s">
        <v>234</v>
      </c>
      <c r="H35" s="2" t="s">
        <v>235</v>
      </c>
      <c r="I35" s="2" t="s">
        <v>233</v>
      </c>
      <c r="J35" s="2" t="s">
        <v>235</v>
      </c>
      <c r="K35" s="2" t="s">
        <v>236</v>
      </c>
      <c r="L35" s="2"/>
    </row>
    <row r="36" spans="1:12" ht="28">
      <c r="A36" s="2" t="str">
        <f t="shared" si="1"/>
        <v>2 - Media</v>
      </c>
      <c r="B36" s="2" t="s">
        <v>237</v>
      </c>
      <c r="C36" s="2" t="s">
        <v>22</v>
      </c>
      <c r="D36" s="2" t="s">
        <v>238</v>
      </c>
      <c r="E36" s="3">
        <v>12627725.050000001</v>
      </c>
      <c r="F36" s="2" t="s">
        <v>239</v>
      </c>
      <c r="G36" s="2"/>
      <c r="H36" s="2" t="s">
        <v>240</v>
      </c>
      <c r="I36" s="2"/>
      <c r="J36" s="2"/>
      <c r="K36" s="2" t="s">
        <v>241</v>
      </c>
      <c r="L36" s="2" t="s">
        <v>242</v>
      </c>
    </row>
    <row r="37" spans="1:12">
      <c r="A37" s="2" t="str">
        <f t="shared" si="1"/>
        <v>2 - Media</v>
      </c>
      <c r="B37" s="2" t="s">
        <v>243</v>
      </c>
      <c r="C37" s="2" t="s">
        <v>36</v>
      </c>
      <c r="D37" s="2" t="s">
        <v>37</v>
      </c>
      <c r="E37" s="3">
        <v>12197451.279999999</v>
      </c>
      <c r="F37" s="2" t="s">
        <v>244</v>
      </c>
      <c r="G37" s="2" t="s">
        <v>245</v>
      </c>
      <c r="H37" s="2" t="s">
        <v>246</v>
      </c>
      <c r="I37" s="2"/>
      <c r="J37" s="2"/>
      <c r="K37" s="2" t="s">
        <v>156</v>
      </c>
      <c r="L37" s="2"/>
    </row>
    <row r="38" spans="1:12">
      <c r="A38" s="2" t="str">
        <f t="shared" si="1"/>
        <v>2 - Media</v>
      </c>
      <c r="B38" s="2" t="s">
        <v>247</v>
      </c>
      <c r="C38" s="2" t="s">
        <v>102</v>
      </c>
      <c r="D38" s="2" t="s">
        <v>248</v>
      </c>
      <c r="E38" s="3">
        <v>11703720.35</v>
      </c>
      <c r="F38" s="2" t="s">
        <v>249</v>
      </c>
      <c r="G38" s="2" t="s">
        <v>250</v>
      </c>
      <c r="H38" s="2" t="s">
        <v>251</v>
      </c>
      <c r="I38" s="2" t="s">
        <v>252</v>
      </c>
      <c r="J38" s="2" t="s">
        <v>253</v>
      </c>
      <c r="K38" s="2" t="s">
        <v>254</v>
      </c>
      <c r="L38" s="2"/>
    </row>
    <row r="39" spans="1:12" ht="28">
      <c r="A39" s="2" t="str">
        <f t="shared" si="1"/>
        <v>2 - Media</v>
      </c>
      <c r="B39" s="2" t="s">
        <v>255</v>
      </c>
      <c r="C39" s="2" t="s">
        <v>121</v>
      </c>
      <c r="D39" s="2" t="s">
        <v>90</v>
      </c>
      <c r="E39" s="3">
        <v>11562694.01</v>
      </c>
      <c r="F39" s="2" t="s">
        <v>91</v>
      </c>
      <c r="G39" s="2"/>
      <c r="H39" s="2" t="s">
        <v>92</v>
      </c>
      <c r="I39" s="2"/>
      <c r="J39" s="2"/>
      <c r="K39" s="2" t="s">
        <v>256</v>
      </c>
      <c r="L39" s="2" t="s">
        <v>257</v>
      </c>
    </row>
    <row r="40" spans="1:12">
      <c r="A40" s="2" t="str">
        <f t="shared" si="1"/>
        <v>2 - Media</v>
      </c>
      <c r="B40" s="2" t="s">
        <v>258</v>
      </c>
      <c r="C40" s="2" t="s">
        <v>13</v>
      </c>
      <c r="D40" s="2" t="s">
        <v>259</v>
      </c>
      <c r="E40" s="3">
        <v>11386654.050000001</v>
      </c>
      <c r="F40" s="2" t="s">
        <v>260</v>
      </c>
      <c r="G40" s="2" t="s">
        <v>261</v>
      </c>
      <c r="H40" s="2" t="s">
        <v>262</v>
      </c>
      <c r="I40" s="2"/>
      <c r="J40" s="2"/>
      <c r="K40" s="2" t="s">
        <v>263</v>
      </c>
      <c r="L40" s="2" t="s">
        <v>264</v>
      </c>
    </row>
    <row r="41" spans="1:12" ht="28">
      <c r="A41" s="2" t="str">
        <f t="shared" si="1"/>
        <v>2 - Media</v>
      </c>
      <c r="B41" s="2" t="s">
        <v>265</v>
      </c>
      <c r="C41" s="2" t="s">
        <v>22</v>
      </c>
      <c r="D41" s="2" t="s">
        <v>266</v>
      </c>
      <c r="E41" s="3">
        <v>11285453.82</v>
      </c>
      <c r="F41" s="2" t="s">
        <v>267</v>
      </c>
      <c r="G41" s="2" t="s">
        <v>268</v>
      </c>
      <c r="H41" s="2" t="s">
        <v>269</v>
      </c>
      <c r="I41" s="2" t="s">
        <v>270</v>
      </c>
      <c r="J41" s="2" t="s">
        <v>271</v>
      </c>
      <c r="K41" s="2" t="s">
        <v>272</v>
      </c>
      <c r="L41" s="2" t="s">
        <v>273</v>
      </c>
    </row>
    <row r="42" spans="1:12">
      <c r="A42" s="2" t="str">
        <f t="shared" si="1"/>
        <v>2 - Media</v>
      </c>
      <c r="B42" s="2" t="s">
        <v>274</v>
      </c>
      <c r="C42" s="2" t="s">
        <v>22</v>
      </c>
      <c r="D42" s="2" t="s">
        <v>275</v>
      </c>
      <c r="E42" s="3">
        <v>11074440.52</v>
      </c>
      <c r="F42" s="2" t="s">
        <v>276</v>
      </c>
      <c r="G42" s="2" t="s">
        <v>277</v>
      </c>
      <c r="H42" s="2" t="s">
        <v>278</v>
      </c>
      <c r="I42" s="2"/>
      <c r="J42" s="2"/>
      <c r="K42" s="2" t="s">
        <v>279</v>
      </c>
      <c r="L42" s="2"/>
    </row>
    <row r="43" spans="1:12" ht="28">
      <c r="A43" s="2" t="str">
        <f t="shared" si="1"/>
        <v>2 - Media</v>
      </c>
      <c r="B43" s="2" t="s">
        <v>280</v>
      </c>
      <c r="C43" s="2" t="s">
        <v>102</v>
      </c>
      <c r="D43" s="2" t="s">
        <v>281</v>
      </c>
      <c r="E43" s="3">
        <v>10698644.66</v>
      </c>
      <c r="F43" s="2" t="s">
        <v>282</v>
      </c>
      <c r="G43" s="2" t="s">
        <v>283</v>
      </c>
      <c r="H43" s="2" t="s">
        <v>284</v>
      </c>
      <c r="I43" s="2" t="s">
        <v>285</v>
      </c>
      <c r="J43" s="2" t="s">
        <v>286</v>
      </c>
      <c r="K43" s="2" t="s">
        <v>287</v>
      </c>
      <c r="L43" s="2"/>
    </row>
    <row r="44" spans="1:12">
      <c r="A44" s="2" t="str">
        <f t="shared" si="1"/>
        <v>2 - Media</v>
      </c>
      <c r="B44" s="2" t="s">
        <v>288</v>
      </c>
      <c r="C44" s="2" t="s">
        <v>13</v>
      </c>
      <c r="D44" s="2" t="s">
        <v>55</v>
      </c>
      <c r="E44" s="3">
        <v>10670714.68</v>
      </c>
      <c r="F44" s="2" t="s">
        <v>289</v>
      </c>
      <c r="G44" s="2" t="s">
        <v>290</v>
      </c>
      <c r="H44" s="2" t="s">
        <v>291</v>
      </c>
      <c r="I44" s="2"/>
      <c r="J44" s="2"/>
      <c r="K44" s="2" t="s">
        <v>292</v>
      </c>
      <c r="L44" s="2"/>
    </row>
    <row r="45" spans="1:12">
      <c r="A45" s="2" t="str">
        <f t="shared" si="1"/>
        <v>2 - Media</v>
      </c>
      <c r="B45" s="2" t="s">
        <v>293</v>
      </c>
      <c r="C45" s="2" t="s">
        <v>13</v>
      </c>
      <c r="D45" s="2" t="s">
        <v>294</v>
      </c>
      <c r="E45" s="3">
        <v>10270117.77</v>
      </c>
      <c r="F45" s="2" t="s">
        <v>295</v>
      </c>
      <c r="G45" s="2" t="s">
        <v>296</v>
      </c>
      <c r="H45" s="2" t="s">
        <v>297</v>
      </c>
      <c r="I45" s="2" t="s">
        <v>298</v>
      </c>
      <c r="J45" s="2" t="s">
        <v>299</v>
      </c>
      <c r="K45" s="2" t="s">
        <v>300</v>
      </c>
      <c r="L45" s="2"/>
    </row>
    <row r="46" spans="1:12">
      <c r="A46" s="2" t="str">
        <f t="shared" si="1"/>
        <v>2 - Media</v>
      </c>
      <c r="B46" s="2" t="s">
        <v>301</v>
      </c>
      <c r="C46" s="2" t="s">
        <v>13</v>
      </c>
      <c r="D46" s="2" t="s">
        <v>37</v>
      </c>
      <c r="E46" s="3">
        <v>9713730.5800000001</v>
      </c>
      <c r="F46" s="2" t="s">
        <v>302</v>
      </c>
      <c r="G46" s="2" t="s">
        <v>303</v>
      </c>
      <c r="H46" s="2" t="s">
        <v>304</v>
      </c>
      <c r="I46" s="2"/>
      <c r="J46" s="2"/>
      <c r="K46" s="2" t="s">
        <v>305</v>
      </c>
      <c r="L46" s="2"/>
    </row>
    <row r="47" spans="1:12" ht="28">
      <c r="A47" s="2" t="str">
        <f t="shared" si="1"/>
        <v>2 - Media</v>
      </c>
      <c r="B47" s="2" t="s">
        <v>306</v>
      </c>
      <c r="C47" s="2" t="s">
        <v>74</v>
      </c>
      <c r="D47" s="2" t="s">
        <v>307</v>
      </c>
      <c r="E47" s="3">
        <v>9468942.2599999998</v>
      </c>
      <c r="F47" s="2" t="s">
        <v>308</v>
      </c>
      <c r="G47" s="2" t="s">
        <v>309</v>
      </c>
      <c r="H47" s="2" t="s">
        <v>310</v>
      </c>
      <c r="I47" s="2" t="s">
        <v>308</v>
      </c>
      <c r="J47" s="2" t="s">
        <v>310</v>
      </c>
      <c r="K47" s="2" t="s">
        <v>311</v>
      </c>
      <c r="L47" s="2"/>
    </row>
    <row r="48" spans="1:12" ht="28">
      <c r="A48" s="2" t="str">
        <f t="shared" si="1"/>
        <v>2 - Media</v>
      </c>
      <c r="B48" s="2" t="s">
        <v>312</v>
      </c>
      <c r="C48" s="2" t="s">
        <v>74</v>
      </c>
      <c r="D48" s="2" t="s">
        <v>313</v>
      </c>
      <c r="E48" s="3">
        <v>9330076.5</v>
      </c>
      <c r="F48" s="2" t="s">
        <v>314</v>
      </c>
      <c r="G48" s="2"/>
      <c r="H48" s="2" t="s">
        <v>315</v>
      </c>
      <c r="I48" s="2" t="s">
        <v>316</v>
      </c>
      <c r="J48" s="2" t="s">
        <v>317</v>
      </c>
      <c r="K48" s="2" t="s">
        <v>318</v>
      </c>
      <c r="L48" s="2"/>
    </row>
    <row r="49" spans="1:12">
      <c r="A49" s="2" t="str">
        <f t="shared" si="1"/>
        <v>2 - Media</v>
      </c>
      <c r="B49" s="2" t="s">
        <v>319</v>
      </c>
      <c r="C49" s="2" t="s">
        <v>95</v>
      </c>
      <c r="D49" s="2" t="s">
        <v>320</v>
      </c>
      <c r="E49" s="3">
        <v>9223207.0500000007</v>
      </c>
      <c r="F49" s="2" t="s">
        <v>321</v>
      </c>
      <c r="G49" s="2" t="s">
        <v>322</v>
      </c>
      <c r="H49" s="2" t="s">
        <v>323</v>
      </c>
      <c r="I49" s="2" t="s">
        <v>324</v>
      </c>
      <c r="J49" s="2" t="s">
        <v>325</v>
      </c>
      <c r="K49" s="2" t="s">
        <v>326</v>
      </c>
      <c r="L49" s="2"/>
    </row>
    <row r="50" spans="1:12">
      <c r="A50" s="2" t="str">
        <f t="shared" si="1"/>
        <v>2 - Media</v>
      </c>
      <c r="B50" s="2" t="s">
        <v>327</v>
      </c>
      <c r="C50" s="2" t="s">
        <v>13</v>
      </c>
      <c r="D50" s="2" t="s">
        <v>187</v>
      </c>
      <c r="E50" s="3">
        <v>8448022.1899999995</v>
      </c>
      <c r="F50" s="2" t="s">
        <v>328</v>
      </c>
      <c r="G50" s="2" t="s">
        <v>329</v>
      </c>
      <c r="H50" s="2" t="s">
        <v>330</v>
      </c>
      <c r="I50" s="2"/>
      <c r="J50" s="2"/>
      <c r="K50" s="2" t="s">
        <v>331</v>
      </c>
      <c r="L50" s="2"/>
    </row>
    <row r="51" spans="1:12">
      <c r="A51" s="2" t="str">
        <f t="shared" si="1"/>
        <v>2 - Media</v>
      </c>
      <c r="B51" s="2" t="s">
        <v>332</v>
      </c>
      <c r="C51" s="2" t="s">
        <v>13</v>
      </c>
      <c r="D51" s="2" t="s">
        <v>333</v>
      </c>
      <c r="E51" s="3">
        <v>8140516.0800000001</v>
      </c>
      <c r="F51" s="2" t="s">
        <v>334</v>
      </c>
      <c r="G51" s="2" t="s">
        <v>335</v>
      </c>
      <c r="H51" s="2" t="s">
        <v>336</v>
      </c>
      <c r="I51" s="2"/>
      <c r="J51" s="2"/>
      <c r="K51" s="2" t="s">
        <v>337</v>
      </c>
      <c r="L51" s="2"/>
    </row>
    <row r="52" spans="1:12">
      <c r="A52" s="2" t="str">
        <f t="shared" si="1"/>
        <v>2 - Media</v>
      </c>
      <c r="B52" s="2" t="s">
        <v>338</v>
      </c>
      <c r="C52" s="2" t="s">
        <v>13</v>
      </c>
      <c r="D52" s="2" t="s">
        <v>339</v>
      </c>
      <c r="E52" s="3">
        <v>8094046.1200000001</v>
      </c>
      <c r="F52" s="2" t="s">
        <v>340</v>
      </c>
      <c r="G52" s="2" t="s">
        <v>341</v>
      </c>
      <c r="H52" s="2" t="s">
        <v>342</v>
      </c>
      <c r="I52" s="2" t="s">
        <v>343</v>
      </c>
      <c r="J52" s="2" t="s">
        <v>344</v>
      </c>
      <c r="K52" s="2" t="s">
        <v>345</v>
      </c>
      <c r="L52" s="2"/>
    </row>
    <row r="53" spans="1:12">
      <c r="A53" s="2" t="str">
        <f t="shared" si="1"/>
        <v>2 - Media</v>
      </c>
      <c r="B53" s="2" t="s">
        <v>346</v>
      </c>
      <c r="C53" s="2" t="s">
        <v>36</v>
      </c>
      <c r="D53" s="2" t="s">
        <v>128</v>
      </c>
      <c r="E53" s="3">
        <v>7739278.2000000002</v>
      </c>
      <c r="F53" s="2" t="s">
        <v>347</v>
      </c>
      <c r="G53" s="2" t="s">
        <v>348</v>
      </c>
      <c r="H53" s="2" t="s">
        <v>349</v>
      </c>
      <c r="I53" s="2"/>
      <c r="J53" s="2"/>
      <c r="K53" s="2" t="s">
        <v>350</v>
      </c>
      <c r="L53" s="2"/>
    </row>
    <row r="54" spans="1:12">
      <c r="A54" s="2" t="str">
        <f t="shared" si="1"/>
        <v>2 - Media</v>
      </c>
      <c r="B54" s="2" t="s">
        <v>351</v>
      </c>
      <c r="C54" s="2" t="s">
        <v>13</v>
      </c>
      <c r="D54" s="2" t="s">
        <v>352</v>
      </c>
      <c r="E54" s="3">
        <v>7139901.9699999997</v>
      </c>
      <c r="F54" s="2" t="s">
        <v>353</v>
      </c>
      <c r="G54" s="2" t="s">
        <v>354</v>
      </c>
      <c r="H54" s="2" t="s">
        <v>355</v>
      </c>
      <c r="I54" s="2"/>
      <c r="J54" s="2"/>
      <c r="K54" s="2" t="s">
        <v>356</v>
      </c>
      <c r="L54" s="2"/>
    </row>
    <row r="55" spans="1:12" ht="28">
      <c r="A55" s="2" t="str">
        <f t="shared" si="1"/>
        <v>2 - Media</v>
      </c>
      <c r="B55" s="2" t="s">
        <v>357</v>
      </c>
      <c r="C55" s="2" t="s">
        <v>13</v>
      </c>
      <c r="D55" s="2" t="s">
        <v>14</v>
      </c>
      <c r="E55" s="3">
        <v>6980394.5300000003</v>
      </c>
      <c r="F55" s="2" t="s">
        <v>358</v>
      </c>
      <c r="G55" s="2" t="s">
        <v>359</v>
      </c>
      <c r="H55" s="2" t="s">
        <v>360</v>
      </c>
      <c r="I55" s="2"/>
      <c r="J55" s="2"/>
      <c r="K55" s="2" t="s">
        <v>361</v>
      </c>
      <c r="L55" s="2"/>
    </row>
    <row r="56" spans="1:12">
      <c r="A56" s="2" t="str">
        <f t="shared" si="1"/>
        <v>2 - Media</v>
      </c>
      <c r="B56" s="2" t="s">
        <v>362</v>
      </c>
      <c r="C56" s="2" t="s">
        <v>13</v>
      </c>
      <c r="D56" s="2" t="s">
        <v>363</v>
      </c>
      <c r="E56" s="3">
        <v>6791947.8600000003</v>
      </c>
      <c r="F56" s="2" t="s">
        <v>364</v>
      </c>
      <c r="G56" s="2" t="s">
        <v>365</v>
      </c>
      <c r="H56" s="2" t="s">
        <v>366</v>
      </c>
      <c r="I56" s="2"/>
      <c r="J56" s="2"/>
      <c r="K56" s="2" t="s">
        <v>305</v>
      </c>
      <c r="L56" s="2"/>
    </row>
    <row r="57" spans="1:12">
      <c r="A57" s="2" t="str">
        <f t="shared" si="1"/>
        <v>2 - Media</v>
      </c>
      <c r="B57" s="2" t="s">
        <v>367</v>
      </c>
      <c r="C57" s="2" t="s">
        <v>13</v>
      </c>
      <c r="D57" s="2" t="s">
        <v>294</v>
      </c>
      <c r="E57" s="3">
        <v>6462178.8899999997</v>
      </c>
      <c r="F57" s="2" t="s">
        <v>368</v>
      </c>
      <c r="G57" s="2" t="s">
        <v>369</v>
      </c>
      <c r="H57" s="2" t="s">
        <v>370</v>
      </c>
      <c r="I57" s="2"/>
      <c r="J57" s="2"/>
      <c r="K57" s="2" t="s">
        <v>371</v>
      </c>
      <c r="L57" s="2"/>
    </row>
    <row r="58" spans="1:12" ht="28">
      <c r="A58" s="2" t="str">
        <f t="shared" si="1"/>
        <v>2 - Media</v>
      </c>
      <c r="B58" s="2" t="s">
        <v>372</v>
      </c>
      <c r="C58" s="2" t="s">
        <v>146</v>
      </c>
      <c r="D58" s="2" t="s">
        <v>55</v>
      </c>
      <c r="E58" s="3">
        <v>6234929.5</v>
      </c>
      <c r="F58" s="2" t="s">
        <v>373</v>
      </c>
      <c r="G58" s="2" t="s">
        <v>374</v>
      </c>
      <c r="H58" s="2" t="s">
        <v>375</v>
      </c>
      <c r="I58" s="2"/>
      <c r="J58" s="2"/>
      <c r="K58" s="2" t="s">
        <v>376</v>
      </c>
      <c r="L58" s="2"/>
    </row>
    <row r="59" spans="1:12" ht="28">
      <c r="A59" s="2" t="str">
        <f t="shared" si="1"/>
        <v>2 - Media</v>
      </c>
      <c r="B59" s="2" t="s">
        <v>377</v>
      </c>
      <c r="C59" s="2" t="s">
        <v>102</v>
      </c>
      <c r="D59" s="2" t="s">
        <v>378</v>
      </c>
      <c r="E59" s="3">
        <v>5880142.5099999998</v>
      </c>
      <c r="F59" s="2" t="s">
        <v>379</v>
      </c>
      <c r="G59" s="2" t="s">
        <v>380</v>
      </c>
      <c r="H59" s="2" t="s">
        <v>381</v>
      </c>
      <c r="I59" s="2" t="s">
        <v>382</v>
      </c>
      <c r="J59" s="2" t="s">
        <v>383</v>
      </c>
      <c r="K59" s="2" t="s">
        <v>384</v>
      </c>
      <c r="L59" s="2"/>
    </row>
    <row r="60" spans="1:12">
      <c r="A60" s="2" t="str">
        <f t="shared" si="1"/>
        <v>2 - Media</v>
      </c>
      <c r="B60" s="2" t="s">
        <v>385</v>
      </c>
      <c r="C60" s="2" t="s">
        <v>36</v>
      </c>
      <c r="D60" s="2" t="s">
        <v>128</v>
      </c>
      <c r="E60" s="3">
        <v>5508453.1600000001</v>
      </c>
      <c r="F60" s="2" t="s">
        <v>386</v>
      </c>
      <c r="G60" s="2"/>
      <c r="H60" s="2" t="s">
        <v>387</v>
      </c>
      <c r="I60" s="2" t="s">
        <v>386</v>
      </c>
      <c r="J60" s="2" t="s">
        <v>387</v>
      </c>
      <c r="K60" s="2" t="s">
        <v>388</v>
      </c>
      <c r="L60" s="2" t="s">
        <v>151</v>
      </c>
    </row>
    <row r="61" spans="1:12" ht="28">
      <c r="A61" s="2" t="str">
        <f t="shared" si="1"/>
        <v>2 - Media</v>
      </c>
      <c r="B61" s="2" t="s">
        <v>389</v>
      </c>
      <c r="C61" s="2" t="s">
        <v>102</v>
      </c>
      <c r="D61" s="2" t="s">
        <v>147</v>
      </c>
      <c r="E61" s="3">
        <v>5158656.43</v>
      </c>
      <c r="F61" s="2" t="s">
        <v>389</v>
      </c>
      <c r="G61" s="2" t="s">
        <v>390</v>
      </c>
      <c r="H61" s="2" t="s">
        <v>391</v>
      </c>
      <c r="I61" s="2" t="s">
        <v>392</v>
      </c>
      <c r="J61" s="2" t="s">
        <v>392</v>
      </c>
      <c r="K61" s="2" t="s">
        <v>150</v>
      </c>
      <c r="L61" s="2" t="s">
        <v>264</v>
      </c>
    </row>
    <row r="62" spans="1:12">
      <c r="A62" s="2" t="str">
        <f t="shared" si="1"/>
        <v>3 - Baja</v>
      </c>
      <c r="B62" s="2" t="s">
        <v>393</v>
      </c>
      <c r="C62" s="2" t="s">
        <v>102</v>
      </c>
      <c r="D62" s="2" t="s">
        <v>394</v>
      </c>
      <c r="E62" s="3">
        <v>4655631.5599999996</v>
      </c>
      <c r="F62" s="2" t="s">
        <v>395</v>
      </c>
      <c r="G62" s="2" t="s">
        <v>396</v>
      </c>
      <c r="H62" s="2" t="s">
        <v>397</v>
      </c>
      <c r="I62" s="2" t="s">
        <v>395</v>
      </c>
      <c r="J62" s="2" t="s">
        <v>397</v>
      </c>
      <c r="K62" s="2" t="s">
        <v>398</v>
      </c>
      <c r="L62" s="2"/>
    </row>
    <row r="63" spans="1:12" ht="28">
      <c r="A63" s="2" t="str">
        <f t="shared" si="1"/>
        <v>3 - Baja</v>
      </c>
      <c r="B63" s="2" t="s">
        <v>399</v>
      </c>
      <c r="C63" s="2" t="s">
        <v>400</v>
      </c>
      <c r="D63" s="2" t="s">
        <v>401</v>
      </c>
      <c r="E63" s="3">
        <v>3036724.58</v>
      </c>
      <c r="F63" s="2" t="s">
        <v>402</v>
      </c>
      <c r="G63" s="2" t="s">
        <v>403</v>
      </c>
      <c r="H63" s="2" t="s">
        <v>404</v>
      </c>
      <c r="I63" s="2" t="s">
        <v>405</v>
      </c>
      <c r="J63" s="2" t="s">
        <v>406</v>
      </c>
      <c r="K63" s="2" t="s">
        <v>407</v>
      </c>
      <c r="L63" s="2"/>
    </row>
    <row r="64" spans="1:12" ht="28">
      <c r="A64" s="2" t="str">
        <f t="shared" si="1"/>
        <v>3 - Baja</v>
      </c>
      <c r="B64" s="2" t="s">
        <v>408</v>
      </c>
      <c r="C64" s="2" t="s">
        <v>146</v>
      </c>
      <c r="D64" s="2" t="s">
        <v>147</v>
      </c>
      <c r="E64" s="3">
        <v>3015314.5</v>
      </c>
      <c r="F64" s="2" t="s">
        <v>409</v>
      </c>
      <c r="G64" s="2" t="s">
        <v>410</v>
      </c>
      <c r="H64" s="2" t="s">
        <v>411</v>
      </c>
      <c r="I64" s="2"/>
      <c r="J64" s="2"/>
      <c r="K64" s="2" t="s">
        <v>150</v>
      </c>
      <c r="L64" s="2" t="s">
        <v>264</v>
      </c>
    </row>
    <row r="65" spans="1:12" ht="28">
      <c r="A65" s="2" t="str">
        <f t="shared" si="1"/>
        <v>3 - Baja</v>
      </c>
      <c r="B65" s="2" t="s">
        <v>412</v>
      </c>
      <c r="C65" s="2" t="s">
        <v>146</v>
      </c>
      <c r="D65" s="2" t="s">
        <v>147</v>
      </c>
      <c r="E65" s="3">
        <v>2576227.62</v>
      </c>
      <c r="F65" s="2" t="s">
        <v>413</v>
      </c>
      <c r="G65" s="2" t="s">
        <v>414</v>
      </c>
      <c r="H65" s="2" t="s">
        <v>415</v>
      </c>
      <c r="I65" s="2" t="s">
        <v>413</v>
      </c>
      <c r="J65" s="2" t="s">
        <v>415</v>
      </c>
      <c r="K65" s="2" t="s">
        <v>150</v>
      </c>
      <c r="L65" s="2"/>
    </row>
    <row r="66" spans="1:12" ht="28">
      <c r="A66" s="2" t="str">
        <f t="shared" ref="A66:A83" si="2">IF(E66&gt;=20000000,"1 - Alta",IF(E66&gt;=5000000,"2 - Media","3 - Baja"))</f>
        <v>3 - Baja</v>
      </c>
      <c r="B66" s="2" t="s">
        <v>416</v>
      </c>
      <c r="C66" s="2" t="s">
        <v>36</v>
      </c>
      <c r="D66" s="2" t="s">
        <v>417</v>
      </c>
      <c r="E66" s="3">
        <v>1911570.64</v>
      </c>
      <c r="F66" s="2" t="s">
        <v>418</v>
      </c>
      <c r="G66" s="2" t="s">
        <v>419</v>
      </c>
      <c r="H66" s="2" t="s">
        <v>420</v>
      </c>
      <c r="I66" s="2" t="s">
        <v>418</v>
      </c>
      <c r="J66" s="2" t="s">
        <v>420</v>
      </c>
      <c r="K66" s="2" t="s">
        <v>421</v>
      </c>
      <c r="L66" s="2" t="s">
        <v>151</v>
      </c>
    </row>
    <row r="67" spans="1:12" ht="28">
      <c r="A67" s="2" t="str">
        <f t="shared" si="2"/>
        <v>3 - Baja</v>
      </c>
      <c r="B67" s="2" t="s">
        <v>422</v>
      </c>
      <c r="C67" s="2" t="s">
        <v>146</v>
      </c>
      <c r="D67" s="2" t="s">
        <v>147</v>
      </c>
      <c r="E67" s="3">
        <v>1890819.33</v>
      </c>
      <c r="F67" s="2" t="s">
        <v>423</v>
      </c>
      <c r="G67" s="2" t="s">
        <v>424</v>
      </c>
      <c r="H67" s="2" t="s">
        <v>425</v>
      </c>
      <c r="I67" s="2"/>
      <c r="J67" s="2"/>
      <c r="K67" s="2" t="s">
        <v>150</v>
      </c>
      <c r="L67" s="2"/>
    </row>
    <row r="68" spans="1:12">
      <c r="A68" s="2" t="str">
        <f t="shared" si="2"/>
        <v>3 - Baja</v>
      </c>
      <c r="B68" s="2" t="s">
        <v>426</v>
      </c>
      <c r="C68" s="2" t="s">
        <v>146</v>
      </c>
      <c r="D68" s="2" t="s">
        <v>427</v>
      </c>
      <c r="E68" s="3">
        <v>1640394.01</v>
      </c>
      <c r="F68" s="2" t="s">
        <v>428</v>
      </c>
      <c r="G68" s="2" t="s">
        <v>429</v>
      </c>
      <c r="H68" s="2" t="s">
        <v>430</v>
      </c>
      <c r="I68" s="2"/>
      <c r="J68" s="2"/>
      <c r="K68" s="2" t="s">
        <v>431</v>
      </c>
      <c r="L68" s="2"/>
    </row>
    <row r="69" spans="1:12" ht="28">
      <c r="A69" s="2" t="str">
        <f t="shared" si="2"/>
        <v>3 - Baja</v>
      </c>
      <c r="B69" s="2" t="s">
        <v>432</v>
      </c>
      <c r="C69" s="2" t="s">
        <v>146</v>
      </c>
      <c r="D69" s="2" t="s">
        <v>147</v>
      </c>
      <c r="E69" s="3">
        <v>1629475.86</v>
      </c>
      <c r="F69" s="2" t="s">
        <v>433</v>
      </c>
      <c r="G69" s="2" t="s">
        <v>434</v>
      </c>
      <c r="H69" s="2" t="s">
        <v>435</v>
      </c>
      <c r="I69" s="2" t="s">
        <v>433</v>
      </c>
      <c r="J69" s="2" t="s">
        <v>435</v>
      </c>
      <c r="K69" s="2" t="s">
        <v>150</v>
      </c>
      <c r="L69" s="2"/>
    </row>
    <row r="70" spans="1:12" ht="28">
      <c r="A70" s="2" t="str">
        <f t="shared" si="2"/>
        <v>3 - Baja</v>
      </c>
      <c r="B70" s="2" t="s">
        <v>436</v>
      </c>
      <c r="C70" s="2" t="s">
        <v>146</v>
      </c>
      <c r="D70" s="2" t="s">
        <v>147</v>
      </c>
      <c r="E70" s="3">
        <v>1593187.01</v>
      </c>
      <c r="F70" s="2" t="s">
        <v>437</v>
      </c>
      <c r="G70" s="2" t="s">
        <v>438</v>
      </c>
      <c r="H70" s="2" t="s">
        <v>439</v>
      </c>
      <c r="I70" s="2"/>
      <c r="J70" s="2"/>
      <c r="K70" s="2" t="s">
        <v>150</v>
      </c>
      <c r="L70" s="2"/>
    </row>
    <row r="71" spans="1:12">
      <c r="A71" s="2" t="str">
        <f t="shared" si="2"/>
        <v>3 - Baja</v>
      </c>
      <c r="B71" s="2" t="s">
        <v>440</v>
      </c>
      <c r="C71" s="2" t="s">
        <v>146</v>
      </c>
      <c r="D71" s="2" t="s">
        <v>441</v>
      </c>
      <c r="E71" s="3">
        <v>1424056.13</v>
      </c>
      <c r="F71" s="2" t="s">
        <v>442</v>
      </c>
      <c r="G71" s="2" t="s">
        <v>443</v>
      </c>
      <c r="H71" s="2" t="s">
        <v>444</v>
      </c>
      <c r="I71" s="2" t="s">
        <v>445</v>
      </c>
      <c r="J71" s="2" t="s">
        <v>444</v>
      </c>
      <c r="K71" s="2" t="s">
        <v>446</v>
      </c>
      <c r="L71" s="2"/>
    </row>
    <row r="72" spans="1:12" ht="28">
      <c r="A72" s="2" t="str">
        <f t="shared" si="2"/>
        <v>3 - Baja</v>
      </c>
      <c r="B72" s="2" t="s">
        <v>447</v>
      </c>
      <c r="C72" s="2" t="s">
        <v>36</v>
      </c>
      <c r="D72" s="2" t="s">
        <v>128</v>
      </c>
      <c r="E72" s="3">
        <v>1370980.84</v>
      </c>
      <c r="F72" s="2" t="s">
        <v>448</v>
      </c>
      <c r="G72" s="2" t="s">
        <v>449</v>
      </c>
      <c r="H72" s="2" t="s">
        <v>450</v>
      </c>
      <c r="I72" s="2"/>
      <c r="J72" s="2"/>
      <c r="K72" s="2" t="s">
        <v>451</v>
      </c>
      <c r="L72" s="2"/>
    </row>
    <row r="73" spans="1:12" ht="28">
      <c r="A73" s="2" t="str">
        <f t="shared" si="2"/>
        <v>3 - Baja</v>
      </c>
      <c r="B73" s="2" t="s">
        <v>452</v>
      </c>
      <c r="C73" s="2" t="s">
        <v>146</v>
      </c>
      <c r="D73" s="2" t="s">
        <v>147</v>
      </c>
      <c r="E73" s="3">
        <v>1274393.22</v>
      </c>
      <c r="F73" s="2" t="s">
        <v>453</v>
      </c>
      <c r="G73" s="2" t="s">
        <v>454</v>
      </c>
      <c r="H73" s="2" t="s">
        <v>455</v>
      </c>
      <c r="I73" s="2"/>
      <c r="J73" s="2"/>
      <c r="K73" s="2" t="s">
        <v>150</v>
      </c>
      <c r="L73" s="2"/>
    </row>
    <row r="74" spans="1:12" ht="28">
      <c r="A74" s="2" t="str">
        <f t="shared" si="2"/>
        <v>3 - Baja</v>
      </c>
      <c r="B74" s="2" t="s">
        <v>456</v>
      </c>
      <c r="C74" s="2" t="s">
        <v>146</v>
      </c>
      <c r="D74" s="2" t="s">
        <v>147</v>
      </c>
      <c r="E74" s="3">
        <v>1272085.1399999999</v>
      </c>
      <c r="F74" s="2" t="s">
        <v>457</v>
      </c>
      <c r="G74" s="2" t="s">
        <v>458</v>
      </c>
      <c r="H74" s="2" t="s">
        <v>459</v>
      </c>
      <c r="I74" s="2" t="s">
        <v>457</v>
      </c>
      <c r="J74" s="2" t="s">
        <v>459</v>
      </c>
      <c r="K74" s="2" t="s">
        <v>150</v>
      </c>
      <c r="L74" s="2"/>
    </row>
    <row r="75" spans="1:12" ht="28">
      <c r="A75" s="2" t="str">
        <f t="shared" si="2"/>
        <v>3 - Baja</v>
      </c>
      <c r="B75" s="2" t="s">
        <v>460</v>
      </c>
      <c r="C75" s="2" t="s">
        <v>146</v>
      </c>
      <c r="D75" s="2" t="s">
        <v>147</v>
      </c>
      <c r="E75" s="3">
        <v>1182287.04</v>
      </c>
      <c r="F75" s="2" t="s">
        <v>461</v>
      </c>
      <c r="G75" s="2" t="s">
        <v>462</v>
      </c>
      <c r="H75" s="2" t="s">
        <v>463</v>
      </c>
      <c r="I75" s="2"/>
      <c r="J75" s="2"/>
      <c r="K75" s="2" t="s">
        <v>150</v>
      </c>
      <c r="L75" s="2"/>
    </row>
    <row r="76" spans="1:12">
      <c r="A76" s="2" t="str">
        <f t="shared" si="2"/>
        <v>3 - Baja</v>
      </c>
      <c r="B76" s="2" t="s">
        <v>464</v>
      </c>
      <c r="C76" s="2" t="s">
        <v>36</v>
      </c>
      <c r="D76" s="2" t="s">
        <v>37</v>
      </c>
      <c r="E76" s="3">
        <v>1125120.3999999999</v>
      </c>
      <c r="F76" s="2" t="s">
        <v>465</v>
      </c>
      <c r="G76" s="2" t="s">
        <v>466</v>
      </c>
      <c r="H76" s="2" t="s">
        <v>467</v>
      </c>
      <c r="I76" s="2"/>
      <c r="J76" s="2"/>
      <c r="K76" s="2" t="s">
        <v>468</v>
      </c>
      <c r="L76" s="2"/>
    </row>
    <row r="77" spans="1:12" ht="28">
      <c r="A77" s="2" t="str">
        <f t="shared" si="2"/>
        <v>3 - Baja</v>
      </c>
      <c r="B77" s="2" t="s">
        <v>469</v>
      </c>
      <c r="C77" s="2" t="s">
        <v>36</v>
      </c>
      <c r="D77" s="2" t="s">
        <v>470</v>
      </c>
      <c r="E77" s="3">
        <v>1041019.13</v>
      </c>
      <c r="F77" s="2" t="s">
        <v>471</v>
      </c>
      <c r="G77" s="2" t="s">
        <v>472</v>
      </c>
      <c r="H77" s="2" t="s">
        <v>473</v>
      </c>
      <c r="I77" s="2" t="s">
        <v>471</v>
      </c>
      <c r="J77" s="2" t="s">
        <v>473</v>
      </c>
      <c r="K77" s="2" t="s">
        <v>451</v>
      </c>
      <c r="L77" s="2" t="s">
        <v>151</v>
      </c>
    </row>
    <row r="78" spans="1:12">
      <c r="A78" s="2" t="str">
        <f t="shared" si="2"/>
        <v>3 - Baja</v>
      </c>
      <c r="B78" s="2" t="s">
        <v>474</v>
      </c>
      <c r="C78" s="2" t="s">
        <v>36</v>
      </c>
      <c r="D78" s="2" t="s">
        <v>37</v>
      </c>
      <c r="E78" s="3">
        <v>693840.6</v>
      </c>
      <c r="F78" s="2" t="s">
        <v>475</v>
      </c>
      <c r="G78" s="2" t="s">
        <v>476</v>
      </c>
      <c r="H78" s="2" t="s">
        <v>477</v>
      </c>
      <c r="I78" s="2"/>
      <c r="J78" s="2"/>
      <c r="K78" s="2" t="s">
        <v>478</v>
      </c>
      <c r="L78" s="2"/>
    </row>
    <row r="79" spans="1:12">
      <c r="A79" s="2" t="str">
        <f t="shared" si="2"/>
        <v>3 - Baja</v>
      </c>
      <c r="B79" s="2" t="s">
        <v>479</v>
      </c>
      <c r="C79" s="2" t="s">
        <v>95</v>
      </c>
      <c r="D79" s="2" t="s">
        <v>480</v>
      </c>
      <c r="E79" s="3">
        <v>346702.34</v>
      </c>
      <c r="F79" s="2" t="s">
        <v>481</v>
      </c>
      <c r="G79" s="2" t="s">
        <v>482</v>
      </c>
      <c r="H79" s="2" t="s">
        <v>483</v>
      </c>
      <c r="I79" s="2" t="s">
        <v>484</v>
      </c>
      <c r="J79" s="2" t="s">
        <v>485</v>
      </c>
      <c r="K79" s="2" t="s">
        <v>172</v>
      </c>
      <c r="L79" s="2"/>
    </row>
    <row r="80" spans="1:12">
      <c r="A80" s="2" t="str">
        <f t="shared" si="2"/>
        <v>3 - Baja</v>
      </c>
      <c r="B80" s="2" t="s">
        <v>486</v>
      </c>
      <c r="C80" s="2" t="s">
        <v>95</v>
      </c>
      <c r="D80" s="2" t="s">
        <v>281</v>
      </c>
      <c r="E80" s="3">
        <v>273999.09999999998</v>
      </c>
      <c r="F80" s="2" t="s">
        <v>487</v>
      </c>
      <c r="G80" s="2" t="s">
        <v>488</v>
      </c>
      <c r="H80" s="2" t="s">
        <v>489</v>
      </c>
      <c r="I80" s="2"/>
      <c r="J80" s="2"/>
      <c r="K80" s="2" t="s">
        <v>490</v>
      </c>
      <c r="L80" s="2"/>
    </row>
    <row r="81" spans="1:12">
      <c r="A81" s="2" t="str">
        <f t="shared" si="2"/>
        <v>3 - Baja</v>
      </c>
      <c r="B81" s="2" t="s">
        <v>491</v>
      </c>
      <c r="C81" s="2" t="s">
        <v>95</v>
      </c>
      <c r="D81" s="2" t="s">
        <v>492</v>
      </c>
      <c r="E81" s="3">
        <v>242019.32</v>
      </c>
      <c r="F81" s="2" t="s">
        <v>493</v>
      </c>
      <c r="G81" s="2" t="s">
        <v>494</v>
      </c>
      <c r="H81" s="2" t="s">
        <v>495</v>
      </c>
      <c r="I81" s="2"/>
      <c r="J81" s="2"/>
      <c r="K81" s="2" t="s">
        <v>496</v>
      </c>
      <c r="L81" s="2"/>
    </row>
    <row r="82" spans="1:12">
      <c r="A82" s="2" t="str">
        <f t="shared" si="2"/>
        <v>3 - Baja</v>
      </c>
      <c r="B82" s="2" t="s">
        <v>497</v>
      </c>
      <c r="C82" s="2" t="s">
        <v>36</v>
      </c>
      <c r="D82" s="2" t="s">
        <v>498</v>
      </c>
      <c r="E82" s="3">
        <v>211955.92</v>
      </c>
      <c r="F82" s="2" t="s">
        <v>499</v>
      </c>
      <c r="G82" s="2" t="s">
        <v>500</v>
      </c>
      <c r="H82" s="2" t="s">
        <v>501</v>
      </c>
      <c r="I82" s="2"/>
      <c r="J82" s="2"/>
      <c r="K82" s="2" t="s">
        <v>502</v>
      </c>
      <c r="L82" s="2"/>
    </row>
    <row r="83" spans="1:12" ht="28">
      <c r="A83" s="2" t="str">
        <f t="shared" si="2"/>
        <v>3 - Baja</v>
      </c>
      <c r="B83" s="2" t="s">
        <v>503</v>
      </c>
      <c r="C83" s="2" t="s">
        <v>95</v>
      </c>
      <c r="D83" s="2" t="s">
        <v>504</v>
      </c>
      <c r="E83" s="3">
        <v>42942.84</v>
      </c>
      <c r="F83" s="2" t="s">
        <v>505</v>
      </c>
      <c r="G83" s="2" t="s">
        <v>506</v>
      </c>
      <c r="H83" s="2" t="s">
        <v>507</v>
      </c>
      <c r="I83" s="2" t="s">
        <v>508</v>
      </c>
      <c r="J83" s="2" t="s">
        <v>509</v>
      </c>
      <c r="K83" s="2" t="s">
        <v>510</v>
      </c>
      <c r="L83" s="2"/>
    </row>
  </sheetData>
  <autoFilter ref="A1:L83" xr:uid="{00000000-0009-0000-0000-000000000000}"/>
  <hyperlinks>
    <hyperlink ref="H33" r:id="rId1" xr:uid="{E2B81CDD-331A-A440-B5E1-58A8E7D8DB85}"/>
    <hyperlink ref="H2" r:id="rId2" xr:uid="{CDC821F9-0145-9945-8B38-2EA5962562B9}"/>
    <hyperlink ref="H3" r:id="rId3" xr:uid="{F048ED95-0AB4-4545-AF15-296581B628C5}"/>
    <hyperlink ref="H4" r:id="rId4" xr:uid="{2B28C6B8-29A8-B841-9AA3-EAF78380F644}"/>
    <hyperlink ref="H7" r:id="rId5" xr:uid="{0C0D72DD-6AC2-C047-8FEB-685A5150E14D}"/>
    <hyperlink ref="J8" r:id="rId6" xr:uid="{5958B035-C0A5-404A-AAD6-410F4527F48C}"/>
    <hyperlink ref="H17" r:id="rId7" xr:uid="{61905D75-3E1D-244F-8831-718526F23578}"/>
    <hyperlink ref="H16" r:id="rId8" xr:uid="{DD376FAF-BBDB-6546-849D-77D7A6C0EE6D}"/>
    <hyperlink ref="H18" r:id="rId9" xr:uid="{5A11E5B1-C823-074C-91BE-B95C5C4F6E8F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0" customWidth="1"/>
    <col min="2" max="2" width="32" customWidth="1"/>
    <col min="3" max="3" width="24" customWidth="1"/>
    <col min="4" max="4" width="26" customWidth="1"/>
    <col min="5" max="5" width="16" customWidth="1"/>
    <col min="6" max="6" width="24" customWidth="1"/>
    <col min="7" max="7" width="14" customWidth="1"/>
    <col min="8" max="8" width="30" customWidth="1"/>
    <col min="9" max="9" width="22" customWidth="1"/>
    <col min="10" max="10" width="28" customWidth="1"/>
    <col min="11" max="11" width="42" customWidth="1"/>
    <col min="12" max="12" width="34" customWidth="1"/>
  </cols>
  <sheetData>
    <row r="1" spans="1:12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>
      <c r="A2" s="2" t="s">
        <v>511</v>
      </c>
      <c r="B2" s="2" t="s">
        <v>512</v>
      </c>
      <c r="C2" s="2" t="s">
        <v>22</v>
      </c>
      <c r="D2" s="2" t="s">
        <v>513</v>
      </c>
      <c r="E2" s="3">
        <v>182150192.22</v>
      </c>
      <c r="F2" s="2" t="s">
        <v>514</v>
      </c>
      <c r="G2" s="2" t="s">
        <v>515</v>
      </c>
      <c r="H2" s="2" t="s">
        <v>516</v>
      </c>
      <c r="I2" s="2"/>
      <c r="J2" s="2"/>
      <c r="K2" s="2" t="s">
        <v>517</v>
      </c>
      <c r="L2" s="2"/>
    </row>
    <row r="3" spans="1:12" ht="28">
      <c r="A3" s="2" t="s">
        <v>511</v>
      </c>
      <c r="B3" s="2" t="s">
        <v>518</v>
      </c>
      <c r="C3" s="2" t="s">
        <v>74</v>
      </c>
      <c r="D3" s="2" t="s">
        <v>513</v>
      </c>
      <c r="E3" s="3">
        <v>54455069.93</v>
      </c>
      <c r="F3" s="2" t="s">
        <v>519</v>
      </c>
      <c r="G3" s="2" t="s">
        <v>520</v>
      </c>
      <c r="H3" s="2" t="s">
        <v>521</v>
      </c>
      <c r="I3" s="2" t="s">
        <v>522</v>
      </c>
      <c r="J3" s="2" t="s">
        <v>523</v>
      </c>
      <c r="K3" s="2" t="s">
        <v>517</v>
      </c>
      <c r="L3" s="2"/>
    </row>
    <row r="4" spans="1:12" ht="28">
      <c r="A4" s="2" t="s">
        <v>511</v>
      </c>
      <c r="B4" s="2" t="s">
        <v>524</v>
      </c>
      <c r="C4" s="2" t="s">
        <v>29</v>
      </c>
      <c r="D4" s="2" t="s">
        <v>513</v>
      </c>
      <c r="E4" s="3">
        <v>38194943.140000001</v>
      </c>
      <c r="F4" s="2" t="s">
        <v>525</v>
      </c>
      <c r="G4" s="2" t="s">
        <v>526</v>
      </c>
      <c r="H4" s="2" t="s">
        <v>527</v>
      </c>
      <c r="I4" s="2" t="s">
        <v>525</v>
      </c>
      <c r="J4" s="2" t="s">
        <v>527</v>
      </c>
      <c r="K4" s="2" t="s">
        <v>517</v>
      </c>
      <c r="L4" s="2"/>
    </row>
    <row r="5" spans="1:12" ht="28">
      <c r="A5" s="2" t="s">
        <v>511</v>
      </c>
      <c r="B5" s="2" t="s">
        <v>528</v>
      </c>
      <c r="C5" s="2" t="s">
        <v>74</v>
      </c>
      <c r="D5" s="2" t="s">
        <v>513</v>
      </c>
      <c r="E5" s="3">
        <v>37523417.280000001</v>
      </c>
      <c r="F5" s="2" t="s">
        <v>529</v>
      </c>
      <c r="G5" s="2" t="s">
        <v>530</v>
      </c>
      <c r="H5" s="2" t="s">
        <v>531</v>
      </c>
      <c r="I5" s="2" t="s">
        <v>532</v>
      </c>
      <c r="J5" s="2" t="s">
        <v>533</v>
      </c>
      <c r="K5" s="2" t="s">
        <v>517</v>
      </c>
      <c r="L5" s="2"/>
    </row>
    <row r="6" spans="1:12" ht="28">
      <c r="A6" s="2" t="s">
        <v>511</v>
      </c>
      <c r="B6" s="2" t="s">
        <v>534</v>
      </c>
      <c r="C6" s="2" t="s">
        <v>22</v>
      </c>
      <c r="D6" s="2" t="s">
        <v>513</v>
      </c>
      <c r="E6" s="3">
        <v>33918521.100000001</v>
      </c>
      <c r="F6" s="2" t="s">
        <v>535</v>
      </c>
      <c r="G6" s="2" t="s">
        <v>536</v>
      </c>
      <c r="H6" s="2" t="s">
        <v>537</v>
      </c>
      <c r="I6" s="2"/>
      <c r="J6" s="2"/>
      <c r="K6" s="2" t="s">
        <v>517</v>
      </c>
      <c r="L6" s="2"/>
    </row>
    <row r="7" spans="1:12" ht="28">
      <c r="A7" s="2" t="s">
        <v>511</v>
      </c>
      <c r="B7" s="2" t="s">
        <v>538</v>
      </c>
      <c r="C7" s="2" t="s">
        <v>102</v>
      </c>
      <c r="D7" s="2" t="s">
        <v>513</v>
      </c>
      <c r="E7" s="3">
        <v>28969806.260000002</v>
      </c>
      <c r="F7" s="2" t="s">
        <v>539</v>
      </c>
      <c r="G7" s="2" t="s">
        <v>540</v>
      </c>
      <c r="H7" s="2" t="s">
        <v>541</v>
      </c>
      <c r="I7" s="2" t="s">
        <v>539</v>
      </c>
      <c r="J7" s="2" t="s">
        <v>541</v>
      </c>
      <c r="K7" s="2" t="s">
        <v>517</v>
      </c>
      <c r="L7" s="2"/>
    </row>
    <row r="8" spans="1:12" ht="28">
      <c r="A8" s="2" t="s">
        <v>511</v>
      </c>
      <c r="B8" s="2" t="s">
        <v>542</v>
      </c>
      <c r="C8" s="2" t="s">
        <v>13</v>
      </c>
      <c r="D8" s="2" t="s">
        <v>513</v>
      </c>
      <c r="E8" s="3">
        <v>27552661.629999999</v>
      </c>
      <c r="F8" s="2" t="s">
        <v>543</v>
      </c>
      <c r="G8" s="2" t="s">
        <v>544</v>
      </c>
      <c r="H8" s="2" t="s">
        <v>545</v>
      </c>
      <c r="I8" s="2"/>
      <c r="J8" s="2"/>
      <c r="K8" s="2" t="s">
        <v>517</v>
      </c>
      <c r="L8" s="2"/>
    </row>
    <row r="9" spans="1:12" ht="28">
      <c r="A9" s="2" t="s">
        <v>511</v>
      </c>
      <c r="B9" s="2" t="s">
        <v>546</v>
      </c>
      <c r="C9" s="2" t="s">
        <v>22</v>
      </c>
      <c r="D9" s="2" t="s">
        <v>513</v>
      </c>
      <c r="E9" s="3">
        <v>24526462.41</v>
      </c>
      <c r="F9" s="2" t="s">
        <v>547</v>
      </c>
      <c r="G9" s="2" t="s">
        <v>548</v>
      </c>
      <c r="H9" s="2" t="s">
        <v>549</v>
      </c>
      <c r="I9" s="2"/>
      <c r="J9" s="2"/>
      <c r="K9" s="2" t="s">
        <v>517</v>
      </c>
      <c r="L9" s="2"/>
    </row>
    <row r="10" spans="1:12" ht="28">
      <c r="A10" s="2" t="s">
        <v>511</v>
      </c>
      <c r="B10" s="2" t="s">
        <v>550</v>
      </c>
      <c r="C10" s="2" t="s">
        <v>29</v>
      </c>
      <c r="D10" s="2" t="s">
        <v>513</v>
      </c>
      <c r="E10" s="3">
        <v>23142843.809999999</v>
      </c>
      <c r="F10" s="2" t="s">
        <v>551</v>
      </c>
      <c r="G10" s="2" t="s">
        <v>552</v>
      </c>
      <c r="H10" s="2" t="s">
        <v>553</v>
      </c>
      <c r="I10" s="2" t="s">
        <v>554</v>
      </c>
      <c r="J10" s="2" t="s">
        <v>555</v>
      </c>
      <c r="K10" s="2" t="s">
        <v>517</v>
      </c>
      <c r="L10" s="2" t="s">
        <v>264</v>
      </c>
    </row>
    <row r="11" spans="1:12" ht="28">
      <c r="A11" s="2" t="s">
        <v>511</v>
      </c>
      <c r="B11" s="2" t="s">
        <v>556</v>
      </c>
      <c r="C11" s="2" t="s">
        <v>74</v>
      </c>
      <c r="D11" s="2" t="s">
        <v>513</v>
      </c>
      <c r="E11" s="3">
        <v>18840063.510000002</v>
      </c>
      <c r="F11" s="2" t="s">
        <v>557</v>
      </c>
      <c r="G11" s="2" t="s">
        <v>558</v>
      </c>
      <c r="H11" s="2" t="s">
        <v>559</v>
      </c>
      <c r="I11" s="2" t="s">
        <v>557</v>
      </c>
      <c r="J11" s="2" t="s">
        <v>559</v>
      </c>
      <c r="K11" s="2" t="s">
        <v>517</v>
      </c>
      <c r="L11" s="2"/>
    </row>
    <row r="12" spans="1:12" ht="28">
      <c r="A12" s="2" t="s">
        <v>511</v>
      </c>
      <c r="B12" s="2" t="s">
        <v>560</v>
      </c>
      <c r="C12" s="2" t="s">
        <v>102</v>
      </c>
      <c r="D12" s="2" t="s">
        <v>513</v>
      </c>
      <c r="E12" s="3">
        <v>13535856.77</v>
      </c>
      <c r="F12" s="2" t="s">
        <v>561</v>
      </c>
      <c r="G12" s="2" t="s">
        <v>562</v>
      </c>
      <c r="H12" s="2" t="s">
        <v>563</v>
      </c>
      <c r="I12" s="2" t="s">
        <v>561</v>
      </c>
      <c r="J12" s="2" t="s">
        <v>563</v>
      </c>
      <c r="K12" s="2" t="s">
        <v>517</v>
      </c>
      <c r="L12" s="2"/>
    </row>
    <row r="13" spans="1:12" ht="28">
      <c r="A13" s="2" t="s">
        <v>511</v>
      </c>
      <c r="B13" s="2" t="s">
        <v>564</v>
      </c>
      <c r="C13" s="2" t="s">
        <v>400</v>
      </c>
      <c r="D13" s="2" t="s">
        <v>513</v>
      </c>
      <c r="E13" s="3">
        <v>12535223.85</v>
      </c>
      <c r="F13" s="2" t="s">
        <v>565</v>
      </c>
      <c r="G13" s="2" t="s">
        <v>566</v>
      </c>
      <c r="H13" s="2" t="s">
        <v>567</v>
      </c>
      <c r="I13" s="2" t="s">
        <v>565</v>
      </c>
      <c r="J13" s="2" t="s">
        <v>567</v>
      </c>
      <c r="K13" s="2" t="s">
        <v>517</v>
      </c>
      <c r="L13" s="2"/>
    </row>
    <row r="14" spans="1:12" ht="28">
      <c r="A14" s="2" t="s">
        <v>511</v>
      </c>
      <c r="B14" s="2" t="s">
        <v>568</v>
      </c>
      <c r="C14" s="2" t="s">
        <v>400</v>
      </c>
      <c r="D14" s="2" t="s">
        <v>513</v>
      </c>
      <c r="E14" s="3">
        <v>11642270.779999999</v>
      </c>
      <c r="F14" s="2" t="s">
        <v>569</v>
      </c>
      <c r="G14" s="2" t="s">
        <v>570</v>
      </c>
      <c r="H14" s="2" t="s">
        <v>571</v>
      </c>
      <c r="I14" s="2" t="s">
        <v>569</v>
      </c>
      <c r="J14" s="2" t="s">
        <v>571</v>
      </c>
      <c r="K14" s="2" t="s">
        <v>517</v>
      </c>
      <c r="L14" s="2"/>
    </row>
    <row r="15" spans="1:12" ht="28">
      <c r="A15" s="2" t="s">
        <v>511</v>
      </c>
      <c r="B15" s="2" t="s">
        <v>572</v>
      </c>
      <c r="C15" s="2" t="s">
        <v>74</v>
      </c>
      <c r="D15" s="2" t="s">
        <v>513</v>
      </c>
      <c r="E15" s="3">
        <v>11301995.01</v>
      </c>
      <c r="F15" s="2" t="s">
        <v>573</v>
      </c>
      <c r="G15" s="2" t="s">
        <v>574</v>
      </c>
      <c r="H15" s="2" t="s">
        <v>575</v>
      </c>
      <c r="I15" s="2" t="s">
        <v>576</v>
      </c>
      <c r="J15" s="2" t="s">
        <v>577</v>
      </c>
      <c r="K15" s="2" t="s">
        <v>517</v>
      </c>
      <c r="L15" s="2"/>
    </row>
    <row r="16" spans="1:12" ht="28">
      <c r="A16" s="2" t="s">
        <v>511</v>
      </c>
      <c r="B16" s="2" t="s">
        <v>578</v>
      </c>
      <c r="C16" s="2" t="s">
        <v>95</v>
      </c>
      <c r="D16" s="2" t="s">
        <v>513</v>
      </c>
      <c r="E16" s="3">
        <v>4526368.78</v>
      </c>
      <c r="F16" s="2" t="s">
        <v>579</v>
      </c>
      <c r="G16" s="2"/>
      <c r="H16" s="2"/>
      <c r="I16" s="2"/>
      <c r="J16" s="2"/>
      <c r="K16" s="2" t="s">
        <v>517</v>
      </c>
      <c r="L16" s="2" t="s">
        <v>580</v>
      </c>
    </row>
    <row r="17" spans="1:12" ht="28">
      <c r="A17" s="2" t="s">
        <v>511</v>
      </c>
      <c r="B17" s="2" t="s">
        <v>581</v>
      </c>
      <c r="C17" s="2" t="s">
        <v>146</v>
      </c>
      <c r="D17" s="2" t="s">
        <v>513</v>
      </c>
      <c r="E17" s="3">
        <v>4133076.96</v>
      </c>
      <c r="F17" s="2" t="s">
        <v>582</v>
      </c>
      <c r="G17" s="2" t="s">
        <v>583</v>
      </c>
      <c r="H17" s="2" t="s">
        <v>584</v>
      </c>
      <c r="I17" s="2" t="s">
        <v>582</v>
      </c>
      <c r="J17" s="2" t="s">
        <v>584</v>
      </c>
      <c r="K17" s="2" t="s">
        <v>517</v>
      </c>
      <c r="L17" s="2" t="s">
        <v>264</v>
      </c>
    </row>
    <row r="18" spans="1:12" ht="28">
      <c r="A18" s="2" t="s">
        <v>511</v>
      </c>
      <c r="B18" s="2" t="s">
        <v>585</v>
      </c>
      <c r="C18" s="2" t="s">
        <v>102</v>
      </c>
      <c r="D18" s="2" t="s">
        <v>513</v>
      </c>
      <c r="E18" s="3">
        <v>3900373.36</v>
      </c>
      <c r="F18" s="2" t="s">
        <v>561</v>
      </c>
      <c r="G18" s="2" t="s">
        <v>562</v>
      </c>
      <c r="H18" s="2" t="s">
        <v>563</v>
      </c>
      <c r="I18" s="2" t="s">
        <v>561</v>
      </c>
      <c r="J18" s="2" t="s">
        <v>563</v>
      </c>
      <c r="K18" s="2" t="s">
        <v>517</v>
      </c>
      <c r="L18" s="2"/>
    </row>
    <row r="19" spans="1:12" ht="28">
      <c r="A19" s="2" t="s">
        <v>511</v>
      </c>
      <c r="B19" s="2" t="s">
        <v>586</v>
      </c>
      <c r="C19" s="2" t="s">
        <v>146</v>
      </c>
      <c r="D19" s="2" t="s">
        <v>513</v>
      </c>
      <c r="E19" s="3">
        <v>2922323.69</v>
      </c>
      <c r="F19" s="2" t="s">
        <v>587</v>
      </c>
      <c r="G19" s="2" t="s">
        <v>588</v>
      </c>
      <c r="H19" s="2" t="s">
        <v>589</v>
      </c>
      <c r="I19" s="2"/>
      <c r="J19" s="2"/>
      <c r="K19" s="2" t="s">
        <v>517</v>
      </c>
      <c r="L19" s="2"/>
    </row>
    <row r="20" spans="1:12" ht="28">
      <c r="A20" s="2" t="s">
        <v>511</v>
      </c>
      <c r="B20" s="2" t="s">
        <v>590</v>
      </c>
      <c r="C20" s="2" t="s">
        <v>95</v>
      </c>
      <c r="D20" s="2" t="s">
        <v>513</v>
      </c>
      <c r="E20" s="3">
        <v>1993822.42</v>
      </c>
      <c r="F20" s="2" t="s">
        <v>591</v>
      </c>
      <c r="G20" s="2" t="s">
        <v>592</v>
      </c>
      <c r="H20" s="2" t="s">
        <v>593</v>
      </c>
      <c r="I20" s="2" t="s">
        <v>594</v>
      </c>
      <c r="J20" s="2" t="s">
        <v>595</v>
      </c>
      <c r="K20" s="2" t="s">
        <v>517</v>
      </c>
      <c r="L20" s="2"/>
    </row>
    <row r="21" spans="1:12" ht="28">
      <c r="A21" s="2" t="s">
        <v>511</v>
      </c>
      <c r="B21" s="2" t="s">
        <v>596</v>
      </c>
      <c r="C21" s="2" t="s">
        <v>146</v>
      </c>
      <c r="D21" s="2" t="s">
        <v>513</v>
      </c>
      <c r="E21" s="3">
        <v>1805942.11</v>
      </c>
      <c r="F21" s="2" t="s">
        <v>597</v>
      </c>
      <c r="G21" s="2"/>
      <c r="H21" s="2" t="s">
        <v>598</v>
      </c>
      <c r="I21" s="2"/>
      <c r="J21" s="2"/>
      <c r="K21" s="2" t="s">
        <v>517</v>
      </c>
      <c r="L21" s="2"/>
    </row>
    <row r="22" spans="1:12" ht="28">
      <c r="A22" s="2" t="s">
        <v>511</v>
      </c>
      <c r="B22" s="2" t="s">
        <v>599</v>
      </c>
      <c r="C22" s="2" t="s">
        <v>400</v>
      </c>
      <c r="D22" s="2" t="s">
        <v>513</v>
      </c>
      <c r="E22" s="3">
        <v>1578780.29</v>
      </c>
      <c r="F22" s="2" t="s">
        <v>600</v>
      </c>
      <c r="G22" s="2" t="s">
        <v>601</v>
      </c>
      <c r="H22" s="2" t="s">
        <v>602</v>
      </c>
      <c r="I22" s="2"/>
      <c r="J22" s="2"/>
      <c r="K22" s="2" t="s">
        <v>517</v>
      </c>
      <c r="L22" s="2"/>
    </row>
    <row r="23" spans="1:12" ht="28">
      <c r="A23" s="2" t="s">
        <v>511</v>
      </c>
      <c r="B23" s="2" t="s">
        <v>603</v>
      </c>
      <c r="C23" s="2" t="s">
        <v>400</v>
      </c>
      <c r="D23" s="2" t="s">
        <v>513</v>
      </c>
      <c r="E23" s="3">
        <v>1366351</v>
      </c>
      <c r="F23" s="2" t="s">
        <v>604</v>
      </c>
      <c r="G23" s="2" t="s">
        <v>605</v>
      </c>
      <c r="H23" s="2" t="s">
        <v>606</v>
      </c>
      <c r="I23" s="2" t="s">
        <v>604</v>
      </c>
      <c r="J23" s="2" t="s">
        <v>606</v>
      </c>
      <c r="K23" s="2" t="s">
        <v>517</v>
      </c>
      <c r="L23" s="2"/>
    </row>
    <row r="24" spans="1:12" ht="28">
      <c r="A24" s="2" t="s">
        <v>511</v>
      </c>
      <c r="B24" s="2" t="s">
        <v>607</v>
      </c>
      <c r="C24" s="2" t="s">
        <v>400</v>
      </c>
      <c r="D24" s="2" t="s">
        <v>513</v>
      </c>
      <c r="E24" s="3">
        <v>1204432.3600000001</v>
      </c>
      <c r="F24" s="2" t="s">
        <v>608</v>
      </c>
      <c r="G24" s="2"/>
      <c r="H24" s="2" t="s">
        <v>609</v>
      </c>
      <c r="I24" s="2" t="s">
        <v>608</v>
      </c>
      <c r="J24" s="2" t="s">
        <v>609</v>
      </c>
      <c r="K24" s="2" t="s">
        <v>517</v>
      </c>
      <c r="L24" s="2"/>
    </row>
    <row r="25" spans="1:12" ht="28">
      <c r="A25" s="2" t="s">
        <v>511</v>
      </c>
      <c r="B25" s="2" t="s">
        <v>610</v>
      </c>
      <c r="C25" s="2" t="s">
        <v>400</v>
      </c>
      <c r="D25" s="2" t="s">
        <v>513</v>
      </c>
      <c r="E25" s="3">
        <v>882907.66</v>
      </c>
      <c r="F25" s="2" t="s">
        <v>611</v>
      </c>
      <c r="G25" s="2" t="s">
        <v>612</v>
      </c>
      <c r="H25" s="2" t="s">
        <v>613</v>
      </c>
      <c r="I25" s="2" t="s">
        <v>611</v>
      </c>
      <c r="J25" s="2" t="s">
        <v>613</v>
      </c>
      <c r="K25" s="2" t="s">
        <v>517</v>
      </c>
      <c r="L25" s="2"/>
    </row>
    <row r="26" spans="1:12" ht="28">
      <c r="A26" s="2" t="s">
        <v>511</v>
      </c>
      <c r="B26" s="2" t="s">
        <v>614</v>
      </c>
      <c r="C26" s="2" t="s">
        <v>95</v>
      </c>
      <c r="D26" s="2" t="s">
        <v>513</v>
      </c>
      <c r="E26" s="3">
        <v>135165.75</v>
      </c>
      <c r="F26" s="2" t="s">
        <v>615</v>
      </c>
      <c r="G26" s="2" t="s">
        <v>616</v>
      </c>
      <c r="H26" s="2" t="s">
        <v>617</v>
      </c>
      <c r="I26" s="2"/>
      <c r="J26" s="2"/>
      <c r="K26" s="2" t="s">
        <v>517</v>
      </c>
      <c r="L26" s="2"/>
    </row>
    <row r="27" spans="1:12" ht="28">
      <c r="A27" s="2" t="s">
        <v>511</v>
      </c>
      <c r="B27" s="2" t="s">
        <v>618</v>
      </c>
      <c r="C27" s="2" t="s">
        <v>95</v>
      </c>
      <c r="D27" s="2" t="s">
        <v>513</v>
      </c>
      <c r="E27" s="3">
        <v>32606.85</v>
      </c>
      <c r="F27" s="2" t="s">
        <v>619</v>
      </c>
      <c r="G27" s="2" t="s">
        <v>620</v>
      </c>
      <c r="H27" s="2" t="s">
        <v>621</v>
      </c>
      <c r="I27" s="2"/>
      <c r="J27" s="2"/>
      <c r="K27" s="2" t="s">
        <v>517</v>
      </c>
      <c r="L27" s="2"/>
    </row>
  </sheetData>
  <autoFilter ref="A1:L2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36" customWidth="1"/>
    <col min="2" max="2" width="26" customWidth="1"/>
    <col min="3" max="3" width="16" customWidth="1"/>
    <col min="4" max="4" width="60" customWidth="1"/>
  </cols>
  <sheetData>
    <row r="1" spans="1:4">
      <c r="A1" s="1" t="s">
        <v>1</v>
      </c>
      <c r="B1" s="1" t="s">
        <v>622</v>
      </c>
      <c r="C1" s="1" t="s">
        <v>623</v>
      </c>
      <c r="D1" s="1" t="s">
        <v>624</v>
      </c>
    </row>
    <row r="2" spans="1:4" ht="28">
      <c r="A2" s="2" t="s">
        <v>625</v>
      </c>
      <c r="B2" s="2" t="s">
        <v>95</v>
      </c>
      <c r="C2" s="3">
        <v>792122763.12</v>
      </c>
      <c r="D2" s="2" t="s">
        <v>626</v>
      </c>
    </row>
    <row r="3" spans="1:4" ht="28">
      <c r="A3" s="2" t="s">
        <v>627</v>
      </c>
      <c r="B3" s="2" t="s">
        <v>89</v>
      </c>
      <c r="C3" s="3">
        <v>786071377.59000003</v>
      </c>
      <c r="D3" s="2" t="s">
        <v>626</v>
      </c>
    </row>
    <row r="4" spans="1:4" ht="28">
      <c r="A4" s="2" t="s">
        <v>628</v>
      </c>
      <c r="B4" s="2" t="s">
        <v>29</v>
      </c>
      <c r="C4" s="3">
        <v>370446934.32999998</v>
      </c>
      <c r="D4" s="2" t="s">
        <v>629</v>
      </c>
    </row>
    <row r="5" spans="1:4" ht="28">
      <c r="A5" s="2" t="s">
        <v>630</v>
      </c>
      <c r="B5" s="2" t="s">
        <v>89</v>
      </c>
      <c r="C5" s="3">
        <v>119157695.09</v>
      </c>
      <c r="D5" s="2" t="s">
        <v>626</v>
      </c>
    </row>
    <row r="6" spans="1:4" ht="28">
      <c r="A6" s="2" t="s">
        <v>631</v>
      </c>
      <c r="B6" s="2" t="s">
        <v>74</v>
      </c>
      <c r="C6" s="3">
        <v>112029271.16</v>
      </c>
      <c r="D6" s="2" t="s">
        <v>626</v>
      </c>
    </row>
    <row r="7" spans="1:4" ht="28">
      <c r="A7" s="2" t="s">
        <v>632</v>
      </c>
      <c r="B7" s="2" t="s">
        <v>74</v>
      </c>
      <c r="C7" s="3">
        <v>99480821.629999995</v>
      </c>
      <c r="D7" s="2" t="s">
        <v>626</v>
      </c>
    </row>
    <row r="8" spans="1:4" ht="28">
      <c r="A8" s="2" t="s">
        <v>633</v>
      </c>
      <c r="B8" s="2" t="s">
        <v>95</v>
      </c>
      <c r="C8" s="3">
        <v>86818039.439999998</v>
      </c>
      <c r="D8" s="2" t="s">
        <v>626</v>
      </c>
    </row>
    <row r="9" spans="1:4" ht="28">
      <c r="A9" s="2" t="s">
        <v>634</v>
      </c>
      <c r="B9" s="2" t="s">
        <v>95</v>
      </c>
      <c r="C9" s="3">
        <v>84603777.780000001</v>
      </c>
      <c r="D9" s="2" t="s">
        <v>626</v>
      </c>
    </row>
    <row r="10" spans="1:4" ht="28">
      <c r="A10" s="2" t="s">
        <v>635</v>
      </c>
      <c r="B10" s="2" t="s">
        <v>22</v>
      </c>
      <c r="C10" s="3">
        <v>80236392.049999997</v>
      </c>
      <c r="D10" s="2" t="s">
        <v>626</v>
      </c>
    </row>
    <row r="11" spans="1:4" ht="28">
      <c r="A11" s="2" t="s">
        <v>636</v>
      </c>
      <c r="B11" s="2" t="s">
        <v>95</v>
      </c>
      <c r="C11" s="3">
        <v>71023469.599999994</v>
      </c>
      <c r="D11" s="2" t="s">
        <v>626</v>
      </c>
    </row>
    <row r="12" spans="1:4" ht="28">
      <c r="A12" s="2" t="s">
        <v>637</v>
      </c>
      <c r="B12" s="2" t="s">
        <v>95</v>
      </c>
      <c r="C12" s="3">
        <v>56819526.240000002</v>
      </c>
      <c r="D12" s="2" t="s">
        <v>626</v>
      </c>
    </row>
    <row r="13" spans="1:4" ht="28">
      <c r="A13" s="2" t="s">
        <v>638</v>
      </c>
      <c r="B13" s="2" t="s">
        <v>29</v>
      </c>
      <c r="C13" s="3">
        <v>46340049.770000003</v>
      </c>
      <c r="D13" s="2" t="s">
        <v>629</v>
      </c>
    </row>
    <row r="14" spans="1:4" ht="28">
      <c r="A14" s="2" t="s">
        <v>639</v>
      </c>
      <c r="B14" s="2" t="s">
        <v>22</v>
      </c>
      <c r="C14" s="3">
        <v>44742981.979999997</v>
      </c>
      <c r="D14" s="2" t="s">
        <v>629</v>
      </c>
    </row>
    <row r="15" spans="1:4" ht="28">
      <c r="A15" s="2" t="s">
        <v>640</v>
      </c>
      <c r="B15" s="2" t="s">
        <v>22</v>
      </c>
      <c r="C15" s="3">
        <v>39448436.100000001</v>
      </c>
      <c r="D15" s="2" t="s">
        <v>629</v>
      </c>
    </row>
    <row r="16" spans="1:4" ht="28">
      <c r="A16" s="2" t="s">
        <v>641</v>
      </c>
      <c r="B16" s="2" t="s">
        <v>22</v>
      </c>
      <c r="C16" s="3">
        <v>39226565.020000003</v>
      </c>
      <c r="D16" s="2" t="s">
        <v>629</v>
      </c>
    </row>
    <row r="17" spans="1:4" ht="28">
      <c r="A17" s="2" t="s">
        <v>642</v>
      </c>
      <c r="B17" s="2" t="s">
        <v>74</v>
      </c>
      <c r="C17" s="3">
        <v>31873465.559999999</v>
      </c>
      <c r="D17" s="2" t="s">
        <v>629</v>
      </c>
    </row>
    <row r="18" spans="1:4" ht="28">
      <c r="A18" s="2" t="s">
        <v>643</v>
      </c>
      <c r="B18" s="2" t="s">
        <v>22</v>
      </c>
      <c r="C18" s="3">
        <v>29973158.149999999</v>
      </c>
      <c r="D18" s="2" t="s">
        <v>629</v>
      </c>
    </row>
    <row r="19" spans="1:4" ht="28">
      <c r="A19" s="2" t="s">
        <v>644</v>
      </c>
      <c r="B19" s="2" t="s">
        <v>74</v>
      </c>
      <c r="C19" s="3">
        <v>29203268.359999999</v>
      </c>
      <c r="D19" s="2" t="s">
        <v>626</v>
      </c>
    </row>
    <row r="20" spans="1:4" ht="28">
      <c r="A20" s="2" t="s">
        <v>645</v>
      </c>
      <c r="B20" s="2" t="s">
        <v>29</v>
      </c>
      <c r="C20" s="3">
        <v>27991691.109999999</v>
      </c>
      <c r="D20" s="2" t="s">
        <v>629</v>
      </c>
    </row>
    <row r="21" spans="1:4" ht="28">
      <c r="A21" s="2" t="s">
        <v>646</v>
      </c>
      <c r="B21" s="2" t="s">
        <v>102</v>
      </c>
      <c r="C21" s="3">
        <v>25471542.34</v>
      </c>
      <c r="D21" s="2" t="s">
        <v>629</v>
      </c>
    </row>
    <row r="22" spans="1:4" ht="28">
      <c r="A22" s="2" t="s">
        <v>647</v>
      </c>
      <c r="B22" s="2" t="s">
        <v>29</v>
      </c>
      <c r="C22" s="3">
        <v>23095665.34</v>
      </c>
      <c r="D22" s="2" t="s">
        <v>626</v>
      </c>
    </row>
    <row r="23" spans="1:4" ht="28">
      <c r="A23" s="2" t="s">
        <v>648</v>
      </c>
      <c r="B23" s="2" t="s">
        <v>29</v>
      </c>
      <c r="C23" s="3">
        <v>22516521.91</v>
      </c>
      <c r="D23" s="2" t="s">
        <v>626</v>
      </c>
    </row>
    <row r="24" spans="1:4" ht="28">
      <c r="A24" s="2" t="s">
        <v>649</v>
      </c>
      <c r="B24" s="2" t="s">
        <v>74</v>
      </c>
      <c r="C24" s="3">
        <v>22423692.940000001</v>
      </c>
      <c r="D24" s="2" t="s">
        <v>629</v>
      </c>
    </row>
    <row r="25" spans="1:4" ht="28">
      <c r="A25" s="2" t="s">
        <v>650</v>
      </c>
      <c r="B25" s="2" t="s">
        <v>22</v>
      </c>
      <c r="C25" s="3">
        <v>22012913.07</v>
      </c>
      <c r="D25" s="2" t="s">
        <v>626</v>
      </c>
    </row>
    <row r="26" spans="1:4" ht="28">
      <c r="A26" s="2" t="s">
        <v>651</v>
      </c>
      <c r="B26" s="2" t="s">
        <v>22</v>
      </c>
      <c r="C26" s="3">
        <v>21627943.420000002</v>
      </c>
      <c r="D26" s="2" t="s">
        <v>629</v>
      </c>
    </row>
    <row r="27" spans="1:4" ht="28">
      <c r="A27" s="2" t="s">
        <v>652</v>
      </c>
      <c r="B27" s="2" t="s">
        <v>29</v>
      </c>
      <c r="C27" s="3">
        <v>19897179.66</v>
      </c>
      <c r="D27" s="2" t="s">
        <v>629</v>
      </c>
    </row>
    <row r="28" spans="1:4" ht="28">
      <c r="A28" s="2" t="s">
        <v>653</v>
      </c>
      <c r="B28" s="2" t="s">
        <v>22</v>
      </c>
      <c r="C28" s="3">
        <v>19092512.93</v>
      </c>
      <c r="D28" s="2" t="s">
        <v>626</v>
      </c>
    </row>
    <row r="29" spans="1:4" ht="28">
      <c r="A29" s="2" t="s">
        <v>654</v>
      </c>
      <c r="B29" s="2" t="s">
        <v>29</v>
      </c>
      <c r="C29" s="3">
        <v>19041274.489999998</v>
      </c>
      <c r="D29" s="2" t="s">
        <v>629</v>
      </c>
    </row>
    <row r="30" spans="1:4" ht="28">
      <c r="A30" s="2" t="s">
        <v>655</v>
      </c>
      <c r="B30" s="2" t="s">
        <v>74</v>
      </c>
      <c r="C30" s="3">
        <v>17582181.09</v>
      </c>
      <c r="D30" s="2" t="s">
        <v>629</v>
      </c>
    </row>
    <row r="31" spans="1:4" ht="28">
      <c r="A31" s="2" t="s">
        <v>656</v>
      </c>
      <c r="B31" s="2" t="s">
        <v>22</v>
      </c>
      <c r="C31" s="3">
        <v>17021912.469999999</v>
      </c>
      <c r="D31" s="2" t="s">
        <v>626</v>
      </c>
    </row>
    <row r="32" spans="1:4" ht="28">
      <c r="A32" s="2" t="s">
        <v>657</v>
      </c>
      <c r="B32" s="2" t="s">
        <v>29</v>
      </c>
      <c r="C32" s="3">
        <v>16385246.390000001</v>
      </c>
      <c r="D32" s="2" t="s">
        <v>626</v>
      </c>
    </row>
    <row r="33" spans="1:4" ht="28">
      <c r="A33" s="2" t="s">
        <v>658</v>
      </c>
      <c r="B33" s="2" t="s">
        <v>89</v>
      </c>
      <c r="C33" s="3">
        <v>15282081.560000001</v>
      </c>
      <c r="D33" s="2" t="s">
        <v>659</v>
      </c>
    </row>
    <row r="34" spans="1:4" ht="28">
      <c r="A34" s="2" t="s">
        <v>660</v>
      </c>
      <c r="B34" s="2" t="s">
        <v>74</v>
      </c>
      <c r="C34" s="3">
        <v>15113934.33</v>
      </c>
      <c r="D34" s="2" t="s">
        <v>629</v>
      </c>
    </row>
    <row r="35" spans="1:4" ht="28">
      <c r="A35" s="2" t="s">
        <v>661</v>
      </c>
      <c r="B35" s="2" t="s">
        <v>29</v>
      </c>
      <c r="C35" s="3">
        <v>14758710.41</v>
      </c>
      <c r="D35" s="2" t="s">
        <v>626</v>
      </c>
    </row>
    <row r="36" spans="1:4" ht="28">
      <c r="A36" s="2" t="s">
        <v>662</v>
      </c>
      <c r="B36" s="2" t="s">
        <v>400</v>
      </c>
      <c r="C36" s="3">
        <v>14644368.73</v>
      </c>
      <c r="D36" s="2" t="s">
        <v>629</v>
      </c>
    </row>
    <row r="37" spans="1:4" ht="28">
      <c r="A37" s="2" t="s">
        <v>663</v>
      </c>
      <c r="B37" s="2" t="s">
        <v>22</v>
      </c>
      <c r="C37" s="3">
        <v>13860555.09</v>
      </c>
      <c r="D37" s="2" t="s">
        <v>626</v>
      </c>
    </row>
    <row r="38" spans="1:4" ht="28">
      <c r="A38" s="2" t="s">
        <v>664</v>
      </c>
      <c r="B38" s="2" t="s">
        <v>74</v>
      </c>
      <c r="C38" s="3">
        <v>13822297.33</v>
      </c>
      <c r="D38" s="2" t="s">
        <v>626</v>
      </c>
    </row>
    <row r="39" spans="1:4" ht="28">
      <c r="A39" s="2" t="s">
        <v>665</v>
      </c>
      <c r="B39" s="2" t="s">
        <v>29</v>
      </c>
      <c r="C39" s="3">
        <v>13574102.619999999</v>
      </c>
      <c r="D39" s="2" t="s">
        <v>629</v>
      </c>
    </row>
    <row r="40" spans="1:4" ht="28">
      <c r="A40" s="2" t="s">
        <v>666</v>
      </c>
      <c r="B40" s="2" t="s">
        <v>29</v>
      </c>
      <c r="C40" s="3">
        <v>13032143.220000001</v>
      </c>
      <c r="D40" s="2" t="s">
        <v>629</v>
      </c>
    </row>
    <row r="41" spans="1:4" ht="28">
      <c r="A41" s="2" t="s">
        <v>667</v>
      </c>
      <c r="B41" s="2" t="s">
        <v>74</v>
      </c>
      <c r="C41" s="3">
        <v>11871274.32</v>
      </c>
      <c r="D41" s="2" t="s">
        <v>629</v>
      </c>
    </row>
    <row r="42" spans="1:4" ht="28">
      <c r="A42" s="2" t="s">
        <v>668</v>
      </c>
      <c r="B42" s="2" t="s">
        <v>74</v>
      </c>
      <c r="C42" s="3">
        <v>11688513.9</v>
      </c>
      <c r="D42" s="2" t="s">
        <v>629</v>
      </c>
    </row>
    <row r="43" spans="1:4" ht="28">
      <c r="A43" s="2" t="s">
        <v>669</v>
      </c>
      <c r="B43" s="2" t="s">
        <v>22</v>
      </c>
      <c r="C43" s="3">
        <v>11165700</v>
      </c>
      <c r="D43" s="2" t="s">
        <v>629</v>
      </c>
    </row>
    <row r="44" spans="1:4" ht="28">
      <c r="A44" s="2" t="s">
        <v>670</v>
      </c>
      <c r="B44" s="2" t="s">
        <v>22</v>
      </c>
      <c r="C44" s="3">
        <v>10949351.99</v>
      </c>
      <c r="D44" s="2" t="s">
        <v>629</v>
      </c>
    </row>
    <row r="45" spans="1:4" ht="28">
      <c r="A45" s="2" t="s">
        <v>671</v>
      </c>
      <c r="B45" s="2" t="s">
        <v>22</v>
      </c>
      <c r="C45" s="3">
        <v>10949280.800000001</v>
      </c>
      <c r="D45" s="2" t="s">
        <v>629</v>
      </c>
    </row>
    <row r="46" spans="1:4" ht="28">
      <c r="A46" s="2" t="s">
        <v>672</v>
      </c>
      <c r="B46" s="2" t="s">
        <v>74</v>
      </c>
      <c r="C46" s="3">
        <v>10347175.630000001</v>
      </c>
      <c r="D46" s="2" t="s">
        <v>626</v>
      </c>
    </row>
    <row r="47" spans="1:4" ht="28">
      <c r="A47" s="2" t="s">
        <v>673</v>
      </c>
      <c r="B47" s="2" t="s">
        <v>13</v>
      </c>
      <c r="C47" s="3">
        <v>10281932.189999999</v>
      </c>
      <c r="D47" s="2" t="s">
        <v>629</v>
      </c>
    </row>
    <row r="48" spans="1:4" ht="28">
      <c r="A48" s="2" t="s">
        <v>674</v>
      </c>
      <c r="B48" s="2" t="s">
        <v>74</v>
      </c>
      <c r="C48" s="3">
        <v>10119102.539999999</v>
      </c>
      <c r="D48" s="2" t="s">
        <v>626</v>
      </c>
    </row>
    <row r="49" spans="1:4" ht="28">
      <c r="A49" s="2" t="s">
        <v>675</v>
      </c>
      <c r="B49" s="2" t="s">
        <v>95</v>
      </c>
      <c r="C49" s="3">
        <v>9797562.75</v>
      </c>
      <c r="D49" s="2" t="s">
        <v>626</v>
      </c>
    </row>
    <row r="50" spans="1:4" ht="28">
      <c r="A50" s="2" t="s">
        <v>676</v>
      </c>
      <c r="B50" s="2" t="s">
        <v>74</v>
      </c>
      <c r="C50" s="3">
        <v>9253989.8599999994</v>
      </c>
      <c r="D50" s="2" t="s">
        <v>626</v>
      </c>
    </row>
    <row r="51" spans="1:4" ht="28">
      <c r="A51" s="2" t="s">
        <v>677</v>
      </c>
      <c r="B51" s="2" t="s">
        <v>74</v>
      </c>
      <c r="C51" s="3">
        <v>9170234.6300000008</v>
      </c>
      <c r="D51" s="2" t="s">
        <v>629</v>
      </c>
    </row>
    <row r="52" spans="1:4" ht="28">
      <c r="A52" s="2" t="s">
        <v>678</v>
      </c>
      <c r="B52" s="2" t="s">
        <v>74</v>
      </c>
      <c r="C52" s="3">
        <v>8996353.4199999999</v>
      </c>
      <c r="D52" s="2" t="s">
        <v>629</v>
      </c>
    </row>
    <row r="53" spans="1:4" ht="28">
      <c r="A53" s="2" t="s">
        <v>679</v>
      </c>
      <c r="B53" s="2" t="s">
        <v>102</v>
      </c>
      <c r="C53" s="3">
        <v>8872982.1600000001</v>
      </c>
      <c r="D53" s="2" t="s">
        <v>626</v>
      </c>
    </row>
    <row r="54" spans="1:4" ht="28">
      <c r="A54" s="2" t="s">
        <v>680</v>
      </c>
      <c r="B54" s="2" t="s">
        <v>102</v>
      </c>
      <c r="C54" s="3">
        <v>8745119.9600000009</v>
      </c>
      <c r="D54" s="2" t="s">
        <v>629</v>
      </c>
    </row>
    <row r="55" spans="1:4" ht="28">
      <c r="A55" s="2" t="s">
        <v>681</v>
      </c>
      <c r="B55" s="2" t="s">
        <v>13</v>
      </c>
      <c r="C55" s="3">
        <v>8674694.0999999996</v>
      </c>
      <c r="D55" s="2" t="s">
        <v>629</v>
      </c>
    </row>
    <row r="56" spans="1:4" ht="28">
      <c r="A56" s="2" t="s">
        <v>682</v>
      </c>
      <c r="B56" s="2" t="s">
        <v>13</v>
      </c>
      <c r="C56" s="3">
        <v>8605760.5099999998</v>
      </c>
      <c r="D56" s="2" t="s">
        <v>629</v>
      </c>
    </row>
    <row r="57" spans="1:4" ht="28">
      <c r="A57" s="2" t="s">
        <v>683</v>
      </c>
      <c r="B57" s="2" t="s">
        <v>102</v>
      </c>
      <c r="C57" s="3">
        <v>7890811.9900000002</v>
      </c>
      <c r="D57" s="2" t="s">
        <v>629</v>
      </c>
    </row>
    <row r="58" spans="1:4" ht="28">
      <c r="A58" s="2" t="s">
        <v>684</v>
      </c>
      <c r="B58" s="2" t="s">
        <v>13</v>
      </c>
      <c r="C58" s="3">
        <v>7557678.6399999997</v>
      </c>
      <c r="D58" s="2" t="s">
        <v>629</v>
      </c>
    </row>
    <row r="59" spans="1:4" ht="28">
      <c r="A59" s="2" t="s">
        <v>685</v>
      </c>
      <c r="B59" s="2" t="s">
        <v>13</v>
      </c>
      <c r="C59" s="3">
        <v>7360512.1799999997</v>
      </c>
      <c r="D59" s="2" t="s">
        <v>629</v>
      </c>
    </row>
    <row r="60" spans="1:4" ht="28">
      <c r="A60" s="2" t="s">
        <v>686</v>
      </c>
      <c r="B60" s="2" t="s">
        <v>13</v>
      </c>
      <c r="C60" s="3">
        <v>7274043.0499999998</v>
      </c>
      <c r="D60" s="2" t="s">
        <v>629</v>
      </c>
    </row>
    <row r="61" spans="1:4" ht="28">
      <c r="A61" s="2" t="s">
        <v>687</v>
      </c>
      <c r="B61" s="2" t="s">
        <v>36</v>
      </c>
      <c r="C61" s="3">
        <v>6906824.5899999999</v>
      </c>
      <c r="D61" s="2" t="s">
        <v>629</v>
      </c>
    </row>
    <row r="62" spans="1:4">
      <c r="A62" s="2" t="s">
        <v>688</v>
      </c>
      <c r="B62" s="2" t="s">
        <v>400</v>
      </c>
      <c r="C62" s="3">
        <v>6749501.9699999997</v>
      </c>
      <c r="D62" s="2" t="s">
        <v>689</v>
      </c>
    </row>
    <row r="63" spans="1:4" ht="28">
      <c r="A63" s="2" t="s">
        <v>690</v>
      </c>
      <c r="B63" s="2" t="s">
        <v>102</v>
      </c>
      <c r="C63" s="3">
        <v>6414579.8499999996</v>
      </c>
      <c r="D63" s="2" t="s">
        <v>626</v>
      </c>
    </row>
    <row r="64" spans="1:4" ht="28">
      <c r="A64" s="2" t="s">
        <v>691</v>
      </c>
      <c r="B64" s="2" t="s">
        <v>13</v>
      </c>
      <c r="C64" s="3">
        <v>6336037.0700000003</v>
      </c>
      <c r="D64" s="2" t="s">
        <v>626</v>
      </c>
    </row>
    <row r="65" spans="1:4" ht="28">
      <c r="A65" s="2" t="s">
        <v>692</v>
      </c>
      <c r="B65" s="2" t="s">
        <v>400</v>
      </c>
      <c r="C65" s="3">
        <v>5796669.7400000002</v>
      </c>
      <c r="D65" s="2" t="s">
        <v>626</v>
      </c>
    </row>
    <row r="66" spans="1:4" ht="28">
      <c r="A66" s="2" t="s">
        <v>693</v>
      </c>
      <c r="B66" s="2" t="s">
        <v>400</v>
      </c>
      <c r="C66" s="3">
        <v>5120104.38</v>
      </c>
      <c r="D66" s="2" t="s">
        <v>629</v>
      </c>
    </row>
    <row r="67" spans="1:4" ht="28">
      <c r="A67" s="2" t="s">
        <v>694</v>
      </c>
      <c r="B67" s="2" t="s">
        <v>146</v>
      </c>
      <c r="C67" s="3">
        <v>4794590.32</v>
      </c>
      <c r="D67" s="2" t="s">
        <v>629</v>
      </c>
    </row>
    <row r="68" spans="1:4" ht="28">
      <c r="A68" s="2" t="s">
        <v>695</v>
      </c>
      <c r="B68" s="2" t="s">
        <v>102</v>
      </c>
      <c r="C68" s="3">
        <v>4548909.38</v>
      </c>
      <c r="D68" s="2" t="s">
        <v>626</v>
      </c>
    </row>
    <row r="69" spans="1:4" ht="28">
      <c r="A69" s="2" t="s">
        <v>696</v>
      </c>
      <c r="B69" s="2" t="s">
        <v>36</v>
      </c>
      <c r="C69" s="3">
        <v>4510562.2</v>
      </c>
      <c r="D69" s="2" t="s">
        <v>629</v>
      </c>
    </row>
    <row r="70" spans="1:4" ht="28">
      <c r="A70" s="2" t="s">
        <v>697</v>
      </c>
      <c r="B70" s="2" t="s">
        <v>36</v>
      </c>
      <c r="C70" s="3">
        <v>4401905.92</v>
      </c>
      <c r="D70" s="2" t="s">
        <v>629</v>
      </c>
    </row>
    <row r="71" spans="1:4" ht="28">
      <c r="A71" s="2" t="s">
        <v>698</v>
      </c>
      <c r="B71" s="2" t="s">
        <v>102</v>
      </c>
      <c r="C71" s="3">
        <v>4363313.21</v>
      </c>
      <c r="D71" s="2" t="s">
        <v>629</v>
      </c>
    </row>
    <row r="72" spans="1:4" ht="28">
      <c r="A72" s="2" t="s">
        <v>699</v>
      </c>
      <c r="B72" s="2" t="s">
        <v>146</v>
      </c>
      <c r="C72" s="3">
        <v>4319624.5999999996</v>
      </c>
      <c r="D72" s="2" t="s">
        <v>629</v>
      </c>
    </row>
    <row r="73" spans="1:4" ht="28">
      <c r="A73" s="2" t="s">
        <v>700</v>
      </c>
      <c r="B73" s="2" t="s">
        <v>400</v>
      </c>
      <c r="C73" s="3">
        <v>4217966.41</v>
      </c>
      <c r="D73" s="2" t="s">
        <v>629</v>
      </c>
    </row>
    <row r="74" spans="1:4" ht="28">
      <c r="A74" s="2" t="s">
        <v>701</v>
      </c>
      <c r="B74" s="2" t="s">
        <v>400</v>
      </c>
      <c r="C74" s="3">
        <v>4042597.51</v>
      </c>
      <c r="D74" s="2" t="s">
        <v>629</v>
      </c>
    </row>
    <row r="75" spans="1:4" ht="28">
      <c r="A75" s="2" t="s">
        <v>702</v>
      </c>
      <c r="B75" s="2" t="s">
        <v>146</v>
      </c>
      <c r="C75" s="3">
        <v>3835357.35</v>
      </c>
      <c r="D75" s="2" t="s">
        <v>629</v>
      </c>
    </row>
    <row r="76" spans="1:4" ht="28">
      <c r="A76" s="2" t="s">
        <v>703</v>
      </c>
      <c r="B76" s="2" t="s">
        <v>102</v>
      </c>
      <c r="C76" s="3">
        <v>3741103.55</v>
      </c>
      <c r="D76" s="2" t="s">
        <v>629</v>
      </c>
    </row>
    <row r="77" spans="1:4" ht="28">
      <c r="A77" s="2" t="s">
        <v>704</v>
      </c>
      <c r="B77" s="2" t="s">
        <v>102</v>
      </c>
      <c r="C77" s="3">
        <v>3720445.17</v>
      </c>
      <c r="D77" s="2" t="s">
        <v>626</v>
      </c>
    </row>
    <row r="78" spans="1:4" ht="28">
      <c r="A78" s="2" t="s">
        <v>705</v>
      </c>
      <c r="B78" s="2" t="s">
        <v>102</v>
      </c>
      <c r="C78" s="3">
        <v>3535833.92</v>
      </c>
      <c r="D78" s="2" t="s">
        <v>629</v>
      </c>
    </row>
    <row r="79" spans="1:4" ht="28">
      <c r="A79" s="2" t="s">
        <v>706</v>
      </c>
      <c r="B79" s="2" t="s">
        <v>102</v>
      </c>
      <c r="C79" s="3">
        <v>3518230.58</v>
      </c>
      <c r="D79" s="2" t="s">
        <v>626</v>
      </c>
    </row>
    <row r="80" spans="1:4" ht="28">
      <c r="A80" s="2" t="s">
        <v>707</v>
      </c>
      <c r="B80" s="2" t="s">
        <v>400</v>
      </c>
      <c r="C80" s="3">
        <v>3493006.1</v>
      </c>
      <c r="D80" s="2" t="s">
        <v>629</v>
      </c>
    </row>
    <row r="81" spans="1:4" ht="28">
      <c r="A81" s="2" t="s">
        <v>708</v>
      </c>
      <c r="B81" s="2" t="s">
        <v>709</v>
      </c>
      <c r="C81" s="3">
        <v>3102316.45</v>
      </c>
      <c r="D81" s="2" t="s">
        <v>629</v>
      </c>
    </row>
    <row r="82" spans="1:4" ht="28">
      <c r="A82" s="2" t="s">
        <v>710</v>
      </c>
      <c r="B82" s="2" t="s">
        <v>400</v>
      </c>
      <c r="C82" s="3">
        <v>3018918.76</v>
      </c>
      <c r="D82" s="2" t="s">
        <v>629</v>
      </c>
    </row>
    <row r="83" spans="1:4" ht="28">
      <c r="A83" s="2" t="s">
        <v>711</v>
      </c>
      <c r="B83" s="2" t="s">
        <v>102</v>
      </c>
      <c r="C83" s="3">
        <v>3009082.2</v>
      </c>
      <c r="D83" s="2" t="s">
        <v>629</v>
      </c>
    </row>
    <row r="84" spans="1:4" ht="28">
      <c r="A84" s="2" t="s">
        <v>712</v>
      </c>
      <c r="B84" s="2" t="s">
        <v>102</v>
      </c>
      <c r="C84" s="3">
        <v>2985886.75</v>
      </c>
      <c r="D84" s="2" t="s">
        <v>629</v>
      </c>
    </row>
    <row r="85" spans="1:4" ht="28">
      <c r="A85" s="2" t="s">
        <v>713</v>
      </c>
      <c r="B85" s="2" t="s">
        <v>102</v>
      </c>
      <c r="C85" s="3">
        <v>2927200.55</v>
      </c>
      <c r="D85" s="2" t="s">
        <v>629</v>
      </c>
    </row>
    <row r="86" spans="1:4" ht="28">
      <c r="A86" s="2" t="s">
        <v>714</v>
      </c>
      <c r="B86" s="2" t="s">
        <v>36</v>
      </c>
      <c r="C86" s="3">
        <v>2585614.75</v>
      </c>
      <c r="D86" s="2" t="s">
        <v>629</v>
      </c>
    </row>
    <row r="87" spans="1:4" ht="28">
      <c r="A87" s="2" t="s">
        <v>715</v>
      </c>
      <c r="B87" s="2" t="s">
        <v>146</v>
      </c>
      <c r="C87" s="3">
        <v>2239562.88</v>
      </c>
      <c r="D87" s="2" t="s">
        <v>626</v>
      </c>
    </row>
    <row r="88" spans="1:4" ht="28">
      <c r="A88" s="2" t="s">
        <v>716</v>
      </c>
      <c r="B88" s="2" t="s">
        <v>146</v>
      </c>
      <c r="C88" s="3">
        <v>1881482.44</v>
      </c>
      <c r="D88" s="2" t="s">
        <v>629</v>
      </c>
    </row>
    <row r="89" spans="1:4" ht="28">
      <c r="A89" s="2" t="s">
        <v>717</v>
      </c>
      <c r="B89" s="2" t="s">
        <v>146</v>
      </c>
      <c r="C89" s="3">
        <v>1823534.13</v>
      </c>
      <c r="D89" s="2" t="s">
        <v>629</v>
      </c>
    </row>
    <row r="90" spans="1:4" ht="28">
      <c r="A90" s="2" t="s">
        <v>656</v>
      </c>
      <c r="B90" s="2" t="s">
        <v>22</v>
      </c>
      <c r="C90" s="3">
        <v>1790885.86</v>
      </c>
      <c r="D90" s="2" t="s">
        <v>626</v>
      </c>
    </row>
    <row r="91" spans="1:4" ht="28">
      <c r="A91" s="2" t="s">
        <v>718</v>
      </c>
      <c r="B91" s="2" t="s">
        <v>146</v>
      </c>
      <c r="C91" s="3">
        <v>1543838.25</v>
      </c>
      <c r="D91" s="2" t="s">
        <v>629</v>
      </c>
    </row>
    <row r="92" spans="1:4" ht="28">
      <c r="A92" s="2" t="s">
        <v>719</v>
      </c>
      <c r="B92" s="2" t="s">
        <v>146</v>
      </c>
      <c r="C92" s="3">
        <v>1474590.22</v>
      </c>
      <c r="D92" s="2" t="s">
        <v>629</v>
      </c>
    </row>
    <row r="93" spans="1:4" ht="28">
      <c r="A93" s="2" t="s">
        <v>720</v>
      </c>
      <c r="B93" s="2" t="s">
        <v>400</v>
      </c>
      <c r="C93" s="3">
        <v>1442181.75</v>
      </c>
      <c r="D93" s="2" t="s">
        <v>629</v>
      </c>
    </row>
    <row r="94" spans="1:4" ht="28">
      <c r="A94" s="2" t="s">
        <v>721</v>
      </c>
      <c r="B94" s="2" t="s">
        <v>400</v>
      </c>
      <c r="C94" s="3">
        <v>1420743.84</v>
      </c>
      <c r="D94" s="2" t="s">
        <v>629</v>
      </c>
    </row>
    <row r="95" spans="1:4" ht="28">
      <c r="A95" s="2" t="s">
        <v>722</v>
      </c>
      <c r="B95" s="2" t="s">
        <v>121</v>
      </c>
      <c r="C95" s="3">
        <v>1411425.7</v>
      </c>
      <c r="D95" s="2" t="s">
        <v>626</v>
      </c>
    </row>
    <row r="96" spans="1:4" ht="28">
      <c r="A96" s="2" t="s">
        <v>723</v>
      </c>
      <c r="B96" s="2" t="s">
        <v>400</v>
      </c>
      <c r="C96" s="3">
        <v>1356922.98</v>
      </c>
      <c r="D96" s="2" t="s">
        <v>626</v>
      </c>
    </row>
    <row r="97" spans="1:4" ht="28">
      <c r="A97" s="2" t="s">
        <v>724</v>
      </c>
      <c r="B97" s="2" t="s">
        <v>146</v>
      </c>
      <c r="C97" s="3">
        <v>1306102.67</v>
      </c>
      <c r="D97" s="2" t="s">
        <v>629</v>
      </c>
    </row>
    <row r="98" spans="1:4" ht="28">
      <c r="A98" s="2" t="s">
        <v>725</v>
      </c>
      <c r="B98" s="2" t="s">
        <v>146</v>
      </c>
      <c r="C98" s="3">
        <v>1276154.57</v>
      </c>
      <c r="D98" s="2" t="s">
        <v>629</v>
      </c>
    </row>
    <row r="99" spans="1:4" ht="28">
      <c r="A99" s="2" t="s">
        <v>726</v>
      </c>
      <c r="B99" s="2" t="s">
        <v>400</v>
      </c>
      <c r="C99" s="3">
        <v>1136389.44</v>
      </c>
      <c r="D99" s="2" t="s">
        <v>629</v>
      </c>
    </row>
    <row r="100" spans="1:4" ht="28">
      <c r="A100" s="2" t="s">
        <v>727</v>
      </c>
      <c r="B100" s="2" t="s">
        <v>36</v>
      </c>
      <c r="C100" s="3">
        <v>1117794.46</v>
      </c>
      <c r="D100" s="2" t="s">
        <v>629</v>
      </c>
    </row>
    <row r="101" spans="1:4" ht="28">
      <c r="A101" s="2" t="s">
        <v>728</v>
      </c>
      <c r="B101" s="2" t="s">
        <v>36</v>
      </c>
      <c r="C101" s="3">
        <v>1004581.57</v>
      </c>
      <c r="D101" s="2" t="s">
        <v>626</v>
      </c>
    </row>
    <row r="102" spans="1:4" ht="28">
      <c r="A102" s="2" t="s">
        <v>729</v>
      </c>
      <c r="B102" s="2" t="s">
        <v>400</v>
      </c>
      <c r="C102" s="3">
        <v>980002.6</v>
      </c>
      <c r="D102" s="2" t="s">
        <v>629</v>
      </c>
    </row>
    <row r="103" spans="1:4" ht="28">
      <c r="A103" s="2" t="s">
        <v>730</v>
      </c>
      <c r="B103" s="2" t="s">
        <v>95</v>
      </c>
      <c r="C103" s="3">
        <v>885170.04</v>
      </c>
      <c r="D103" s="2" t="s">
        <v>626</v>
      </c>
    </row>
    <row r="104" spans="1:4" ht="28">
      <c r="A104" s="2" t="s">
        <v>731</v>
      </c>
      <c r="B104" s="2" t="s">
        <v>400</v>
      </c>
      <c r="C104" s="3">
        <v>873149.16</v>
      </c>
      <c r="D104" s="2" t="s">
        <v>629</v>
      </c>
    </row>
    <row r="105" spans="1:4" ht="28">
      <c r="A105" s="2" t="s">
        <v>732</v>
      </c>
      <c r="B105" s="2" t="s">
        <v>95</v>
      </c>
      <c r="C105" s="3">
        <v>785533.86</v>
      </c>
      <c r="D105" s="2" t="s">
        <v>626</v>
      </c>
    </row>
    <row r="106" spans="1:4" ht="28">
      <c r="A106" s="2" t="s">
        <v>733</v>
      </c>
      <c r="B106" s="2" t="s">
        <v>400</v>
      </c>
      <c r="C106" s="3">
        <v>781303.5</v>
      </c>
      <c r="D106" s="2" t="s">
        <v>629</v>
      </c>
    </row>
    <row r="107" spans="1:4" ht="28">
      <c r="A107" s="2" t="s">
        <v>734</v>
      </c>
      <c r="B107" s="2" t="s">
        <v>121</v>
      </c>
      <c r="C107" s="3">
        <v>779796.07</v>
      </c>
      <c r="D107" s="2" t="s">
        <v>626</v>
      </c>
    </row>
    <row r="108" spans="1:4" ht="28">
      <c r="A108" s="2" t="s">
        <v>735</v>
      </c>
      <c r="B108" s="2" t="s">
        <v>36</v>
      </c>
      <c r="C108" s="3">
        <v>585185.06000000006</v>
      </c>
      <c r="D108" s="2" t="s">
        <v>629</v>
      </c>
    </row>
    <row r="109" spans="1:4" ht="28">
      <c r="A109" s="2" t="s">
        <v>736</v>
      </c>
      <c r="B109" s="2" t="s">
        <v>36</v>
      </c>
      <c r="C109" s="3">
        <v>562913.68000000005</v>
      </c>
      <c r="D109" s="2" t="s">
        <v>629</v>
      </c>
    </row>
    <row r="110" spans="1:4" ht="28">
      <c r="A110" s="2" t="s">
        <v>737</v>
      </c>
      <c r="B110" s="2" t="s">
        <v>36</v>
      </c>
      <c r="C110" s="3">
        <v>523588.69</v>
      </c>
      <c r="D110" s="2" t="s">
        <v>629</v>
      </c>
    </row>
    <row r="111" spans="1:4" ht="28">
      <c r="A111" s="2" t="s">
        <v>738</v>
      </c>
      <c r="B111" s="2" t="s">
        <v>95</v>
      </c>
      <c r="C111" s="3">
        <v>377480.2</v>
      </c>
      <c r="D111" s="2" t="s">
        <v>629</v>
      </c>
    </row>
    <row r="112" spans="1:4" ht="28">
      <c r="A112" s="2" t="s">
        <v>739</v>
      </c>
      <c r="B112" s="2" t="s">
        <v>121</v>
      </c>
      <c r="C112" s="3">
        <v>158130.14000000001</v>
      </c>
      <c r="D112" s="2" t="s">
        <v>629</v>
      </c>
    </row>
    <row r="113" spans="1:4" ht="28">
      <c r="A113" s="2" t="s">
        <v>740</v>
      </c>
      <c r="B113" s="2" t="s">
        <v>95</v>
      </c>
      <c r="C113" s="3">
        <v>128660.03</v>
      </c>
      <c r="D113" s="2" t="s">
        <v>629</v>
      </c>
    </row>
    <row r="114" spans="1:4" ht="28">
      <c r="A114" s="2" t="s">
        <v>741</v>
      </c>
      <c r="B114" s="2" t="s">
        <v>36</v>
      </c>
      <c r="C114" s="3">
        <v>115704.56</v>
      </c>
      <c r="D114" s="2" t="s">
        <v>629</v>
      </c>
    </row>
    <row r="115" spans="1:4" ht="28">
      <c r="A115" s="2" t="s">
        <v>742</v>
      </c>
      <c r="B115" s="2" t="s">
        <v>36</v>
      </c>
      <c r="C115" s="3">
        <v>106740.83</v>
      </c>
      <c r="D115" s="2" t="s">
        <v>629</v>
      </c>
    </row>
    <row r="116" spans="1:4" ht="28">
      <c r="A116" s="2" t="s">
        <v>743</v>
      </c>
      <c r="B116" s="2" t="s">
        <v>95</v>
      </c>
      <c r="C116" s="3">
        <v>65652.58</v>
      </c>
      <c r="D116" s="2" t="s">
        <v>629</v>
      </c>
    </row>
    <row r="117" spans="1:4" ht="28">
      <c r="A117" s="2" t="s">
        <v>744</v>
      </c>
      <c r="B117" s="2" t="s">
        <v>121</v>
      </c>
      <c r="C117" s="3">
        <v>59816.74</v>
      </c>
      <c r="D117" s="2" t="s">
        <v>629</v>
      </c>
    </row>
    <row r="118" spans="1:4" ht="28">
      <c r="A118" s="2" t="s">
        <v>745</v>
      </c>
      <c r="B118" s="2" t="s">
        <v>95</v>
      </c>
      <c r="C118" s="3">
        <v>43384.01</v>
      </c>
      <c r="D118" s="2" t="s">
        <v>629</v>
      </c>
    </row>
    <row r="119" spans="1:4" ht="28">
      <c r="A119" s="2" t="s">
        <v>746</v>
      </c>
      <c r="B119" s="2" t="s">
        <v>95</v>
      </c>
      <c r="C119" s="3">
        <v>27326.560000000001</v>
      </c>
      <c r="D119" s="2" t="s">
        <v>629</v>
      </c>
    </row>
    <row r="120" spans="1:4" ht="28">
      <c r="A120" s="2" t="s">
        <v>747</v>
      </c>
      <c r="B120" s="2" t="s">
        <v>400</v>
      </c>
      <c r="C120" s="3">
        <v>200</v>
      </c>
      <c r="D120" s="2" t="s">
        <v>629</v>
      </c>
    </row>
  </sheetData>
  <autoFilter ref="A1:D12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/>
  </sheetViews>
  <sheetFormatPr baseColWidth="10" defaultColWidth="8.6640625" defaultRowHeight="15"/>
  <cols>
    <col min="1" max="1" width="55" customWidth="1"/>
    <col min="2" max="2" width="10" customWidth="1"/>
  </cols>
  <sheetData>
    <row r="1" spans="1:5" ht="16">
      <c r="A1" s="4" t="s">
        <v>748</v>
      </c>
    </row>
    <row r="3" spans="1:5">
      <c r="A3" s="5" t="s">
        <v>749</v>
      </c>
      <c r="B3" s="6">
        <f>COUNTA('Prospectos iMile'!B2:B83)</f>
        <v>82</v>
      </c>
    </row>
    <row r="4" spans="1:5">
      <c r="A4" s="5" t="s">
        <v>750</v>
      </c>
      <c r="B4" s="6">
        <f>COUNTIF('Prospectos iMile'!A2:A83,"1 - Alta")</f>
        <v>18</v>
      </c>
    </row>
    <row r="5" spans="1:5">
      <c r="A5" s="5" t="s">
        <v>751</v>
      </c>
      <c r="B5" s="6">
        <f>COUNTIF('Prospectos iMile'!A2:A83,"2 - Media")</f>
        <v>42</v>
      </c>
    </row>
    <row r="6" spans="1:5">
      <c r="A6" s="5" t="s">
        <v>752</v>
      </c>
      <c r="B6" s="6">
        <f>COUNTIF('Prospectos iMile'!A2:A83,"3 - Baja")</f>
        <v>22</v>
      </c>
    </row>
    <row r="7" spans="1:5">
      <c r="A7" s="5" t="s">
        <v>753</v>
      </c>
      <c r="B7" s="6">
        <f>COUNTA('Canal - Alianzas'!B2:B27)</f>
        <v>26</v>
      </c>
    </row>
    <row r="8" spans="1:5">
      <c r="A8" s="5" t="s">
        <v>754</v>
      </c>
      <c r="B8" s="6">
        <f>COUNTA(Excluidas!A2:A120)</f>
        <v>119</v>
      </c>
    </row>
    <row r="9" spans="1:5">
      <c r="A9" s="5" t="s">
        <v>755</v>
      </c>
      <c r="B9" s="6">
        <f>COUNTIF('Prospectos iMile'!L2:L83,"?*")</f>
        <v>14</v>
      </c>
    </row>
    <row r="11" spans="1:5" ht="15" customHeight="1">
      <c r="A11" s="14" t="s">
        <v>756</v>
      </c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  <row r="13" spans="1:5">
      <c r="A13" s="14"/>
      <c r="B13" s="14"/>
      <c r="C13" s="14"/>
      <c r="D13" s="14"/>
      <c r="E13" s="14"/>
    </row>
  </sheetData>
  <mergeCells count="1">
    <mergeCell ref="A11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Prospectos iMile</vt:lpstr>
      <vt:lpstr>Canal - Alianzas</vt:lpstr>
      <vt:lpstr>Excluidas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Malpica Herrera</cp:lastModifiedBy>
  <cp:revision>0</cp:revision>
  <dcterms:created xsi:type="dcterms:W3CDTF">2026-07-06T22:06:08Z</dcterms:created>
  <dcterms:modified xsi:type="dcterms:W3CDTF">2026-07-10T17:26:00Z</dcterms:modified>
  <dc:language>en-US</dc:language>
</cp:coreProperties>
</file>