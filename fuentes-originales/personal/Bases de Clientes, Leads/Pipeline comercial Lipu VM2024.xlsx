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alpica/Desktop/BASE DE DATOS/"/>
    </mc:Choice>
  </mc:AlternateContent>
  <xr:revisionPtr revIDLastSave="0" documentId="13_ncr:1_{0A8B16E4-1D41-794D-9D36-017CBA98AF88}" xr6:coauthVersionLast="47" xr6:coauthVersionMax="47" xr10:uidLastSave="{00000000-0000-0000-0000-000000000000}"/>
  <bookViews>
    <workbookView xWindow="0" yWindow="500" windowWidth="28800" windowHeight="15800" activeTab="3" xr2:uid="{35417FFB-20DD-4995-B5F8-CC2DEF5ECF8B}"/>
  </bookViews>
  <sheets>
    <sheet name="Pipeline" sheetId="1" r:id="rId1"/>
    <sheet name="Próximos a cierre 14022024" sheetId="3" r:id="rId2"/>
    <sheet name="Leads 2023-2024" sheetId="2" r:id="rId3"/>
    <sheet name="Hubspo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G34" i="1"/>
</calcChain>
</file>

<file path=xl/sharedStrings.xml><?xml version="1.0" encoding="utf-8"?>
<sst xmlns="http://schemas.openxmlformats.org/spreadsheetml/2006/main" count="970" uniqueCount="416">
  <si>
    <t>Empresa</t>
  </si>
  <si>
    <t xml:space="preserve">Fecha de solicitud de cotización </t>
  </si>
  <si>
    <t>Estado</t>
  </si>
  <si>
    <t>Ubicación empresa</t>
  </si>
  <si>
    <t>Cantidad de unidades</t>
  </si>
  <si>
    <t>Cantidad de usuarios</t>
  </si>
  <si>
    <t>Tipo de unidades</t>
  </si>
  <si>
    <t>Estado de la cotización</t>
  </si>
  <si>
    <t>Urgencia</t>
  </si>
  <si>
    <t>Nombre del contacto</t>
  </si>
  <si>
    <t>Correo</t>
  </si>
  <si>
    <t>Teléfono</t>
  </si>
  <si>
    <t xml:space="preserve">Fecha tentativa de inicio </t>
  </si>
  <si>
    <t xml:space="preserve">Periodo de duración </t>
  </si>
  <si>
    <t>Fecha de término</t>
  </si>
  <si>
    <t>Monto de Cotización sin IVA</t>
  </si>
  <si>
    <t>Frecuencia</t>
  </si>
  <si>
    <t xml:space="preserve">Account Executive </t>
  </si>
  <si>
    <t>Comentarios</t>
  </si>
  <si>
    <t>Servicio de Transporte Colectivo de Personal del ININ</t>
  </si>
  <si>
    <t>Activo</t>
  </si>
  <si>
    <t>Carretera México-Toluca, S/N, La Marquesa
Municipio de Ocoyoacac,
Estado de México, C.P. 52750</t>
  </si>
  <si>
    <t>Camiones</t>
  </si>
  <si>
    <t xml:space="preserve">Estado de México </t>
  </si>
  <si>
    <t>Alta</t>
  </si>
  <si>
    <t>Marlene Colin y Maribel Rangel</t>
  </si>
  <si>
    <t>marlene.colin@inin.gob.mx y maribel.rangel@inin.gob.mx</t>
  </si>
  <si>
    <t>10 meses</t>
  </si>
  <si>
    <t>Iliana Montoya</t>
  </si>
  <si>
    <t xml:space="preserve">VOSS Automotive Mexico, S. de R.L. de C.V. </t>
  </si>
  <si>
    <t>Blvd Jesús Valdez Sánchez 642 Col. El llano, 25015 Saltillo, Coahuila</t>
  </si>
  <si>
    <t>Coahuila</t>
  </si>
  <si>
    <t>Media</t>
  </si>
  <si>
    <t xml:space="preserve">Sammanta Del Bosque Hernandez   </t>
  </si>
  <si>
    <t>Sammanta.delBosque@voss.net</t>
  </si>
  <si>
    <t>+ 52 (844) 132 0390</t>
  </si>
  <si>
    <t xml:space="preserve">Lunes a Viernes </t>
  </si>
  <si>
    <t xml:space="preserve">Antonio Lera </t>
  </si>
  <si>
    <t>Se manda a Lipu Norte ya que al hablar con el cliente es en Coahuila el servicio</t>
  </si>
  <si>
    <t>MillerKnoll</t>
  </si>
  <si>
    <t>Cotización enviada</t>
  </si>
  <si>
    <t>Bodega Nave 4ª
Parque San Martin Obispo II
Cuautitlán Izcalli, Estado de México</t>
  </si>
  <si>
    <t>19 pax</t>
  </si>
  <si>
    <t>Camión</t>
  </si>
  <si>
    <t>Vania Neyra</t>
  </si>
  <si>
    <t>vania_neyra@millerknoll.com</t>
  </si>
  <si>
    <t>+52 55 5063 9632</t>
  </si>
  <si>
    <t>Daniel Dickter</t>
  </si>
  <si>
    <t>PMNJYL</t>
  </si>
  <si>
    <t>Av. Vicente Lombardo Toledano 2, Industrial Esfuerzo Nacional 55547 Ecatepec de Morelos</t>
  </si>
  <si>
    <t>Alicia Yañez</t>
  </si>
  <si>
    <t>facturacion@pmnjyl.com.mx</t>
  </si>
  <si>
    <t xml:space="preserve">Iliana Montoya </t>
  </si>
  <si>
    <t xml:space="preserve"> SG Mexico BU Glass</t>
  </si>
  <si>
    <t>Parque Industrial Cuautla. Av. Nicolás Bravo 5, Xaloxtoc, 62741 Cdad. Ayala, Mor.</t>
  </si>
  <si>
    <t>40 pax</t>
  </si>
  <si>
    <t>Morelos</t>
  </si>
  <si>
    <t>Julio Martínez</t>
  </si>
  <si>
    <t>julioc.martinez@saint-gobain.com</t>
  </si>
  <si>
    <t>(+52) 735 35 4 8100
Ext. 8060</t>
  </si>
  <si>
    <t>Secretaría de Hacienda y Crédito Público</t>
  </si>
  <si>
    <t>Estación de metro, Tacubaya, San Lázaro</t>
  </si>
  <si>
    <t>Ciudad de México</t>
  </si>
  <si>
    <t>Marcos Guadalupe Jiménez Hernández</t>
  </si>
  <si>
    <t>marcos_jimenez@hacienda.gob.mx</t>
  </si>
  <si>
    <t>1 año</t>
  </si>
  <si>
    <t>EEEISA</t>
  </si>
  <si>
    <t>Perdido</t>
  </si>
  <si>
    <t>Estado de México Ozumba de Alzate 
Planta 5 de febrero #41 Ozumba de Alzate</t>
  </si>
  <si>
    <t>50 pax</t>
  </si>
  <si>
    <t>1 camión una Hiace</t>
  </si>
  <si>
    <t xml:space="preserve">Haydée Amaro </t>
  </si>
  <si>
    <t xml:space="preserve">jdo@eeeisa.com.mx </t>
  </si>
  <si>
    <t xml:space="preserve">Lunes a Domingo </t>
  </si>
  <si>
    <t>Mariana Fuentes</t>
  </si>
  <si>
    <t>Eliminan proyecto de la empresa</t>
  </si>
  <si>
    <t>Tribunal Superior Agrario</t>
  </si>
  <si>
    <t>30 pax</t>
  </si>
  <si>
    <t>Diana Jazmín Zamudio</t>
  </si>
  <si>
    <t xml:space="preserve">jasito_2307@hotmail.com </t>
  </si>
  <si>
    <t>Damsa</t>
  </si>
  <si>
    <t>Brandon Sánchez Silos</t>
  </si>
  <si>
    <t xml:space="preserve">bsanchez@damsa.com.mx </t>
  </si>
  <si>
    <t>Lunes a Sábado</t>
  </si>
  <si>
    <t>Proyecto 2 meses se pasa a Servicios Especiales</t>
  </si>
  <si>
    <t>INECC</t>
  </si>
  <si>
    <t>Carr. Picacho-Ajusco 4219, Jardines en la Montaña, Tlalpan, 14210 Ciudad de México, CDMX</t>
  </si>
  <si>
    <t>55 pax</t>
  </si>
  <si>
    <t xml:space="preserve">1 Camión una camioneta </t>
  </si>
  <si>
    <t>Arturp Rutra</t>
  </si>
  <si>
    <t xml:space="preserve">orutra_70@hotmail.com </t>
  </si>
  <si>
    <t>Fábrica de Calzado Andrea</t>
  </si>
  <si>
    <t>Macrocentro Tultitlán (54900, Blvd. Benito Juárez 10, Lázaro Cárdenas, Tultitlán de Mariano Escobedo, Méx.)</t>
  </si>
  <si>
    <t>130 pax</t>
  </si>
  <si>
    <t xml:space="preserve">Alejandra Márquez </t>
  </si>
  <si>
    <t>alejandra.kmj@outlook.com</t>
  </si>
  <si>
    <t xml:space="preserve">Parque industrial Lerma 
Zinacantepec </t>
  </si>
  <si>
    <t>70 pax</t>
  </si>
  <si>
    <t xml:space="preserve">Juan Carlos Dorantes </t>
  </si>
  <si>
    <t xml:space="preserve">jcarloslarosaleda@gmail.com </t>
  </si>
  <si>
    <t>Lunes a Domingo</t>
  </si>
  <si>
    <t>BYVA</t>
  </si>
  <si>
    <t xml:space="preserve">Planta Bolulevard Aeropuerto Miguel alemán número 164 Lerma Estado de México </t>
  </si>
  <si>
    <t>80 pax</t>
  </si>
  <si>
    <t xml:space="preserve">Oscar Guillermo Reynoso Ramirez </t>
  </si>
  <si>
    <t>oscarguillermo.reynoso@byva.com.mx</t>
  </si>
  <si>
    <t xml:space="preserve">Lunes a Sábado </t>
  </si>
  <si>
    <t>MC CONTRAFISCAL</t>
  </si>
  <si>
    <t>Crater No 42, Jardines del pedregal, Alvaro Obregon, CP 01900, CDMX</t>
  </si>
  <si>
    <t>Camioneta</t>
  </si>
  <si>
    <t>Eduardo Morales Chavez</t>
  </si>
  <si>
    <t>nominasmc@mcfiscales.com</t>
  </si>
  <si>
    <t>Qdelta</t>
  </si>
  <si>
    <t>Carretera Teoloyucan-Huehuetoca 259, CP 54770, Teoloyucan, Mex</t>
  </si>
  <si>
    <t>camioneta</t>
  </si>
  <si>
    <t>Estado de Mexico</t>
  </si>
  <si>
    <t xml:space="preserve">Maribel Arredondo </t>
  </si>
  <si>
    <t xml:space="preserve">marredondo@qdelta.com.mx </t>
  </si>
  <si>
    <t>ARABELA</t>
  </si>
  <si>
    <t>Parque Industrial Toluca 2000 Calle 3 Norte 102 San Blas Otzacatipán, 50233 Toluca de Lerdo, Méx.</t>
  </si>
  <si>
    <t>AUTOBUSES</t>
  </si>
  <si>
    <t>MEDIA</t>
  </si>
  <si>
    <t>GRUPO SID</t>
  </si>
  <si>
    <t>ALICIA YAÑEZ</t>
  </si>
  <si>
    <t>SEMARNAT</t>
  </si>
  <si>
    <t>SECRETARIA DE HACIENDA Y CREDITO PUBLICO</t>
  </si>
  <si>
    <t>WEG</t>
  </si>
  <si>
    <t>INGENICO</t>
  </si>
  <si>
    <t>CPA CUAUTITLAN PARK (SHEIN)</t>
  </si>
  <si>
    <t>TRIBUNAL SUPERIOR AGRARIO</t>
  </si>
  <si>
    <t>EMPACADORA CAMPO FRIO SA DE CV</t>
  </si>
  <si>
    <t>UNIVERSIDAD PARA EL BIENESTAR BENITO JUAREZ GARCIA SEDE TEXCOCO</t>
  </si>
  <si>
    <t>PARQUE ECOLOGICO LAGO DE TEXCOCO</t>
  </si>
  <si>
    <t>ANTONIO HERNANDEZ</t>
  </si>
  <si>
    <t>POLYMEROS</t>
  </si>
  <si>
    <t>PSEI PROVEEDORA DE SERVICIOS</t>
  </si>
  <si>
    <t>SIFATEC</t>
  </si>
  <si>
    <t>APOLLO COMMUNICATIONS SA DE CV</t>
  </si>
  <si>
    <t>ZORRO ABARROTERO</t>
  </si>
  <si>
    <t>21/12/2023</t>
  </si>
  <si>
    <t>Pendiente de cotización</t>
  </si>
  <si>
    <t>SAN MARTIN OBISPO</t>
  </si>
  <si>
    <t>ESCOLAR CLASICA</t>
  </si>
  <si>
    <t>GRUPO SALINAS</t>
  </si>
  <si>
    <t>30/01/24</t>
  </si>
  <si>
    <t>CDMX</t>
  </si>
  <si>
    <t>N/A</t>
  </si>
  <si>
    <t>TOYOTA / ESCOLAR 3 AÑOS</t>
  </si>
  <si>
    <t>JAVIER MALPICA</t>
  </si>
  <si>
    <t>SEREL</t>
  </si>
  <si>
    <t>EDO. MEX</t>
  </si>
  <si>
    <t>ESCOLAR 10 AÑOS</t>
  </si>
  <si>
    <t>CUAUTIPARK</t>
  </si>
  <si>
    <t>GRUMA</t>
  </si>
  <si>
    <t>Negociación</t>
  </si>
  <si>
    <t>SPRINTER 5 AÑOS</t>
  </si>
  <si>
    <t>CHALCO/TEOHTIHUACAN</t>
  </si>
  <si>
    <t>WALMART</t>
  </si>
  <si>
    <t>EDO. MEX.</t>
  </si>
  <si>
    <t>INSTITUTO NACIONAL DE MIGRACION</t>
  </si>
  <si>
    <t>IMPORTADORA MIZCO</t>
  </si>
  <si>
    <t>ENVASES UNIVERSALES</t>
  </si>
  <si>
    <t>20/12/23</t>
  </si>
  <si>
    <t>HIDALGO</t>
  </si>
  <si>
    <t>COATS</t>
  </si>
  <si>
    <t>TLAXCALA</t>
  </si>
  <si>
    <t>ESCOLAR 5 AÑOS</t>
  </si>
  <si>
    <t>POLIMEROS SINTETICOS</t>
  </si>
  <si>
    <t>TLALNEPANTLA</t>
  </si>
  <si>
    <t>ESTADO DE MEXICO</t>
  </si>
  <si>
    <t>ALMA BAUTISTA</t>
  </si>
  <si>
    <t>lma.bautista@polimerossinteticos.com.mx</t>
  </si>
  <si>
    <t>DANIEL DICKTER</t>
  </si>
  <si>
    <t>FARMACOS DAROVI</t>
  </si>
  <si>
    <t>AZCAPOTZALCO</t>
  </si>
  <si>
    <t>LUIS SANCHEZ</t>
  </si>
  <si>
    <t>luis.sanchez@farmacosdarovi.com.mx</t>
  </si>
  <si>
    <t>Traxporta</t>
  </si>
  <si>
    <t>HUEHUETOCA</t>
  </si>
  <si>
    <t>ALTA</t>
  </si>
  <si>
    <t>MANUEL CAZARES</t>
  </si>
  <si>
    <t xml:space="preserve"> m.cazares@traxion.global</t>
  </si>
  <si>
    <t>L-S</t>
  </si>
  <si>
    <t>PUMA</t>
  </si>
  <si>
    <t>CUAJIMALPA</t>
  </si>
  <si>
    <t>ARACELI PONCE</t>
  </si>
  <si>
    <t>araceli.ponce@puma.com</t>
  </si>
  <si>
    <t>56 4173 7884</t>
  </si>
  <si>
    <t>AMAZON</t>
  </si>
  <si>
    <t>21/02/24</t>
  </si>
  <si>
    <t>MEXICO</t>
  </si>
  <si>
    <t>ADRIAN</t>
  </si>
  <si>
    <t>lozana@amazon.com</t>
  </si>
  <si>
    <t>LUNES A DOMINGO</t>
  </si>
  <si>
    <t>TIBA LOGISTICS MEXICO</t>
  </si>
  <si>
    <t>14/2/24</t>
  </si>
  <si>
    <t>CUAUTITLAN IZCALLI</t>
  </si>
  <si>
    <t>ALBERTO</t>
  </si>
  <si>
    <t>ahernandez@tibagroup.com</t>
  </si>
  <si>
    <t>LUNES A SABADO</t>
  </si>
  <si>
    <t>Nombre</t>
  </si>
  <si>
    <t>Email</t>
  </si>
  <si>
    <t>Karla Cruz</t>
  </si>
  <si>
    <t>karlacruz@andreproductos.com</t>
  </si>
  <si>
    <t>Leticia Victoria Monroy Aldama</t>
  </si>
  <si>
    <t>lmonroya@megacable.com.mx</t>
  </si>
  <si>
    <t>Maria Eugenia Soriano</t>
  </si>
  <si>
    <t>maria.soriano@hoganlovells.com</t>
  </si>
  <si>
    <t>JOSE MANUEL BRUNO DOMINGUEZ</t>
  </si>
  <si>
    <t>cdajbruno@fsimilares.com</t>
  </si>
  <si>
    <t>Edgar Martínez</t>
  </si>
  <si>
    <t>eamarce@gmail.com</t>
  </si>
  <si>
    <t>Fernando Perez</t>
  </si>
  <si>
    <t>fperez@ujsierra.com.mx</t>
  </si>
  <si>
    <t>Adriana Reyes</t>
  </si>
  <si>
    <t>recursoshumanos@unipromtex.com</t>
  </si>
  <si>
    <t>Darinka Bernardo</t>
  </si>
  <si>
    <t>bernardo.d@icsitum.com</t>
  </si>
  <si>
    <t>Jonattan</t>
  </si>
  <si>
    <t>jonattanmarino@gmail.com</t>
  </si>
  <si>
    <t>Myriam Vargas</t>
  </si>
  <si>
    <t>recepcion.cuam.mexico@cuam.edu.mx</t>
  </si>
  <si>
    <t>Clara Mateos Mendoza</t>
  </si>
  <si>
    <t>cmateosm@gicsa.com.mx</t>
  </si>
  <si>
    <t>natan zachs</t>
  </si>
  <si>
    <t>nzachs@san-son.com</t>
  </si>
  <si>
    <t>Daniela Ramirez</t>
  </si>
  <si>
    <t>danramirez@ara.com.mx</t>
  </si>
  <si>
    <t>Treizy Guzman</t>
  </si>
  <si>
    <t>contabilidad@aeintertrade.com.mx</t>
  </si>
  <si>
    <t>Ana Cecilia Cabrera Arana</t>
  </si>
  <si>
    <t>cabreraanna34@gmail.com</t>
  </si>
  <si>
    <t>Janet Torres</t>
  </si>
  <si>
    <t>jtorres@gml.mx</t>
  </si>
  <si>
    <t>Armando Landin</t>
  </si>
  <si>
    <t>jose.landin@conjur.com.mx</t>
  </si>
  <si>
    <t>GABRIELA TRUJILLO</t>
  </si>
  <si>
    <t>gabriela.trujillo@integermexico.com.mx</t>
  </si>
  <si>
    <t>Aide García</t>
  </si>
  <si>
    <t>aide@textilo.mx</t>
  </si>
  <si>
    <t>Yasser Escamilla</t>
  </si>
  <si>
    <t>yescamilla@tum.com.mx</t>
  </si>
  <si>
    <t>Julieta Moreno</t>
  </si>
  <si>
    <t>jmoreno@notaria201.com.mx</t>
  </si>
  <si>
    <t>Alexis Rico</t>
  </si>
  <si>
    <t>arico@intermex.com</t>
  </si>
  <si>
    <t>VICTOR MANUEL CANO PEREZ</t>
  </si>
  <si>
    <t>vcano@gpisa.com.mx</t>
  </si>
  <si>
    <t>rodrigo gomora</t>
  </si>
  <si>
    <t>gerente-compras@dragonfoods.com.mx</t>
  </si>
  <si>
    <t>Daniel camacho</t>
  </si>
  <si>
    <t>daniel.2370@hotmail.com</t>
  </si>
  <si>
    <t>Alejandra Morales</t>
  </si>
  <si>
    <t>amoralesal@shasa.com</t>
  </si>
  <si>
    <t>CARLOS JIMENEZ</t>
  </si>
  <si>
    <t>ceazconsultoria@gmail.com</t>
  </si>
  <si>
    <t>Elizabeth Ortiz Zavala</t>
  </si>
  <si>
    <t>elizabeth.ortiz@ejecutando.com</t>
  </si>
  <si>
    <t>DAVID RIVERA</t>
  </si>
  <si>
    <t>eduardo.rivera@jvalle.com.mx</t>
  </si>
  <si>
    <t>Esteban Torres</t>
  </si>
  <si>
    <t>estebant333@gmail.com</t>
  </si>
  <si>
    <t>Jesus Alatorre</t>
  </si>
  <si>
    <t>recursoshumanos@asisprof.com.mx</t>
  </si>
  <si>
    <t>Javier Núñez Madrigal</t>
  </si>
  <si>
    <t>jnunez@tkm.com.mx</t>
  </si>
  <si>
    <t>Oscar Lopez Rubio</t>
  </si>
  <si>
    <t>oscar.lopez.rubio.54@gmail.com</t>
  </si>
  <si>
    <t>Marcela Martínez</t>
  </si>
  <si>
    <t>marcela.martinez@dreamtalentmexico.com</t>
  </si>
  <si>
    <t>erika glz</t>
  </si>
  <si>
    <t>erikagonzalez@f3rr1nd.com</t>
  </si>
  <si>
    <t>Adiel torres</t>
  </si>
  <si>
    <t>atorres@tgsdemx.com</t>
  </si>
  <si>
    <t>Uri Valdez</t>
  </si>
  <si>
    <t>uri.valdez@xerox.com</t>
  </si>
  <si>
    <t>Adriana González</t>
  </si>
  <si>
    <t>hilda.gonzalez@jtexpress.mx</t>
  </si>
  <si>
    <t>Ari Pineda Minero</t>
  </si>
  <si>
    <t>apineda@gicsa.com.mx</t>
  </si>
  <si>
    <t>Daniel León Monterrosa</t>
  </si>
  <si>
    <t>dani.rtlcdmx@gmail.com</t>
  </si>
  <si>
    <t>Gloria Anhel Rocha Escalante</t>
  </si>
  <si>
    <t>grocha@henco.com.mx</t>
  </si>
  <si>
    <t>Salvador Amador</t>
  </si>
  <si>
    <t>s.amador@intbe.com.MX</t>
  </si>
  <si>
    <t>Sugey Díaz</t>
  </si>
  <si>
    <t>sugey.diaz@nuestrohogar.com.mx</t>
  </si>
  <si>
    <t>Caesar Flores</t>
  </si>
  <si>
    <t>cesar.lbdp@hotmail.com</t>
  </si>
  <si>
    <t>Jorge Armando Posadas Mora</t>
  </si>
  <si>
    <t>jposadas@aaacesa.com.mx</t>
  </si>
  <si>
    <t>EVELYN ARACELY DOMINGUEZ GONZALEZ</t>
  </si>
  <si>
    <t>evelyndguez22@gmail.com</t>
  </si>
  <si>
    <t>cesar augusto mejia gomez</t>
  </si>
  <si>
    <t>probellcedis3@gmail.com</t>
  </si>
  <si>
    <t>antonio hernandez</t>
  </si>
  <si>
    <t>i.davis.dh@gmail.com</t>
  </si>
  <si>
    <t>Alejandra Márquez</t>
  </si>
  <si>
    <t>Maria Teresa Garcia</t>
  </si>
  <si>
    <t>maria.garcia@wurthmex.com.mx</t>
  </si>
  <si>
    <t>luz angelica velazquez</t>
  </si>
  <si>
    <t>luzaaa43@gmail.con</t>
  </si>
  <si>
    <t>Angeles Hernández</t>
  </si>
  <si>
    <t>mahernandez@apollocom.com.mx</t>
  </si>
  <si>
    <t>Haydée Amaro</t>
  </si>
  <si>
    <t>jdo@eeeisa.com.mx</t>
  </si>
  <si>
    <t>Juan Carlos Dorantes</t>
  </si>
  <si>
    <t>jcarloslarosaleda@gmail.com</t>
  </si>
  <si>
    <t>brandon sanchez silos</t>
  </si>
  <si>
    <t>bsanchez@damsa.com.mx</t>
  </si>
  <si>
    <t>Arturo</t>
  </si>
  <si>
    <t>orutra_70@hotmail.com</t>
  </si>
  <si>
    <t>jasito_2307@hotmail.com</t>
  </si>
  <si>
    <t>Oscar Guillermo Reynoso Ramirez</t>
  </si>
  <si>
    <t>Florencia Espinosa Fajardo.</t>
  </si>
  <si>
    <t>florenciaespinosafajardo@yahoo.com.mx</t>
  </si>
  <si>
    <t>Antonio Hernández</t>
  </si>
  <si>
    <t xml:space="preserve">i.davis.dh@gmail.com </t>
  </si>
  <si>
    <t>Edo Mex</t>
  </si>
  <si>
    <t xml:space="preserve">16 personas </t>
  </si>
  <si>
    <t>Luz Angélica Velázquez</t>
  </si>
  <si>
    <t xml:space="preserve">luzaaa43@gmail.com </t>
  </si>
  <si>
    <t>44 personas</t>
  </si>
  <si>
    <t>30 personas</t>
  </si>
  <si>
    <t>40 personas</t>
  </si>
  <si>
    <t xml:space="preserve">Brandon Sánchez </t>
  </si>
  <si>
    <t>Calzado Andrea</t>
  </si>
  <si>
    <t>130 personas</t>
  </si>
  <si>
    <t>70 personas</t>
  </si>
  <si>
    <t>Byva</t>
  </si>
  <si>
    <t>80 personas</t>
  </si>
  <si>
    <t>Florencia Espinosa Fajardo</t>
  </si>
  <si>
    <t xml:space="preserve">florenciaespinosafajardo@yahoo.com.mx </t>
  </si>
  <si>
    <t xml:space="preserve">15 personas </t>
  </si>
  <si>
    <t>Eduardo Morales Chávez</t>
  </si>
  <si>
    <t xml:space="preserve">nominasmc@mcfiscales.com </t>
  </si>
  <si>
    <t>Lunes a Viernes</t>
  </si>
  <si>
    <t>MC Fiscales</t>
  </si>
  <si>
    <t>Egakat</t>
  </si>
  <si>
    <t>10 personas</t>
  </si>
  <si>
    <t>Yeimi Martínez</t>
  </si>
  <si>
    <t xml:space="preserve">admindirector.mx@egakat.com </t>
  </si>
  <si>
    <t>Polímeros Sintéticos</t>
  </si>
  <si>
    <t xml:space="preserve">60 personas </t>
  </si>
  <si>
    <t xml:space="preserve">Alma Bautista </t>
  </si>
  <si>
    <t xml:space="preserve">lma.bautista@polimerossinteticos.com.mx </t>
  </si>
  <si>
    <t xml:space="preserve">Lorena Castilleros Chante </t>
  </si>
  <si>
    <t xml:space="preserve">rh@interbelting.com </t>
  </si>
  <si>
    <t xml:space="preserve">12 personas </t>
  </si>
  <si>
    <t>Interbelting</t>
  </si>
  <si>
    <t xml:space="preserve">Asael Cortes Campos </t>
  </si>
  <si>
    <t xml:space="preserve">molinolarosaledaasael@gmail.com </t>
  </si>
  <si>
    <t>380 personas</t>
  </si>
  <si>
    <t>Cinthia Berenice Miranda Rodríez</t>
  </si>
  <si>
    <t>bmiranda@cumbreslomas.com</t>
  </si>
  <si>
    <t xml:space="preserve">20 personas </t>
  </si>
  <si>
    <t>Yazmin Tlamani</t>
  </si>
  <si>
    <t xml:space="preserve">yazmin.tlamani@gosmo.mx </t>
  </si>
  <si>
    <t>Gosmo</t>
  </si>
  <si>
    <t xml:space="preserve">Jorge Pulido </t>
  </si>
  <si>
    <t xml:space="preserve">jorge@simmple.mx </t>
  </si>
  <si>
    <t xml:space="preserve">40 personas </t>
  </si>
  <si>
    <t>Simmple</t>
  </si>
  <si>
    <t xml:space="preserve">Prudential </t>
  </si>
  <si>
    <t xml:space="preserve">Abigail Gomez </t>
  </si>
  <si>
    <t xml:space="preserve">abigail.gomez@prudential.com </t>
  </si>
  <si>
    <t xml:space="preserve">Lunes a Miércoles </t>
  </si>
  <si>
    <t>Colegio Cumbres</t>
  </si>
  <si>
    <t>Cinthya no ha mando informacion para cotizar, se le contyacto por whats y correo</t>
  </si>
  <si>
    <t>No he logrado que me conteste correos y llamadas, seguire insistiendo</t>
  </si>
  <si>
    <t>No aceptaron la cotizacion por precio</t>
  </si>
  <si>
    <t>Se envio Cotizacion</t>
  </si>
  <si>
    <t>Se envio Cotizacion, me dicen que estan revisando el proyecto , es para abril</t>
  </si>
  <si>
    <t>Su proyecto solo es por un par de meses , s eenvio el contacto a especiales para el seguimiento</t>
  </si>
  <si>
    <t>TRIBUNAL SUPERRIOR AGRARIO</t>
  </si>
  <si>
    <t>Se le envio cotizacion , el sindicato no le dio respuesta, tierne cambios de titulares lo que ha generado que no s epueda tomar una desicion</t>
  </si>
  <si>
    <t>100 personas</t>
  </si>
  <si>
    <t xml:space="preserve">Se mandó cotización y se dio seguimiento, el proyecto se detuvo en la empresa </t>
  </si>
  <si>
    <t xml:space="preserve">Junta con ellos 07 03 2024  1pm </t>
  </si>
  <si>
    <t>Hable con el contacto y me comento que estan revisando temas de horario y que en cuanto lo tenga me manda los comentarios</t>
  </si>
  <si>
    <t>El cliente es Psei proveedora de servicios eléctricos industriales se le envio correo con la cotizacion , no ha respondido</t>
  </si>
  <si>
    <t xml:space="preserve">Cancelado </t>
  </si>
  <si>
    <t>Pendiente</t>
  </si>
  <si>
    <t>No Aplica</t>
  </si>
  <si>
    <t xml:space="preserve">Negociación </t>
  </si>
  <si>
    <t>Seguimiento</t>
  </si>
  <si>
    <t>El dia 06032024 Alejandra y me comento que preguntaba a coorporativo si ya revisaron la cotizacion y que me avisaba</t>
  </si>
  <si>
    <t>Esbeydi Martinez</t>
  </si>
  <si>
    <t xml:space="preserve">esbeydicompras@protector.com.mx </t>
  </si>
  <si>
    <t xml:space="preserve">Se le marca por teléfono y no contesta </t>
  </si>
  <si>
    <t xml:space="preserve">Alberto Benumea </t>
  </si>
  <si>
    <t>Aksi Herramientas</t>
  </si>
  <si>
    <t xml:space="preserve">comunicacion@aksi.com.mx </t>
  </si>
  <si>
    <t>Lunes a Jueves</t>
  </si>
  <si>
    <t xml:space="preserve">Se está trabajando en la cotización </t>
  </si>
  <si>
    <t>Cotización</t>
  </si>
  <si>
    <t xml:space="preserve">Televisa Santa Fe </t>
  </si>
  <si>
    <t xml:space="preserve">haidecastro1@hotmail.com </t>
  </si>
  <si>
    <t>Blanca Haide Castro Aguillon</t>
  </si>
  <si>
    <t xml:space="preserve">Ana Gonzalez </t>
  </si>
  <si>
    <t>diseno@lummi.com.mx</t>
  </si>
  <si>
    <t xml:space="preserve">Se comparte con ejecutivo </t>
  </si>
  <si>
    <t>Lummi</t>
  </si>
  <si>
    <t xml:space="preserve"> jesigalvarez@hotmail.com</t>
  </si>
  <si>
    <t>Ignacio Alvarez</t>
  </si>
  <si>
    <t>Estatus</t>
  </si>
  <si>
    <t>FRIDA</t>
  </si>
  <si>
    <t>ALEXIS</t>
  </si>
  <si>
    <t>EDGAR</t>
  </si>
  <si>
    <t>MARI</t>
  </si>
  <si>
    <t>ELIA</t>
  </si>
  <si>
    <t>ERIK</t>
  </si>
  <si>
    <t>ALEJANDRA</t>
  </si>
  <si>
    <t>MARIA</t>
  </si>
  <si>
    <t>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</si>
</sst>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_);[Red]\(&quot;$&quot;#,##0\)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"/>
      <family val="2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8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0" fontId="6" fillId="0" borderId="1" xfId="0" applyFont="1" applyBorder="1" applyAlignment="1">
      <alignment vertical="center" wrapText="1"/>
    </xf>
    <xf numFmtId="16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2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horizontal="right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right" wrapText="1"/>
    </xf>
    <xf numFmtId="0" fontId="6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horizontal="right" wrapText="1"/>
    </xf>
    <xf numFmtId="0" fontId="6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wrapText="1"/>
    </xf>
    <xf numFmtId="0" fontId="6" fillId="6" borderId="1" xfId="0" applyFont="1" applyFill="1" applyBorder="1" applyAlignment="1">
      <alignment horizontal="right" wrapText="1"/>
    </xf>
    <xf numFmtId="0" fontId="6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wrapText="1"/>
    </xf>
    <xf numFmtId="0" fontId="6" fillId="7" borderId="1" xfId="0" applyFont="1" applyFill="1" applyBorder="1" applyAlignment="1">
      <alignment horizontal="right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sanchez@damsa.com.mx" TargetMode="External"/><Relationship Id="rId13" Type="http://schemas.openxmlformats.org/officeDocument/2006/relationships/hyperlink" Target="mailto:nominasmc@mcfiscales.com" TargetMode="External"/><Relationship Id="rId18" Type="http://schemas.openxmlformats.org/officeDocument/2006/relationships/hyperlink" Target="mailto:araceli.ponce@puma.com" TargetMode="External"/><Relationship Id="rId3" Type="http://schemas.openxmlformats.org/officeDocument/2006/relationships/hyperlink" Target="mailto:julioc.martinez@saint-gobain.com" TargetMode="External"/><Relationship Id="rId7" Type="http://schemas.openxmlformats.org/officeDocument/2006/relationships/hyperlink" Target="mailto:jasito_2307@hotmail.com" TargetMode="External"/><Relationship Id="rId12" Type="http://schemas.openxmlformats.org/officeDocument/2006/relationships/hyperlink" Target="mailto:oscarguillermo.reynoso@byva.com.mx" TargetMode="External"/><Relationship Id="rId17" Type="http://schemas.openxmlformats.org/officeDocument/2006/relationships/hyperlink" Target="mailto:luis.sanchez@farmacosdarovi.com.mx" TargetMode="External"/><Relationship Id="rId2" Type="http://schemas.openxmlformats.org/officeDocument/2006/relationships/hyperlink" Target="mailto:facturacion@pmnjyl.com.mx" TargetMode="External"/><Relationship Id="rId16" Type="http://schemas.openxmlformats.org/officeDocument/2006/relationships/hyperlink" Target="mailto:lma.bautista@polimerossinteticos.com.mx" TargetMode="External"/><Relationship Id="rId20" Type="http://schemas.openxmlformats.org/officeDocument/2006/relationships/hyperlink" Target="mailto:ahernandez@tibagroup.com" TargetMode="External"/><Relationship Id="rId1" Type="http://schemas.openxmlformats.org/officeDocument/2006/relationships/hyperlink" Target="mailto:marlene.colin@inin.gob.mx%20y%20maribel.rangel@inin.gob.mx" TargetMode="External"/><Relationship Id="rId6" Type="http://schemas.openxmlformats.org/officeDocument/2006/relationships/hyperlink" Target="mailto:jdo@eeeisa.com.mx" TargetMode="External"/><Relationship Id="rId11" Type="http://schemas.openxmlformats.org/officeDocument/2006/relationships/hyperlink" Target="mailto:jcarloslarosaleda@gmail.com" TargetMode="External"/><Relationship Id="rId5" Type="http://schemas.openxmlformats.org/officeDocument/2006/relationships/hyperlink" Target="mailto:vania_neyra@millerknoll.com" TargetMode="External"/><Relationship Id="rId15" Type="http://schemas.openxmlformats.org/officeDocument/2006/relationships/hyperlink" Target="mailto:marredondo@qdelta.com.mx" TargetMode="External"/><Relationship Id="rId10" Type="http://schemas.openxmlformats.org/officeDocument/2006/relationships/hyperlink" Target="mailto:alejandra.kmj@outlook.com" TargetMode="External"/><Relationship Id="rId19" Type="http://schemas.openxmlformats.org/officeDocument/2006/relationships/hyperlink" Target="mailto:lozana@amazon.com" TargetMode="External"/><Relationship Id="rId4" Type="http://schemas.openxmlformats.org/officeDocument/2006/relationships/hyperlink" Target="mailto:marcos_jimenez@hacienda.gob.mx" TargetMode="External"/><Relationship Id="rId9" Type="http://schemas.openxmlformats.org/officeDocument/2006/relationships/hyperlink" Target="mailto:orutra_70@hotmail.com" TargetMode="External"/><Relationship Id="rId14" Type="http://schemas.openxmlformats.org/officeDocument/2006/relationships/hyperlink" Target="mailto:Sammanta.delBosque@voss.ne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rcos_jimenez@hacienda.gob.mx" TargetMode="External"/><Relationship Id="rId7" Type="http://schemas.openxmlformats.org/officeDocument/2006/relationships/hyperlink" Target="mailto:luis.sanchez@farmacosdarovi.com.mx" TargetMode="External"/><Relationship Id="rId2" Type="http://schemas.openxmlformats.org/officeDocument/2006/relationships/hyperlink" Target="mailto:julioc.martinez@saint-gobain.com" TargetMode="External"/><Relationship Id="rId1" Type="http://schemas.openxmlformats.org/officeDocument/2006/relationships/hyperlink" Target="mailto:marlene.colin@inin.gob.mx%20y%20maribel.rangel@inin.gob.mx" TargetMode="External"/><Relationship Id="rId6" Type="http://schemas.openxmlformats.org/officeDocument/2006/relationships/hyperlink" Target="mailto:oscarguillermo.reynoso@byva.com.mx" TargetMode="External"/><Relationship Id="rId5" Type="http://schemas.openxmlformats.org/officeDocument/2006/relationships/hyperlink" Target="mailto:alejandra.kmj@outlook.com" TargetMode="External"/><Relationship Id="rId4" Type="http://schemas.openxmlformats.org/officeDocument/2006/relationships/hyperlink" Target="mailto:vania_neyra@millerknol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jcarloslarosaleda@gmail.com" TargetMode="External"/><Relationship Id="rId13" Type="http://schemas.openxmlformats.org/officeDocument/2006/relationships/hyperlink" Target="mailto:admindirector.mx@egakat.com" TargetMode="External"/><Relationship Id="rId18" Type="http://schemas.openxmlformats.org/officeDocument/2006/relationships/hyperlink" Target="mailto:yazmin.tlamani@gosmo.mx" TargetMode="External"/><Relationship Id="rId3" Type="http://schemas.openxmlformats.org/officeDocument/2006/relationships/hyperlink" Target="mailto:jdo@eeeisa.com.mx" TargetMode="External"/><Relationship Id="rId21" Type="http://schemas.openxmlformats.org/officeDocument/2006/relationships/hyperlink" Target="mailto:esbeydicompras@protector.com.mx" TargetMode="External"/><Relationship Id="rId7" Type="http://schemas.openxmlformats.org/officeDocument/2006/relationships/hyperlink" Target="mailto:alejandra.kmj@outlook.com" TargetMode="External"/><Relationship Id="rId12" Type="http://schemas.openxmlformats.org/officeDocument/2006/relationships/hyperlink" Target="mailto:marredondo@qdelta.com.mx" TargetMode="External"/><Relationship Id="rId17" Type="http://schemas.openxmlformats.org/officeDocument/2006/relationships/hyperlink" Target="mailto:bmiranda@cumbreslomas.com" TargetMode="External"/><Relationship Id="rId2" Type="http://schemas.openxmlformats.org/officeDocument/2006/relationships/hyperlink" Target="mailto:luzaaa43@gmail.com" TargetMode="External"/><Relationship Id="rId16" Type="http://schemas.openxmlformats.org/officeDocument/2006/relationships/hyperlink" Target="mailto:molinolarosaledaasael@gmail.com" TargetMode="External"/><Relationship Id="rId20" Type="http://schemas.openxmlformats.org/officeDocument/2006/relationships/hyperlink" Target="mailto:abigail.gomez@prudential.com" TargetMode="External"/><Relationship Id="rId1" Type="http://schemas.openxmlformats.org/officeDocument/2006/relationships/hyperlink" Target="mailto:i.davis.dh@gmail.com" TargetMode="External"/><Relationship Id="rId6" Type="http://schemas.openxmlformats.org/officeDocument/2006/relationships/hyperlink" Target="mailto:orutra_70@hotmail.com" TargetMode="External"/><Relationship Id="rId11" Type="http://schemas.openxmlformats.org/officeDocument/2006/relationships/hyperlink" Target="mailto:nominasmc@mcfiscales.com" TargetMode="External"/><Relationship Id="rId24" Type="http://schemas.openxmlformats.org/officeDocument/2006/relationships/hyperlink" Target="mailto:diseno@lummi.com.mx" TargetMode="External"/><Relationship Id="rId5" Type="http://schemas.openxmlformats.org/officeDocument/2006/relationships/hyperlink" Target="mailto:bsanchez@damsa.com.mx" TargetMode="External"/><Relationship Id="rId15" Type="http://schemas.openxmlformats.org/officeDocument/2006/relationships/hyperlink" Target="mailto:rh@interbelting.com" TargetMode="External"/><Relationship Id="rId23" Type="http://schemas.openxmlformats.org/officeDocument/2006/relationships/hyperlink" Target="mailto:haidecastro1@hotmail.com" TargetMode="External"/><Relationship Id="rId10" Type="http://schemas.openxmlformats.org/officeDocument/2006/relationships/hyperlink" Target="mailto:florenciaespinosafajardo@yahoo.com.mx" TargetMode="External"/><Relationship Id="rId19" Type="http://schemas.openxmlformats.org/officeDocument/2006/relationships/hyperlink" Target="mailto:jorge@simmple.mx" TargetMode="External"/><Relationship Id="rId4" Type="http://schemas.openxmlformats.org/officeDocument/2006/relationships/hyperlink" Target="mailto:jasito_2307@hotmail.com" TargetMode="External"/><Relationship Id="rId9" Type="http://schemas.openxmlformats.org/officeDocument/2006/relationships/hyperlink" Target="mailto:oscarguillermo.reynoso@byva.com.mx" TargetMode="External"/><Relationship Id="rId14" Type="http://schemas.openxmlformats.org/officeDocument/2006/relationships/hyperlink" Target="mailto:lma.bautista@polimerossinteticos.com.mx" TargetMode="External"/><Relationship Id="rId22" Type="http://schemas.openxmlformats.org/officeDocument/2006/relationships/hyperlink" Target="mailto:comunicacion@aksi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1888-C9F1-477D-A44E-8B8A4A4455E0}">
  <dimension ref="A1:T463"/>
  <sheetViews>
    <sheetView zoomScale="90" zoomScaleNormal="90" workbookViewId="0">
      <pane ySplit="1" topLeftCell="A36" activePane="bottomLeft" state="frozen"/>
      <selection pane="bottomLeft" activeCell="B56" sqref="B56"/>
    </sheetView>
  </sheetViews>
  <sheetFormatPr baseColWidth="10" defaultColWidth="11.5" defaultRowHeight="15" x14ac:dyDescent="0.2"/>
  <cols>
    <col min="1" max="2" width="21.33203125" customWidth="1"/>
    <col min="4" max="4" width="12.83203125" customWidth="1"/>
    <col min="5" max="5" width="27.5" customWidth="1"/>
    <col min="6" max="8" width="0" hidden="1" customWidth="1"/>
    <col min="9" max="9" width="19.1640625" customWidth="1"/>
    <col min="10" max="10" width="0" hidden="1" customWidth="1"/>
    <col min="11" max="11" width="17.1640625" customWidth="1"/>
    <col min="12" max="12" width="28.1640625" customWidth="1"/>
    <col min="13" max="13" width="14.1640625" bestFit="1" customWidth="1"/>
    <col min="14" max="14" width="14.1640625" customWidth="1"/>
    <col min="17" max="18" width="18.5" customWidth="1"/>
    <col min="19" max="19" width="25.5" customWidth="1"/>
    <col min="20" max="20" width="13.33203125" customWidth="1"/>
  </cols>
  <sheetData>
    <row r="1" spans="1:20" ht="48" x14ac:dyDescent="0.2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68.25" customHeight="1" x14ac:dyDescent="0.2">
      <c r="A2" s="4" t="s">
        <v>19</v>
      </c>
      <c r="B2" s="4" t="s">
        <v>407</v>
      </c>
      <c r="C2" s="2">
        <v>45306</v>
      </c>
      <c r="D2" s="4" t="s">
        <v>20</v>
      </c>
      <c r="E2" s="4" t="s">
        <v>21</v>
      </c>
      <c r="F2" s="4">
        <v>15</v>
      </c>
      <c r="G2" s="4"/>
      <c r="H2" s="4" t="s">
        <v>22</v>
      </c>
      <c r="I2" s="4" t="s">
        <v>23</v>
      </c>
      <c r="J2" s="4" t="s">
        <v>24</v>
      </c>
      <c r="K2" s="4" t="s">
        <v>25</v>
      </c>
      <c r="L2" s="3" t="s">
        <v>26</v>
      </c>
      <c r="M2" s="4"/>
      <c r="N2" s="2">
        <v>45348</v>
      </c>
      <c r="O2" s="4" t="s">
        <v>27</v>
      </c>
      <c r="P2" s="2">
        <v>45657</v>
      </c>
      <c r="Q2" s="7">
        <v>4300000</v>
      </c>
      <c r="R2" s="2"/>
      <c r="S2" s="2" t="s">
        <v>28</v>
      </c>
      <c r="T2" s="4"/>
    </row>
    <row r="3" spans="1:20" ht="96" x14ac:dyDescent="0.2">
      <c r="A3" s="4" t="s">
        <v>29</v>
      </c>
      <c r="B3" s="4" t="s">
        <v>408</v>
      </c>
      <c r="C3" s="2">
        <v>45299</v>
      </c>
      <c r="D3" s="4" t="s">
        <v>20</v>
      </c>
      <c r="E3" s="4" t="s">
        <v>30</v>
      </c>
      <c r="F3" s="4">
        <v>14</v>
      </c>
      <c r="G3" s="4"/>
      <c r="H3" s="4" t="s">
        <v>22</v>
      </c>
      <c r="I3" s="4" t="s">
        <v>31</v>
      </c>
      <c r="J3" s="4" t="s">
        <v>32</v>
      </c>
      <c r="K3" s="4" t="s">
        <v>33</v>
      </c>
      <c r="L3" s="3" t="s">
        <v>34</v>
      </c>
      <c r="M3" s="8" t="s">
        <v>35</v>
      </c>
      <c r="N3" s="4"/>
      <c r="O3" s="4"/>
      <c r="P3" s="4"/>
      <c r="Q3" s="4"/>
      <c r="R3" s="4" t="s">
        <v>36</v>
      </c>
      <c r="S3" s="4" t="s">
        <v>37</v>
      </c>
      <c r="T3" s="4" t="s">
        <v>38</v>
      </c>
    </row>
    <row r="4" spans="1:20" ht="48" x14ac:dyDescent="0.2">
      <c r="A4" s="4" t="s">
        <v>39</v>
      </c>
      <c r="B4" s="4" t="s">
        <v>409</v>
      </c>
      <c r="C4" s="2">
        <v>45306</v>
      </c>
      <c r="D4" s="4" t="s">
        <v>40</v>
      </c>
      <c r="E4" s="4" t="s">
        <v>41</v>
      </c>
      <c r="F4" s="4">
        <v>1</v>
      </c>
      <c r="G4" s="4" t="s">
        <v>42</v>
      </c>
      <c r="H4" s="4" t="s">
        <v>43</v>
      </c>
      <c r="I4" s="4" t="s">
        <v>23</v>
      </c>
      <c r="J4" s="4" t="s">
        <v>32</v>
      </c>
      <c r="K4" s="4" t="s">
        <v>44</v>
      </c>
      <c r="L4" s="3" t="s">
        <v>45</v>
      </c>
      <c r="M4" s="5" t="s">
        <v>46</v>
      </c>
      <c r="N4" s="4"/>
      <c r="O4" s="4"/>
      <c r="P4" s="4"/>
      <c r="Q4" s="7">
        <v>146200</v>
      </c>
      <c r="R4" s="4" t="s">
        <v>36</v>
      </c>
      <c r="S4" s="4" t="s">
        <v>47</v>
      </c>
    </row>
    <row r="5" spans="1:20" ht="48" x14ac:dyDescent="0.2">
      <c r="A5" s="4" t="s">
        <v>48</v>
      </c>
      <c r="B5" s="4" t="s">
        <v>409</v>
      </c>
      <c r="C5" s="2">
        <v>45308</v>
      </c>
      <c r="D5" s="4" t="s">
        <v>20</v>
      </c>
      <c r="E5" s="4" t="s">
        <v>49</v>
      </c>
      <c r="F5" s="4">
        <v>1</v>
      </c>
      <c r="G5" s="4"/>
      <c r="H5" s="4" t="s">
        <v>43</v>
      </c>
      <c r="I5" s="4" t="s">
        <v>23</v>
      </c>
      <c r="J5" s="4" t="s">
        <v>32</v>
      </c>
      <c r="K5" s="4" t="s">
        <v>50</v>
      </c>
      <c r="L5" s="3" t="s">
        <v>51</v>
      </c>
      <c r="M5" s="4"/>
      <c r="N5" s="4"/>
      <c r="O5" s="4"/>
      <c r="P5" s="4"/>
      <c r="Q5" s="4"/>
      <c r="R5" s="4"/>
      <c r="S5" s="4" t="s">
        <v>52</v>
      </c>
      <c r="T5" s="4"/>
    </row>
    <row r="6" spans="1:20" ht="64" x14ac:dyDescent="0.2">
      <c r="A6" s="4" t="s">
        <v>53</v>
      </c>
      <c r="B6" s="4" t="s">
        <v>410</v>
      </c>
      <c r="C6" s="2">
        <v>45308</v>
      </c>
      <c r="D6" s="4" t="s">
        <v>40</v>
      </c>
      <c r="E6" s="4" t="s">
        <v>54</v>
      </c>
      <c r="F6" s="4">
        <v>1</v>
      </c>
      <c r="G6" s="4" t="s">
        <v>55</v>
      </c>
      <c r="H6" s="4" t="s">
        <v>43</v>
      </c>
      <c r="I6" s="4" t="s">
        <v>56</v>
      </c>
      <c r="J6" s="4" t="s">
        <v>32</v>
      </c>
      <c r="K6" s="4" t="s">
        <v>57</v>
      </c>
      <c r="L6" s="3" t="s">
        <v>58</v>
      </c>
      <c r="M6" s="4" t="s">
        <v>59</v>
      </c>
      <c r="N6" s="4"/>
      <c r="O6" s="4"/>
      <c r="P6" s="4"/>
      <c r="Q6" s="13">
        <v>251615</v>
      </c>
      <c r="R6" s="4"/>
      <c r="S6" s="4" t="s">
        <v>47</v>
      </c>
      <c r="T6" s="4"/>
    </row>
    <row r="7" spans="1:20" ht="32" x14ac:dyDescent="0.2">
      <c r="A7" s="4" t="s">
        <v>60</v>
      </c>
      <c r="B7" s="4" t="s">
        <v>411</v>
      </c>
      <c r="C7" s="2">
        <v>45307</v>
      </c>
      <c r="D7" s="4" t="s">
        <v>20</v>
      </c>
      <c r="E7" s="4" t="s">
        <v>61</v>
      </c>
      <c r="F7" s="4">
        <v>4</v>
      </c>
      <c r="G7" s="4"/>
      <c r="H7" s="4" t="s">
        <v>22</v>
      </c>
      <c r="I7" s="4" t="s">
        <v>62</v>
      </c>
      <c r="J7" s="4" t="s">
        <v>24</v>
      </c>
      <c r="K7" s="4" t="s">
        <v>63</v>
      </c>
      <c r="L7" s="3" t="s">
        <v>64</v>
      </c>
      <c r="M7" s="4">
        <v>5536885300</v>
      </c>
      <c r="N7" s="4"/>
      <c r="O7" s="4" t="s">
        <v>65</v>
      </c>
      <c r="P7" s="4"/>
      <c r="Q7" s="7">
        <v>191000</v>
      </c>
      <c r="R7" s="4" t="s">
        <v>36</v>
      </c>
      <c r="S7" s="4" t="s">
        <v>52</v>
      </c>
      <c r="T7" s="4"/>
    </row>
    <row r="8" spans="1:20" ht="64" x14ac:dyDescent="0.2">
      <c r="A8" s="4" t="s">
        <v>66</v>
      </c>
      <c r="B8" s="4" t="s">
        <v>407</v>
      </c>
      <c r="C8" s="2">
        <v>45300</v>
      </c>
      <c r="D8" s="4" t="s">
        <v>67</v>
      </c>
      <c r="E8" s="4" t="s">
        <v>68</v>
      </c>
      <c r="F8" s="4">
        <v>2</v>
      </c>
      <c r="G8" s="4" t="s">
        <v>69</v>
      </c>
      <c r="H8" s="4" t="s">
        <v>70</v>
      </c>
      <c r="I8" s="4" t="s">
        <v>23</v>
      </c>
      <c r="J8" s="4" t="s">
        <v>32</v>
      </c>
      <c r="K8" s="4" t="s">
        <v>71</v>
      </c>
      <c r="L8" s="3" t="s">
        <v>72</v>
      </c>
      <c r="M8" s="4">
        <v>5536669314</v>
      </c>
      <c r="N8" s="4"/>
      <c r="O8" s="4"/>
      <c r="P8" s="4"/>
      <c r="Q8" s="7">
        <v>316465.86</v>
      </c>
      <c r="R8" s="4" t="s">
        <v>73</v>
      </c>
      <c r="S8" s="4" t="s">
        <v>74</v>
      </c>
      <c r="T8" s="4" t="s">
        <v>75</v>
      </c>
    </row>
    <row r="9" spans="1:20" ht="32" x14ac:dyDescent="0.2">
      <c r="A9" s="4" t="s">
        <v>76</v>
      </c>
      <c r="B9" s="4" t="s">
        <v>407</v>
      </c>
      <c r="C9" s="2">
        <v>45302</v>
      </c>
      <c r="D9" s="4" t="s">
        <v>20</v>
      </c>
      <c r="E9" s="4"/>
      <c r="F9" s="4">
        <v>1</v>
      </c>
      <c r="G9" s="4" t="s">
        <v>77</v>
      </c>
      <c r="H9" s="4" t="s">
        <v>43</v>
      </c>
      <c r="I9" s="4" t="s">
        <v>62</v>
      </c>
      <c r="J9" s="4" t="s">
        <v>32</v>
      </c>
      <c r="K9" s="4" t="s">
        <v>78</v>
      </c>
      <c r="L9" s="3" t="s">
        <v>79</v>
      </c>
      <c r="M9" s="4">
        <v>5534066329</v>
      </c>
      <c r="N9" s="4"/>
      <c r="O9" s="4"/>
      <c r="P9" s="4"/>
      <c r="Q9" s="4"/>
      <c r="R9" s="4" t="s">
        <v>36</v>
      </c>
      <c r="S9" s="4"/>
      <c r="T9" s="4"/>
    </row>
    <row r="10" spans="1:20" ht="64" x14ac:dyDescent="0.2">
      <c r="A10" s="4" t="s">
        <v>80</v>
      </c>
      <c r="B10" s="4" t="s">
        <v>412</v>
      </c>
      <c r="C10" s="2">
        <v>45303</v>
      </c>
      <c r="D10" s="4" t="s">
        <v>20</v>
      </c>
      <c r="E10" s="4"/>
      <c r="F10" s="4">
        <v>1</v>
      </c>
      <c r="G10" s="4" t="s">
        <v>55</v>
      </c>
      <c r="H10" s="4" t="s">
        <v>43</v>
      </c>
      <c r="I10" s="4" t="s">
        <v>23</v>
      </c>
      <c r="J10" s="4" t="s">
        <v>32</v>
      </c>
      <c r="K10" s="4" t="s">
        <v>81</v>
      </c>
      <c r="L10" s="3" t="s">
        <v>82</v>
      </c>
      <c r="M10" s="4">
        <v>5586923157</v>
      </c>
      <c r="N10" s="4"/>
      <c r="O10" s="4"/>
      <c r="P10" s="4"/>
      <c r="Q10" s="4"/>
      <c r="R10" s="4" t="s">
        <v>83</v>
      </c>
      <c r="S10" s="4"/>
      <c r="T10" s="4" t="s">
        <v>84</v>
      </c>
    </row>
    <row r="11" spans="1:20" ht="48" x14ac:dyDescent="0.2">
      <c r="A11" s="4" t="s">
        <v>85</v>
      </c>
      <c r="B11" s="4" t="s">
        <v>412</v>
      </c>
      <c r="C11" s="2">
        <v>45303</v>
      </c>
      <c r="D11" s="4" t="s">
        <v>20</v>
      </c>
      <c r="E11" s="4" t="s">
        <v>86</v>
      </c>
      <c r="F11" s="4">
        <v>1</v>
      </c>
      <c r="G11" s="4" t="s">
        <v>87</v>
      </c>
      <c r="H11" s="4" t="s">
        <v>88</v>
      </c>
      <c r="I11" s="4" t="s">
        <v>62</v>
      </c>
      <c r="J11" s="4" t="s">
        <v>32</v>
      </c>
      <c r="K11" s="4" t="s">
        <v>89</v>
      </c>
      <c r="L11" s="3" t="s">
        <v>90</v>
      </c>
      <c r="M11" s="4">
        <v>3326657490</v>
      </c>
      <c r="N11" s="4"/>
      <c r="O11" s="4"/>
      <c r="P11" s="4"/>
      <c r="Q11" s="4"/>
      <c r="R11" s="4" t="s">
        <v>36</v>
      </c>
      <c r="S11" s="4"/>
      <c r="T11" s="4"/>
    </row>
    <row r="12" spans="1:20" ht="64" x14ac:dyDescent="0.2">
      <c r="A12" s="4" t="s">
        <v>91</v>
      </c>
      <c r="B12" s="4" t="s">
        <v>408</v>
      </c>
      <c r="C12" s="2">
        <v>45307</v>
      </c>
      <c r="D12" s="4" t="s">
        <v>40</v>
      </c>
      <c r="E12" s="4" t="s">
        <v>92</v>
      </c>
      <c r="F12" s="4">
        <v>4</v>
      </c>
      <c r="G12" s="4" t="s">
        <v>93</v>
      </c>
      <c r="H12" s="4" t="s">
        <v>22</v>
      </c>
      <c r="I12" s="4" t="s">
        <v>23</v>
      </c>
      <c r="J12" s="4" t="s">
        <v>24</v>
      </c>
      <c r="K12" s="4" t="s">
        <v>94</v>
      </c>
      <c r="L12" s="3" t="s">
        <v>95</v>
      </c>
      <c r="M12" s="4">
        <v>5574750318</v>
      </c>
      <c r="N12" s="4"/>
      <c r="O12" s="4"/>
      <c r="P12" s="4"/>
      <c r="Q12" s="13">
        <v>198400</v>
      </c>
      <c r="R12" s="4"/>
      <c r="S12" s="4" t="s">
        <v>47</v>
      </c>
      <c r="T12" s="4"/>
    </row>
    <row r="13" spans="1:20" ht="32" x14ac:dyDescent="0.2">
      <c r="A13" s="4"/>
      <c r="B13" s="4" t="s">
        <v>409</v>
      </c>
      <c r="C13" s="2">
        <v>45308</v>
      </c>
      <c r="D13" s="4" t="s">
        <v>20</v>
      </c>
      <c r="E13" s="4" t="s">
        <v>96</v>
      </c>
      <c r="F13" s="4">
        <v>2</v>
      </c>
      <c r="G13" s="4" t="s">
        <v>97</v>
      </c>
      <c r="H13" s="4" t="s">
        <v>22</v>
      </c>
      <c r="I13" s="4" t="s">
        <v>23</v>
      </c>
      <c r="J13" s="4" t="s">
        <v>32</v>
      </c>
      <c r="K13" s="4" t="s">
        <v>98</v>
      </c>
      <c r="L13" s="3" t="s">
        <v>99</v>
      </c>
      <c r="M13" s="4">
        <v>7221046059</v>
      </c>
      <c r="N13" s="4"/>
      <c r="O13" s="4"/>
      <c r="P13" s="4"/>
      <c r="Q13" s="4"/>
      <c r="R13" s="4" t="s">
        <v>100</v>
      </c>
      <c r="S13" s="4"/>
      <c r="T13" s="4"/>
    </row>
    <row r="14" spans="1:20" ht="48" x14ac:dyDescent="0.2">
      <c r="A14" s="4" t="s">
        <v>101</v>
      </c>
      <c r="B14" s="4" t="s">
        <v>409</v>
      </c>
      <c r="C14" s="2">
        <v>45308</v>
      </c>
      <c r="D14" s="4" t="s">
        <v>40</v>
      </c>
      <c r="E14" s="4" t="s">
        <v>102</v>
      </c>
      <c r="F14" s="4">
        <v>2</v>
      </c>
      <c r="G14" s="4" t="s">
        <v>103</v>
      </c>
      <c r="H14" s="4" t="s">
        <v>22</v>
      </c>
      <c r="I14" s="4" t="s">
        <v>23</v>
      </c>
      <c r="J14" s="4" t="s">
        <v>32</v>
      </c>
      <c r="K14" s="4" t="s">
        <v>104</v>
      </c>
      <c r="L14" s="3" t="s">
        <v>105</v>
      </c>
      <c r="M14" s="4">
        <v>7225710814</v>
      </c>
      <c r="N14" s="4"/>
      <c r="O14" s="4"/>
      <c r="P14" s="4"/>
      <c r="Q14" s="13">
        <v>151795</v>
      </c>
      <c r="R14" s="4" t="s">
        <v>106</v>
      </c>
      <c r="S14" s="4" t="s">
        <v>47</v>
      </c>
      <c r="T14" s="4"/>
    </row>
    <row r="15" spans="1:20" ht="32" x14ac:dyDescent="0.2">
      <c r="A15" s="4" t="s">
        <v>107</v>
      </c>
      <c r="B15" s="4" t="s">
        <v>413</v>
      </c>
      <c r="C15" s="2">
        <v>45310</v>
      </c>
      <c r="D15" s="4" t="s">
        <v>40</v>
      </c>
      <c r="E15" s="4" t="s">
        <v>108</v>
      </c>
      <c r="F15" s="4">
        <v>1</v>
      </c>
      <c r="G15" s="4" t="s">
        <v>55</v>
      </c>
      <c r="H15" s="4" t="s">
        <v>109</v>
      </c>
      <c r="I15" s="4" t="s">
        <v>62</v>
      </c>
      <c r="J15" s="4" t="s">
        <v>32</v>
      </c>
      <c r="K15" s="4" t="s">
        <v>110</v>
      </c>
      <c r="L15" s="14" t="s">
        <v>111</v>
      </c>
      <c r="M15" s="15">
        <v>5511078191</v>
      </c>
      <c r="N15" s="4"/>
      <c r="O15" s="4"/>
      <c r="P15" s="4"/>
      <c r="Q15" s="13">
        <v>121728</v>
      </c>
      <c r="R15" s="4"/>
      <c r="S15" s="4" t="s">
        <v>47</v>
      </c>
      <c r="T15" s="4"/>
    </row>
    <row r="16" spans="1:20" ht="32" x14ac:dyDescent="0.2">
      <c r="A16" s="4" t="s">
        <v>112</v>
      </c>
      <c r="B16" s="4" t="s">
        <v>413</v>
      </c>
      <c r="C16" s="2">
        <v>45316</v>
      </c>
      <c r="D16" s="4" t="s">
        <v>40</v>
      </c>
      <c r="E16" s="4" t="s">
        <v>113</v>
      </c>
      <c r="F16" s="4">
        <v>4</v>
      </c>
      <c r="G16" s="4" t="s">
        <v>69</v>
      </c>
      <c r="H16" s="4" t="s">
        <v>114</v>
      </c>
      <c r="I16" s="4" t="s">
        <v>115</v>
      </c>
      <c r="J16" s="4" t="s">
        <v>32</v>
      </c>
      <c r="K16" s="4" t="s">
        <v>116</v>
      </c>
      <c r="L16" s="3" t="s">
        <v>117</v>
      </c>
      <c r="M16" s="4">
        <v>5554031534</v>
      </c>
      <c r="N16" s="4"/>
      <c r="O16" s="4"/>
      <c r="P16" s="4"/>
      <c r="Q16" s="13">
        <v>390276</v>
      </c>
      <c r="R16" s="4"/>
      <c r="S16" s="4" t="s">
        <v>47</v>
      </c>
      <c r="T16" s="4"/>
    </row>
    <row r="17" spans="1:20" ht="64" x14ac:dyDescent="0.2">
      <c r="A17" s="4" t="s">
        <v>118</v>
      </c>
      <c r="B17" s="4"/>
      <c r="C17" s="2">
        <v>45299</v>
      </c>
      <c r="D17" s="4" t="s">
        <v>20</v>
      </c>
      <c r="E17" s="4" t="s">
        <v>119</v>
      </c>
      <c r="F17" s="4">
        <v>6</v>
      </c>
      <c r="G17" s="4">
        <v>240</v>
      </c>
      <c r="H17" s="4" t="s">
        <v>120</v>
      </c>
      <c r="I17" s="4" t="s">
        <v>23</v>
      </c>
      <c r="J17" s="4" t="s">
        <v>121</v>
      </c>
      <c r="K17" s="4"/>
      <c r="L17" s="4"/>
      <c r="M17" s="4"/>
      <c r="N17" s="4"/>
      <c r="O17" s="4"/>
      <c r="P17" s="4"/>
      <c r="Q17" s="7">
        <v>475141</v>
      </c>
      <c r="R17" s="4" t="s">
        <v>36</v>
      </c>
      <c r="S17" s="4" t="s">
        <v>52</v>
      </c>
      <c r="T17" s="4"/>
    </row>
    <row r="18" spans="1:20" ht="16" x14ac:dyDescent="0.2">
      <c r="A18" s="4" t="s">
        <v>122</v>
      </c>
      <c r="B18" s="4"/>
      <c r="C18" s="2">
        <v>45321</v>
      </c>
      <c r="D18" s="4" t="s">
        <v>20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 t="s">
        <v>52</v>
      </c>
      <c r="T18" s="4"/>
    </row>
    <row r="19" spans="1:20" ht="16" x14ac:dyDescent="0.2">
      <c r="A19" s="4" t="s">
        <v>123</v>
      </c>
      <c r="B19" s="4"/>
      <c r="C19" s="2">
        <v>45316</v>
      </c>
      <c r="D19" s="4" t="s">
        <v>20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 t="s">
        <v>52</v>
      </c>
      <c r="T19" s="4"/>
    </row>
    <row r="20" spans="1:20" ht="16" x14ac:dyDescent="0.2">
      <c r="A20" s="4" t="s">
        <v>124</v>
      </c>
      <c r="B20" s="4"/>
      <c r="C20" s="2">
        <v>45309</v>
      </c>
      <c r="D20" s="4" t="s">
        <v>20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 t="s">
        <v>52</v>
      </c>
      <c r="T20" s="4"/>
    </row>
    <row r="21" spans="1:20" ht="48" x14ac:dyDescent="0.2">
      <c r="A21" s="4" t="s">
        <v>125</v>
      </c>
      <c r="B21" s="4"/>
      <c r="C21" s="2">
        <v>45309</v>
      </c>
      <c r="D21" s="4" t="s">
        <v>20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 t="s">
        <v>52</v>
      </c>
      <c r="T21" s="4"/>
    </row>
    <row r="22" spans="1:20" ht="16" x14ac:dyDescent="0.2">
      <c r="A22" s="4" t="s">
        <v>126</v>
      </c>
      <c r="B22" s="4"/>
      <c r="C22" s="2">
        <v>45306</v>
      </c>
      <c r="D22" s="4" t="s">
        <v>20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 t="s">
        <v>52</v>
      </c>
      <c r="T22" s="4"/>
    </row>
    <row r="23" spans="1:20" ht="16" x14ac:dyDescent="0.2">
      <c r="A23" s="4" t="s">
        <v>127</v>
      </c>
      <c r="B23" s="4"/>
      <c r="C23" s="2">
        <v>45306</v>
      </c>
      <c r="D23" s="4" t="s">
        <v>20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 t="s">
        <v>52</v>
      </c>
      <c r="T23" s="4"/>
    </row>
    <row r="24" spans="1:20" ht="32" x14ac:dyDescent="0.2">
      <c r="A24" s="4" t="s">
        <v>128</v>
      </c>
      <c r="B24" s="4"/>
      <c r="C24" s="2">
        <v>45306</v>
      </c>
      <c r="D24" s="4" t="s">
        <v>20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 t="s">
        <v>52</v>
      </c>
      <c r="T24" s="4"/>
    </row>
    <row r="25" spans="1:20" ht="32" x14ac:dyDescent="0.2">
      <c r="A25" s="4" t="s">
        <v>129</v>
      </c>
      <c r="B25" s="4"/>
      <c r="C25" s="2">
        <v>45303</v>
      </c>
      <c r="D25" s="4" t="s">
        <v>20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 t="s">
        <v>52</v>
      </c>
      <c r="T25" s="4"/>
    </row>
    <row r="26" spans="1:20" ht="32" x14ac:dyDescent="0.2">
      <c r="A26" s="4" t="s">
        <v>130</v>
      </c>
      <c r="B26" s="4"/>
      <c r="C26" s="2">
        <v>45303</v>
      </c>
      <c r="D26" s="4" t="s">
        <v>20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 t="s">
        <v>52</v>
      </c>
      <c r="T26" s="4"/>
    </row>
    <row r="27" spans="1:20" ht="64" x14ac:dyDescent="0.2">
      <c r="A27" s="4" t="s">
        <v>131</v>
      </c>
      <c r="B27" s="4"/>
      <c r="C27" s="2">
        <v>45300</v>
      </c>
      <c r="D27" s="4" t="s">
        <v>20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 t="s">
        <v>52</v>
      </c>
      <c r="T27" s="4"/>
    </row>
    <row r="28" spans="1:20" ht="32" x14ac:dyDescent="0.2">
      <c r="A28" s="4" t="s">
        <v>132</v>
      </c>
      <c r="B28" s="4"/>
      <c r="C28" s="2">
        <v>45303</v>
      </c>
      <c r="D28" s="4" t="s">
        <v>20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 t="s">
        <v>52</v>
      </c>
      <c r="T28" s="4"/>
    </row>
    <row r="29" spans="1:20" ht="16" x14ac:dyDescent="0.2">
      <c r="A29" s="4" t="s">
        <v>133</v>
      </c>
      <c r="B29" s="4"/>
      <c r="C29" s="2">
        <v>45296</v>
      </c>
      <c r="D29" s="4" t="s">
        <v>20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 t="s">
        <v>52</v>
      </c>
      <c r="T29" s="4"/>
    </row>
    <row r="30" spans="1:20" ht="16" x14ac:dyDescent="0.2">
      <c r="A30" s="4" t="s">
        <v>134</v>
      </c>
      <c r="B30" s="4"/>
      <c r="C30" s="2">
        <v>45296</v>
      </c>
      <c r="D30" s="4" t="s">
        <v>20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 t="s">
        <v>52</v>
      </c>
      <c r="T30" s="4"/>
    </row>
    <row r="31" spans="1:20" ht="32" x14ac:dyDescent="0.2">
      <c r="A31" s="4" t="s">
        <v>135</v>
      </c>
      <c r="B31" s="4"/>
      <c r="C31" s="2">
        <v>45296</v>
      </c>
      <c r="D31" s="4" t="s">
        <v>20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 t="s">
        <v>52</v>
      </c>
      <c r="T31" s="4"/>
    </row>
    <row r="32" spans="1:20" ht="16" x14ac:dyDescent="0.2">
      <c r="A32" s="4" t="s">
        <v>136</v>
      </c>
      <c r="B32" s="4"/>
      <c r="C32" s="2">
        <v>45294</v>
      </c>
      <c r="D32" s="4" t="s">
        <v>20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 t="s">
        <v>52</v>
      </c>
      <c r="T32" s="4"/>
    </row>
    <row r="33" spans="1:20" ht="48" x14ac:dyDescent="0.2">
      <c r="A33" s="4" t="s">
        <v>137</v>
      </c>
      <c r="B33" s="4"/>
      <c r="C33" s="2">
        <v>45295</v>
      </c>
      <c r="D33" s="4" t="s">
        <v>20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 t="s">
        <v>52</v>
      </c>
      <c r="T33" s="4"/>
    </row>
    <row r="34" spans="1:20" ht="32" x14ac:dyDescent="0.2">
      <c r="A34" s="4" t="s">
        <v>138</v>
      </c>
      <c r="B34" s="4"/>
      <c r="C34" s="2" t="s">
        <v>139</v>
      </c>
      <c r="D34" s="4" t="s">
        <v>140</v>
      </c>
      <c r="E34" s="4" t="s">
        <v>141</v>
      </c>
      <c r="F34" s="4">
        <v>12</v>
      </c>
      <c r="G34" s="4">
        <f>+F34*40</f>
        <v>480</v>
      </c>
      <c r="H34" s="4" t="s">
        <v>142</v>
      </c>
      <c r="I34" s="4" t="s">
        <v>23</v>
      </c>
      <c r="J34" s="4"/>
      <c r="K34" s="4"/>
      <c r="L34" s="4"/>
      <c r="M34" s="4"/>
      <c r="N34" s="4"/>
      <c r="O34" s="4"/>
      <c r="P34" s="4"/>
      <c r="Q34" s="7">
        <v>794774.55</v>
      </c>
      <c r="R34" s="4"/>
      <c r="S34" s="4" t="s">
        <v>52</v>
      </c>
      <c r="T34" s="4"/>
    </row>
    <row r="35" spans="1:20" ht="48" x14ac:dyDescent="0.2">
      <c r="A35" s="4" t="s">
        <v>143</v>
      </c>
      <c r="B35" s="4"/>
      <c r="C35" s="4" t="s">
        <v>144</v>
      </c>
      <c r="D35" s="4" t="s">
        <v>140</v>
      </c>
      <c r="E35" s="4" t="s">
        <v>145</v>
      </c>
      <c r="F35" s="4">
        <v>32</v>
      </c>
      <c r="G35" s="4" t="s">
        <v>146</v>
      </c>
      <c r="H35" s="4" t="s">
        <v>147</v>
      </c>
      <c r="I35" s="4" t="s">
        <v>145</v>
      </c>
      <c r="J35" s="4"/>
      <c r="K35" s="4"/>
      <c r="L35" s="4"/>
      <c r="M35" s="4"/>
      <c r="N35" s="4"/>
      <c r="O35" s="4"/>
      <c r="P35" s="4"/>
      <c r="Q35" s="4"/>
      <c r="R35" s="4"/>
      <c r="S35" s="4" t="s">
        <v>148</v>
      </c>
      <c r="T35" s="4"/>
    </row>
    <row r="36" spans="1:20" ht="32" x14ac:dyDescent="0.2">
      <c r="A36" s="4" t="s">
        <v>149</v>
      </c>
      <c r="B36" s="4"/>
      <c r="C36" s="2">
        <v>45475</v>
      </c>
      <c r="D36" s="4" t="s">
        <v>140</v>
      </c>
      <c r="E36" s="4" t="s">
        <v>150</v>
      </c>
      <c r="F36" s="4">
        <v>7</v>
      </c>
      <c r="G36" s="4" t="s">
        <v>146</v>
      </c>
      <c r="H36" s="4" t="s">
        <v>151</v>
      </c>
      <c r="I36" s="4" t="s">
        <v>152</v>
      </c>
      <c r="J36" s="4"/>
      <c r="K36" s="4"/>
      <c r="L36" s="4"/>
      <c r="M36" s="4"/>
      <c r="N36" s="4"/>
      <c r="O36" s="4"/>
      <c r="P36" s="4"/>
      <c r="Q36" s="4"/>
      <c r="R36" s="4"/>
      <c r="S36" s="4" t="s">
        <v>148</v>
      </c>
      <c r="T36" s="4"/>
    </row>
    <row r="37" spans="1:20" ht="32" x14ac:dyDescent="0.2">
      <c r="A37" s="4" t="s">
        <v>153</v>
      </c>
      <c r="B37" s="4"/>
      <c r="C37" s="2">
        <v>45566</v>
      </c>
      <c r="D37" s="4" t="s">
        <v>154</v>
      </c>
      <c r="E37" s="4" t="s">
        <v>150</v>
      </c>
      <c r="F37" s="4">
        <v>4</v>
      </c>
      <c r="G37" s="4" t="s">
        <v>146</v>
      </c>
      <c r="H37" s="4" t="s">
        <v>155</v>
      </c>
      <c r="I37" s="4" t="s">
        <v>156</v>
      </c>
      <c r="J37" s="4"/>
      <c r="K37" s="4"/>
      <c r="L37" s="4"/>
      <c r="M37" s="4"/>
      <c r="N37" s="4"/>
      <c r="O37" s="4"/>
      <c r="P37" s="4"/>
      <c r="Q37" s="4"/>
      <c r="R37" s="4"/>
      <c r="S37" s="4" t="s">
        <v>148</v>
      </c>
      <c r="T37" s="4"/>
    </row>
    <row r="38" spans="1:20" ht="32" x14ac:dyDescent="0.2">
      <c r="A38" s="4" t="s">
        <v>157</v>
      </c>
      <c r="B38" s="4"/>
      <c r="C38" s="2">
        <v>45211</v>
      </c>
      <c r="D38" s="4" t="s">
        <v>20</v>
      </c>
      <c r="E38" s="4" t="s">
        <v>150</v>
      </c>
      <c r="F38" s="4">
        <v>23</v>
      </c>
      <c r="G38" s="4" t="s">
        <v>146</v>
      </c>
      <c r="H38" s="4" t="s">
        <v>151</v>
      </c>
      <c r="I38" s="4" t="s">
        <v>158</v>
      </c>
      <c r="J38" s="4"/>
      <c r="K38" s="4"/>
      <c r="L38" s="4"/>
      <c r="M38" s="4"/>
      <c r="N38" s="4"/>
      <c r="O38" s="4"/>
      <c r="P38" s="4"/>
      <c r="Q38" s="4"/>
      <c r="R38" s="4"/>
      <c r="S38" s="4" t="s">
        <v>148</v>
      </c>
      <c r="T38" s="4"/>
    </row>
    <row r="39" spans="1:20" ht="32" x14ac:dyDescent="0.2">
      <c r="A39" s="4" t="s">
        <v>159</v>
      </c>
      <c r="B39" s="4"/>
      <c r="C39" s="2">
        <v>45536</v>
      </c>
      <c r="D39" s="4" t="s">
        <v>140</v>
      </c>
      <c r="E39" s="4" t="s">
        <v>145</v>
      </c>
      <c r="F39" s="4">
        <v>4</v>
      </c>
      <c r="G39" s="4" t="s">
        <v>146</v>
      </c>
      <c r="H39" s="4" t="s">
        <v>155</v>
      </c>
      <c r="I39" s="4" t="s">
        <v>145</v>
      </c>
      <c r="J39" s="4"/>
      <c r="K39" s="4"/>
      <c r="L39" s="4"/>
      <c r="M39" s="4"/>
      <c r="N39" s="4"/>
      <c r="O39" s="4"/>
      <c r="P39" s="4"/>
      <c r="Q39" s="4"/>
      <c r="R39" s="4"/>
      <c r="S39" s="4" t="s">
        <v>148</v>
      </c>
      <c r="T39" s="4"/>
    </row>
    <row r="40" spans="1:20" ht="32" x14ac:dyDescent="0.2">
      <c r="A40" s="4" t="s">
        <v>160</v>
      </c>
      <c r="B40" s="4"/>
      <c r="C40" s="2">
        <v>45352</v>
      </c>
      <c r="D40" s="4" t="s">
        <v>40</v>
      </c>
      <c r="E40" s="4" t="s">
        <v>150</v>
      </c>
      <c r="F40" s="4">
        <v>2</v>
      </c>
      <c r="G40" s="4" t="s">
        <v>146</v>
      </c>
      <c r="H40" s="4" t="s">
        <v>155</v>
      </c>
      <c r="I40" s="4" t="s">
        <v>158</v>
      </c>
      <c r="J40" s="4"/>
      <c r="K40" s="4"/>
      <c r="L40" s="4"/>
      <c r="M40" s="4"/>
      <c r="N40" s="4"/>
      <c r="O40" s="4"/>
      <c r="P40" s="4"/>
      <c r="Q40" s="4"/>
      <c r="R40" s="4"/>
      <c r="S40" s="4" t="s">
        <v>148</v>
      </c>
      <c r="T40" s="4"/>
    </row>
    <row r="41" spans="1:20" ht="32" x14ac:dyDescent="0.2">
      <c r="A41" s="4" t="s">
        <v>161</v>
      </c>
      <c r="B41" s="4"/>
      <c r="C41" s="4" t="s">
        <v>162</v>
      </c>
      <c r="D41" s="4" t="s">
        <v>40</v>
      </c>
      <c r="E41" s="4" t="s">
        <v>163</v>
      </c>
      <c r="F41" s="4">
        <v>4</v>
      </c>
      <c r="G41" s="4" t="s">
        <v>146</v>
      </c>
      <c r="H41" s="4" t="s">
        <v>151</v>
      </c>
      <c r="I41" s="4" t="s">
        <v>163</v>
      </c>
      <c r="J41" s="4"/>
      <c r="K41" s="4"/>
      <c r="L41" s="4"/>
      <c r="M41" s="4"/>
      <c r="N41" s="4"/>
      <c r="O41" s="4"/>
      <c r="P41" s="4"/>
      <c r="Q41" s="4"/>
      <c r="R41" s="4"/>
      <c r="S41" s="4" t="s">
        <v>148</v>
      </c>
      <c r="T41" s="4"/>
    </row>
    <row r="42" spans="1:20" ht="32" x14ac:dyDescent="0.2">
      <c r="A42" s="4" t="s">
        <v>164</v>
      </c>
      <c r="B42" s="4"/>
      <c r="C42" s="2">
        <v>45475</v>
      </c>
      <c r="D42" s="4" t="s">
        <v>140</v>
      </c>
      <c r="E42" s="4" t="s">
        <v>165</v>
      </c>
      <c r="F42" s="4">
        <v>2</v>
      </c>
      <c r="G42" s="4" t="s">
        <v>146</v>
      </c>
      <c r="H42" s="4" t="s">
        <v>166</v>
      </c>
      <c r="I42" s="4" t="s">
        <v>165</v>
      </c>
      <c r="J42" s="4"/>
      <c r="K42" s="4"/>
      <c r="L42" s="4"/>
      <c r="M42" s="4"/>
      <c r="N42" s="4"/>
      <c r="O42" s="4"/>
      <c r="P42" s="4"/>
      <c r="Q42" s="4"/>
      <c r="R42" s="4"/>
      <c r="S42" s="4" t="s">
        <v>148</v>
      </c>
      <c r="T42" s="4"/>
    </row>
    <row r="43" spans="1:20" ht="32" x14ac:dyDescent="0.2">
      <c r="A43" s="4" t="s">
        <v>167</v>
      </c>
      <c r="B43" s="4" t="s">
        <v>412</v>
      </c>
      <c r="C43" s="12">
        <v>45324</v>
      </c>
      <c r="D43" s="4" t="s">
        <v>40</v>
      </c>
      <c r="E43" s="4" t="s">
        <v>168</v>
      </c>
      <c r="F43" s="4">
        <v>2</v>
      </c>
      <c r="G43" s="4">
        <v>24</v>
      </c>
      <c r="H43" s="4" t="s">
        <v>155</v>
      </c>
      <c r="I43" s="4" t="s">
        <v>169</v>
      </c>
      <c r="J43" s="4" t="s">
        <v>121</v>
      </c>
      <c r="K43" s="4" t="s">
        <v>170</v>
      </c>
      <c r="L43" s="3" t="s">
        <v>171</v>
      </c>
      <c r="M43" s="4">
        <v>5548330573</v>
      </c>
      <c r="N43" s="4"/>
      <c r="O43" s="4"/>
      <c r="P43" s="4"/>
      <c r="Q43" s="13">
        <v>148043</v>
      </c>
      <c r="R43" s="4"/>
      <c r="S43" s="4" t="s">
        <v>172</v>
      </c>
      <c r="T43" s="4"/>
    </row>
    <row r="44" spans="1:20" ht="32" x14ac:dyDescent="0.2">
      <c r="A44" s="4" t="s">
        <v>173</v>
      </c>
      <c r="B44" s="4" t="s">
        <v>408</v>
      </c>
      <c r="C44" s="12">
        <v>45324</v>
      </c>
      <c r="D44" s="4" t="s">
        <v>40</v>
      </c>
      <c r="E44" s="4" t="s">
        <v>174</v>
      </c>
      <c r="F44" s="4">
        <v>4</v>
      </c>
      <c r="G44" s="4">
        <v>160</v>
      </c>
      <c r="H44" s="4" t="s">
        <v>151</v>
      </c>
      <c r="I44" s="4" t="s">
        <v>145</v>
      </c>
      <c r="J44" s="4" t="s">
        <v>121</v>
      </c>
      <c r="K44" s="4" t="s">
        <v>175</v>
      </c>
      <c r="L44" s="3" t="s">
        <v>176</v>
      </c>
      <c r="M44" s="4">
        <v>5559513458</v>
      </c>
      <c r="N44" s="4"/>
      <c r="O44" s="4"/>
      <c r="P44" s="4"/>
      <c r="Q44" s="13">
        <v>270645</v>
      </c>
      <c r="R44" s="4"/>
      <c r="S44" s="4" t="s">
        <v>172</v>
      </c>
      <c r="T44" s="4"/>
    </row>
    <row r="45" spans="1:20" ht="32" x14ac:dyDescent="0.2">
      <c r="A45" s="4" t="s">
        <v>177</v>
      </c>
      <c r="B45" s="4"/>
      <c r="C45" s="2">
        <v>45309</v>
      </c>
      <c r="D45" s="4" t="s">
        <v>154</v>
      </c>
      <c r="E45" s="4" t="s">
        <v>178</v>
      </c>
      <c r="F45" s="4">
        <v>9</v>
      </c>
      <c r="G45" s="4">
        <v>876</v>
      </c>
      <c r="H45" s="4" t="s">
        <v>151</v>
      </c>
      <c r="I45" s="4" t="s">
        <v>158</v>
      </c>
      <c r="J45" s="4" t="s">
        <v>179</v>
      </c>
      <c r="K45" s="4" t="s">
        <v>180</v>
      </c>
      <c r="L45" s="4" t="s">
        <v>181</v>
      </c>
      <c r="M45" s="4">
        <v>4425612140</v>
      </c>
      <c r="N45" s="2">
        <v>45341</v>
      </c>
      <c r="O45" s="4" t="s">
        <v>65</v>
      </c>
      <c r="P45" s="2">
        <v>45707</v>
      </c>
      <c r="Q45" s="7">
        <v>1779308.18</v>
      </c>
      <c r="R45" s="4" t="s">
        <v>182</v>
      </c>
      <c r="S45" s="4" t="s">
        <v>74</v>
      </c>
      <c r="T45" s="4"/>
    </row>
    <row r="46" spans="1:20" ht="32" x14ac:dyDescent="0.2">
      <c r="A46" s="4" t="s">
        <v>183</v>
      </c>
      <c r="B46" s="4" t="s">
        <v>407</v>
      </c>
      <c r="C46" s="12">
        <v>45328</v>
      </c>
      <c r="D46" s="4" t="s">
        <v>20</v>
      </c>
      <c r="E46" s="4" t="s">
        <v>184</v>
      </c>
      <c r="F46" s="4">
        <v>8</v>
      </c>
      <c r="G46" s="4">
        <v>220</v>
      </c>
      <c r="H46" s="4" t="s">
        <v>151</v>
      </c>
      <c r="I46" s="4" t="s">
        <v>158</v>
      </c>
      <c r="J46" s="4" t="s">
        <v>179</v>
      </c>
      <c r="K46" s="4" t="s">
        <v>185</v>
      </c>
      <c r="L46" s="14" t="s">
        <v>186</v>
      </c>
      <c r="M46" s="16" t="s">
        <v>187</v>
      </c>
      <c r="N46" s="4"/>
      <c r="O46" s="4"/>
      <c r="P46" s="4"/>
      <c r="Q46" s="4"/>
      <c r="R46" s="4"/>
      <c r="S46" s="4" t="s">
        <v>172</v>
      </c>
      <c r="T46" s="4"/>
    </row>
    <row r="47" spans="1:20" ht="32" x14ac:dyDescent="0.2">
      <c r="A47" s="4" t="s">
        <v>188</v>
      </c>
      <c r="B47" s="4"/>
      <c r="C47" s="4" t="s">
        <v>189</v>
      </c>
      <c r="D47" s="4" t="s">
        <v>20</v>
      </c>
      <c r="E47" s="4" t="s">
        <v>190</v>
      </c>
      <c r="F47" s="4">
        <v>120</v>
      </c>
      <c r="G47" s="4" t="s">
        <v>146</v>
      </c>
      <c r="H47" s="4" t="s">
        <v>166</v>
      </c>
      <c r="I47" s="4" t="s">
        <v>158</v>
      </c>
      <c r="J47" s="4" t="s">
        <v>32</v>
      </c>
      <c r="K47" s="4" t="s">
        <v>191</v>
      </c>
      <c r="L47" s="17" t="s">
        <v>192</v>
      </c>
      <c r="M47" s="4"/>
      <c r="N47" s="4"/>
      <c r="O47" s="4">
        <v>12</v>
      </c>
      <c r="P47" s="4"/>
      <c r="Q47" s="18">
        <v>11000000</v>
      </c>
      <c r="R47" s="4" t="s">
        <v>193</v>
      </c>
      <c r="S47" s="4" t="s">
        <v>148</v>
      </c>
      <c r="T47" s="4"/>
    </row>
    <row r="48" spans="1:20" ht="32" x14ac:dyDescent="0.2">
      <c r="A48" s="4" t="s">
        <v>194</v>
      </c>
      <c r="B48" s="4"/>
      <c r="C48" s="4" t="s">
        <v>195</v>
      </c>
      <c r="D48" s="4" t="s">
        <v>20</v>
      </c>
      <c r="E48" s="4" t="s">
        <v>196</v>
      </c>
      <c r="F48" s="4">
        <v>2</v>
      </c>
      <c r="G48" s="4">
        <v>80</v>
      </c>
      <c r="H48" s="4" t="s">
        <v>151</v>
      </c>
      <c r="I48" s="4" t="s">
        <v>158</v>
      </c>
      <c r="J48" s="4" t="s">
        <v>121</v>
      </c>
      <c r="K48" s="4" t="s">
        <v>197</v>
      </c>
      <c r="L48" s="17" t="s">
        <v>198</v>
      </c>
      <c r="M48" s="4">
        <v>5619924685</v>
      </c>
      <c r="N48" s="4"/>
      <c r="O48" s="4">
        <v>12</v>
      </c>
      <c r="P48" s="4"/>
      <c r="Q48" s="13">
        <v>143167.62</v>
      </c>
      <c r="R48" s="4" t="s">
        <v>199</v>
      </c>
      <c r="S48" s="4" t="s">
        <v>172</v>
      </c>
      <c r="T48" s="4"/>
    </row>
    <row r="49" spans="1:20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:20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:20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:20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:20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1:20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1:20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:20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1:20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1:20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1:20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1:20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1:20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1:20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1:20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pans="1:20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1:20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pans="1:20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pans="1:20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pans="1:20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1:20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:20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:20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pans="1:20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1:20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1:20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1:20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1:20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1:20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1:20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1:20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1:20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1:20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:20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1:20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:20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:20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1:20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:20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spans="1:20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1:20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1:20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1:20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1:20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1:20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:20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1:20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1:20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1:20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1:20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spans="1:20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spans="1:20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spans="1:20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spans="1:20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spans="1:20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spans="1:20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spans="1:20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spans="1:20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spans="1:20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spans="1:20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spans="1:20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spans="1:20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spans="1:20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spans="1:20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spans="1:20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spans="1:20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spans="1:20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spans="1:20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spans="1:20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spans="1:20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spans="1:20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spans="1:20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spans="1:20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spans="1:20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spans="1:20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spans="1:20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spans="1:20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spans="1:20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spans="1:20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spans="1:20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spans="1:20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spans="1:20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spans="1:20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spans="1:20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spans="1:20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spans="1:20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spans="1:20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spans="1:20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spans="1:20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spans="1:20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spans="1:20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spans="1:20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spans="1:20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spans="1:20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spans="1:20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spans="1:20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spans="1:20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spans="1:20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spans="1:20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spans="1:20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spans="1:20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spans="1:20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spans="1:20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spans="1:20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spans="1:20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spans="1:20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spans="1:20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spans="1:20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spans="1:20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spans="1:20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spans="1:20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spans="1:20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spans="1:20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spans="1:20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spans="1:20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spans="1:20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spans="1:20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spans="1:20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spans="1:20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spans="1:20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spans="1:20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spans="1:20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spans="1:20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spans="1:20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spans="1:20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spans="1:20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spans="1:20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spans="1:20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spans="1:20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spans="1:20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spans="1:20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spans="1:20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spans="1:20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spans="1:20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spans="1:20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spans="1:20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spans="1:20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spans="1:20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spans="1:20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spans="1:20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spans="1:20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spans="1:20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spans="1:20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spans="1:20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spans="1:20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spans="1:20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spans="1:20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spans="1:20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spans="1:20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spans="1:20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spans="1:20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spans="1:20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spans="1:20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spans="1:20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spans="1:20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spans="1:20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spans="1:20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spans="1:20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spans="1:20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spans="1:20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spans="1:20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spans="1:20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spans="1:20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spans="1:20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spans="1:20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spans="1:20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spans="1:20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spans="1:20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spans="1:20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spans="1:20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spans="1:20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spans="1:20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spans="1:20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spans="1:20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spans="1:20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spans="1:20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spans="1:20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spans="1:20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spans="1:20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spans="1:20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spans="1:20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spans="1:20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spans="1:20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spans="1:20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spans="1:20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spans="1:20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spans="1:20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spans="1:20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spans="1:20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spans="1:20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spans="1:20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spans="1:20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spans="1:20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spans="1:20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spans="1:20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spans="1:20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spans="1:20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spans="1:20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spans="1:20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spans="1:20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spans="1:20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spans="1:20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spans="1:20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spans="1:20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spans="1:20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spans="1:20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spans="1:20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spans="1:20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spans="1:20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spans="1:20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spans="1:20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spans="1:20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spans="1:20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spans="1:20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spans="1:20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spans="1:20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spans="1:20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spans="1:20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spans="1:20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spans="1:20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spans="1:20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spans="1:20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spans="1:20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spans="1:20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spans="1:20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spans="1:20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spans="1:20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spans="1:20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spans="1:20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spans="1:20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spans="1:20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spans="1:20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spans="1:20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spans="1:20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spans="1:20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spans="1:20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spans="1:20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spans="1:20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spans="1:20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spans="1:20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spans="1:20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spans="1:20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spans="1:20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spans="1:20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spans="1:20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spans="1:20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spans="1:20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spans="1:20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spans="1:20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spans="1:20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spans="1:20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spans="1:20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spans="1:20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spans="1:20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spans="1:20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spans="1:20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spans="1:20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spans="1:20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</sheetData>
  <dataValidations count="1">
    <dataValidation type="list" showInputMessage="1" showErrorMessage="1" sqref="D2:D509" xr:uid="{3CEF4569-19E7-4B0D-97D5-6CF052EFA494}">
      <formula1>"Activo, Pendiente de cotización, Cotización enviada, Negociación, Cerrado, Perdido"</formula1>
    </dataValidation>
  </dataValidations>
  <hyperlinks>
    <hyperlink ref="L2" r:id="rId1" xr:uid="{E3599839-3D55-4286-B08C-5960A7E0A319}"/>
    <hyperlink ref="L5" r:id="rId2" xr:uid="{B65E1487-C0CC-4300-8118-03EF4F32A958}"/>
    <hyperlink ref="L6" r:id="rId3" xr:uid="{40E8AC0A-FB4F-4BB2-8280-6EF71CE360BA}"/>
    <hyperlink ref="L7" r:id="rId4" xr:uid="{8510832D-A1A3-44F4-A954-1DE9211B50EA}"/>
    <hyperlink ref="L4" r:id="rId5" xr:uid="{EA896D4F-2D4B-49B4-857C-36E7A39AB44E}"/>
    <hyperlink ref="L8" r:id="rId6" xr:uid="{816738A0-A6E3-477A-81C4-E8F8C7521259}"/>
    <hyperlink ref="L9" r:id="rId7" xr:uid="{CA4B5A96-48B8-462E-8A73-EAA043A13EFF}"/>
    <hyperlink ref="L10" r:id="rId8" xr:uid="{AC975A93-6218-49FD-9993-3C38843CE094}"/>
    <hyperlink ref="L11" r:id="rId9" xr:uid="{2549CC0B-2EB9-483F-AAFE-8A4C09A07C3B}"/>
    <hyperlink ref="L12" r:id="rId10" xr:uid="{306C7563-833C-4C17-B4E7-5C6E2E3F1D0B}"/>
    <hyperlink ref="L13" r:id="rId11" xr:uid="{136A5AB7-8175-4154-A367-383C2161B57F}"/>
    <hyperlink ref="L14" r:id="rId12" xr:uid="{FF7BEC35-2EA3-459D-82D4-3C025021CDA5}"/>
    <hyperlink ref="L15" r:id="rId13" xr:uid="{EA8844C8-3A09-4438-8327-9EAB5FECF2B2}"/>
    <hyperlink ref="L3" r:id="rId14" xr:uid="{2025E5CF-98F4-4E08-88A9-9D66B341A748}"/>
    <hyperlink ref="L16" r:id="rId15" xr:uid="{EE396E65-EB63-4952-B9F1-00D05EBCC2D5}"/>
    <hyperlink ref="L43" r:id="rId16" xr:uid="{1BC2D757-CAF8-48DE-BAA4-190D1015CCF7}"/>
    <hyperlink ref="L44" r:id="rId17" xr:uid="{D9151945-8C29-447F-AA69-39FB8505F446}"/>
    <hyperlink ref="L46" r:id="rId18" xr:uid="{C75A34CE-B6C5-4942-B235-FF0820C6A57B}"/>
    <hyperlink ref="L47" r:id="rId19" xr:uid="{2649E398-F499-458A-B25A-7F454FAE4597}"/>
    <hyperlink ref="L48" r:id="rId20" xr:uid="{A5586BEE-54D1-49D4-ABE5-2DA5FCEF562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6204-38CF-422B-AE38-21B29E7CCCA5}">
  <dimension ref="A1:T427"/>
  <sheetViews>
    <sheetView topLeftCell="D1" zoomScale="80" zoomScaleNormal="80" workbookViewId="0">
      <selection activeCell="H3" sqref="H3"/>
    </sheetView>
  </sheetViews>
  <sheetFormatPr baseColWidth="10" defaultColWidth="11.5" defaultRowHeight="15" x14ac:dyDescent="0.2"/>
  <cols>
    <col min="1" max="1" width="21.33203125" customWidth="1"/>
    <col min="3" max="3" width="12.83203125" customWidth="1"/>
    <col min="4" max="4" width="27.5" customWidth="1"/>
    <col min="5" max="7" width="0" hidden="1" customWidth="1"/>
    <col min="9" max="9" width="19.1640625" customWidth="1"/>
    <col min="11" max="11" width="17.1640625" customWidth="1"/>
    <col min="12" max="12" width="28.1640625" customWidth="1"/>
    <col min="13" max="13" width="14.1640625" bestFit="1" customWidth="1"/>
    <col min="14" max="14" width="14.1640625" customWidth="1"/>
    <col min="17" max="18" width="18.5" customWidth="1"/>
    <col min="19" max="19" width="25.5" customWidth="1"/>
    <col min="20" max="20" width="13.33203125" customWidth="1"/>
  </cols>
  <sheetData>
    <row r="1" spans="1:20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68.25" customHeight="1" x14ac:dyDescent="0.2">
      <c r="A2" s="4" t="s">
        <v>19</v>
      </c>
      <c r="B2" s="2">
        <v>45306</v>
      </c>
      <c r="C2" s="4" t="s">
        <v>20</v>
      </c>
      <c r="D2" s="4" t="s">
        <v>21</v>
      </c>
      <c r="E2" s="4">
        <v>15</v>
      </c>
      <c r="F2" s="4"/>
      <c r="G2" s="4" t="s">
        <v>22</v>
      </c>
      <c r="H2" s="4"/>
      <c r="I2" s="4" t="s">
        <v>23</v>
      </c>
      <c r="J2" s="4" t="s">
        <v>24</v>
      </c>
      <c r="K2" s="4" t="s">
        <v>25</v>
      </c>
      <c r="L2" s="3" t="s">
        <v>26</v>
      </c>
      <c r="M2" s="4"/>
      <c r="N2" s="2">
        <v>45348</v>
      </c>
      <c r="O2" s="4" t="s">
        <v>27</v>
      </c>
      <c r="P2" s="2">
        <v>45657</v>
      </c>
      <c r="Q2" s="7">
        <v>4300000</v>
      </c>
      <c r="R2" s="2"/>
      <c r="S2" s="2" t="s">
        <v>28</v>
      </c>
      <c r="T2" s="4"/>
    </row>
    <row r="3" spans="1:20" ht="48" x14ac:dyDescent="0.2">
      <c r="A3" s="4" t="s">
        <v>39</v>
      </c>
      <c r="B3" s="2">
        <v>45306</v>
      </c>
      <c r="C3" s="4" t="s">
        <v>40</v>
      </c>
      <c r="D3" s="4" t="s">
        <v>41</v>
      </c>
      <c r="E3" s="4">
        <v>1</v>
      </c>
      <c r="F3" s="4" t="s">
        <v>42</v>
      </c>
      <c r="G3" s="4" t="s">
        <v>43</v>
      </c>
      <c r="H3" s="4" t="s">
        <v>408</v>
      </c>
      <c r="I3" s="4" t="s">
        <v>23</v>
      </c>
      <c r="J3" s="4" t="s">
        <v>32</v>
      </c>
      <c r="K3" s="4" t="s">
        <v>44</v>
      </c>
      <c r="L3" s="3" t="s">
        <v>45</v>
      </c>
      <c r="M3" s="5" t="s">
        <v>46</v>
      </c>
      <c r="N3" s="4"/>
      <c r="O3" s="4"/>
      <c r="P3" s="4"/>
      <c r="Q3" s="7">
        <v>146200</v>
      </c>
      <c r="R3" s="4" t="s">
        <v>36</v>
      </c>
      <c r="S3" s="4" t="s">
        <v>47</v>
      </c>
    </row>
    <row r="4" spans="1:20" ht="64" x14ac:dyDescent="0.2">
      <c r="A4" s="4" t="s">
        <v>53</v>
      </c>
      <c r="B4" s="2">
        <v>45308</v>
      </c>
      <c r="C4" s="4" t="s">
        <v>40</v>
      </c>
      <c r="D4" s="4" t="s">
        <v>54</v>
      </c>
      <c r="E4" s="4">
        <v>1</v>
      </c>
      <c r="F4" s="4" t="s">
        <v>55</v>
      </c>
      <c r="G4" s="4" t="s">
        <v>43</v>
      </c>
      <c r="H4" s="4" t="s">
        <v>414</v>
      </c>
      <c r="I4" s="4" t="s">
        <v>56</v>
      </c>
      <c r="J4" s="4" t="s">
        <v>32</v>
      </c>
      <c r="K4" s="4" t="s">
        <v>57</v>
      </c>
      <c r="L4" s="3" t="s">
        <v>58</v>
      </c>
      <c r="M4" s="4" t="s">
        <v>59</v>
      </c>
      <c r="N4" s="4"/>
      <c r="O4" s="4"/>
      <c r="P4" s="4"/>
      <c r="Q4" s="13">
        <v>251615</v>
      </c>
      <c r="R4" s="4"/>
      <c r="S4" s="4" t="s">
        <v>47</v>
      </c>
      <c r="T4" s="4"/>
    </row>
    <row r="5" spans="1:20" ht="32" x14ac:dyDescent="0.2">
      <c r="A5" s="4" t="s">
        <v>60</v>
      </c>
      <c r="B5" s="2">
        <v>45307</v>
      </c>
      <c r="C5" s="4" t="s">
        <v>20</v>
      </c>
      <c r="D5" s="4" t="s">
        <v>61</v>
      </c>
      <c r="E5" s="4">
        <v>4</v>
      </c>
      <c r="F5" s="4"/>
      <c r="G5" s="4" t="s">
        <v>22</v>
      </c>
      <c r="H5" s="4" t="s">
        <v>411</v>
      </c>
      <c r="I5" s="4" t="s">
        <v>62</v>
      </c>
      <c r="J5" s="4" t="s">
        <v>24</v>
      </c>
      <c r="K5" s="4" t="s">
        <v>63</v>
      </c>
      <c r="L5" s="3" t="s">
        <v>64</v>
      </c>
      <c r="M5" s="4">
        <v>5536885300</v>
      </c>
      <c r="N5" s="4"/>
      <c r="O5" s="4" t="s">
        <v>65</v>
      </c>
      <c r="P5" s="4"/>
      <c r="Q5" s="7">
        <v>191000</v>
      </c>
      <c r="R5" s="4" t="s">
        <v>36</v>
      </c>
      <c r="S5" s="4" t="s">
        <v>52</v>
      </c>
      <c r="T5" s="4"/>
    </row>
    <row r="6" spans="1:20" ht="64" x14ac:dyDescent="0.2">
      <c r="A6" s="4" t="s">
        <v>91</v>
      </c>
      <c r="B6" s="2">
        <v>45307</v>
      </c>
      <c r="C6" s="4" t="s">
        <v>40</v>
      </c>
      <c r="D6" s="4" t="s">
        <v>92</v>
      </c>
      <c r="E6" s="4">
        <v>4</v>
      </c>
      <c r="F6" s="4" t="s">
        <v>93</v>
      </c>
      <c r="G6" s="4" t="s">
        <v>22</v>
      </c>
      <c r="H6" s="4" t="s">
        <v>411</v>
      </c>
      <c r="I6" s="4" t="s">
        <v>23</v>
      </c>
      <c r="J6" s="4" t="s">
        <v>24</v>
      </c>
      <c r="K6" s="4" t="s">
        <v>94</v>
      </c>
      <c r="L6" s="3" t="s">
        <v>95</v>
      </c>
      <c r="M6" s="4">
        <v>5574750318</v>
      </c>
      <c r="N6" s="4"/>
      <c r="O6" s="4"/>
      <c r="P6" s="4"/>
      <c r="Q6" s="13">
        <v>198400</v>
      </c>
      <c r="R6" s="4"/>
      <c r="S6" s="4" t="s">
        <v>47</v>
      </c>
      <c r="T6" s="4"/>
    </row>
    <row r="7" spans="1:20" ht="48" x14ac:dyDescent="0.2">
      <c r="A7" s="4" t="s">
        <v>101</v>
      </c>
      <c r="B7" s="2">
        <v>45308</v>
      </c>
      <c r="C7" s="4" t="s">
        <v>40</v>
      </c>
      <c r="D7" s="4" t="s">
        <v>102</v>
      </c>
      <c r="E7" s="4">
        <v>2</v>
      </c>
      <c r="F7" s="4" t="s">
        <v>103</v>
      </c>
      <c r="G7" s="4" t="s">
        <v>22</v>
      </c>
      <c r="H7" s="4" t="s">
        <v>409</v>
      </c>
      <c r="I7" s="4" t="s">
        <v>23</v>
      </c>
      <c r="J7" s="4" t="s">
        <v>32</v>
      </c>
      <c r="K7" s="4" t="s">
        <v>104</v>
      </c>
      <c r="L7" s="3" t="s">
        <v>105</v>
      </c>
      <c r="M7" s="4">
        <v>7225710814</v>
      </c>
      <c r="N7" s="4"/>
      <c r="O7" s="4"/>
      <c r="P7" s="4"/>
      <c r="Q7" s="13">
        <v>151795</v>
      </c>
      <c r="R7" s="4" t="s">
        <v>106</v>
      </c>
      <c r="S7" s="4" t="s">
        <v>47</v>
      </c>
      <c r="T7" s="4"/>
    </row>
    <row r="8" spans="1:20" ht="64" x14ac:dyDescent="0.2">
      <c r="A8" s="4" t="s">
        <v>118</v>
      </c>
      <c r="B8" s="2">
        <v>45299</v>
      </c>
      <c r="C8" s="4" t="s">
        <v>20</v>
      </c>
      <c r="D8" s="4" t="s">
        <v>119</v>
      </c>
      <c r="E8" s="4">
        <v>6</v>
      </c>
      <c r="F8" s="4">
        <v>240</v>
      </c>
      <c r="G8" s="4" t="s">
        <v>120</v>
      </c>
      <c r="H8" s="4"/>
      <c r="I8" s="4" t="s">
        <v>23</v>
      </c>
      <c r="J8" s="4" t="s">
        <v>121</v>
      </c>
      <c r="K8" s="4"/>
      <c r="L8" s="4"/>
      <c r="M8" s="4"/>
      <c r="N8" s="4"/>
      <c r="O8" s="4"/>
      <c r="P8" s="4"/>
      <c r="Q8" s="7">
        <v>475141</v>
      </c>
      <c r="R8" s="4" t="s">
        <v>36</v>
      </c>
      <c r="S8" s="4" t="s">
        <v>52</v>
      </c>
      <c r="T8" s="4"/>
    </row>
    <row r="9" spans="1:20" ht="32" x14ac:dyDescent="0.2">
      <c r="A9" s="4" t="s">
        <v>138</v>
      </c>
      <c r="B9" s="2" t="s">
        <v>139</v>
      </c>
      <c r="C9" s="4" t="s">
        <v>140</v>
      </c>
      <c r="D9" s="4" t="s">
        <v>141</v>
      </c>
      <c r="E9" s="4">
        <v>12</v>
      </c>
      <c r="F9" s="4">
        <f>+E9*40</f>
        <v>480</v>
      </c>
      <c r="G9" s="4" t="s">
        <v>142</v>
      </c>
      <c r="H9" s="4"/>
      <c r="I9" s="4" t="s">
        <v>23</v>
      </c>
      <c r="J9" s="4"/>
      <c r="K9" s="4"/>
      <c r="L9" s="4"/>
      <c r="M9" s="4"/>
      <c r="N9" s="4"/>
      <c r="O9" s="4"/>
      <c r="P9" s="4"/>
      <c r="Q9" s="7">
        <v>794774.55</v>
      </c>
      <c r="R9" s="4"/>
      <c r="S9" s="4" t="s">
        <v>52</v>
      </c>
      <c r="T9" s="4"/>
    </row>
    <row r="10" spans="1:20" ht="32" x14ac:dyDescent="0.2">
      <c r="A10" s="4" t="s">
        <v>177</v>
      </c>
      <c r="B10" s="2">
        <v>45309</v>
      </c>
      <c r="C10" s="4" t="s">
        <v>154</v>
      </c>
      <c r="D10" s="4" t="s">
        <v>178</v>
      </c>
      <c r="E10" s="4">
        <v>9</v>
      </c>
      <c r="F10" s="4">
        <v>876</v>
      </c>
      <c r="G10" s="4" t="s">
        <v>151</v>
      </c>
      <c r="H10" s="4"/>
      <c r="I10" s="4" t="s">
        <v>158</v>
      </c>
      <c r="J10" s="4" t="s">
        <v>179</v>
      </c>
      <c r="K10" s="4" t="s">
        <v>180</v>
      </c>
      <c r="L10" s="4" t="s">
        <v>181</v>
      </c>
      <c r="M10" s="4">
        <v>4425612140</v>
      </c>
      <c r="N10" s="2">
        <v>45341</v>
      </c>
      <c r="O10" s="4" t="s">
        <v>65</v>
      </c>
      <c r="P10" s="2">
        <v>45707</v>
      </c>
      <c r="Q10" s="7">
        <v>1779308.18</v>
      </c>
      <c r="R10" s="4" t="s">
        <v>182</v>
      </c>
      <c r="S10" s="4" t="s">
        <v>74</v>
      </c>
      <c r="T10" s="4"/>
    </row>
    <row r="11" spans="1:20" ht="32" x14ac:dyDescent="0.2">
      <c r="A11" s="4" t="s">
        <v>173</v>
      </c>
      <c r="B11" s="12">
        <v>45324</v>
      </c>
      <c r="C11" s="4" t="s">
        <v>40</v>
      </c>
      <c r="D11" s="4" t="s">
        <v>174</v>
      </c>
      <c r="E11" s="4">
        <v>4</v>
      </c>
      <c r="F11" s="4">
        <v>160</v>
      </c>
      <c r="G11" s="4" t="s">
        <v>151</v>
      </c>
      <c r="H11" s="4" t="s">
        <v>408</v>
      </c>
      <c r="I11" s="4" t="s">
        <v>145</v>
      </c>
      <c r="J11" s="4" t="s">
        <v>121</v>
      </c>
      <c r="K11" s="4" t="s">
        <v>175</v>
      </c>
      <c r="L11" s="3" t="s">
        <v>176</v>
      </c>
      <c r="M11" s="4">
        <v>5559513458</v>
      </c>
      <c r="N11" s="4"/>
      <c r="O11" s="4"/>
      <c r="P11" s="4"/>
      <c r="Q11" s="13">
        <v>270645</v>
      </c>
      <c r="R11" s="4"/>
      <c r="S11" s="4" t="s">
        <v>172</v>
      </c>
      <c r="T11" s="4"/>
    </row>
    <row r="12" spans="1:20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:20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:20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:20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:20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1:20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1:20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:20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1:20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1:20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1:20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1:20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1:20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1:20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1:20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pans="1:20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1:20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pans="1:20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pans="1:20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pans="1:20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1:20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:20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:20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pans="1:20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1:20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1:20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1:20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1:20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1:20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1:20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1:20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1:20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1:20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:20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1:20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:20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:20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1:20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:20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spans="1:20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1:20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1:20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1:20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1:20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1:20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:20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1:20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1:20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1:20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1:20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spans="1:20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spans="1:20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spans="1:20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spans="1:20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spans="1:20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spans="1:20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spans="1:20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spans="1:20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spans="1:20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spans="1:20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spans="1:20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spans="1:20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spans="1:20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spans="1:20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spans="1:20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spans="1:20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spans="1:20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spans="1:20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spans="1:20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spans="1:20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spans="1:20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spans="1:20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spans="1:20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spans="1:20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spans="1:20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spans="1:20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spans="1:20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spans="1:20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spans="1:20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spans="1:20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spans="1:20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spans="1:20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spans="1:20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spans="1:20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spans="1:20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spans="1:20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spans="1:20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spans="1:20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spans="1:20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spans="1:20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spans="1:20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spans="1:20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spans="1:20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spans="1:20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spans="1:20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spans="1:20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spans="1:20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spans="1:20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spans="1:20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spans="1:20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spans="1:20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spans="1:20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spans="1:20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spans="1:20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spans="1:20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spans="1:20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spans="1:20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spans="1:20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spans="1:20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spans="1:20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spans="1:20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spans="1:20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spans="1:20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spans="1:20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spans="1:20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spans="1:20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spans="1:20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spans="1:20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spans="1:20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spans="1:20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spans="1:20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spans="1:20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spans="1:20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spans="1:20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spans="1:20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spans="1:20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spans="1:20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spans="1:20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spans="1:20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spans="1:20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spans="1:20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spans="1:20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spans="1:20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spans="1:20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spans="1:20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spans="1:20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spans="1:20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spans="1:20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spans="1:20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spans="1:20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spans="1:20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spans="1:20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spans="1:20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spans="1:20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spans="1:20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spans="1:20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spans="1:20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spans="1:20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spans="1:20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spans="1:20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spans="1:20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spans="1:20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spans="1:20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spans="1:20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spans="1:20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spans="1:20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spans="1:20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spans="1:20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spans="1:20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spans="1:20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spans="1:20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spans="1:20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spans="1:20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spans="1:20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spans="1:20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spans="1:20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spans="1:20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spans="1:20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spans="1:20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spans="1:20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spans="1:20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spans="1:20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spans="1:20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spans="1:20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spans="1:20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spans="1:20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spans="1:20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spans="1:20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spans="1:20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spans="1:20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spans="1:20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spans="1:20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spans="1:20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spans="1:20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spans="1:20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spans="1:20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spans="1:20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spans="1:20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spans="1:20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spans="1:20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spans="1:20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spans="1:20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spans="1:20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spans="1:20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spans="1:20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spans="1:20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spans="1:20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spans="1:20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spans="1:20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spans="1:20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spans="1:20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spans="1:20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spans="1:20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spans="1:20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spans="1:20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spans="1:20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spans="1:20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spans="1:20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spans="1:20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spans="1:20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spans="1:20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spans="1:20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spans="1:20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spans="1:20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spans="1:20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spans="1:20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spans="1:20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spans="1:20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spans="1:20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spans="1:20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spans="1:20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spans="1:20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</sheetData>
  <dataValidations count="1">
    <dataValidation type="list" showInputMessage="1" showErrorMessage="1" sqref="C2:C473" xr:uid="{BF277F8E-D144-4E2D-A0DD-8FC05A184F98}">
      <formula1>"Activo, Pendiente de cotización, Cotización enviada, Negociación, Cerrado, Perdido"</formula1>
    </dataValidation>
  </dataValidations>
  <hyperlinks>
    <hyperlink ref="L2" r:id="rId1" xr:uid="{FAAE0334-1278-4253-AAA5-B1833C898089}"/>
    <hyperlink ref="L4" r:id="rId2" xr:uid="{D3886386-26FB-4CC2-912D-A08D4B22E081}"/>
    <hyperlink ref="L5" r:id="rId3" xr:uid="{2C86769A-195D-4B91-A4FF-7C25B0898B5E}"/>
    <hyperlink ref="L3" r:id="rId4" xr:uid="{C3164FF8-81BA-463F-AD72-5AA3AB619CCF}"/>
    <hyperlink ref="L6" r:id="rId5" xr:uid="{6A1F99BB-16BA-4B27-896F-9791426E167C}"/>
    <hyperlink ref="L7" r:id="rId6" xr:uid="{B38DA6DA-52F0-4363-898F-D1BCDF7EA63E}"/>
    <hyperlink ref="L11" r:id="rId7" xr:uid="{ADD9A08A-A500-41ED-A630-44DAD46F1E8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3CDF-5808-4C36-9A22-EABE107870BC}">
  <dimension ref="A1:Y998"/>
  <sheetViews>
    <sheetView topLeftCell="A29" workbookViewId="0">
      <selection activeCell="K36" sqref="K36"/>
    </sheetView>
  </sheetViews>
  <sheetFormatPr baseColWidth="10" defaultColWidth="11.5" defaultRowHeight="15" x14ac:dyDescent="0.2"/>
  <cols>
    <col min="1" max="1" width="34.5" customWidth="1"/>
    <col min="2" max="2" width="30.5" customWidth="1"/>
    <col min="3" max="3" width="19.1640625" customWidth="1"/>
    <col min="6" max="6" width="26.83203125" customWidth="1"/>
    <col min="7" max="7" width="28.6640625" customWidth="1"/>
    <col min="8" max="8" width="22" customWidth="1"/>
    <col min="10" max="10" width="23.1640625" customWidth="1"/>
    <col min="11" max="11" width="17.83203125" customWidth="1"/>
  </cols>
  <sheetData>
    <row r="1" spans="1:25" ht="16" thickBot="1" x14ac:dyDescent="0.25">
      <c r="A1" t="s">
        <v>200</v>
      </c>
      <c r="B1" t="s">
        <v>201</v>
      </c>
      <c r="C1" t="s">
        <v>11</v>
      </c>
      <c r="D1" t="s">
        <v>18</v>
      </c>
    </row>
    <row r="2" spans="1:25" ht="16" thickBot="1" x14ac:dyDescent="0.25">
      <c r="A2" s="29" t="s">
        <v>202</v>
      </c>
      <c r="B2" s="29" t="s">
        <v>203</v>
      </c>
      <c r="C2" s="30">
        <v>5552894460</v>
      </c>
      <c r="D2" s="9"/>
      <c r="E2" s="9"/>
      <c r="F2" s="26" t="s">
        <v>206</v>
      </c>
      <c r="G2" s="27" t="s">
        <v>207</v>
      </c>
      <c r="H2" s="28">
        <v>5580289269</v>
      </c>
      <c r="I2" s="9" t="s">
        <v>408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16" thickBot="1" x14ac:dyDescent="0.25">
      <c r="A3" s="31" t="s">
        <v>204</v>
      </c>
      <c r="B3" s="29" t="s">
        <v>205</v>
      </c>
      <c r="C3" s="30">
        <v>3340930730</v>
      </c>
      <c r="D3" s="9"/>
      <c r="E3" s="9"/>
      <c r="F3" s="26" t="s">
        <v>216</v>
      </c>
      <c r="G3" s="27" t="s">
        <v>217</v>
      </c>
      <c r="H3" s="28">
        <v>5518023353</v>
      </c>
      <c r="I3" s="9" t="s">
        <v>408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16" thickBot="1" x14ac:dyDescent="0.25">
      <c r="A4" s="26" t="s">
        <v>206</v>
      </c>
      <c r="B4" s="27" t="s">
        <v>207</v>
      </c>
      <c r="C4" s="28">
        <v>5580289269</v>
      </c>
      <c r="D4" s="9"/>
      <c r="E4" s="9"/>
      <c r="F4" s="26" t="s">
        <v>240</v>
      </c>
      <c r="G4" s="27" t="s">
        <v>241</v>
      </c>
      <c r="H4" s="28">
        <v>5514743595</v>
      </c>
      <c r="I4" s="9" t="s">
        <v>408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16" thickBot="1" x14ac:dyDescent="0.25">
      <c r="A5" s="21" t="s">
        <v>208</v>
      </c>
      <c r="B5" s="22" t="s">
        <v>209</v>
      </c>
      <c r="C5" s="23">
        <v>5534495408</v>
      </c>
      <c r="D5" s="9"/>
      <c r="E5" s="9"/>
      <c r="F5" s="27" t="s">
        <v>244</v>
      </c>
      <c r="G5" s="27" t="s">
        <v>245</v>
      </c>
      <c r="H5" s="28">
        <v>7712174419</v>
      </c>
      <c r="I5" s="9" t="s">
        <v>408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6" thickBot="1" x14ac:dyDescent="0.25">
      <c r="A6" s="36" t="s">
        <v>210</v>
      </c>
      <c r="B6" s="36" t="s">
        <v>211</v>
      </c>
      <c r="C6" s="37">
        <v>5518306765</v>
      </c>
      <c r="D6" s="9"/>
      <c r="E6" s="9"/>
      <c r="F6" s="27" t="s">
        <v>270</v>
      </c>
      <c r="G6" s="27" t="s">
        <v>271</v>
      </c>
      <c r="H6" s="28">
        <v>5617478235</v>
      </c>
      <c r="I6" s="9" t="s">
        <v>408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6" thickBot="1" x14ac:dyDescent="0.25">
      <c r="A7" s="9" t="s">
        <v>212</v>
      </c>
      <c r="B7" s="9" t="s">
        <v>213</v>
      </c>
      <c r="C7" s="10">
        <v>5527676250</v>
      </c>
      <c r="D7" s="9"/>
      <c r="E7" s="9"/>
      <c r="F7" s="26" t="s">
        <v>278</v>
      </c>
      <c r="G7" s="27" t="s">
        <v>279</v>
      </c>
      <c r="H7" s="28">
        <v>5585374764</v>
      </c>
      <c r="I7" s="9" t="s">
        <v>408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16" thickBot="1" x14ac:dyDescent="0.25">
      <c r="A8" s="29" t="s">
        <v>214</v>
      </c>
      <c r="B8" s="29" t="s">
        <v>215</v>
      </c>
      <c r="C8" s="30">
        <v>5620212981</v>
      </c>
      <c r="D8" s="9"/>
      <c r="E8" s="9"/>
      <c r="F8" s="26" t="s">
        <v>284</v>
      </c>
      <c r="G8" s="27" t="s">
        <v>285</v>
      </c>
      <c r="H8" s="28">
        <v>5545322415</v>
      </c>
      <c r="I8" s="9" t="s">
        <v>408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16" thickBot="1" x14ac:dyDescent="0.25">
      <c r="A9" s="26" t="s">
        <v>216</v>
      </c>
      <c r="B9" s="27" t="s">
        <v>217</v>
      </c>
      <c r="C9" s="28">
        <v>5518023353</v>
      </c>
      <c r="D9" s="9"/>
      <c r="E9" s="9"/>
      <c r="F9" s="26" t="s">
        <v>290</v>
      </c>
      <c r="G9" s="27" t="s">
        <v>291</v>
      </c>
      <c r="H9" s="28">
        <v>5520184129</v>
      </c>
      <c r="I9" s="9" t="s">
        <v>408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16" thickBot="1" x14ac:dyDescent="0.25">
      <c r="A10" s="9" t="s">
        <v>218</v>
      </c>
      <c r="B10" s="9" t="s">
        <v>219</v>
      </c>
      <c r="C10" s="10">
        <v>7292879520</v>
      </c>
      <c r="D10" s="9"/>
      <c r="E10" s="9"/>
      <c r="F10" s="26" t="s">
        <v>303</v>
      </c>
      <c r="G10" s="27" t="s">
        <v>304</v>
      </c>
      <c r="H10" s="28">
        <v>5539044269</v>
      </c>
      <c r="I10" s="9" t="s">
        <v>408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30" thickBot="1" x14ac:dyDescent="0.25">
      <c r="A11" s="36" t="s">
        <v>220</v>
      </c>
      <c r="B11" s="36" t="s">
        <v>221</v>
      </c>
      <c r="C11" s="37">
        <v>5555936979</v>
      </c>
      <c r="D11" s="9"/>
      <c r="E11" s="9"/>
      <c r="F11" s="27" t="s">
        <v>305</v>
      </c>
      <c r="G11" s="27" t="s">
        <v>306</v>
      </c>
      <c r="H11" s="28">
        <v>5536669314</v>
      </c>
      <c r="I11" s="9" t="s">
        <v>408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16" thickBot="1" x14ac:dyDescent="0.25">
      <c r="A12" s="31" t="s">
        <v>222</v>
      </c>
      <c r="B12" s="29" t="s">
        <v>223</v>
      </c>
      <c r="C12" s="30">
        <v>5551480431</v>
      </c>
      <c r="D12" s="9"/>
      <c r="E12" s="9"/>
      <c r="F12" s="26" t="s">
        <v>309</v>
      </c>
      <c r="G12" s="27" t="s">
        <v>310</v>
      </c>
      <c r="H12" s="28">
        <v>5586923157</v>
      </c>
      <c r="I12" s="9" t="s">
        <v>408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16" thickBot="1" x14ac:dyDescent="0.25">
      <c r="A13" s="29" t="s">
        <v>224</v>
      </c>
      <c r="B13" s="29" t="s">
        <v>225</v>
      </c>
      <c r="C13" s="30">
        <v>5530111258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16" thickBot="1" x14ac:dyDescent="0.25">
      <c r="A14" s="31" t="s">
        <v>226</v>
      </c>
      <c r="B14" s="29" t="s">
        <v>227</v>
      </c>
      <c r="C14" s="30">
        <v>5579028329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16" thickBot="1" x14ac:dyDescent="0.25">
      <c r="A15" s="36" t="s">
        <v>228</v>
      </c>
      <c r="B15" s="36" t="s">
        <v>229</v>
      </c>
      <c r="C15" s="37">
        <v>5585643139</v>
      </c>
      <c r="D15" s="9"/>
      <c r="E15" s="9"/>
      <c r="F15" s="29" t="s">
        <v>202</v>
      </c>
      <c r="G15" s="29" t="s">
        <v>203</v>
      </c>
      <c r="H15" s="30">
        <v>5552894460</v>
      </c>
      <c r="I15" s="9" t="s">
        <v>407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16" thickBot="1" x14ac:dyDescent="0.25">
      <c r="A16" s="35" t="s">
        <v>230</v>
      </c>
      <c r="B16" s="36" t="s">
        <v>231</v>
      </c>
      <c r="C16" s="37">
        <v>5529953647</v>
      </c>
      <c r="D16" s="9"/>
      <c r="E16" s="9"/>
      <c r="F16" s="31" t="s">
        <v>204</v>
      </c>
      <c r="G16" s="29" t="s">
        <v>205</v>
      </c>
      <c r="H16" s="30">
        <v>3340930730</v>
      </c>
      <c r="I16" s="9" t="s">
        <v>407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30" thickBot="1" x14ac:dyDescent="0.25">
      <c r="A17" s="29" t="s">
        <v>232</v>
      </c>
      <c r="B17" s="29" t="s">
        <v>233</v>
      </c>
      <c r="C17" s="30">
        <v>5580567613</v>
      </c>
      <c r="D17" s="9"/>
      <c r="E17" s="9"/>
      <c r="F17" s="29" t="s">
        <v>214</v>
      </c>
      <c r="G17" s="29" t="s">
        <v>215</v>
      </c>
      <c r="H17" s="30">
        <v>5620212981</v>
      </c>
      <c r="I17" s="9" t="s">
        <v>407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16" thickBot="1" x14ac:dyDescent="0.25">
      <c r="A18" s="32" t="s">
        <v>234</v>
      </c>
      <c r="B18" s="32" t="s">
        <v>235</v>
      </c>
      <c r="C18" s="33">
        <v>5525243597</v>
      </c>
      <c r="D18" s="9"/>
      <c r="E18" s="9"/>
      <c r="F18" s="31" t="s">
        <v>222</v>
      </c>
      <c r="G18" s="29" t="s">
        <v>223</v>
      </c>
      <c r="H18" s="30">
        <v>5551480431</v>
      </c>
      <c r="I18" s="9" t="s">
        <v>407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30" thickBot="1" x14ac:dyDescent="0.25">
      <c r="A19" s="31" t="s">
        <v>236</v>
      </c>
      <c r="B19" s="29" t="s">
        <v>237</v>
      </c>
      <c r="C19" s="30">
        <v>5543812890</v>
      </c>
      <c r="D19" s="9"/>
      <c r="E19" s="9"/>
      <c r="F19" s="29" t="s">
        <v>224</v>
      </c>
      <c r="G19" s="29" t="s">
        <v>225</v>
      </c>
      <c r="H19" s="30">
        <v>5530111258</v>
      </c>
      <c r="I19" s="9" t="s">
        <v>407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16" thickBot="1" x14ac:dyDescent="0.25">
      <c r="A20" s="22" t="s">
        <v>238</v>
      </c>
      <c r="B20" s="22" t="s">
        <v>239</v>
      </c>
      <c r="C20" s="23">
        <v>5624019838</v>
      </c>
      <c r="D20" s="9"/>
      <c r="E20" s="9"/>
      <c r="F20" s="31" t="s">
        <v>226</v>
      </c>
      <c r="G20" s="29" t="s">
        <v>227</v>
      </c>
      <c r="H20" s="30">
        <v>5579028329</v>
      </c>
      <c r="I20" s="9" t="s">
        <v>407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16" thickBot="1" x14ac:dyDescent="0.25">
      <c r="A21" s="26" t="s">
        <v>240</v>
      </c>
      <c r="B21" s="27" t="s">
        <v>241</v>
      </c>
      <c r="C21" s="28">
        <v>5514743595</v>
      </c>
      <c r="D21" s="9"/>
      <c r="E21" s="9"/>
      <c r="F21" s="29" t="s">
        <v>232</v>
      </c>
      <c r="G21" s="29" t="s">
        <v>233</v>
      </c>
      <c r="H21" s="30">
        <v>5580567613</v>
      </c>
      <c r="I21" s="9" t="s">
        <v>407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30" thickBot="1" x14ac:dyDescent="0.25">
      <c r="A22" s="36" t="s">
        <v>242</v>
      </c>
      <c r="B22" s="36" t="s">
        <v>243</v>
      </c>
      <c r="C22" s="37">
        <v>5553771880</v>
      </c>
      <c r="D22" s="9"/>
      <c r="E22" s="9"/>
      <c r="F22" s="31" t="s">
        <v>236</v>
      </c>
      <c r="G22" s="29" t="s">
        <v>237</v>
      </c>
      <c r="H22" s="30">
        <v>5543812890</v>
      </c>
      <c r="I22" s="9" t="s">
        <v>407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30" thickBot="1" x14ac:dyDescent="0.25">
      <c r="A23" s="27" t="s">
        <v>244</v>
      </c>
      <c r="B23" s="27" t="s">
        <v>245</v>
      </c>
      <c r="C23" s="28">
        <v>7712174419</v>
      </c>
      <c r="D23" s="9"/>
      <c r="E23" s="9"/>
      <c r="F23" s="29" t="s">
        <v>262</v>
      </c>
      <c r="G23" s="29" t="s">
        <v>263</v>
      </c>
      <c r="H23" s="30">
        <v>5579085259</v>
      </c>
      <c r="I23" s="9" t="s">
        <v>407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16" thickBot="1" x14ac:dyDescent="0.25">
      <c r="A24" s="21" t="s">
        <v>246</v>
      </c>
      <c r="B24" s="22" t="s">
        <v>247</v>
      </c>
      <c r="C24" s="23">
        <v>5591997691</v>
      </c>
      <c r="D24" s="9"/>
      <c r="E24" s="9"/>
      <c r="F24" s="31" t="s">
        <v>264</v>
      </c>
      <c r="G24" s="29" t="s">
        <v>265</v>
      </c>
      <c r="H24" s="30">
        <v>5532258060</v>
      </c>
      <c r="I24" s="9" t="s">
        <v>407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30" thickBot="1" x14ac:dyDescent="0.25">
      <c r="A25" s="22" t="s">
        <v>248</v>
      </c>
      <c r="B25" s="22" t="s">
        <v>249</v>
      </c>
      <c r="C25" s="23">
        <v>5581072889</v>
      </c>
      <c r="D25" s="9"/>
      <c r="E25" s="9"/>
      <c r="F25" s="29" t="s">
        <v>272</v>
      </c>
      <c r="G25" s="29" t="s">
        <v>273</v>
      </c>
      <c r="H25" s="30">
        <v>5533331527</v>
      </c>
      <c r="I25" s="9" t="s">
        <v>407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6" thickBot="1" x14ac:dyDescent="0.25">
      <c r="A26" s="36" t="s">
        <v>250</v>
      </c>
      <c r="B26" s="36" t="s">
        <v>251</v>
      </c>
      <c r="C26" s="37">
        <v>5538128268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44" thickBot="1" x14ac:dyDescent="0.25">
      <c r="A27" s="11" t="s">
        <v>252</v>
      </c>
      <c r="B27" s="9" t="s">
        <v>253</v>
      </c>
      <c r="C27" s="10">
        <v>5545330437</v>
      </c>
      <c r="D27" s="9"/>
      <c r="E27" s="9"/>
      <c r="F27" s="36" t="s">
        <v>210</v>
      </c>
      <c r="G27" s="36" t="s">
        <v>211</v>
      </c>
      <c r="H27" s="37">
        <v>5518306765</v>
      </c>
      <c r="I27" s="36" t="s">
        <v>286</v>
      </c>
      <c r="J27" s="36" t="s">
        <v>287</v>
      </c>
      <c r="K27" s="37">
        <v>5568187503</v>
      </c>
      <c r="L27" s="9" t="s">
        <v>411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30" thickBot="1" x14ac:dyDescent="0.25">
      <c r="A28" s="35" t="s">
        <v>254</v>
      </c>
      <c r="B28" s="36" t="s">
        <v>255</v>
      </c>
      <c r="C28" s="37">
        <v>5590286017</v>
      </c>
      <c r="D28" s="9"/>
      <c r="E28" s="9"/>
      <c r="F28" s="36" t="s">
        <v>220</v>
      </c>
      <c r="G28" s="36" t="s">
        <v>221</v>
      </c>
      <c r="H28" s="37">
        <v>5555936979</v>
      </c>
      <c r="I28" s="36" t="s">
        <v>288</v>
      </c>
      <c r="J28" s="36" t="s">
        <v>289</v>
      </c>
      <c r="K28" s="37">
        <v>525584048805</v>
      </c>
      <c r="L28" s="9" t="s">
        <v>411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57" thickBot="1" x14ac:dyDescent="0.25">
      <c r="A29" s="34" t="s">
        <v>256</v>
      </c>
      <c r="B29" s="32" t="s">
        <v>257</v>
      </c>
      <c r="C29" s="33">
        <v>5576687443</v>
      </c>
      <c r="D29" s="9"/>
      <c r="E29" s="9"/>
      <c r="F29" s="36" t="s">
        <v>228</v>
      </c>
      <c r="G29" s="36" t="s">
        <v>229</v>
      </c>
      <c r="H29" s="37">
        <v>5585643139</v>
      </c>
      <c r="I29" s="35" t="s">
        <v>292</v>
      </c>
      <c r="J29" s="36" t="s">
        <v>293</v>
      </c>
      <c r="K29" s="37">
        <v>6141252684</v>
      </c>
      <c r="L29" s="9" t="s">
        <v>411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43" thickBot="1" x14ac:dyDescent="0.25">
      <c r="A30" s="32" t="s">
        <v>258</v>
      </c>
      <c r="B30" s="32" t="s">
        <v>259</v>
      </c>
      <c r="C30" s="33">
        <v>5533343044</v>
      </c>
      <c r="D30" s="9"/>
      <c r="E30" s="9"/>
      <c r="F30" s="35" t="s">
        <v>230</v>
      </c>
      <c r="G30" s="36" t="s">
        <v>231</v>
      </c>
      <c r="H30" s="37">
        <v>5529953647</v>
      </c>
      <c r="I30" s="35" t="s">
        <v>294</v>
      </c>
      <c r="J30" s="36" t="s">
        <v>295</v>
      </c>
      <c r="K30" s="37">
        <v>5539075894</v>
      </c>
      <c r="L30" s="9" t="s">
        <v>411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44" thickBot="1" x14ac:dyDescent="0.25">
      <c r="A31" s="36" t="s">
        <v>260</v>
      </c>
      <c r="B31" s="36" t="s">
        <v>261</v>
      </c>
      <c r="C31" s="37">
        <v>5543905486</v>
      </c>
      <c r="D31" s="9"/>
      <c r="E31" s="9"/>
      <c r="F31" s="36" t="s">
        <v>242</v>
      </c>
      <c r="G31" s="36" t="s">
        <v>243</v>
      </c>
      <c r="H31" s="37">
        <v>5553771880</v>
      </c>
      <c r="I31" s="35" t="s">
        <v>298</v>
      </c>
      <c r="J31" s="36" t="s">
        <v>95</v>
      </c>
      <c r="K31" s="37">
        <v>5574750318</v>
      </c>
      <c r="L31" s="9" t="s">
        <v>411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44" thickBot="1" x14ac:dyDescent="0.25">
      <c r="A32" s="29" t="s">
        <v>262</v>
      </c>
      <c r="B32" s="29" t="s">
        <v>263</v>
      </c>
      <c r="C32" s="30">
        <v>5579085259</v>
      </c>
      <c r="D32" s="9"/>
      <c r="E32" s="9"/>
      <c r="F32" s="36" t="s">
        <v>250</v>
      </c>
      <c r="G32" s="36" t="s">
        <v>251</v>
      </c>
      <c r="H32" s="37">
        <v>5538128268</v>
      </c>
      <c r="I32" s="35" t="s">
        <v>129</v>
      </c>
      <c r="J32" s="36" t="s">
        <v>313</v>
      </c>
      <c r="K32" s="37">
        <v>5534066329</v>
      </c>
      <c r="L32" s="9" t="s">
        <v>411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6" thickBot="1" x14ac:dyDescent="0.25">
      <c r="A33" s="31" t="s">
        <v>264</v>
      </c>
      <c r="B33" s="29" t="s">
        <v>265</v>
      </c>
      <c r="C33" s="30">
        <v>5532258060</v>
      </c>
      <c r="D33" s="9"/>
      <c r="E33" s="9"/>
      <c r="F33" s="35" t="s">
        <v>254</v>
      </c>
      <c r="G33" s="36" t="s">
        <v>255</v>
      </c>
      <c r="H33" s="37">
        <v>5590286017</v>
      </c>
      <c r="I33" s="9"/>
      <c r="J33" s="9"/>
      <c r="K33" s="9"/>
      <c r="L33" s="9" t="s">
        <v>411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6" thickBot="1" x14ac:dyDescent="0.25">
      <c r="A34" s="35" t="s">
        <v>266</v>
      </c>
      <c r="B34" s="36" t="s">
        <v>267</v>
      </c>
      <c r="C34" s="37">
        <v>5575023851</v>
      </c>
      <c r="D34" s="9"/>
      <c r="E34" s="9"/>
      <c r="F34" s="36" t="s">
        <v>260</v>
      </c>
      <c r="G34" s="36" t="s">
        <v>261</v>
      </c>
      <c r="H34" s="37">
        <v>5543905486</v>
      </c>
      <c r="I34" s="9"/>
      <c r="J34" s="9"/>
      <c r="K34" s="9"/>
      <c r="L34" s="9" t="s">
        <v>411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30" thickBot="1" x14ac:dyDescent="0.25">
      <c r="A35" s="34" t="s">
        <v>268</v>
      </c>
      <c r="B35" s="32" t="s">
        <v>269</v>
      </c>
      <c r="C35" s="33">
        <v>5554999109</v>
      </c>
      <c r="D35" s="9"/>
      <c r="E35" s="9"/>
      <c r="F35" s="35" t="s">
        <v>266</v>
      </c>
      <c r="G35" s="36" t="s">
        <v>267</v>
      </c>
      <c r="H35" s="37">
        <v>5575023851</v>
      </c>
      <c r="I35" s="9"/>
      <c r="J35" s="9"/>
      <c r="K35" s="9"/>
      <c r="L35" s="9" t="s">
        <v>411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6" thickBot="1" x14ac:dyDescent="0.25">
      <c r="A36" s="27" t="s">
        <v>270</v>
      </c>
      <c r="B36" s="27" t="s">
        <v>271</v>
      </c>
      <c r="C36" s="28">
        <v>5617478235</v>
      </c>
      <c r="D36" s="9"/>
      <c r="E36" s="9"/>
      <c r="F36" s="35" t="s">
        <v>280</v>
      </c>
      <c r="G36" s="36" t="s">
        <v>281</v>
      </c>
      <c r="H36" s="37">
        <v>5579720504</v>
      </c>
      <c r="I36" s="9"/>
      <c r="J36" s="9"/>
      <c r="K36" s="9"/>
      <c r="L36" s="9" t="s">
        <v>411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6" thickBot="1" x14ac:dyDescent="0.25">
      <c r="A37" s="29" t="s">
        <v>272</v>
      </c>
      <c r="B37" s="29" t="s">
        <v>273</v>
      </c>
      <c r="C37" s="30">
        <v>5533331527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6" thickBot="1" x14ac:dyDescent="0.25">
      <c r="A38" s="22" t="s">
        <v>274</v>
      </c>
      <c r="B38" s="22" t="s">
        <v>275</v>
      </c>
      <c r="C38" s="23">
        <v>5516446144</v>
      </c>
      <c r="D38" s="9"/>
      <c r="E38" s="9"/>
      <c r="F38" s="22" t="s">
        <v>274</v>
      </c>
      <c r="G38" s="22" t="s">
        <v>275</v>
      </c>
      <c r="H38" s="23">
        <v>5516446144</v>
      </c>
      <c r="I38" s="9" t="s">
        <v>412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29" thickBot="1" x14ac:dyDescent="0.25">
      <c r="A39" s="34" t="s">
        <v>276</v>
      </c>
      <c r="B39" s="32" t="s">
        <v>277</v>
      </c>
      <c r="C39" s="33">
        <v>7711860686</v>
      </c>
      <c r="D39" s="9"/>
      <c r="E39" s="9"/>
      <c r="F39" s="21" t="s">
        <v>246</v>
      </c>
      <c r="G39" s="22" t="s">
        <v>247</v>
      </c>
      <c r="H39" s="23">
        <v>5591997691</v>
      </c>
      <c r="I39" s="9" t="s">
        <v>412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44" thickBot="1" x14ac:dyDescent="0.25">
      <c r="A40" s="26" t="s">
        <v>278</v>
      </c>
      <c r="B40" s="27" t="s">
        <v>279</v>
      </c>
      <c r="C40" s="28">
        <v>5585374764</v>
      </c>
      <c r="D40" s="9"/>
      <c r="E40" s="9"/>
      <c r="F40" s="22" t="s">
        <v>248</v>
      </c>
      <c r="G40" s="22" t="s">
        <v>249</v>
      </c>
      <c r="H40" s="23">
        <v>5581072889</v>
      </c>
      <c r="I40" s="9" t="s">
        <v>412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6" thickBot="1" x14ac:dyDescent="0.25">
      <c r="A41" s="35" t="s">
        <v>280</v>
      </c>
      <c r="B41" s="36" t="s">
        <v>281</v>
      </c>
      <c r="C41" s="37">
        <v>5579720504</v>
      </c>
      <c r="D41" s="9"/>
      <c r="E41" s="9"/>
      <c r="F41" s="22" t="s">
        <v>238</v>
      </c>
      <c r="G41" s="22" t="s">
        <v>239</v>
      </c>
      <c r="H41" s="23">
        <v>5624019838</v>
      </c>
      <c r="I41" s="9" t="s">
        <v>412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30" thickBot="1" x14ac:dyDescent="0.25">
      <c r="A42" s="34" t="s">
        <v>282</v>
      </c>
      <c r="B42" s="32" t="s">
        <v>283</v>
      </c>
      <c r="C42" s="33">
        <v>5548942131</v>
      </c>
      <c r="D42" s="9"/>
      <c r="E42" s="9"/>
      <c r="F42" s="24" t="s">
        <v>208</v>
      </c>
      <c r="G42" s="25" t="s">
        <v>209</v>
      </c>
      <c r="H42" s="25">
        <v>5534495408</v>
      </c>
      <c r="I42" s="9" t="s">
        <v>412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6" thickBot="1" x14ac:dyDescent="0.25">
      <c r="A43" s="26" t="s">
        <v>284</v>
      </c>
      <c r="B43" s="27" t="s">
        <v>285</v>
      </c>
      <c r="C43" s="28">
        <v>5545322415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6" thickBot="1" x14ac:dyDescent="0.25">
      <c r="A44" s="36" t="s">
        <v>286</v>
      </c>
      <c r="B44" s="36" t="s">
        <v>287</v>
      </c>
      <c r="C44" s="37">
        <v>5568187503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30" thickBot="1" x14ac:dyDescent="0.25">
      <c r="A45" s="36" t="s">
        <v>288</v>
      </c>
      <c r="B45" s="36" t="s">
        <v>289</v>
      </c>
      <c r="C45" s="37">
        <v>525584048805</v>
      </c>
      <c r="D45" s="9"/>
      <c r="E45" s="9"/>
      <c r="F45" s="34" t="s">
        <v>314</v>
      </c>
      <c r="G45" s="32" t="s">
        <v>105</v>
      </c>
      <c r="H45" s="33">
        <v>7225710814</v>
      </c>
      <c r="I45" s="9" t="s">
        <v>409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30" thickBot="1" x14ac:dyDescent="0.25">
      <c r="A46" s="26" t="s">
        <v>290</v>
      </c>
      <c r="B46" s="27" t="s">
        <v>291</v>
      </c>
      <c r="C46" s="28">
        <v>5520184129</v>
      </c>
      <c r="D46" s="9"/>
      <c r="E46" s="9"/>
      <c r="F46" s="34" t="s">
        <v>315</v>
      </c>
      <c r="G46" s="32" t="s">
        <v>316</v>
      </c>
      <c r="H46" s="33">
        <v>5549508508</v>
      </c>
      <c r="I46" s="9" t="s">
        <v>409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29" thickBot="1" x14ac:dyDescent="0.25">
      <c r="A47" s="35" t="s">
        <v>292</v>
      </c>
      <c r="B47" s="36" t="s">
        <v>293</v>
      </c>
      <c r="C47" s="37">
        <v>6141252684</v>
      </c>
      <c r="D47" s="9"/>
      <c r="E47" s="9"/>
      <c r="F47" s="34" t="s">
        <v>282</v>
      </c>
      <c r="G47" s="32" t="s">
        <v>283</v>
      </c>
      <c r="H47" s="33">
        <v>5548942131</v>
      </c>
      <c r="I47" s="9" t="s">
        <v>409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6" thickBot="1" x14ac:dyDescent="0.25">
      <c r="A48" s="35" t="s">
        <v>294</v>
      </c>
      <c r="B48" s="36" t="s">
        <v>295</v>
      </c>
      <c r="C48" s="37">
        <v>5539075894</v>
      </c>
      <c r="D48" s="9"/>
      <c r="E48" s="9"/>
      <c r="F48" s="34" t="s">
        <v>276</v>
      </c>
      <c r="G48" s="32" t="s">
        <v>277</v>
      </c>
      <c r="H48" s="33">
        <v>7711860686</v>
      </c>
      <c r="I48" s="9" t="s">
        <v>409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30" thickBot="1" x14ac:dyDescent="0.25">
      <c r="A49" s="11" t="s">
        <v>296</v>
      </c>
      <c r="B49" s="9" t="s">
        <v>297</v>
      </c>
      <c r="C49" s="10">
        <v>5617673794</v>
      </c>
      <c r="D49" s="9"/>
      <c r="E49" s="9"/>
      <c r="F49" s="34" t="s">
        <v>268</v>
      </c>
      <c r="G49" s="32" t="s">
        <v>269</v>
      </c>
      <c r="H49" s="33">
        <v>5554999109</v>
      </c>
      <c r="I49" s="9" t="s">
        <v>409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6" thickBot="1" x14ac:dyDescent="0.25">
      <c r="A50" s="35" t="s">
        <v>298</v>
      </c>
      <c r="B50" s="36" t="s">
        <v>95</v>
      </c>
      <c r="C50" s="37">
        <v>5574750318</v>
      </c>
      <c r="D50" s="9"/>
      <c r="E50" s="9"/>
      <c r="F50" s="34" t="s">
        <v>256</v>
      </c>
      <c r="G50" s="32" t="s">
        <v>257</v>
      </c>
      <c r="H50" s="33">
        <v>5576687443</v>
      </c>
      <c r="I50" s="9" t="s">
        <v>409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6" thickBot="1" x14ac:dyDescent="0.25">
      <c r="A51" s="11" t="s">
        <v>299</v>
      </c>
      <c r="B51" s="9" t="s">
        <v>300</v>
      </c>
      <c r="C51" s="10">
        <v>7774067147</v>
      </c>
      <c r="D51" s="9"/>
      <c r="E51" s="9"/>
      <c r="F51" s="32" t="s">
        <v>258</v>
      </c>
      <c r="G51" s="32" t="s">
        <v>259</v>
      </c>
      <c r="H51" s="33">
        <v>5533343044</v>
      </c>
      <c r="I51" s="9" t="s">
        <v>409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6" thickBot="1" x14ac:dyDescent="0.25">
      <c r="A52" s="11" t="s">
        <v>301</v>
      </c>
      <c r="B52" s="9" t="s">
        <v>302</v>
      </c>
      <c r="C52" s="10">
        <v>5555765830</v>
      </c>
      <c r="D52" s="9"/>
      <c r="E52" s="9"/>
      <c r="F52" s="32" t="s">
        <v>234</v>
      </c>
      <c r="G52" s="32" t="s">
        <v>235</v>
      </c>
      <c r="H52" s="33">
        <v>5525243597</v>
      </c>
      <c r="I52" s="9" t="s">
        <v>409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16" thickBot="1" x14ac:dyDescent="0.25">
      <c r="A53" s="26" t="s">
        <v>303</v>
      </c>
      <c r="B53" s="27" t="s">
        <v>304</v>
      </c>
      <c r="C53" s="28">
        <v>5539044269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16" thickBot="1" x14ac:dyDescent="0.25">
      <c r="A54" s="27" t="s">
        <v>305</v>
      </c>
      <c r="B54" s="27" t="s">
        <v>306</v>
      </c>
      <c r="C54" s="28">
        <v>5536669314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16" thickBot="1" x14ac:dyDescent="0.25">
      <c r="A55" s="11" t="s">
        <v>307</v>
      </c>
      <c r="B55" s="9" t="s">
        <v>308</v>
      </c>
      <c r="C55" s="10">
        <v>7221046059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16" thickBot="1" x14ac:dyDescent="0.25">
      <c r="A56" s="26" t="s">
        <v>309</v>
      </c>
      <c r="B56" s="27" t="s">
        <v>310</v>
      </c>
      <c r="C56" s="28">
        <v>5586923157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16" thickBot="1" x14ac:dyDescent="0.25">
      <c r="A57" s="9" t="s">
        <v>311</v>
      </c>
      <c r="B57" s="9" t="s">
        <v>312</v>
      </c>
      <c r="C57" s="10">
        <v>3326657490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16" thickBot="1" x14ac:dyDescent="0.25">
      <c r="A58" s="35" t="s">
        <v>129</v>
      </c>
      <c r="B58" s="36" t="s">
        <v>313</v>
      </c>
      <c r="C58" s="37">
        <v>5534066329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ht="30" thickBot="1" x14ac:dyDescent="0.25">
      <c r="A59" s="34" t="s">
        <v>314</v>
      </c>
      <c r="B59" s="32" t="s">
        <v>105</v>
      </c>
      <c r="C59" s="33">
        <v>7225710814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30" thickBot="1" x14ac:dyDescent="0.25">
      <c r="A60" s="34" t="s">
        <v>315</v>
      </c>
      <c r="B60" s="32" t="s">
        <v>316</v>
      </c>
      <c r="C60" s="33">
        <v>5549508508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6" thickBo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6" thickBo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ht="16" thickBo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16" thickBo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6" thickBo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16" thickBo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ht="16" thickBo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ht="16" thickBo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ht="16" thickBo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16" thickBo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16" thickBo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6" thickBo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16" thickBo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6" thickBo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16" thickBo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6" thickBo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16" thickBo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16" thickBo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ht="16" thickBo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ht="16" thickBo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ht="16" thickBo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16" thickBo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16" thickBo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16" thickBo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16" thickBo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6" thickBo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6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6" thickBo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16" thickBo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16" thickBo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6" thickBo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6" thickBo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6" thickBo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6" thickBo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6" thickBo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6" thickBo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6" thickBo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6" thickBo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6" thickBo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6" thickBo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6" thickBo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6" thickBo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6" thickBo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6" thickBo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16" thickBo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16" thickBo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16" thickBo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16" thickBo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16" thickBo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16" thickBo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16" thickBo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16" thickBo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16" thickBo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16" thickBo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16" thickBo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16" thickBo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ht="16" thickBo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16" thickBo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16" thickBo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16" thickBo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16" thickBo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16" thickBo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16" thickBo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16" thickBo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16" thickBo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16" thickBo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16" thickBo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16" thickBo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16" thickBo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6" thickBo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16" thickBo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6" thickBo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6" thickBo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16" thickBo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6" thickBo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6" thickBo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6" thickBo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6" thickBo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6" thickBo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16" thickBo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6" thickBo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6" thickBo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6" thickBo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6" thickBo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6" thickBo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6" thickBo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6" thickBo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6" thickBo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6" thickBo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6" thickBo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6" thickBo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6" thickBo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16" thickBo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6" thickBo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6" thickBo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6" thickBo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6" thickBo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6" thickBo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6" thickBo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6" thickBo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6" thickBo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6" thickBo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16" thickBo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6" thickBo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6" thickBo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6" thickBo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6" thickBo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6" thickBo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6" thickBo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6" thickBo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6" thickBo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6" thickBo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6" thickBo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6" thickBo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6" thickBo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6" thickBo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6" thickBo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6" thickBo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6" thickBo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6" thickBo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6" thickBo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6" thickBo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6" thickBo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6" thickBo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6" thickBo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6" thickBo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6" thickBo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6" thickBo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6" thickBo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6" thickBo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6" thickBo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6" thickBo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6" thickBo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6" thickBo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6" thickBo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6" thickBo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6" thickBo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6" thickBo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6" thickBo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6" thickBo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6" thickBo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6" thickBo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6" thickBo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6" thickBo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6" thickBo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6" thickBo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6" thickBo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6" thickBo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6" thickBo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6" thickBo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6" thickBo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6" thickBo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6" thickBo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16" thickBo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16" thickBo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16" thickBo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6" thickBo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6" thickBo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6" thickBo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6" thickBo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6" thickBo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6" thickBo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6" thickBo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6" thickBo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6" thickBo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6" thickBo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6" thickBo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6" thickBo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6" thickBo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6" thickBo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6" thickBo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6" thickBo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6" thickBo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6" thickBo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6" thickBo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6" thickBo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6" thickBo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6" thickBo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6" thickBo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6" thickBo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6" thickBo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6" thickBo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6" thickBo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6" thickBo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6" thickBo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6" thickBo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6" thickBo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6" thickBo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6" thickBo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6" thickBo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6" thickBo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6" thickBo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6" thickBo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6" thickBo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6" thickBo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6" thickBo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6" thickBo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6" thickBo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6" thickBo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6" thickBo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6" thickBo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6" thickBo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6" thickBo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6" thickBo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6" thickBo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6" thickBo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6" thickBo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6" thickBo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6" thickBo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6" thickBo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6" thickBo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6" thickBo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6" thickBo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6" thickBo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6" thickBo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6" thickBo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6" thickBo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6" thickBo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6" thickBo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6" thickBo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6" thickBo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6" thickBo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6" thickBo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6" thickBo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6" thickBo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6" thickBo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6" thickBo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6" thickBo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6" thickBo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6" thickBo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6" thickBo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6" thickBo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6" thickBo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6" thickBo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6" thickBo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6" thickBo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6" thickBo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6" thickBo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6" thickBo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6" thickBo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6" thickBo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16" thickBo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16" thickBo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16" thickBo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16" thickBo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16" thickBo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6" thickBo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6" thickBo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16" thickBo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16" thickBo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16" thickBo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16" thickBo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16" thickBo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16" thickBo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16" thickBo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16" thickBo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16" thickBo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16" thickBo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16" thickBo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16" thickBo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16" thickBo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16" thickBo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16" thickBo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16" thickBo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16" thickBo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16" thickBo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16" thickBo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16" thickBo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16" thickBo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16" thickBo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16" thickBo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16" thickBo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16" thickBo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16" thickBo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16" thickBo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16" thickBo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16" thickBo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16" thickBo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16" thickBo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16" thickBo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16" thickBo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6" thickBo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16" thickBo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16" thickBo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16" thickBo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16" thickBo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16" thickBo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16" thickBo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16" thickBo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16" thickBo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16" thickBo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16" thickBo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16" thickBo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16" thickBo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16" thickBo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16" thickBo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16" thickBo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16" thickBo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16" thickBo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16" thickBo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16" thickBo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16" thickBo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16" thickBo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16" thickBo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6" thickBo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16" thickBo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16" thickBo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16" thickBo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16" thickBo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16" thickBo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16" thickBo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16" thickBo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16" thickBo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16" thickBo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16" thickBo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16" thickBo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16" thickBo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16" thickBo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16" thickBo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16" thickBo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16" thickBo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16" thickBo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16" thickBo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16" thickBo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16" thickBo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16" thickBo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16" thickBo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16" thickBo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16" thickBo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16" thickBo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6" thickBo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16" thickBo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16" thickBo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16" thickBo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16" thickBo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16" thickBo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16" thickBo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16" thickBo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16" thickBo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16" thickBo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16" thickBo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16" thickBo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16" thickBo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16" thickBo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16" thickBo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16" thickBo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16" thickBo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16" thickBo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16" thickBo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16" thickBo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16" thickBo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16" thickBo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16" thickBo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16" thickBo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16" thickBo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16" thickBo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6" thickBo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16" thickBo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16" thickBo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16" thickBo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16" thickBo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16" thickBo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16" thickBo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16" thickBo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16" thickBo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16" thickBo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16" thickBo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16" thickBo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16" thickBo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16" thickBo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16" thickBo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16" thickBo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16" thickBo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16" thickBo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6" thickBo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16" thickBo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16" thickBo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16" thickBo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16" thickBo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16" thickBo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16" thickBo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16" thickBo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16" thickBo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16" thickBo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16" thickBo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16" thickBo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16" thickBo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16" thickBo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16" thickBo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16" thickBo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16" thickBo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16" thickBo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16" thickBo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16" thickBo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16" thickBo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16" thickBo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16" thickBo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16" thickBo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16" thickBo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16" thickBo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16" thickBo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16" thickBo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16" thickBo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16" thickBo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16" thickBo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16" thickBo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16" thickBo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16" thickBo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16" thickBo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16" thickBo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16" thickBo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16" thickBo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16" thickBo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16" thickBo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16" thickBo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16" thickBo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16" thickBo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16" thickBo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16" thickBo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16" thickBo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16" thickBo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16" thickBo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16" thickBo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16" thickBo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16" thickBo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16" thickBo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16" thickBo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16" thickBo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16" thickBo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16" thickBo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16" thickBo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16" thickBo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16" thickBo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16" thickBo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16" thickBo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16" thickBo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ht="16" thickBo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ht="16" thickBo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ht="16" thickBo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ht="16" thickBo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ht="16" thickBo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ht="16" thickBo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ht="16" thickBo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ht="16" thickBo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ht="16" thickBo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ht="16" thickBo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ht="16" thickBo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ht="16" thickBo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ht="16" thickBo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ht="16" thickBo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16" thickBo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ht="16" thickBo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ht="16" thickBo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ht="16" thickBo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ht="16" thickBo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ht="16" thickBo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ht="16" thickBo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ht="16" thickBo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ht="16" thickBo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ht="16" thickBo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ht="16" thickBo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ht="16" thickBo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ht="16" thickBo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ht="16" thickBo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ht="16" thickBo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ht="16" thickBo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ht="16" thickBo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ht="16" thickBo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ht="16" thickBo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ht="16" thickBo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ht="16" thickBo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ht="16" thickBo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ht="16" thickBo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ht="16" thickBo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ht="16" thickBo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ht="16" thickBo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ht="16" thickBo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ht="16" thickBo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ht="16" thickBo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ht="16" thickBo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ht="16" thickBo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ht="16" thickBo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ht="16" thickBo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ht="16" thickBo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ht="16" thickBo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ht="16" thickBo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ht="16" thickBo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ht="16" thickBo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ht="16" thickBo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ht="16" thickBo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ht="16" thickBo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ht="16" thickBo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ht="16" thickBo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ht="16" thickBo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ht="16" thickBo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ht="16" thickBo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ht="16" thickBo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ht="16" thickBo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ht="16" thickBo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ht="16" thickBo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ht="16" thickBo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ht="16" thickBo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ht="16" thickBo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ht="16" thickBo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ht="16" thickBo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ht="16" thickBo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ht="16" thickBo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ht="16" thickBo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ht="16" thickBo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ht="16" thickBo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ht="16" thickBo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ht="16" thickBo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ht="16" thickBo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ht="16" thickBo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ht="16" thickBo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ht="16" thickBo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ht="16" thickBo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16" thickBo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ht="16" thickBo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ht="16" thickBo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ht="16" thickBo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ht="16" thickBo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ht="16" thickBo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ht="16" thickBo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ht="16" thickBo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ht="16" thickBo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ht="16" thickBo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ht="16" thickBo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ht="16" thickBo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ht="16" thickBo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ht="16" thickBo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ht="16" thickBo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ht="16" thickBo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ht="16" thickBo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ht="16" thickBo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ht="16" thickBo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ht="16" thickBo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ht="16" thickBo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ht="16" thickBo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ht="16" thickBo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ht="16" thickBo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ht="16" thickBo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ht="16" thickBo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ht="16" thickBo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ht="16" thickBo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ht="16" thickBo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ht="16" thickBo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ht="16" thickBo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ht="16" thickBo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ht="16" thickBo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ht="16" thickBo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ht="16" thickBo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ht="16" thickBo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ht="16" thickBo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ht="16" thickBo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ht="16" thickBo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ht="16" thickBo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ht="16" thickBo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ht="16" thickBo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ht="16" thickBo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ht="16" thickBo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ht="16" thickBo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ht="16" thickBo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ht="16" thickBo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ht="16" thickBo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ht="16" thickBo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ht="16" thickBo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ht="16" thickBo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ht="16" thickBo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ht="16" thickBo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ht="16" thickBo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ht="16" thickBo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ht="16" thickBo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ht="16" thickBo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ht="16" thickBo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ht="16" thickBo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ht="16" thickBo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ht="16" thickBo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ht="16" thickBo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ht="16" thickBo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ht="16" thickBo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ht="16" thickBo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ht="16" thickBo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ht="16" thickBo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ht="16" thickBo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ht="16" thickBo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ht="16" thickBo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ht="16" thickBo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ht="16" thickBo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ht="16" thickBo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ht="16" thickBo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ht="16" thickBo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ht="16" thickBo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ht="16" thickBo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ht="16" thickBo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ht="16" thickBo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ht="16" thickBo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ht="16" thickBo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ht="16" thickBo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ht="16" thickBo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ht="16" thickBo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ht="16" thickBo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ht="16" thickBo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ht="16" thickBo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ht="16" thickBo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ht="16" thickBo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ht="16" thickBo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ht="16" thickBo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ht="16" thickBo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ht="16" thickBo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ht="16" thickBo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ht="16" thickBo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ht="16" thickBo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ht="16" thickBo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ht="16" thickBo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ht="16" thickBo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ht="16" thickBo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ht="16" thickBo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ht="16" thickBo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ht="16" thickBo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ht="16" thickBo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ht="16" thickBo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ht="16" thickBo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ht="16" thickBo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ht="16" thickBo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ht="16" thickBo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ht="16" thickBo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ht="16" thickBo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ht="16" thickBo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ht="16" thickBo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ht="16" thickBo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ht="16" thickBo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ht="16" thickBo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ht="16" thickBo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ht="16" thickBo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ht="16" thickBo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ht="16" thickBo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ht="16" thickBo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ht="16" thickBo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ht="16" thickBo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ht="16" thickBo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ht="16" thickBo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ht="16" thickBo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ht="16" thickBo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ht="16" thickBo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ht="16" thickBo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ht="16" thickBo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ht="16" thickBo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ht="16" thickBo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ht="16" thickBo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ht="16" thickBo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ht="16" thickBo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ht="16" thickBo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ht="16" thickBo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ht="16" thickBo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ht="16" thickBo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ht="16" thickBo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ht="16" thickBo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ht="16" thickBo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ht="16" thickBo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ht="16" thickBo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ht="16" thickBo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ht="16" thickBo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ht="16" thickBo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ht="16" thickBo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ht="16" thickBo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ht="16" thickBo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ht="16" thickBo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ht="16" thickBo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ht="16" thickBo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ht="16" thickBo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ht="16" thickBo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ht="16" thickBo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ht="16" thickBo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ht="16" thickBo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ht="16" thickBo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ht="16" thickBo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ht="16" thickBo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ht="16" thickBo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ht="16" thickBo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ht="16" thickBo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ht="16" thickBo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ht="16" thickBo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ht="16" thickBo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ht="16" thickBo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ht="16" thickBo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ht="16" thickBo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ht="16" thickBo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ht="16" thickBo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ht="16" thickBo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ht="16" thickBo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ht="16" thickBo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ht="16" thickBo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ht="16" thickBo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ht="16" thickBo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ht="16" thickBo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ht="16" thickBo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ht="16" thickBo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ht="16" thickBo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ht="16" thickBo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ht="16" thickBo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ht="16" thickBo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ht="16" thickBo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ht="16" thickBo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ht="16" thickBo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ht="16" thickBo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ht="16" thickBo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ht="16" thickBo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ht="16" thickBo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ht="16" thickBo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ht="16" thickBo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ht="16" thickBo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ht="16" thickBo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ht="16" thickBo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ht="16" thickBo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ht="16" thickBo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ht="16" thickBo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ht="16" thickBo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ht="16" thickBo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ht="16" thickBo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ht="16" thickBo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ht="16" thickBo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ht="16" thickBo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ht="16" thickBo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ht="16" thickBo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ht="16" thickBo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ht="16" thickBo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ht="16" thickBo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ht="16" thickBo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ht="16" thickBo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ht="16" thickBo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ht="16" thickBo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ht="16" thickBo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ht="16" thickBo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ht="16" thickBo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ht="16" thickBo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ht="16" thickBo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ht="16" thickBo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ht="16" thickBo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ht="16" thickBo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ht="16" thickBo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ht="16" thickBo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ht="16" thickBo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ht="16" thickBo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ht="16" thickBo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ht="16" thickBo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ht="16" thickBo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ht="16" thickBo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ht="16" thickBo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ht="16" thickBo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ht="16" thickBo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ht="16" thickBo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ht="16" thickBo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ht="16" thickBo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ht="16" thickBo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ht="16" thickBo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ht="16" thickBo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ht="16" thickBo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ht="16" thickBo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ht="16" thickBo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ht="16" thickBo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ht="16" thickBo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ht="16" thickBo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ht="16" thickBo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ht="16" thickBo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ht="16" thickBo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ht="16" thickBo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ht="16" thickBo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ht="16" thickBo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ht="16" thickBo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ht="16" thickBo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ht="16" thickBo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ht="16" thickBo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ht="16" thickBo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ht="16" thickBo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ht="16" thickBo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ht="16" thickBo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ht="16" thickBo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ht="16" thickBo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ht="16" thickBo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ht="16" thickBo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ht="16" thickBo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ht="16" thickBo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ht="16" thickBo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ht="16" thickBo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ht="16" thickBo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ht="16" thickBo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ht="16" thickBo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ht="16" thickBo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ht="16" thickBo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ht="16" thickBo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ht="16" thickBo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ht="16" thickBo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ht="16" thickBo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ht="16" thickBo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ht="16" thickBo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ht="16" thickBo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ht="16" thickBo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ht="16" thickBo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ht="16" thickBo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ht="16" thickBo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ht="16" thickBo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ht="16" thickBo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ht="16" thickBo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ht="16" thickBo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ht="16" thickBo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ht="16" thickBo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ht="16" thickBo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ht="16" thickBo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ht="16" thickBo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ht="16" thickBo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ht="16" thickBo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ht="16" thickBo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ht="16" thickBo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ht="16" thickBo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ht="16" thickBo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ht="16" thickBo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ht="16" thickBo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ht="16" thickBo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ht="16" thickBo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ht="16" thickBo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ht="16" thickBo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ht="16" thickBo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ht="16" thickBo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ht="16" thickBo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ht="16" thickBo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ht="16" thickBo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ht="16" thickBo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ht="16" thickBo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ht="16" thickBo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ht="16" thickBo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ht="16" thickBo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ht="16" thickBo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ht="16" thickBo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ht="16" thickBo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ht="16" thickBo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ht="16" thickBo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ht="16" thickBo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ht="16" thickBo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ht="16" thickBo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ht="16" thickBo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ht="16" thickBo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ht="16" thickBo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ht="16" thickBo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ht="16" thickBo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ht="16" thickBo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ht="16" thickBo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ht="16" thickBo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ht="16" thickBo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ht="16" thickBo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ht="16" thickBo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ht="16" thickBo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ht="16" thickBo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ht="16" thickBo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ht="16" thickBo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ht="16" thickBo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ht="16" thickBo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ht="16" thickBo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ht="16" thickBo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ht="16" thickBo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ht="16" thickBo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ht="16" thickBo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ht="16" thickBo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ht="16" thickBo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ht="16" thickBo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ht="16" thickBo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ht="16" thickBo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ht="16" thickBo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ht="16" thickBo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ht="16" thickBo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ht="16" thickBo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ht="16" thickBo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ht="16" thickBo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ht="16" thickBo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ht="16" thickBo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ht="16" thickBo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ht="16" thickBo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ht="16" thickBo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ht="16" thickBo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ht="16" thickBo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ht="16" thickBo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ht="16" thickBo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ht="16" thickBo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ht="16" thickBo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ht="16" thickBo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ht="16" thickBo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ht="16" thickBo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ht="16" thickBo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ht="16" thickBo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ht="16" thickBo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ht="16" thickBo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ht="16" thickBo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ht="16" thickBo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ht="16" thickBo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ht="16" thickBo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ht="16" thickBo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ht="16" thickBo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ht="16" thickBo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ht="16" thickBo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ht="16" thickBo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ht="16" thickBo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ht="16" thickBo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ht="16" thickBo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ht="16" thickBo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ht="16" thickBo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ht="16" thickBo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ht="16" thickBo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ht="16" thickBo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ht="16" thickBo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ht="16" thickBo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ht="16" thickBo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ht="16" thickBo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 ht="16" thickBo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 ht="16" thickBo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ht="16" thickBo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 ht="16" thickBo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 ht="16" thickBo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 ht="16" thickBo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 ht="16" thickBo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 ht="16" thickBo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 ht="16" thickBo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 ht="16" thickBo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 ht="16" thickBo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 ht="16" thickBo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 ht="16" thickBo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 ht="16" thickBo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 ht="16" thickBo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 ht="16" thickBo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 ht="16" thickBo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 ht="16" thickBo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ht="16" thickBo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 ht="16" thickBo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 ht="16" thickBo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 ht="16" thickBo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spans="1:25" ht="16" thickBo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spans="1:25" ht="16" thickBo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spans="1:25" ht="16" thickBo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spans="1:25" ht="16" thickBo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1575-55DD-46B6-B44E-40EBC176003C}">
  <dimension ref="A1:O1048576"/>
  <sheetViews>
    <sheetView tabSelected="1" workbookViewId="0">
      <pane ySplit="1" topLeftCell="A2" activePane="bottomLeft" state="frozen"/>
      <selection activeCell="J1" sqref="J1"/>
      <selection pane="bottomLeft" activeCell="D6" sqref="D6"/>
    </sheetView>
  </sheetViews>
  <sheetFormatPr baseColWidth="10" defaultColWidth="10.83203125" defaultRowHeight="15" x14ac:dyDescent="0.2"/>
  <cols>
    <col min="1" max="1" width="18.33203125" style="19" bestFit="1" customWidth="1"/>
    <col min="2" max="3" width="0" style="19" hidden="1" customWidth="1"/>
    <col min="4" max="4" width="10.83203125" style="19"/>
    <col min="5" max="7" width="0" style="19" hidden="1" customWidth="1"/>
    <col min="8" max="8" width="10.83203125" style="19"/>
    <col min="9" max="9" width="30.5" style="19" bestFit="1" customWidth="1"/>
    <col min="10" max="10" width="38.5" style="19" bestFit="1" customWidth="1"/>
    <col min="11" max="12" width="10.83203125" style="19"/>
    <col min="13" max="13" width="15.33203125" style="19" customWidth="1"/>
    <col min="14" max="14" width="10.83203125" style="19"/>
    <col min="15" max="15" width="44.83203125" style="19" customWidth="1"/>
  </cols>
  <sheetData>
    <row r="1" spans="1:15" ht="48" x14ac:dyDescent="0.2">
      <c r="A1" s="1" t="s">
        <v>0</v>
      </c>
      <c r="B1" s="1" t="s">
        <v>1</v>
      </c>
      <c r="C1" s="1" t="s">
        <v>406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15</v>
      </c>
      <c r="M1" s="1" t="s">
        <v>16</v>
      </c>
      <c r="N1" s="1" t="s">
        <v>17</v>
      </c>
      <c r="O1" s="1" t="s">
        <v>18</v>
      </c>
    </row>
    <row r="2" spans="1:15" ht="16" x14ac:dyDescent="0.2">
      <c r="A2" s="4"/>
      <c r="B2" s="2">
        <v>45294</v>
      </c>
      <c r="C2" s="4"/>
      <c r="D2" s="4"/>
      <c r="E2" s="4"/>
      <c r="F2" s="4" t="s">
        <v>320</v>
      </c>
      <c r="G2" s="4"/>
      <c r="H2" s="4" t="s">
        <v>319</v>
      </c>
      <c r="I2" s="4" t="s">
        <v>317</v>
      </c>
      <c r="J2" s="3" t="s">
        <v>318</v>
      </c>
      <c r="K2" s="4">
        <v>5617673794</v>
      </c>
      <c r="L2" s="4"/>
      <c r="M2" s="4" t="s">
        <v>36</v>
      </c>
      <c r="N2" s="4"/>
      <c r="O2" s="4"/>
    </row>
    <row r="3" spans="1:15" ht="48" x14ac:dyDescent="0.2">
      <c r="A3" s="4"/>
      <c r="B3" s="2">
        <v>45294</v>
      </c>
      <c r="C3" s="4"/>
      <c r="D3" s="4"/>
      <c r="E3" s="4"/>
      <c r="F3" s="4" t="s">
        <v>323</v>
      </c>
      <c r="G3" s="4"/>
      <c r="H3" s="4" t="s">
        <v>319</v>
      </c>
      <c r="I3" s="4" t="s">
        <v>321</v>
      </c>
      <c r="J3" s="3" t="s">
        <v>322</v>
      </c>
      <c r="K3" s="4">
        <v>5555765830</v>
      </c>
      <c r="L3" s="4"/>
      <c r="M3" s="4" t="s">
        <v>36</v>
      </c>
      <c r="N3" s="4"/>
      <c r="O3" s="4" t="s">
        <v>381</v>
      </c>
    </row>
    <row r="4" spans="1:15" ht="32" x14ac:dyDescent="0.2">
      <c r="A4" s="4" t="s">
        <v>66</v>
      </c>
      <c r="B4" s="2">
        <v>45300</v>
      </c>
      <c r="C4" s="4" t="s">
        <v>382</v>
      </c>
      <c r="D4" s="4"/>
      <c r="E4" s="4"/>
      <c r="F4" s="4" t="s">
        <v>377</v>
      </c>
      <c r="G4" s="4"/>
      <c r="H4" s="4" t="s">
        <v>319</v>
      </c>
      <c r="I4" s="4" t="s">
        <v>305</v>
      </c>
      <c r="J4" s="3" t="s">
        <v>72</v>
      </c>
      <c r="K4" s="4">
        <v>5536669314</v>
      </c>
      <c r="L4" s="4"/>
      <c r="M4" s="4" t="s">
        <v>36</v>
      </c>
      <c r="N4" s="4"/>
      <c r="O4" s="4" t="s">
        <v>378</v>
      </c>
    </row>
    <row r="5" spans="1:15" ht="48" x14ac:dyDescent="0.2">
      <c r="A5" s="4" t="s">
        <v>375</v>
      </c>
      <c r="B5" s="2">
        <v>45302</v>
      </c>
      <c r="C5" s="4" t="s">
        <v>383</v>
      </c>
      <c r="D5" s="4"/>
      <c r="E5" s="4"/>
      <c r="F5" s="4" t="s">
        <v>324</v>
      </c>
      <c r="G5" s="4"/>
      <c r="H5" s="4" t="s">
        <v>145</v>
      </c>
      <c r="I5" s="4" t="s">
        <v>78</v>
      </c>
      <c r="J5" s="3" t="s">
        <v>79</v>
      </c>
      <c r="K5" s="4">
        <v>5534066329</v>
      </c>
      <c r="L5" s="4"/>
      <c r="M5" s="4" t="s">
        <v>36</v>
      </c>
      <c r="N5" s="4"/>
      <c r="O5" s="4" t="s">
        <v>376</v>
      </c>
    </row>
    <row r="6" spans="1:15" ht="32" x14ac:dyDescent="0.2">
      <c r="A6" s="4" t="s">
        <v>80</v>
      </c>
      <c r="B6" s="2">
        <v>45303</v>
      </c>
      <c r="C6" s="4" t="s">
        <v>384</v>
      </c>
      <c r="D6" s="4"/>
      <c r="E6" s="4"/>
      <c r="F6" s="4" t="s">
        <v>325</v>
      </c>
      <c r="G6" s="4"/>
      <c r="H6" s="4" t="s">
        <v>319</v>
      </c>
      <c r="I6" s="4" t="s">
        <v>326</v>
      </c>
      <c r="J6" s="3" t="s">
        <v>82</v>
      </c>
      <c r="K6" s="4">
        <v>5586923157</v>
      </c>
      <c r="L6" s="4"/>
      <c r="M6" s="4" t="s">
        <v>83</v>
      </c>
      <c r="N6" s="4"/>
      <c r="O6" s="4" t="s">
        <v>374</v>
      </c>
    </row>
    <row r="7" spans="1:15" ht="16" x14ac:dyDescent="0.2">
      <c r="A7" s="4" t="s">
        <v>85</v>
      </c>
      <c r="B7" s="2">
        <v>45303</v>
      </c>
      <c r="C7" s="4" t="s">
        <v>385</v>
      </c>
      <c r="D7" s="4"/>
      <c r="E7" s="4"/>
      <c r="F7" s="4"/>
      <c r="G7" s="4"/>
      <c r="H7" s="4" t="s">
        <v>145</v>
      </c>
      <c r="I7" s="4" t="s">
        <v>311</v>
      </c>
      <c r="J7" s="3" t="s">
        <v>90</v>
      </c>
      <c r="K7" s="4">
        <v>3326657490</v>
      </c>
      <c r="L7" s="4"/>
      <c r="M7" s="4" t="s">
        <v>36</v>
      </c>
      <c r="N7" s="4"/>
      <c r="O7" s="4" t="s">
        <v>372</v>
      </c>
    </row>
    <row r="8" spans="1:15" ht="48" x14ac:dyDescent="0.2">
      <c r="A8" s="4" t="s">
        <v>327</v>
      </c>
      <c r="B8" s="2">
        <v>45307</v>
      </c>
      <c r="C8" s="4" t="s">
        <v>385</v>
      </c>
      <c r="D8" s="4"/>
      <c r="E8" s="4"/>
      <c r="F8" s="4" t="s">
        <v>328</v>
      </c>
      <c r="G8" s="4"/>
      <c r="H8" s="4" t="s">
        <v>319</v>
      </c>
      <c r="I8" s="4" t="s">
        <v>94</v>
      </c>
      <c r="J8" s="3" t="s">
        <v>95</v>
      </c>
      <c r="K8" s="4">
        <v>5574750318</v>
      </c>
      <c r="L8" s="4"/>
      <c r="M8" s="4" t="s">
        <v>83</v>
      </c>
      <c r="N8" s="4"/>
      <c r="O8" s="4" t="s">
        <v>387</v>
      </c>
    </row>
    <row r="9" spans="1:15" ht="16" x14ac:dyDescent="0.2">
      <c r="A9" s="4"/>
      <c r="B9" s="2">
        <v>45308</v>
      </c>
      <c r="C9" s="4"/>
      <c r="D9" s="4"/>
      <c r="E9" s="4"/>
      <c r="F9" s="4" t="s">
        <v>329</v>
      </c>
      <c r="G9" s="4"/>
      <c r="H9" s="4" t="s">
        <v>319</v>
      </c>
      <c r="I9" s="4" t="s">
        <v>98</v>
      </c>
      <c r="J9" s="3" t="s">
        <v>99</v>
      </c>
      <c r="K9" s="4">
        <v>7221046059</v>
      </c>
      <c r="L9" s="4"/>
      <c r="M9" s="4" t="s">
        <v>73</v>
      </c>
      <c r="N9" s="4"/>
      <c r="O9" s="4"/>
    </row>
    <row r="10" spans="1:15" ht="32" x14ac:dyDescent="0.2">
      <c r="A10" s="4" t="s">
        <v>330</v>
      </c>
      <c r="B10" s="2">
        <v>45308</v>
      </c>
      <c r="C10" s="4" t="s">
        <v>386</v>
      </c>
      <c r="D10" s="4"/>
      <c r="E10" s="4"/>
      <c r="F10" s="4" t="s">
        <v>331</v>
      </c>
      <c r="G10" s="4"/>
      <c r="H10" s="4" t="s">
        <v>319</v>
      </c>
      <c r="I10" s="4" t="s">
        <v>104</v>
      </c>
      <c r="J10" s="3" t="s">
        <v>105</v>
      </c>
      <c r="K10" s="4">
        <v>7225710814</v>
      </c>
      <c r="L10" s="4"/>
      <c r="M10" s="4" t="s">
        <v>83</v>
      </c>
      <c r="N10" s="4"/>
      <c r="O10" s="4" t="s">
        <v>370</v>
      </c>
    </row>
    <row r="11" spans="1:15" ht="16" x14ac:dyDescent="0.2">
      <c r="A11" s="4"/>
      <c r="B11" s="2">
        <v>45310</v>
      </c>
      <c r="C11" s="4"/>
      <c r="D11" s="4"/>
      <c r="E11" s="4"/>
      <c r="F11" s="4"/>
      <c r="G11" s="4"/>
      <c r="H11" s="4"/>
      <c r="I11" s="4" t="s">
        <v>332</v>
      </c>
      <c r="J11" s="3" t="s">
        <v>333</v>
      </c>
      <c r="K11" s="4">
        <v>5549508508</v>
      </c>
      <c r="L11" s="4"/>
      <c r="M11" s="4"/>
      <c r="N11" s="4"/>
      <c r="O11" s="4"/>
    </row>
    <row r="12" spans="1:15" ht="32" x14ac:dyDescent="0.2">
      <c r="A12" s="4" t="s">
        <v>338</v>
      </c>
      <c r="B12" s="2">
        <v>45310</v>
      </c>
      <c r="C12" s="4" t="s">
        <v>386</v>
      </c>
      <c r="D12" s="4"/>
      <c r="E12" s="4"/>
      <c r="F12" s="4" t="s">
        <v>334</v>
      </c>
      <c r="G12" s="4"/>
      <c r="H12" s="4" t="s">
        <v>145</v>
      </c>
      <c r="I12" s="4" t="s">
        <v>335</v>
      </c>
      <c r="J12" s="3" t="s">
        <v>336</v>
      </c>
      <c r="K12" s="4">
        <v>5511078191</v>
      </c>
      <c r="L12" s="4"/>
      <c r="M12" s="4" t="s">
        <v>337</v>
      </c>
      <c r="N12" s="4"/>
      <c r="O12" s="4" t="s">
        <v>370</v>
      </c>
    </row>
    <row r="13" spans="1:15" ht="48" x14ac:dyDescent="0.2">
      <c r="A13" s="4" t="s">
        <v>112</v>
      </c>
      <c r="B13" s="2">
        <v>45316</v>
      </c>
      <c r="C13" s="4" t="s">
        <v>385</v>
      </c>
      <c r="D13" s="4" t="s">
        <v>412</v>
      </c>
      <c r="E13" s="4"/>
      <c r="F13" s="4"/>
      <c r="G13" s="4"/>
      <c r="H13" s="4" t="s">
        <v>319</v>
      </c>
      <c r="I13" s="4" t="s">
        <v>116</v>
      </c>
      <c r="J13" s="3" t="s">
        <v>117</v>
      </c>
      <c r="K13" s="4">
        <v>5554031534</v>
      </c>
      <c r="L13" s="4"/>
      <c r="M13" s="4" t="s">
        <v>100</v>
      </c>
      <c r="N13" s="4"/>
      <c r="O13" s="4" t="s">
        <v>380</v>
      </c>
    </row>
    <row r="14" spans="1:15" ht="16" x14ac:dyDescent="0.2">
      <c r="A14" s="4" t="s">
        <v>339</v>
      </c>
      <c r="B14" s="2">
        <v>45320</v>
      </c>
      <c r="C14" s="4" t="s">
        <v>382</v>
      </c>
      <c r="D14" s="4" t="s">
        <v>412</v>
      </c>
      <c r="E14" s="4"/>
      <c r="F14" s="4" t="s">
        <v>340</v>
      </c>
      <c r="G14" s="4"/>
      <c r="H14" s="4" t="s">
        <v>319</v>
      </c>
      <c r="I14" s="4" t="s">
        <v>341</v>
      </c>
      <c r="J14" s="3" t="s">
        <v>342</v>
      </c>
      <c r="K14" s="4">
        <v>5570122736</v>
      </c>
      <c r="L14" s="4"/>
      <c r="M14" s="4" t="s">
        <v>83</v>
      </c>
      <c r="N14" s="4"/>
      <c r="O14" s="4" t="s">
        <v>371</v>
      </c>
    </row>
    <row r="15" spans="1:15" ht="32" x14ac:dyDescent="0.2">
      <c r="A15" s="4" t="s">
        <v>343</v>
      </c>
      <c r="B15" s="2">
        <v>45322</v>
      </c>
      <c r="C15" s="4" t="s">
        <v>386</v>
      </c>
      <c r="D15" s="4" t="s">
        <v>412</v>
      </c>
      <c r="E15" s="4"/>
      <c r="F15" s="4" t="s">
        <v>344</v>
      </c>
      <c r="G15" s="4"/>
      <c r="H15" s="4" t="s">
        <v>319</v>
      </c>
      <c r="I15" s="4" t="s">
        <v>345</v>
      </c>
      <c r="J15" s="3" t="s">
        <v>346</v>
      </c>
      <c r="K15" s="4">
        <v>5548330573</v>
      </c>
      <c r="L15" s="4"/>
      <c r="M15" s="4" t="s">
        <v>100</v>
      </c>
      <c r="N15" s="4"/>
      <c r="O15" s="4" t="s">
        <v>370</v>
      </c>
    </row>
    <row r="16" spans="1:15" ht="16" x14ac:dyDescent="0.2">
      <c r="A16" s="4" t="s">
        <v>350</v>
      </c>
      <c r="B16" s="2">
        <v>45334</v>
      </c>
      <c r="C16" s="4"/>
      <c r="D16" s="4" t="s">
        <v>412</v>
      </c>
      <c r="E16" s="4"/>
      <c r="F16" s="4" t="s">
        <v>349</v>
      </c>
      <c r="G16" s="4"/>
      <c r="H16" s="4" t="s">
        <v>319</v>
      </c>
      <c r="I16" s="4" t="s">
        <v>347</v>
      </c>
      <c r="J16" s="3" t="s">
        <v>348</v>
      </c>
      <c r="K16" s="4">
        <v>5515364852</v>
      </c>
      <c r="L16" s="4"/>
      <c r="M16" s="4" t="s">
        <v>337</v>
      </c>
      <c r="N16" s="4"/>
      <c r="O16" s="4"/>
    </row>
    <row r="17" spans="1:15" ht="32" x14ac:dyDescent="0.2">
      <c r="A17" s="4"/>
      <c r="B17" s="2">
        <v>45334</v>
      </c>
      <c r="C17" s="4"/>
      <c r="D17" s="4"/>
      <c r="E17" s="4"/>
      <c r="F17" s="4" t="s">
        <v>353</v>
      </c>
      <c r="G17" s="4"/>
      <c r="H17" s="4" t="s">
        <v>319</v>
      </c>
      <c r="I17" s="4" t="s">
        <v>351</v>
      </c>
      <c r="J17" s="3" t="s">
        <v>352</v>
      </c>
      <c r="K17" s="4">
        <v>5581073288</v>
      </c>
      <c r="L17" s="4"/>
      <c r="M17" s="4" t="s">
        <v>73</v>
      </c>
      <c r="N17" s="4"/>
      <c r="O17" s="4"/>
    </row>
    <row r="18" spans="1:15" ht="32" x14ac:dyDescent="0.2">
      <c r="A18" s="4" t="s">
        <v>368</v>
      </c>
      <c r="B18" s="2">
        <v>45336</v>
      </c>
      <c r="C18" s="4" t="s">
        <v>383</v>
      </c>
      <c r="D18" s="4" t="s">
        <v>415</v>
      </c>
      <c r="E18" s="4"/>
      <c r="F18" s="4"/>
      <c r="G18" s="4"/>
      <c r="H18" s="4"/>
      <c r="I18" s="4" t="s">
        <v>354</v>
      </c>
      <c r="J18" s="3" t="s">
        <v>355</v>
      </c>
      <c r="K18" s="4">
        <v>5542941719</v>
      </c>
      <c r="L18" s="4"/>
      <c r="M18" s="4"/>
      <c r="N18" s="4"/>
      <c r="O18" s="4" t="s">
        <v>369</v>
      </c>
    </row>
    <row r="19" spans="1:15" ht="16" x14ac:dyDescent="0.2">
      <c r="A19" s="4" t="s">
        <v>359</v>
      </c>
      <c r="B19" s="2">
        <v>45349</v>
      </c>
      <c r="C19" s="4" t="s">
        <v>20</v>
      </c>
      <c r="D19" s="4" t="s">
        <v>415</v>
      </c>
      <c r="E19" s="4"/>
      <c r="F19" s="4" t="s">
        <v>356</v>
      </c>
      <c r="G19" s="4"/>
      <c r="H19" s="4" t="s">
        <v>145</v>
      </c>
      <c r="I19" s="4" t="s">
        <v>357</v>
      </c>
      <c r="J19" s="3" t="s">
        <v>358</v>
      </c>
      <c r="K19" s="4">
        <v>5560685146</v>
      </c>
      <c r="L19" s="4"/>
      <c r="M19" s="4" t="s">
        <v>337</v>
      </c>
      <c r="N19" s="4"/>
      <c r="O19" s="4" t="s">
        <v>379</v>
      </c>
    </row>
    <row r="20" spans="1:15" ht="16" x14ac:dyDescent="0.2">
      <c r="A20" s="4" t="s">
        <v>363</v>
      </c>
      <c r="B20" s="2">
        <v>45349</v>
      </c>
      <c r="C20" s="4" t="s">
        <v>20</v>
      </c>
      <c r="D20" s="4" t="s">
        <v>415</v>
      </c>
      <c r="E20" s="4"/>
      <c r="F20" s="4" t="s">
        <v>362</v>
      </c>
      <c r="G20" s="4"/>
      <c r="H20" s="4" t="s">
        <v>145</v>
      </c>
      <c r="I20" s="4" t="s">
        <v>360</v>
      </c>
      <c r="J20" s="3" t="s">
        <v>361</v>
      </c>
      <c r="K20" s="4">
        <v>5548533578</v>
      </c>
      <c r="L20" s="4"/>
      <c r="M20" s="4" t="s">
        <v>337</v>
      </c>
      <c r="N20" s="4"/>
      <c r="O20" s="4" t="s">
        <v>372</v>
      </c>
    </row>
    <row r="21" spans="1:15" ht="32" x14ac:dyDescent="0.2">
      <c r="A21" s="4" t="s">
        <v>364</v>
      </c>
      <c r="B21" s="2">
        <v>45349</v>
      </c>
      <c r="C21" s="4" t="s">
        <v>20</v>
      </c>
      <c r="D21" s="4" t="s">
        <v>415</v>
      </c>
      <c r="E21" s="4"/>
      <c r="F21" s="4" t="s">
        <v>356</v>
      </c>
      <c r="G21" s="4"/>
      <c r="H21" s="4" t="s">
        <v>145</v>
      </c>
      <c r="I21" s="4" t="s">
        <v>365</v>
      </c>
      <c r="J21" s="3" t="s">
        <v>366</v>
      </c>
      <c r="K21" s="4">
        <v>5586146529</v>
      </c>
      <c r="L21" s="4"/>
      <c r="M21" s="4" t="s">
        <v>367</v>
      </c>
      <c r="N21" s="4"/>
      <c r="O21" s="4" t="s">
        <v>373</v>
      </c>
    </row>
    <row r="22" spans="1:15" ht="16" x14ac:dyDescent="0.2">
      <c r="B22" s="20">
        <v>45363</v>
      </c>
      <c r="C22" s="19" t="s">
        <v>20</v>
      </c>
      <c r="D22" s="19" t="s">
        <v>415</v>
      </c>
      <c r="F22" s="4" t="s">
        <v>356</v>
      </c>
      <c r="H22" s="19" t="s">
        <v>145</v>
      </c>
      <c r="I22" s="19" t="s">
        <v>388</v>
      </c>
      <c r="J22" s="14" t="s">
        <v>389</v>
      </c>
      <c r="K22" s="19">
        <v>5561203084</v>
      </c>
      <c r="M22" s="19" t="s">
        <v>337</v>
      </c>
      <c r="O22" s="19" t="s">
        <v>390</v>
      </c>
    </row>
    <row r="23" spans="1:15" x14ac:dyDescent="0.2">
      <c r="A23" s="19" t="s">
        <v>392</v>
      </c>
      <c r="B23" s="20">
        <v>45363</v>
      </c>
      <c r="C23" s="19" t="s">
        <v>396</v>
      </c>
      <c r="D23" s="19" t="s">
        <v>415</v>
      </c>
      <c r="F23" s="19" t="s">
        <v>362</v>
      </c>
      <c r="H23" s="19" t="s">
        <v>145</v>
      </c>
      <c r="I23" s="19" t="s">
        <v>391</v>
      </c>
      <c r="J23" s="14" t="s">
        <v>393</v>
      </c>
      <c r="K23" s="19">
        <v>5581055018</v>
      </c>
      <c r="M23" s="19" t="s">
        <v>394</v>
      </c>
      <c r="O23" s="19" t="s">
        <v>395</v>
      </c>
    </row>
    <row r="24" spans="1:15" x14ac:dyDescent="0.2">
      <c r="A24" s="19" t="s">
        <v>397</v>
      </c>
      <c r="B24" s="20">
        <v>45363</v>
      </c>
      <c r="C24" s="19" t="s">
        <v>20</v>
      </c>
      <c r="D24" s="19" t="s">
        <v>415</v>
      </c>
      <c r="F24" s="19" t="s">
        <v>362</v>
      </c>
      <c r="H24" s="19" t="s">
        <v>145</v>
      </c>
      <c r="I24" s="19" t="s">
        <v>399</v>
      </c>
      <c r="J24" s="14" t="s">
        <v>398</v>
      </c>
      <c r="K24" s="19">
        <v>5559472693</v>
      </c>
      <c r="M24" s="19" t="s">
        <v>337</v>
      </c>
      <c r="O24" s="19" t="s">
        <v>402</v>
      </c>
    </row>
    <row r="25" spans="1:15" x14ac:dyDescent="0.2">
      <c r="A25" s="19" t="s">
        <v>403</v>
      </c>
      <c r="B25" s="20">
        <v>45364</v>
      </c>
      <c r="C25" s="19" t="s">
        <v>20</v>
      </c>
      <c r="D25" s="19" t="s">
        <v>415</v>
      </c>
      <c r="H25" s="19" t="s">
        <v>145</v>
      </c>
      <c r="I25" s="19" t="s">
        <v>400</v>
      </c>
      <c r="J25" s="14" t="s">
        <v>401</v>
      </c>
      <c r="K25" s="19">
        <v>7295441244</v>
      </c>
      <c r="M25" s="19" t="s">
        <v>337</v>
      </c>
      <c r="O25" s="19" t="s">
        <v>402</v>
      </c>
    </row>
    <row r="26" spans="1:15" x14ac:dyDescent="0.2">
      <c r="B26" s="20">
        <v>45364</v>
      </c>
      <c r="C26" s="19" t="s">
        <v>20</v>
      </c>
      <c r="F26" s="19" t="s">
        <v>344</v>
      </c>
      <c r="H26" s="19" t="s">
        <v>145</v>
      </c>
      <c r="I26" s="19" t="s">
        <v>405</v>
      </c>
      <c r="J26" s="19" t="s">
        <v>404</v>
      </c>
      <c r="K26" s="19">
        <v>5618451380</v>
      </c>
      <c r="M26" s="19" t="s">
        <v>337</v>
      </c>
      <c r="O26" s="19" t="s">
        <v>402</v>
      </c>
    </row>
    <row r="1048576" spans="2:2" x14ac:dyDescent="0.2">
      <c r="B1048576" s="20"/>
    </row>
  </sheetData>
  <hyperlinks>
    <hyperlink ref="J2" r:id="rId1" xr:uid="{CC8A2499-9926-4A23-BBD1-6D2FBE620399}"/>
    <hyperlink ref="J3" r:id="rId2" xr:uid="{9B5E2F55-C2F4-41A7-84E7-84BBCE0CA2E0}"/>
    <hyperlink ref="J4" r:id="rId3" xr:uid="{7B4ABB1B-5B61-4B26-9BA8-B664DD6FABB3}"/>
    <hyperlink ref="J5" r:id="rId4" xr:uid="{8DE64478-4859-4BF7-9988-7E797CCF4E0C}"/>
    <hyperlink ref="J6" r:id="rId5" xr:uid="{0E0DACB1-C6BD-4933-A27A-2FA1C90703FD}"/>
    <hyperlink ref="J7" r:id="rId6" xr:uid="{E49D11EC-6193-45E6-93DC-27A02762DC46}"/>
    <hyperlink ref="J8" r:id="rId7" xr:uid="{3F0E02A1-0E91-4475-B50C-48228FB83172}"/>
    <hyperlink ref="J9" r:id="rId8" xr:uid="{DDF2FD58-A2FD-4F55-B81D-1D67670C9C04}"/>
    <hyperlink ref="J10" r:id="rId9" xr:uid="{5FFCA248-E683-4740-AD77-4F8AB14EB3BC}"/>
    <hyperlink ref="J11" r:id="rId10" xr:uid="{418F9802-D145-4875-B152-3C217D12EF3C}"/>
    <hyperlink ref="J12" r:id="rId11" xr:uid="{87355FE8-D353-419A-B5F6-ABF98B72112F}"/>
    <hyperlink ref="J13" r:id="rId12" xr:uid="{CADEAFFA-CD21-499A-87B0-03F3EE1452BE}"/>
    <hyperlink ref="J14" r:id="rId13" xr:uid="{86322F1D-5088-4A69-899A-C5D0EA21FA0D}"/>
    <hyperlink ref="J15" r:id="rId14" xr:uid="{0E1F271C-A6CA-488F-960A-965C67E8DFCE}"/>
    <hyperlink ref="J16" r:id="rId15" xr:uid="{BC233C7A-90BF-4DB4-8CBA-B3169EE93BB9}"/>
    <hyperlink ref="J17" r:id="rId16" xr:uid="{D5170640-2110-4171-BA4C-2248575DCF3F}"/>
    <hyperlink ref="J18" r:id="rId17" xr:uid="{5919E555-09F0-49BC-9843-99881A26754B}"/>
    <hyperlink ref="J19" r:id="rId18" xr:uid="{30286946-DDC3-4AF7-9CB9-84AD49273009}"/>
    <hyperlink ref="J20" r:id="rId19" xr:uid="{8E6F0F2F-5652-4B31-B4DA-E7BF50AC2704}"/>
    <hyperlink ref="J21" r:id="rId20" xr:uid="{6AB6F773-1D08-4FA7-8115-B84D9E28552C}"/>
    <hyperlink ref="J22" r:id="rId21" xr:uid="{7AC23949-18B9-46BF-B7BC-A7DF5E615F70}"/>
    <hyperlink ref="J23" r:id="rId22" xr:uid="{274F3EC8-1D69-4052-901C-B2124F6B9E86}"/>
    <hyperlink ref="J24" r:id="rId23" xr:uid="{E9195B08-8D22-40AB-BFC0-32DFDE933902}"/>
    <hyperlink ref="J25" r:id="rId24" xr:uid="{F8C51D7F-C13F-42E2-A8EC-A4867FE506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Pipeline</vt:lpstr>
      <vt:lpstr>Próximos a cierre 14022024</vt:lpstr>
      <vt:lpstr>Leads 2023-2024</vt:lpstr>
      <vt:lpstr>Hubspot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Alejandra Fuentes Peñuelas</dc:creator>
  <cp:keywords/>
  <dc:description/>
  <cp:lastModifiedBy>JAVIER MALPICA</cp:lastModifiedBy>
  <cp:revision/>
  <dcterms:created xsi:type="dcterms:W3CDTF">2024-01-19T17:10:37Z</dcterms:created>
  <dcterms:modified xsi:type="dcterms:W3CDTF">2024-11-12T20:15:50Z</dcterms:modified>
  <cp:category/>
  <cp:contentStatus/>
</cp:coreProperties>
</file>