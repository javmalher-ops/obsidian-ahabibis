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lpica/Downloads/"/>
    </mc:Choice>
  </mc:AlternateContent>
  <xr:revisionPtr revIDLastSave="0" documentId="13_ncr:1_{F3BCD159-CEDF-E247-8AD9-6B27F0C1D03E}" xr6:coauthVersionLast="47" xr6:coauthVersionMax="47" xr10:uidLastSave="{00000000-0000-0000-0000-000000000000}"/>
  <bookViews>
    <workbookView xWindow="0" yWindow="500" windowWidth="28800" windowHeight="15800" activeTab="3" xr2:uid="{F36D86F4-1F12-4196-AB33-663B5F661B13}"/>
  </bookViews>
  <sheets>
    <sheet name="SAPBW_DOWNLOAD" sheetId="1" r:id="rId1"/>
    <sheet name="Hoja1" sheetId="2" r:id="rId2"/>
    <sheet name="Hoja4" sheetId="5" r:id="rId3"/>
    <sheet name="Hoja2" sheetId="6" r:id="rId4"/>
    <sheet name="SAPBW_DOWNLOAD (2)" sheetId="3" r:id="rId5"/>
  </sheets>
  <definedNames>
    <definedName name="_xlnm._FilterDatabase" localSheetId="0" hidden="1">SAPBW_DOWNLOAD!$A$8:$AZ$347</definedName>
    <definedName name="_xlnm._FilterDatabase" localSheetId="4" hidden="1">'SAPBW_DOWNLOAD (2)'!$A$1:$EY$226</definedName>
    <definedName name="SAPBEXdnldView" hidden="1">"XLS_00O2TJZQP6FH0XJ1QWNYI1DSF"</definedName>
    <definedName name="SAPBEXsysID" hidden="1">"BWP"</definedName>
    <definedName name="SegmentaciónDeDatos_Centro_de_beneficio">#N/A</definedName>
    <definedName name="solver_eng" localSheetId="1" hidden="1">1</definedName>
    <definedName name="solver_eng" localSheetId="2" hidden="1">0</definedName>
    <definedName name="solver_eng" localSheetId="0" hidden="1">0</definedName>
    <definedName name="solver_eng" localSheetId="4" hidden="1">0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Hoja1!$G$7</definedName>
    <definedName name="solver_typ" localSheetId="1" hidden="1">1</definedName>
    <definedName name="solver_val" localSheetId="1" hidden="1">0</definedName>
    <definedName name="solver_ver" localSheetId="1" hidden="1">2</definedName>
    <definedName name="_xlnm.Print_Titles" localSheetId="0">SAPBW_DOWNLOAD!$A:$C,SAPBW_DOWNLOAD!$7:$8</definedName>
    <definedName name="_xlnm.Print_Titles" localSheetId="4">'SAPBW_DOWNLOAD (2)'!$A:$C,'SAPBW_DOWNLOAD (2)'!$1:$1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6" l="1"/>
  <c r="D23" i="6"/>
  <c r="C16" i="6"/>
  <c r="N14" i="6"/>
  <c r="M8" i="6"/>
  <c r="L8" i="6"/>
  <c r="K8" i="6"/>
  <c r="I8" i="6"/>
  <c r="H8" i="6"/>
  <c r="G8" i="6"/>
  <c r="F8" i="6"/>
  <c r="E8" i="6"/>
  <c r="D8" i="6"/>
  <c r="C8" i="6"/>
  <c r="B8" i="6"/>
  <c r="N7" i="6"/>
  <c r="N6" i="6"/>
  <c r="AN228" i="3"/>
  <c r="AE228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AV226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U351" i="1"/>
  <c r="T351" i="1"/>
  <c r="S351" i="1"/>
  <c r="R351" i="1"/>
  <c r="Q351" i="1"/>
  <c r="P351" i="1"/>
  <c r="O351" i="1"/>
  <c r="N351" i="1"/>
  <c r="M351" i="1"/>
  <c r="D351" i="1"/>
  <c r="E16" i="6" l="1"/>
  <c r="D16" i="6"/>
  <c r="D14" i="2"/>
  <c r="N5" i="6"/>
  <c r="N8" i="6" s="1"/>
  <c r="J8" i="6"/>
  <c r="B16" i="6"/>
  <c r="N13" i="6"/>
  <c r="F16" i="6" l="1"/>
  <c r="G16" i="6" l="1"/>
  <c r="H16" i="6" l="1"/>
  <c r="I16" i="6" l="1"/>
  <c r="J15" i="6"/>
  <c r="K15" i="6" l="1"/>
  <c r="J16" i="6"/>
  <c r="L15" i="6" l="1"/>
  <c r="K16" i="6"/>
  <c r="M15" i="6" l="1"/>
  <c r="M16" i="6" s="1"/>
  <c r="L16" i="6"/>
  <c r="N15" i="6" l="1"/>
  <c r="N16" i="6" s="1"/>
</calcChain>
</file>

<file path=xl/sharedStrings.xml><?xml version="1.0" encoding="utf-8"?>
<sst xmlns="http://schemas.openxmlformats.org/spreadsheetml/2006/main" count="2932" uniqueCount="754">
  <si>
    <t>Centro de beneficio</t>
  </si>
  <si>
    <t>RFC</t>
  </si>
  <si>
    <t>Ratios</t>
  </si>
  <si>
    <t>  - Subtotal
Despues del
Descuento</t>
  </si>
  <si>
    <t>ENE</t>
  </si>
  <si>
    <t>FEB</t>
  </si>
  <si>
    <t>MAR</t>
  </si>
  <si>
    <t>ABR</t>
  </si>
  <si>
    <t>MAY</t>
  </si>
  <si>
    <t>JUN</t>
  </si>
  <si>
    <t>JUL</t>
  </si>
  <si>
    <t>AGO</t>
  </si>
  <si>
    <t>  - Importe Total
 + 
Iva</t>
  </si>
  <si>
    <t>1</t>
  </si>
  <si>
    <t>2</t>
  </si>
  <si>
    <t>3</t>
  </si>
  <si>
    <t>4</t>
  </si>
  <si>
    <t>5</t>
  </si>
  <si>
    <t>6</t>
  </si>
  <si>
    <t>7</t>
  </si>
  <si>
    <t>8</t>
  </si>
  <si>
    <t>SEP</t>
  </si>
  <si>
    <t>OCT</t>
  </si>
  <si>
    <t>NOV</t>
  </si>
  <si>
    <t>DIC</t>
  </si>
  <si>
    <t>  - Guías
vendidas</t>
  </si>
  <si>
    <t>  - Precio
Promedio</t>
  </si>
  <si>
    <t>  - Kilogramos</t>
  </si>
  <si>
    <t>            EM3CCVA595</t>
  </si>
  <si>
    <t>ADI991022KX2</t>
  </si>
  <si>
    <t>ABASTOS Y DISTRIBUCIONES</t>
  </si>
  <si>
    <t>CME0401143S0</t>
  </si>
  <si>
    <t>CALZADO MEGA</t>
  </si>
  <si>
    <t>X</t>
  </si>
  <si>
    <t>DCO150717257</t>
  </si>
  <si>
    <t>DCD COPIADORAS</t>
  </si>
  <si>
    <t>FCA0801175D8</t>
  </si>
  <si>
    <t>SOCIEDAD FINANCIERA CAMPESINA SA DE</t>
  </si>
  <si>
    <t>            EM3CTLC630</t>
  </si>
  <si>
    <t>CCO8605231N4</t>
  </si>
  <si>
    <t>CADENA COMERCIAL OXXO</t>
  </si>
  <si>
    <t>CME220205UD7</t>
  </si>
  <si>
    <t>CARCAMOVIL MEXICO</t>
  </si>
  <si>
    <t>CXM201015UN0</t>
  </si>
  <si>
    <t>COMERCIALIZADORA XPERTA MEXICO</t>
  </si>
  <si>
    <t>DCZ010126SB1</t>
  </si>
  <si>
    <t>DISTRIBUIDOR CELULAR DE LA ZONA</t>
  </si>
  <si>
    <t>            EM3CACA689</t>
  </si>
  <si>
    <t>AAC850930II9</t>
  </si>
  <si>
    <t>AUTOS ACAPULCO</t>
  </si>
  <si>
    <t>AARE830226C8A</t>
  </si>
  <si>
    <t>ERIKA YADIRA ADAME RAMIREZ</t>
  </si>
  <si>
    <t>ACA090512JI4</t>
  </si>
  <si>
    <t>"AUTOMOTRIZ MARBRA"</t>
  </si>
  <si>
    <t>AERA841005HU7</t>
  </si>
  <si>
    <t>ARTURO ARREOLA RIVERA</t>
  </si>
  <si>
    <t>AESA600112R9A</t>
  </si>
  <si>
    <t>ALFREDO ARTEAGA SOLORIO</t>
  </si>
  <si>
    <t>AETF511011QPA</t>
  </si>
  <si>
    <t>FIDEL ARMANDO ACEVEDO TOLEDO</t>
  </si>
  <si>
    <t>AEVE800718GJ7</t>
  </si>
  <si>
    <t>MA. EUGENIA ARELLANO VARGAS</t>
  </si>
  <si>
    <t>AFA9409296Q4</t>
  </si>
  <si>
    <t>ALMACENES Y FRIGORIFICOS AMERIBEN</t>
  </si>
  <si>
    <t>AFB100505Q82</t>
  </si>
  <si>
    <t>ACUMULADORES Y FILTROS DEL BALSAS</t>
  </si>
  <si>
    <t>AUAS8007025N4</t>
  </si>
  <si>
    <t>SANTIAGO AHUIXTLE AHUANTA</t>
  </si>
  <si>
    <t>AZI980528BV5</t>
  </si>
  <si>
    <t>AEROPUERTO DE ZIHUATANEJO</t>
  </si>
  <si>
    <t>BNY080206UR9</t>
  </si>
  <si>
    <t>CIBANCO, S.A. INSTITUCION DE</t>
  </si>
  <si>
    <t>BSE911119KF4</t>
  </si>
  <si>
    <t>BY THE SEA</t>
  </si>
  <si>
    <t>CAGX720215E31</t>
  </si>
  <si>
    <t>ALMA MIRIA CALDERON GALEANA</t>
  </si>
  <si>
    <t>CAP900111823</t>
  </si>
  <si>
    <t>CAPACO</t>
  </si>
  <si>
    <t>CES140908VC4</t>
  </si>
  <si>
    <t>CI ESTRATEGIAS</t>
  </si>
  <si>
    <t>CGA890117N45</t>
  </si>
  <si>
    <t>CALZA GARVER</t>
  </si>
  <si>
    <t>CGI931213KN4</t>
  </si>
  <si>
    <t>CONFERENCIA GENERAL DE LA IGLESIA</t>
  </si>
  <si>
    <t>DME990323PR7</t>
  </si>
  <si>
    <t>DELFINITI DE MEXICO</t>
  </si>
  <si>
    <t>EME960827RY8</t>
  </si>
  <si>
    <t>ENCANTO MEXICO</t>
  </si>
  <si>
    <t>FIN080623RZ8</t>
  </si>
  <si>
    <t>SOFIPA CORPORATION</t>
  </si>
  <si>
    <t>FMA020527D74</t>
  </si>
  <si>
    <t>CRESTA FURIA ACAPULCO</t>
  </si>
  <si>
    <t>FME050125MS0</t>
  </si>
  <si>
    <t>FINANMADRID MEXICO</t>
  </si>
  <si>
    <t>GAAJ860531KD8</t>
  </si>
  <si>
    <t>JESUS ABELARDO GALEANA ARMENTA</t>
  </si>
  <si>
    <t>GAHD791211KE6</t>
  </si>
  <si>
    <t>DANIEL GARCIA HERNANDEZ</t>
  </si>
  <si>
    <t>GAHM900404T6A</t>
  </si>
  <si>
    <t>MARIBEL GARCIA HERNANDEZ</t>
  </si>
  <si>
    <t>GALL891127QE5</t>
  </si>
  <si>
    <t>LIZET GARCIA LUNA</t>
  </si>
  <si>
    <t>GAT2305113S1</t>
  </si>
  <si>
    <t>GTU AUTOMOTRIZ TOY</t>
  </si>
  <si>
    <t>GAVA910822876</t>
  </si>
  <si>
    <t>ANAHI GALVAN VILLA</t>
  </si>
  <si>
    <t>HEAN010105GP6</t>
  </si>
  <si>
    <t>NAZARET HERNANDEZ ARMENTA</t>
  </si>
  <si>
    <t>HTI040727NA1</t>
  </si>
  <si>
    <t>HOTELES TURISTICOS DE IXTAPA</t>
  </si>
  <si>
    <t>HVE941128MN6</t>
  </si>
  <si>
    <t>EXITUS CREDIT</t>
  </si>
  <si>
    <t>IGU621004NY4</t>
  </si>
  <si>
    <t>INSTITUTO GUAJARDO</t>
  </si>
  <si>
    <t>INE140404NI0</t>
  </si>
  <si>
    <t>INSTITUTO NACIONAL ELECTORAL</t>
  </si>
  <si>
    <t>JICA720712PL8</t>
  </si>
  <si>
    <t>ANDRES JIMENEZ CALDERON</t>
  </si>
  <si>
    <t>KDM050818RD1</t>
  </si>
  <si>
    <t>K2 MENDEZ</t>
  </si>
  <si>
    <t>LEAR920125D68</t>
  </si>
  <si>
    <t>RAUL LEON AVILES</t>
  </si>
  <si>
    <t>LEB1812201R8</t>
  </si>
  <si>
    <t>LEBENSSTÜCK</t>
  </si>
  <si>
    <t>LOGA7610104I3</t>
  </si>
  <si>
    <t>JOSE ANTONIO LORENZO GORDO</t>
  </si>
  <si>
    <t>LUOR670412SB7</t>
  </si>
  <si>
    <t>ROSANA LUVIANO DE LA O</t>
  </si>
  <si>
    <t>MAAR911022KP1</t>
  </si>
  <si>
    <t>RUBEN MARQUEZ AVILA</t>
  </si>
  <si>
    <t>MACD8506267P1</t>
  </si>
  <si>
    <t>DALIA MARCIAL CLETO</t>
  </si>
  <si>
    <t>NACJ5112251P4</t>
  </si>
  <si>
    <t>JESUS NAVA CASARRUBIAS</t>
  </si>
  <si>
    <t>NAHB520111CT3</t>
  </si>
  <si>
    <t>BOLIVAR NAVARRETE HEREDIA</t>
  </si>
  <si>
    <t>NME040422S84</t>
  </si>
  <si>
    <t>NESTEK DE MEXICO</t>
  </si>
  <si>
    <t>OCS140225QE2</t>
  </si>
  <si>
    <t>OPERADORA DE COMEDORES SALUDABLES</t>
  </si>
  <si>
    <t>OHV9706303X9</t>
  </si>
  <si>
    <t>OPERADORA DE HOTELES VILLA</t>
  </si>
  <si>
    <t>OID6704272V2</t>
  </si>
  <si>
    <t>ORGANIZACION IDEAL</t>
  </si>
  <si>
    <t>PASH900926TP7</t>
  </si>
  <si>
    <t>HABACUC PALACIOS SALAZAR</t>
  </si>
  <si>
    <t>PEPI6705253G5</t>
  </si>
  <si>
    <t>IRMA PEÑA PEÑA</t>
  </si>
  <si>
    <t>PIBD561018C36</t>
  </si>
  <si>
    <t>DIANA PIZA BATAZ</t>
  </si>
  <si>
    <t>PSE891129GS1</t>
  </si>
  <si>
    <t>PRODUCTOS SEREL</t>
  </si>
  <si>
    <t>PTP8709149X2</t>
  </si>
  <si>
    <t>PROMOTORA TURISTICA POSADA REAL</t>
  </si>
  <si>
    <t>REVM6702113I7</t>
  </si>
  <si>
    <t>MA. DE LOURDES RENDON VAZQUEZ</t>
  </si>
  <si>
    <t>ROFC8512107ZA</t>
  </si>
  <si>
    <t>CHRISTIAN PROCESO RODRIGUEZ FLORES</t>
  </si>
  <si>
    <t>ROH1501229G3</t>
  </si>
  <si>
    <t>RIALBE, OPERADORA DE HOTELES</t>
  </si>
  <si>
    <t>SAGV681124J38</t>
  </si>
  <si>
    <t>VICTOR MANUEL SANCHEZ GUARNEROS</t>
  </si>
  <si>
    <t>SIC120117SY7</t>
  </si>
  <si>
    <t>SERVICIOS INSUMOS Y CONSUMIBLES</t>
  </si>
  <si>
    <t>TGP120723858</t>
  </si>
  <si>
    <t>TRANSPORTES GUERRERENSES PALOS</t>
  </si>
  <si>
    <t>TOMR580603FW5</t>
  </si>
  <si>
    <t>ROSA MARGARITA TORREBLANCA</t>
  </si>
  <si>
    <t>VCB070518M88</t>
  </si>
  <si>
    <t>CI CASA DE BOLSA</t>
  </si>
  <si>
    <t>VMI0007136HA</t>
  </si>
  <si>
    <t>VIA MODA INTERNACIONAL</t>
  </si>
  <si>
    <t>VTA140911DP6</t>
  </si>
  <si>
    <t>VACATION TRAVEL ADVISORY</t>
  </si>
  <si>
    <t>XAXX010101000</t>
  </si>
  <si>
    <t>ZEDLAV LOGISTICA, MENSAJERIA Y</t>
  </si>
  <si>
    <t>ZADC630701MZ9</t>
  </si>
  <si>
    <t>MA. DEL CARMEN ZAMUDIO DIAZ</t>
  </si>
  <si>
    <t>Resultado</t>
  </si>
  <si>
    <t>AARL700415HS1</t>
  </si>
  <si>
    <t>LUIS ALBERTO ALVAREZ ROLDAN</t>
  </si>
  <si>
    <t>AAT111213TV3</t>
  </si>
  <si>
    <t>AGRI AVI TECNOLOGIA</t>
  </si>
  <si>
    <t>ACA120618G94</t>
  </si>
  <si>
    <t>AGROTECNOLOGIA CASASANO</t>
  </si>
  <si>
    <t>ADE9101309SA</t>
  </si>
  <si>
    <t>AIR DESIGN</t>
  </si>
  <si>
    <t>AME980810VBA</t>
  </si>
  <si>
    <t>AQUA MEDICA</t>
  </si>
  <si>
    <t>APV170810979</t>
  </si>
  <si>
    <t>ASISTENCIA PREDICTIVA VEHICULAR</t>
  </si>
  <si>
    <t>AUT020702435</t>
  </si>
  <si>
    <t>AUTOCIRC</t>
  </si>
  <si>
    <t>BCE160423IQ4</t>
  </si>
  <si>
    <t>BLUE COMMERCE ENTERPRISES</t>
  </si>
  <si>
    <t>BMA140910BE6</t>
  </si>
  <si>
    <t>BLISTEADORAS MAR</t>
  </si>
  <si>
    <t>CALH630425EY3</t>
  </si>
  <si>
    <t>HECTOR CASTRO LOPEZ</t>
  </si>
  <si>
    <t>CAR030903KK5</t>
  </si>
  <si>
    <t>COMERCIALIZADORA AROM</t>
  </si>
  <si>
    <t>CBU020304N45</t>
  </si>
  <si>
    <t>CORPORATIVO BURBUPAC</t>
  </si>
  <si>
    <t>CES050511QB3</t>
  </si>
  <si>
    <t>COMITE ESTATAL DE SANIDAD VEGETAL</t>
  </si>
  <si>
    <t>CFE370814QI0</t>
  </si>
  <si>
    <t>COMISION FEDERAL DE ELECTRICIDAD</t>
  </si>
  <si>
    <t>CFI191105NG3</t>
  </si>
  <si>
    <t>CREA FIRME</t>
  </si>
  <si>
    <t>CIB050928SH9</t>
  </si>
  <si>
    <t>CENTRO INTERNACIONAL DE BIOLOGIA</t>
  </si>
  <si>
    <t>CME190925S9A</t>
  </si>
  <si>
    <t>5 MEDICI</t>
  </si>
  <si>
    <t>CME230321IN7</t>
  </si>
  <si>
    <t>CONEXION MEXA</t>
  </si>
  <si>
    <t>CNT950111UH0</t>
  </si>
  <si>
    <t>CONDIMENTOS NATURALES TRES VILLAS</t>
  </si>
  <si>
    <t>COC1905032F9</t>
  </si>
  <si>
    <t>CACSI DE OCCIDENTE</t>
  </si>
  <si>
    <t>COS850425822</t>
  </si>
  <si>
    <t>LA COSMOPOLITANA</t>
  </si>
  <si>
    <t>CPF6307036N8</t>
  </si>
  <si>
    <t>CAMINOS Y PUENTES FEDERALES DE</t>
  </si>
  <si>
    <t>CRA011109LSA</t>
  </si>
  <si>
    <t>C Y R AGROQUIMICA</t>
  </si>
  <si>
    <t>CUEB720415LG8</t>
  </si>
  <si>
    <t>BRENDA ILIANA CUEVAS ESCOBAR</t>
  </si>
  <si>
    <t>DAD1303272N5</t>
  </si>
  <si>
    <t>DESARROLLO AVANZADO EN SERVICIOS</t>
  </si>
  <si>
    <t>DRM050212HR5</t>
  </si>
  <si>
    <t>DISTRIBUIDORA RANCHO</t>
  </si>
  <si>
    <t>DUNT560909SV2</t>
  </si>
  <si>
    <t>TERESA DURAN NIETO</t>
  </si>
  <si>
    <t>EBF080712DQ1</t>
  </si>
  <si>
    <t>EMPORIUM BY FRIDA S</t>
  </si>
  <si>
    <t>EDF021213USA</t>
  </si>
  <si>
    <t>ENLACE Y DISTRIBUCION FARMACEUTICA</t>
  </si>
  <si>
    <t>ERG980108JZ1</t>
  </si>
  <si>
    <t>ERGOFORM</t>
  </si>
  <si>
    <t>ETA1112133Z8</t>
  </si>
  <si>
    <t>EVOLUCION TECNOLOGICA AGROPECUARIA</t>
  </si>
  <si>
    <t>FCS021217NF4</t>
  </si>
  <si>
    <t>FR CONSTRUCCION Y SERVICIOS</t>
  </si>
  <si>
    <t>FER040804DP5</t>
  </si>
  <si>
    <t>FERTICHEM</t>
  </si>
  <si>
    <t>FME720816SU5</t>
  </si>
  <si>
    <t>FOSFORITA DE MEXICO</t>
  </si>
  <si>
    <t>FTR110205TX7</t>
  </si>
  <si>
    <t>FABRICA DE TREFILADOS</t>
  </si>
  <si>
    <t>GAPL720616AV5</t>
  </si>
  <si>
    <t>LUGARDA GARCIA PEREZ</t>
  </si>
  <si>
    <t>GFM161104S79</t>
  </si>
  <si>
    <t>GRAN FABRICA DE MUEBLES</t>
  </si>
  <si>
    <t>GIL031203GU8</t>
  </si>
  <si>
    <t>GRUPO ILUMA</t>
  </si>
  <si>
    <t>GME001027AY5</t>
  </si>
  <si>
    <t>GREIF MEXICO</t>
  </si>
  <si>
    <t>GME170117QQ4</t>
  </si>
  <si>
    <t>GARKEN MEDICAL</t>
  </si>
  <si>
    <t>GPM9510126V6</t>
  </si>
  <si>
    <t>GÜTERMANN POLYGAL MEXICANA</t>
  </si>
  <si>
    <t>HAZ040413HY4</t>
  </si>
  <si>
    <t>HAZEL AZTECA</t>
  </si>
  <si>
    <t>HEGA760412QP0</t>
  </si>
  <si>
    <t>ADRIANA HERNANDEZ GARCIA</t>
  </si>
  <si>
    <t>HEVM8308024LA</t>
  </si>
  <si>
    <t>MIGUEL ANGEL HERRERA VEGA</t>
  </si>
  <si>
    <t>IAL110509EB2</t>
  </si>
  <si>
    <t>IMPORTACIONES ALAR</t>
  </si>
  <si>
    <t>IES020408NW5</t>
  </si>
  <si>
    <t>IHO ESPACIOS</t>
  </si>
  <si>
    <t>IMO101007TW8</t>
  </si>
  <si>
    <t>INDUSTRIA MORJAL</t>
  </si>
  <si>
    <t>IPM670824S94</t>
  </si>
  <si>
    <t>INDUSTRIAS PLASTICAS MEDICAS</t>
  </si>
  <si>
    <t>ISD950921HE5</t>
  </si>
  <si>
    <t>PASE, SERVICIOS ELECTRONICOS</t>
  </si>
  <si>
    <t>KTO911206MC6</t>
  </si>
  <si>
    <t>KOL-TOV</t>
  </si>
  <si>
    <t>LAF080718FS4</t>
  </si>
  <si>
    <t>LABORATORIO DE AGRODIAGNOSTICO</t>
  </si>
  <si>
    <t>LGE010130NS5</t>
  </si>
  <si>
    <t>LABORATORIO GENOMELAB</t>
  </si>
  <si>
    <t>MAAJ8501303F2</t>
  </si>
  <si>
    <t>JESSICA MARTINEZ AGUILAR</t>
  </si>
  <si>
    <t>MAEG451123NK6</t>
  </si>
  <si>
    <t>GEMA CLEMENTINA MACIAS ESPINOSA</t>
  </si>
  <si>
    <t>MAI170407M11</t>
  </si>
  <si>
    <t>MANTENIMIENTO AUTOSUFICIENTE</t>
  </si>
  <si>
    <t>MATA840924L22</t>
  </si>
  <si>
    <t>ALAN ALEJANDRO MALDONADO TAMEZ</t>
  </si>
  <si>
    <t>MFR020626N75</t>
  </si>
  <si>
    <t>MOTOR FRANCE</t>
  </si>
  <si>
    <t>MME641005KH8</t>
  </si>
  <si>
    <t>MAYEKAWA DE MEXICO</t>
  </si>
  <si>
    <t>OARO900827U37</t>
  </si>
  <si>
    <t>OSVALDO OCAMPO RAMIREZ</t>
  </si>
  <si>
    <t>OCA901107CL8</t>
  </si>
  <si>
    <t>OPERACION Y CONSERVACION DE</t>
  </si>
  <si>
    <t>OGR161021PX2</t>
  </si>
  <si>
    <t>ORSAGO GROUP</t>
  </si>
  <si>
    <t>OLN9503161H5</t>
  </si>
  <si>
    <t>OLNATURA</t>
  </si>
  <si>
    <t>PAGJ651224IC4</t>
  </si>
  <si>
    <t>JESUS RAUL PAREDES GONZALEZ</t>
  </si>
  <si>
    <t>PUH2103235Q2</t>
  </si>
  <si>
    <t>PAYNALTON UAN HUITZIL</t>
  </si>
  <si>
    <t>PVO050609J41</t>
  </si>
  <si>
    <t>POLIURETANOS VOLCANES</t>
  </si>
  <si>
    <t>RAHL901225PQ1</t>
  </si>
  <si>
    <t>LUIS FERNANDO LINCOLN RAIMOND</t>
  </si>
  <si>
    <t>RIFS910110H96</t>
  </si>
  <si>
    <t>SAGID RIVERA FUENTES</t>
  </si>
  <si>
    <t>RODR7011164J1</t>
  </si>
  <si>
    <t>RAQUEL AMALIA ROMERO DUEÑAS</t>
  </si>
  <si>
    <t>ROM860405PH7</t>
  </si>
  <si>
    <t>ROMACEL</t>
  </si>
  <si>
    <t>RPM101109455</t>
  </si>
  <si>
    <t>RIVA PLASTIC MACHINERY</t>
  </si>
  <si>
    <t>SAC071208K49</t>
  </si>
  <si>
    <t>SERVICIOS ADMINISTRATIVOS DE</t>
  </si>
  <si>
    <t>SAZ1310075C2</t>
  </si>
  <si>
    <t>SAZAS COMPANY</t>
  </si>
  <si>
    <t>SGS020508BT8</t>
  </si>
  <si>
    <t>SERVICIOS GASOLINEROS SAN CARLOS</t>
  </si>
  <si>
    <t>SID040910GSA</t>
  </si>
  <si>
    <t>SISTEMAS DE IMPRESION DIGITAL</t>
  </si>
  <si>
    <t>SME9502015F6</t>
  </si>
  <si>
    <t>SAINT-GOBAIN MEXICO</t>
  </si>
  <si>
    <t>SRE110418TL9</t>
  </si>
  <si>
    <t>SAFE REFACCIONES EUROPEAS</t>
  </si>
  <si>
    <t>SVM190126FUA</t>
  </si>
  <si>
    <t>SISTEMAS DE VERIFICACION MOR</t>
  </si>
  <si>
    <t>TLO230602UUA</t>
  </si>
  <si>
    <t>TREBOR LOGISTICS</t>
  </si>
  <si>
    <t>TME901009B49</t>
  </si>
  <si>
    <t>TAIKISHA DE MEXICO</t>
  </si>
  <si>
    <t>TPL180706AJ7</t>
  </si>
  <si>
    <t>TIENDAS PLATINO</t>
  </si>
  <si>
    <t>UOOS7003106C1</t>
  </si>
  <si>
    <t>SUSANA UROZA OCAMPO</t>
  </si>
  <si>
    <t>USC910624DP6</t>
  </si>
  <si>
    <t>UNIVERSIDAD LA SALLE CUERNAVACA</t>
  </si>
  <si>
    <t>UVL100507RG8</t>
  </si>
  <si>
    <t>UNITED VITAMIN LABORATORIES</t>
  </si>
  <si>
    <t>WME9003078U2</t>
  </si>
  <si>
    <t>WURTH MEXICO</t>
  </si>
  <si>
    <t>ZMA180425E65</t>
  </si>
  <si>
    <t>ZENTRO MAYORITARIO</t>
  </si>
  <si>
    <t>AABA910802EY9</t>
  </si>
  <si>
    <t>ANDREA NATALIA ARANDA BALAGUER</t>
  </si>
  <si>
    <t>AAME9903017LA</t>
  </si>
  <si>
    <t>ESTEFANIA ALCANTARA MELGAR</t>
  </si>
  <si>
    <t>ACO000225149</t>
  </si>
  <si>
    <t>AMERICAN COTTON</t>
  </si>
  <si>
    <t>ADS1008102M9</t>
  </si>
  <si>
    <t>AM DENMARK SALUD MEXICO</t>
  </si>
  <si>
    <t>AGR1012213S0</t>
  </si>
  <si>
    <t>AGROCOLMEX</t>
  </si>
  <si>
    <t>AIVA940803EJ5</t>
  </si>
  <si>
    <t>ARANKZA AVILA VILCHIS</t>
  </si>
  <si>
    <t>ALM1712101Y7</t>
  </si>
  <si>
    <t>ALMATODO</t>
  </si>
  <si>
    <t>APE9003284Y4</t>
  </si>
  <si>
    <t>AUTOTANQUES PENINSULARES, S.A. DE C</t>
  </si>
  <si>
    <t>APL100908IF0</t>
  </si>
  <si>
    <t>ARPEMA PLASTICOS</t>
  </si>
  <si>
    <t>APL920424PD5</t>
  </si>
  <si>
    <t>ACRILICOS PLASTITEC</t>
  </si>
  <si>
    <t>APM1310144N6</t>
  </si>
  <si>
    <t>AMAPARTS PRECISION MACHINING</t>
  </si>
  <si>
    <t>ARA900710AX8</t>
  </si>
  <si>
    <t>ARABELA</t>
  </si>
  <si>
    <t>ASI230422V74</t>
  </si>
  <si>
    <t>AF22 SOLUCIONES INTEGRALES</t>
  </si>
  <si>
    <t>AUEI820618ET1</t>
  </si>
  <si>
    <t>ISMAEL DE JESUS ARCHUNDIA ESCOBAR</t>
  </si>
  <si>
    <t>AURP990113K11</t>
  </si>
  <si>
    <t>PAULINA INES AGUIRRE ROJAS</t>
  </si>
  <si>
    <t>BAMJ740701P69</t>
  </si>
  <si>
    <t>JUAN ROBERTO BARRAGAN MAGAÑA</t>
  </si>
  <si>
    <t>BATL910228353</t>
  </si>
  <si>
    <t>LUIS ALFREDO BASAVE TORRES</t>
  </si>
  <si>
    <t>BDM170622QS9</t>
  </si>
  <si>
    <t>BCPE DIAMOND MEXICO HOLDCO</t>
  </si>
  <si>
    <t>BENR8406098E6</t>
  </si>
  <si>
    <t>JOSE RAUL BECERRIL NEGRETE</t>
  </si>
  <si>
    <t>BIO140523788</t>
  </si>
  <si>
    <t>BIO-ACCESS</t>
  </si>
  <si>
    <t>BME511128MZ2</t>
  </si>
  <si>
    <t>BARDAHL DE MEXICO</t>
  </si>
  <si>
    <t>BME950721K35</t>
  </si>
  <si>
    <t>LOGISTICA Y TRANSPORTE PARA LA</t>
  </si>
  <si>
    <t>BPM950604DG3</t>
  </si>
  <si>
    <t>HUBBELL PRODUCTS MEXICO</t>
  </si>
  <si>
    <t>BSB140206KR8</t>
  </si>
  <si>
    <t>BOTH SIDES BUSINESS AND LOGISTIC</t>
  </si>
  <si>
    <t>CAL0908193M7</t>
  </si>
  <si>
    <t>CEDIS ALCE</t>
  </si>
  <si>
    <t>CAPF860217PE7</t>
  </si>
  <si>
    <t>FLOR SELENE CAMPUZANO PANFILO</t>
  </si>
  <si>
    <t>CCA170816KP0</t>
  </si>
  <si>
    <t>COMERCIALIZADORA CALIXTO</t>
  </si>
  <si>
    <t>CCE120626V36</t>
  </si>
  <si>
    <t>COSMOPOLITAN CHEF</t>
  </si>
  <si>
    <t>CDR220208KP5</t>
  </si>
  <si>
    <t>LA CASA DEL DRON</t>
  </si>
  <si>
    <t>CEM780216611</t>
  </si>
  <si>
    <t>CARROCERIAS Y EQUIPOS MUNICIPALES</t>
  </si>
  <si>
    <t>CFP980827847</t>
  </si>
  <si>
    <t>CENTRO DE FORMACION PERSONAL DE</t>
  </si>
  <si>
    <t>CIA090819PW4</t>
  </si>
  <si>
    <t>COMERCIAL IAC</t>
  </si>
  <si>
    <t>CMC0712144R4</t>
  </si>
  <si>
    <t>COMERCIALIZADORA DE MOTOCICLETAS</t>
  </si>
  <si>
    <t>CME051205L73</t>
  </si>
  <si>
    <t>COMUNICACIONES MEXIQUENSES</t>
  </si>
  <si>
    <t>CME861117QN9</t>
  </si>
  <si>
    <t>CITIZEN DE MEXICO</t>
  </si>
  <si>
    <t>CMO230705EB2</t>
  </si>
  <si>
    <t>CERTEZA MOTRIZ</t>
  </si>
  <si>
    <t>COM0509158G3</t>
  </si>
  <si>
    <t>COMEXPROCON</t>
  </si>
  <si>
    <t>CPO080718QE6</t>
  </si>
  <si>
    <t>"COMERCIALIZADORA POTIZ"</t>
  </si>
  <si>
    <t>CPS2009113Y3</t>
  </si>
  <si>
    <t>COMERCIALIZADORA PET SAI</t>
  </si>
  <si>
    <t>CVI070314F44</t>
  </si>
  <si>
    <t>COMERCIALIZADORA VICONT</t>
  </si>
  <si>
    <t>DGL091117I55</t>
  </si>
  <si>
    <t>DIETRICH - LOGISTICS</t>
  </si>
  <si>
    <t>DME090526D21</t>
  </si>
  <si>
    <t>DRAGON MEXICO</t>
  </si>
  <si>
    <t>DVC910102VDA</t>
  </si>
  <si>
    <t>DAIMLER VEHICULOS COMERCIALES</t>
  </si>
  <si>
    <t>ECO101202B78</t>
  </si>
  <si>
    <t>ECOLOSIA</t>
  </si>
  <si>
    <t>EDA220523Q59</t>
  </si>
  <si>
    <t>EDARKSTORE</t>
  </si>
  <si>
    <t>EMP071130FG8</t>
  </si>
  <si>
    <t>EXPLORACIONES MINERAS PEÑOLES</t>
  </si>
  <si>
    <t>ENV211217CKA</t>
  </si>
  <si>
    <t>ENVIAGO</t>
  </si>
  <si>
    <t>EPU9812212U5</t>
  </si>
  <si>
    <t>CAPITAL NEWS</t>
  </si>
  <si>
    <t>EPV200226IG3</t>
  </si>
  <si>
    <t>EDITORIAL PLAN DE VUELO</t>
  </si>
  <si>
    <t>EQU070308TU4</t>
  </si>
  <si>
    <t>EQUIVER</t>
  </si>
  <si>
    <t>EXE0704204A2</t>
  </si>
  <si>
    <t>EXELLQUIM</t>
  </si>
  <si>
    <t>FBO111209QW3</t>
  </si>
  <si>
    <t>FANTASIAS BOBBY</t>
  </si>
  <si>
    <t>FME781221P81</t>
  </si>
  <si>
    <t>FORMACRYL DE MEXICO</t>
  </si>
  <si>
    <t>FME880210NG1</t>
  </si>
  <si>
    <t>FOLI DE MEXICO</t>
  </si>
  <si>
    <t>FOGM910915JS3</t>
  </si>
  <si>
    <t>MARIJOSE FLORES GARCIA</t>
  </si>
  <si>
    <t>FOOI900412I19</t>
  </si>
  <si>
    <t>ISIDRO FLORES ORTIZ</t>
  </si>
  <si>
    <t>FTM001025RS7</t>
  </si>
  <si>
    <t>FINOS TEXTILES DE MEXICO</t>
  </si>
  <si>
    <t>GAL880926TF5</t>
  </si>
  <si>
    <t>MOLINOS BUNGE DE MEXICO SA DE</t>
  </si>
  <si>
    <t>GAM1912048E6</t>
  </si>
  <si>
    <t>GAMAGUMI</t>
  </si>
  <si>
    <t>GCB1012159G7</t>
  </si>
  <si>
    <t>GRUPO CIDAR BUSINESS BROKERS,</t>
  </si>
  <si>
    <t>GCJ2310268Y5</t>
  </si>
  <si>
    <t>GRUPO COMERCIAL JARPEX</t>
  </si>
  <si>
    <t>GCO0005082T5</t>
  </si>
  <si>
    <t>GALERIA DEL CHOCOLATE S DE RL</t>
  </si>
  <si>
    <t>GEL1407118M2</t>
  </si>
  <si>
    <t>GRUPO ELECZION,</t>
  </si>
  <si>
    <t>GEV190312Q7A</t>
  </si>
  <si>
    <t>GRUPO EVALUADOR VALDES</t>
  </si>
  <si>
    <t>GMA220201AH4</t>
  </si>
  <si>
    <t>GRUPO MAJOMI</t>
  </si>
  <si>
    <t>GRC981221UE8</t>
  </si>
  <si>
    <t>GRUPO RADIODIFUSORAS CAPITAL</t>
  </si>
  <si>
    <t>GUHJ990717KI6</t>
  </si>
  <si>
    <t>JORGE GILBERTO GUTIERREZ HUERTA</t>
  </si>
  <si>
    <t>GUPN7606182S9</t>
  </si>
  <si>
    <t>NOHEMI GUADARRAMA POPOCA</t>
  </si>
  <si>
    <t>GWM790307NB0</t>
  </si>
  <si>
    <t>GEODIS MEXICO</t>
  </si>
  <si>
    <t>GZD120321I85</t>
  </si>
  <si>
    <t>GRUPO ZDMSI</t>
  </si>
  <si>
    <t>HERA8208023M7</t>
  </si>
  <si>
    <t>ANGEL HERNANDEZ RODRIGUEZ</t>
  </si>
  <si>
    <t>HHR170927P50</t>
  </si>
  <si>
    <t>HRD HIGH RESOLUTION DIAGNOSTICS</t>
  </si>
  <si>
    <t>HTG050509RJ5</t>
  </si>
  <si>
    <t>HISPANIC TELESERVICES DE</t>
  </si>
  <si>
    <t>IAE111129TH8</t>
  </si>
  <si>
    <t>INDUMET AEROSPACE</t>
  </si>
  <si>
    <t>IARG500122DX3</t>
  </si>
  <si>
    <t>GUADALUPE ISLAS REYES</t>
  </si>
  <si>
    <t>IAU680529C65</t>
  </si>
  <si>
    <t>INDUSTRIAS AUGE</t>
  </si>
  <si>
    <t>IGO131210UU7</t>
  </si>
  <si>
    <t>INGREDIENTA GOURMET</t>
  </si>
  <si>
    <t>IME011231CZA</t>
  </si>
  <si>
    <t>IGUS MEXICO</t>
  </si>
  <si>
    <t>IND960930PN6</t>
  </si>
  <si>
    <t>INDELPA</t>
  </si>
  <si>
    <t>INI7901272S2</t>
  </si>
  <si>
    <t>INSTITUTO NACIONAL DE</t>
  </si>
  <si>
    <t>IWT130909IU7</t>
  </si>
  <si>
    <t>IMDEX WORLD TRADING</t>
  </si>
  <si>
    <t>JAU0609208Z5</t>
  </si>
  <si>
    <t>"JAR AUTOTRANSPORTES"</t>
  </si>
  <si>
    <t>JPL191111TL1</t>
  </si>
  <si>
    <t>JUMBO PROSPER LIMITED</t>
  </si>
  <si>
    <t>LAE220222LY8</t>
  </si>
  <si>
    <t>LETRAS AL AIRE EDITORIAL</t>
  </si>
  <si>
    <t>LBR841218BL6</t>
  </si>
  <si>
    <t>DECHRA PRODUCTOS VETERINARIOS</t>
  </si>
  <si>
    <t>LGM140508H47</t>
  </si>
  <si>
    <t>LATAM GROWTH DE MEXICO</t>
  </si>
  <si>
    <t>LILI8608245Z7</t>
  </si>
  <si>
    <t>LIU LIRONG</t>
  </si>
  <si>
    <t>LIT850619Q49</t>
  </si>
  <si>
    <t>LITOBEL</t>
  </si>
  <si>
    <t>LOG190905JF9</t>
  </si>
  <si>
    <t>LOGISCTASH</t>
  </si>
  <si>
    <t>LSI8112153I7</t>
  </si>
  <si>
    <t>LABORATORIOS SILANES</t>
  </si>
  <si>
    <t>MACG760930CZ4</t>
  </si>
  <si>
    <t>GABRIELA MARTINEZ CRUZ</t>
  </si>
  <si>
    <t>MARA761111S19</t>
  </si>
  <si>
    <t>ALFREDO MANJARREZ RODEA</t>
  </si>
  <si>
    <t>MARU891124879</t>
  </si>
  <si>
    <t>ULISES MARTINEZ RIOS</t>
  </si>
  <si>
    <t>MASM880810V10</t>
  </si>
  <si>
    <t>MIRIAM MARIN SALGADO</t>
  </si>
  <si>
    <t>MAVJ840823R55</t>
  </si>
  <si>
    <t>JAVIER ISMAEL MARTINEZ VARELA</t>
  </si>
  <si>
    <t>MCN210914D31</t>
  </si>
  <si>
    <t>MMC CONSULTORIA DE NEGOCIOS</t>
  </si>
  <si>
    <t>MEH190402SU0</t>
  </si>
  <si>
    <t>MASSIVE ELECTRONICA HOME</t>
  </si>
  <si>
    <t>MEI850701UK5</t>
  </si>
  <si>
    <t>MEXICANA DE ELECTRONICA</t>
  </si>
  <si>
    <t>MERA680707KA3</t>
  </si>
  <si>
    <t>ADOLFO FERMIN MERCADO RUBIO</t>
  </si>
  <si>
    <t>MERJ851225PD4</t>
  </si>
  <si>
    <t>JUAN MANUEL MENESES RINCON</t>
  </si>
  <si>
    <t>MIME9106032A9</t>
  </si>
  <si>
    <t>EMMANUEL MILLAN MARTINEZ</t>
  </si>
  <si>
    <t>MNY230403N28</t>
  </si>
  <si>
    <t>MAYOREO Y NOVEDADES YULIANA</t>
  </si>
  <si>
    <t>MOGJ720529RH7</t>
  </si>
  <si>
    <t>JAIME ANTONIO MONTESANOS GARCIA</t>
  </si>
  <si>
    <t>MOM920318GW1</t>
  </si>
  <si>
    <t>MOMATT</t>
  </si>
  <si>
    <t>MOTR7209032W6</t>
  </si>
  <si>
    <t>RAUL MONDRAGON TORRES</t>
  </si>
  <si>
    <t>MPW160727GA7</t>
  </si>
  <si>
    <t>MENSAJERIA Y PAQUETERIA 8W</t>
  </si>
  <si>
    <t>MSI140825NT4</t>
  </si>
  <si>
    <t>MCD SERVICIOS INTEGRALES DE</t>
  </si>
  <si>
    <t>MSU850911A56</t>
  </si>
  <si>
    <t>MOLINOS DEL SUDESTE</t>
  </si>
  <si>
    <t>MTI920514587</t>
  </si>
  <si>
    <t>MINERA TIZAPA</t>
  </si>
  <si>
    <t>MUM230801MK1</t>
  </si>
  <si>
    <t>MUMUGRAND</t>
  </si>
  <si>
    <t>NAP210122JQA</t>
  </si>
  <si>
    <t>NAPROBELL</t>
  </si>
  <si>
    <t>NCM920527KH7</t>
  </si>
  <si>
    <t>NOVELTY CORP DE MEXICO</t>
  </si>
  <si>
    <t>NFM0510059FA</t>
  </si>
  <si>
    <t>NISSIN FOODS DE MEXICO</t>
  </si>
  <si>
    <t>NFM180427K13</t>
  </si>
  <si>
    <t>NOBATA FARM MEXICO</t>
  </si>
  <si>
    <t>OIVS850725JW6</t>
  </si>
  <si>
    <t>SANDRA OLIVER VELAZQUEZ</t>
  </si>
  <si>
    <t>OONL810923GM6</t>
  </si>
  <si>
    <t>LUZ DEISY OSORIO NARANJO</t>
  </si>
  <si>
    <t>OOPF030330J96</t>
  </si>
  <si>
    <t>FERNANDO OROZCO PEREZ</t>
  </si>
  <si>
    <t>OSC990607QHA</t>
  </si>
  <si>
    <t>OPERADORAS EN SERVICIOS COMERCIALES</t>
  </si>
  <si>
    <t>OTE130703U26</t>
  </si>
  <si>
    <t>OPERADORA DE TIENDAS EMIR</t>
  </si>
  <si>
    <t>PDI830224F62</t>
  </si>
  <si>
    <t>PRODUCTOS DIETRIX</t>
  </si>
  <si>
    <t>PEAY860409H7A</t>
  </si>
  <si>
    <t>YIRIAN SORALLA PEREZ AMAYA</t>
  </si>
  <si>
    <t>PGL891122778</t>
  </si>
  <si>
    <t>PRODUCTOS GLAMA</t>
  </si>
  <si>
    <t>PHM870907PP0</t>
  </si>
  <si>
    <t>PARKER HANNIFIN DE MEXICO</t>
  </si>
  <si>
    <t>PHO830421C59</t>
  </si>
  <si>
    <t>PRODUCTOS HOSPITALARIOS</t>
  </si>
  <si>
    <t>PIGO690818UE8</t>
  </si>
  <si>
    <t>OSCAR PLIEGO GARCIA</t>
  </si>
  <si>
    <t>PJA210415264</t>
  </si>
  <si>
    <t>PAJAROPIEDRA JOYERIA Y ACCESORIOS</t>
  </si>
  <si>
    <t>PLI220715JH1</t>
  </si>
  <si>
    <t>PKA LOGISTICA INTEGRAL</t>
  </si>
  <si>
    <t>POL9906248F4</t>
  </si>
  <si>
    <t>POLOMEX</t>
  </si>
  <si>
    <t>PSI970127141</t>
  </si>
  <si>
    <t>PROMOTORA DE SERVICIOS INTEGRALES</t>
  </si>
  <si>
    <t>PTI0307182A9</t>
  </si>
  <si>
    <t>PROFESIONALES EN TRANSPORTE</t>
  </si>
  <si>
    <t>PWB210427Q49</t>
  </si>
  <si>
    <t>PCK WIDE BRAND</t>
  </si>
  <si>
    <t>QAP8305205H4</t>
  </si>
  <si>
    <t>QUIMICA APOLLO</t>
  </si>
  <si>
    <t>QME200810AK3</t>
  </si>
  <si>
    <t>QORE MEXICO</t>
  </si>
  <si>
    <t>QUA0402022D1</t>
  </si>
  <si>
    <t>QUALAMEX</t>
  </si>
  <si>
    <t>RACP661105BT7</t>
  </si>
  <si>
    <t>PEDRO RAMIREZ CERRATO</t>
  </si>
  <si>
    <t>RAGE881129PS2</t>
  </si>
  <si>
    <t>ERICK IGNACIO RANGEL GUTIERREZ</t>
  </si>
  <si>
    <t>RFO801023MJ4</t>
  </si>
  <si>
    <t>REPRODUCCIONES FOTO MECANICAS</t>
  </si>
  <si>
    <t>RME940805UM1</t>
  </si>
  <si>
    <t>RHEEM DE MEXICO</t>
  </si>
  <si>
    <t>RORC850301SW7</t>
  </si>
  <si>
    <t>CELIA WENDY ESTEFANI DE LA ROSA</t>
  </si>
  <si>
    <t>ROT7802026ZA</t>
  </si>
  <si>
    <t>ROTOPLAS</t>
  </si>
  <si>
    <t>RUM860903S85</t>
  </si>
  <si>
    <t>RISH</t>
  </si>
  <si>
    <t>RUVP871009DN2</t>
  </si>
  <si>
    <t>PABLO RUIZ VELAZCO</t>
  </si>
  <si>
    <t>SAC991222G1A</t>
  </si>
  <si>
    <t>SIGMA ALIMENTOS COMERCIAL SA DE CV</t>
  </si>
  <si>
    <t>SASE9412171A0</t>
  </si>
  <si>
    <t>EDWIN SANCHEZ SARMIENTO</t>
  </si>
  <si>
    <t>SASP871015I16</t>
  </si>
  <si>
    <t>PENELOPE SAAVEDRA SOLIS</t>
  </si>
  <si>
    <t>SCL20102137A</t>
  </si>
  <si>
    <t>SERVICIOS CONTABLES Y LEGALES RAM</t>
  </si>
  <si>
    <t>SEM210101QK4</t>
  </si>
  <si>
    <t>SIMON ELECTRICA DE MEXICO</t>
  </si>
  <si>
    <t>SEN040310IN7</t>
  </si>
  <si>
    <t>SENBIS</t>
  </si>
  <si>
    <t>SEN150416UA2</t>
  </si>
  <si>
    <t>SOMOS ENTELEQUIA</t>
  </si>
  <si>
    <t>SIA980827BV8</t>
  </si>
  <si>
    <t>MEXICO PARRIBA</t>
  </si>
  <si>
    <t>SLC050506BK6</t>
  </si>
  <si>
    <t>SOLUCIONES LOGISTICAS CRYPTEX</t>
  </si>
  <si>
    <t>SPE130319M22</t>
  </si>
  <si>
    <t>SOLUCIONES PROFESIONALES</t>
  </si>
  <si>
    <t>SPE210322461</t>
  </si>
  <si>
    <t>SPEED.AGM.</t>
  </si>
  <si>
    <t>SSH9608016NA</t>
  </si>
  <si>
    <t>SERVICIOS SHASA</t>
  </si>
  <si>
    <t>STE070601MC0</t>
  </si>
  <si>
    <t>SOLUCIONES Y TRATAMIENTO ECOLOGICO</t>
  </si>
  <si>
    <t>STM1509045ZA</t>
  </si>
  <si>
    <t>SELO TRANS MULTIMODAL</t>
  </si>
  <si>
    <t>TCA0407219T6</t>
  </si>
  <si>
    <t>TELEFONIA POR CABLE</t>
  </si>
  <si>
    <t>TEC001018RI8</t>
  </si>
  <si>
    <t>TECNOFEN</t>
  </si>
  <si>
    <t>TELA8908143J6</t>
  </si>
  <si>
    <t>MARIA ALEJANDRA TERRONES LOPEZ</t>
  </si>
  <si>
    <t>TES8708074Y2</t>
  </si>
  <si>
    <t>TALLERES ESTRELLA</t>
  </si>
  <si>
    <t>THS19060348A</t>
  </si>
  <si>
    <t>TU HOGAR CON SENTIDO</t>
  </si>
  <si>
    <t>TIRM920922VE3</t>
  </si>
  <si>
    <t>JOSE MARTIN TIJERINA RODRIGUEZ</t>
  </si>
  <si>
    <t>TKK220203KZ1</t>
  </si>
  <si>
    <t>TRANSPORTE KNOCK KNOCK</t>
  </si>
  <si>
    <t>TORO840304A2A</t>
  </si>
  <si>
    <t>MARIA DEL ROSARIO TOLOZA</t>
  </si>
  <si>
    <t>TRA0012214U8</t>
  </si>
  <si>
    <t>TRAKEHNEN</t>
  </si>
  <si>
    <t>TRA0702093B2</t>
  </si>
  <si>
    <t>TRAPCO</t>
  </si>
  <si>
    <t>TSS940421JYA</t>
  </si>
  <si>
    <t>TOTAL SYSTEM SERVICES DE MEXICO</t>
  </si>
  <si>
    <t>VMA1206146G3</t>
  </si>
  <si>
    <t>VESTA MANAGEMENT</t>
  </si>
  <si>
    <t>VON160928EC6</t>
  </si>
  <si>
    <t>VONHUM</t>
  </si>
  <si>
    <t>VPM130409BP2</t>
  </si>
  <si>
    <t>VMC PROJECT MANAGEMENT</t>
  </si>
  <si>
    <t>VPP900618II6</t>
  </si>
  <si>
    <t>VITRACOAT PINTURAS EN POLVO</t>
  </si>
  <si>
    <t>VVE880413Q7A</t>
  </si>
  <si>
    <t>VAME VEHICULOS</t>
  </si>
  <si>
    <t>VVT050804BK0</t>
  </si>
  <si>
    <t>VATEL VANGUARDIA EN</t>
  </si>
  <si>
    <t>WCA110621DS3</t>
  </si>
  <si>
    <t>THE WESTERN CARRIES</t>
  </si>
  <si>
    <t>WDM990126350</t>
  </si>
  <si>
    <t>WALDO'S DOLAR MART DE MEXICO</t>
  </si>
  <si>
    <t>YASH6411234C0</t>
  </si>
  <si>
    <t>SHUI KWAN YANG</t>
  </si>
  <si>
    <t>ZAR110720UY5</t>
  </si>
  <si>
    <t>ZAR/KRUSE</t>
  </si>
  <si>
    <t>ZLO2212085A4</t>
  </si>
  <si>
    <t>ZIIPCO LOGISTIC</t>
  </si>
  <si>
    <t>ZLT16030532A</t>
  </si>
  <si>
    <t>ZYANYA LOGISTICS AND TOURS</t>
  </si>
  <si>
    <t>GRAN TOTAL</t>
  </si>
  <si>
    <t>No.</t>
  </si>
  <si>
    <t>MES</t>
  </si>
  <si>
    <t xml:space="preserve">TOTAL DE VENTAS </t>
  </si>
  <si>
    <t>PERDIDO</t>
  </si>
  <si>
    <t>CDMX</t>
  </si>
  <si>
    <t>DIAGNOSTICO</t>
  </si>
  <si>
    <t>SEMAFORO</t>
  </si>
  <si>
    <t>AÑO</t>
  </si>
  <si>
    <t>Etiquetas de fila</t>
  </si>
  <si>
    <t>Total general</t>
  </si>
  <si>
    <t>Suma de   - Subtotal
Despues del
Descuento</t>
  </si>
  <si>
    <t>Suma de ENE</t>
  </si>
  <si>
    <t>Suma de FEB</t>
  </si>
  <si>
    <t>Suma de MAR</t>
  </si>
  <si>
    <t>Suma de ABR</t>
  </si>
  <si>
    <t>Suma de MAY</t>
  </si>
  <si>
    <t>Suma de JUL</t>
  </si>
  <si>
    <t>Suma de JUN</t>
  </si>
  <si>
    <t>Suma de AGO</t>
  </si>
  <si>
    <t>Suma de   - Guías
vendidas</t>
  </si>
  <si>
    <t>Suma de ENE2</t>
  </si>
  <si>
    <t>Suma de   - Kilogramos</t>
  </si>
  <si>
    <t>Suma de FEB2</t>
  </si>
  <si>
    <t>Suma de AGO2</t>
  </si>
  <si>
    <t>Suma de JUL2</t>
  </si>
  <si>
    <t>Suma de JUN2</t>
  </si>
  <si>
    <t>Suma de MAY2</t>
  </si>
  <si>
    <t>Suma de ABR2</t>
  </si>
  <si>
    <t>Suma de MAR2</t>
  </si>
  <si>
    <t>Suma de ENE4</t>
  </si>
  <si>
    <t>Suma de FEB4</t>
  </si>
  <si>
    <t>Suma de MAR4</t>
  </si>
  <si>
    <t>Suma de ABR4</t>
  </si>
  <si>
    <t>Suma de MAY4</t>
  </si>
  <si>
    <t>Suma de JUN4</t>
  </si>
  <si>
    <t>Suma de JUL4</t>
  </si>
  <si>
    <t>Suma de AGO4</t>
  </si>
  <si>
    <t>TOTAL</t>
  </si>
  <si>
    <t>PLAZA</t>
  </si>
  <si>
    <t>CVA</t>
  </si>
  <si>
    <t>ACA</t>
  </si>
  <si>
    <t>TLC</t>
  </si>
  <si>
    <t>SUBTOTAL</t>
  </si>
  <si>
    <t>FACTURACION MENSUAL 2024</t>
  </si>
  <si>
    <t>FACTURACION MENSUAL 2025</t>
  </si>
  <si>
    <t>TOTAL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</si>
</sst>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;;"/>
    <numFmt numFmtId="165" formatCode="&quot;$&quot;#,##0.00"/>
    <numFmt numFmtId="169" formatCode="0.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D7E4"/>
        <bgColor indexed="64"/>
      </patternFill>
    </fill>
    <fill>
      <patternFill patternType="solid">
        <fgColor rgb="FFD7ECF4"/>
        <bgColor indexed="64"/>
      </patternFill>
    </fill>
    <fill>
      <patternFill patternType="solid">
        <fgColor rgb="FFEEF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D6776"/>
      </left>
      <right style="thin">
        <color rgb="FF4D6776"/>
      </right>
      <top style="thin">
        <color rgb="FF4D6776"/>
      </top>
      <bottom style="thin">
        <color rgb="FF4D67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6776"/>
      </left>
      <right style="thin">
        <color rgb="FF4D6776"/>
      </right>
      <top/>
      <bottom style="thin">
        <color rgb="FF4D6776"/>
      </bottom>
      <diagonal/>
    </border>
    <border>
      <left style="thin">
        <color rgb="FF4D6776"/>
      </left>
      <right style="thin">
        <color rgb="FF4D6776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6776"/>
      </left>
      <right style="thin">
        <color rgb="FF4D6776"/>
      </right>
      <top style="thin">
        <color rgb="FF4D677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4">
    <xf numFmtId="0" fontId="0" fillId="0" borderId="0" xfId="0"/>
    <xf numFmtId="0" fontId="18" fillId="34" borderId="10" xfId="0" applyFont="1" applyFill="1" applyBorder="1" applyAlignment="1">
      <alignment horizontal="left" vertical="center" wrapText="1" indent="1"/>
    </xf>
    <xf numFmtId="4" fontId="19" fillId="35" borderId="10" xfId="0" applyNumberFormat="1" applyFont="1" applyFill="1" applyBorder="1" applyAlignment="1">
      <alignment horizontal="right" vertical="center"/>
    </xf>
    <xf numFmtId="164" fontId="19" fillId="35" borderId="10" xfId="0" applyNumberFormat="1" applyFont="1" applyFill="1" applyBorder="1" applyAlignment="1">
      <alignment horizontal="right" vertical="center"/>
    </xf>
    <xf numFmtId="3" fontId="19" fillId="35" borderId="10" xfId="0" applyNumberFormat="1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right" vertical="center"/>
    </xf>
    <xf numFmtId="0" fontId="18" fillId="34" borderId="12" xfId="0" applyFont="1" applyFill="1" applyBorder="1" applyAlignment="1">
      <alignment horizontal="left" vertical="center" wrapText="1" indent="1"/>
    </xf>
    <xf numFmtId="4" fontId="19" fillId="35" borderId="12" xfId="0" applyNumberFormat="1" applyFont="1" applyFill="1" applyBorder="1" applyAlignment="1">
      <alignment horizontal="right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21" fillId="36" borderId="10" xfId="0" applyFont="1" applyFill="1" applyBorder="1" applyAlignment="1">
      <alignment horizontal="left" vertical="center" wrapText="1" indent="1"/>
    </xf>
    <xf numFmtId="4" fontId="22" fillId="36" borderId="10" xfId="0" applyNumberFormat="1" applyFont="1" applyFill="1" applyBorder="1" applyAlignment="1">
      <alignment horizontal="right" vertical="center"/>
    </xf>
    <xf numFmtId="3" fontId="22" fillId="36" borderId="10" xfId="0" applyNumberFormat="1" applyFont="1" applyFill="1" applyBorder="1" applyAlignment="1">
      <alignment horizontal="right" vertical="center"/>
    </xf>
    <xf numFmtId="0" fontId="13" fillId="36" borderId="0" xfId="0" applyFont="1" applyFill="1"/>
    <xf numFmtId="0" fontId="21" fillId="36" borderId="11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right" vertical="center"/>
    </xf>
    <xf numFmtId="164" fontId="22" fillId="36" borderId="10" xfId="0" applyNumberFormat="1" applyFont="1" applyFill="1" applyBorder="1" applyAlignment="1">
      <alignment horizontal="right" vertical="center"/>
    </xf>
    <xf numFmtId="44" fontId="16" fillId="37" borderId="0" xfId="1" applyFont="1" applyFill="1"/>
    <xf numFmtId="44" fontId="0" fillId="0" borderId="0" xfId="1" applyFont="1"/>
    <xf numFmtId="44" fontId="20" fillId="37" borderId="13" xfId="1" applyFont="1" applyFill="1" applyBorder="1" applyAlignment="1">
      <alignment horizontal="right" vertical="center" wrapText="1" indent="1"/>
    </xf>
    <xf numFmtId="0" fontId="16" fillId="37" borderId="0" xfId="1" applyNumberFormat="1" applyFont="1" applyFill="1"/>
    <xf numFmtId="44" fontId="23" fillId="37" borderId="0" xfId="1" applyFont="1" applyFill="1"/>
    <xf numFmtId="0" fontId="18" fillId="38" borderId="10" xfId="0" applyFont="1" applyFill="1" applyBorder="1" applyAlignment="1">
      <alignment horizontal="left" vertical="center" wrapText="1" indent="1"/>
    </xf>
    <xf numFmtId="4" fontId="22" fillId="38" borderId="10" xfId="0" applyNumberFormat="1" applyFont="1" applyFill="1" applyBorder="1" applyAlignment="1">
      <alignment horizontal="right" vertical="center"/>
    </xf>
    <xf numFmtId="4" fontId="19" fillId="38" borderId="10" xfId="0" applyNumberFormat="1" applyFont="1" applyFill="1" applyBorder="1" applyAlignment="1">
      <alignment horizontal="right" vertical="center"/>
    </xf>
    <xf numFmtId="164" fontId="19" fillId="38" borderId="10" xfId="0" applyNumberFormat="1" applyFont="1" applyFill="1" applyBorder="1" applyAlignment="1">
      <alignment horizontal="right" vertical="center"/>
    </xf>
    <xf numFmtId="3" fontId="22" fillId="38" borderId="10" xfId="0" applyNumberFormat="1" applyFont="1" applyFill="1" applyBorder="1" applyAlignment="1">
      <alignment horizontal="right" vertical="center"/>
    </xf>
    <xf numFmtId="3" fontId="19" fillId="38" borderId="10" xfId="0" applyNumberFormat="1" applyFont="1" applyFill="1" applyBorder="1" applyAlignment="1">
      <alignment horizontal="right" vertical="center"/>
    </xf>
    <xf numFmtId="0" fontId="0" fillId="38" borderId="0" xfId="0" applyFill="1"/>
    <xf numFmtId="0" fontId="22" fillId="38" borderId="10" xfId="0" applyFont="1" applyFill="1" applyBorder="1" applyAlignment="1">
      <alignment horizontal="right" vertical="center"/>
    </xf>
    <xf numFmtId="0" fontId="19" fillId="38" borderId="10" xfId="0" applyFont="1" applyFill="1" applyBorder="1" applyAlignment="1">
      <alignment horizontal="right" vertical="center"/>
    </xf>
    <xf numFmtId="164" fontId="22" fillId="38" borderId="10" xfId="0" applyNumberFormat="1" applyFont="1" applyFill="1" applyBorder="1" applyAlignment="1">
      <alignment horizontal="right" vertical="center"/>
    </xf>
    <xf numFmtId="0" fontId="18" fillId="39" borderId="10" xfId="0" applyFont="1" applyFill="1" applyBorder="1" applyAlignment="1">
      <alignment horizontal="left" vertical="center" wrapText="1" indent="1"/>
    </xf>
    <xf numFmtId="4" fontId="22" fillId="39" borderId="10" xfId="0" applyNumberFormat="1" applyFont="1" applyFill="1" applyBorder="1" applyAlignment="1">
      <alignment horizontal="right" vertical="center"/>
    </xf>
    <xf numFmtId="164" fontId="19" fillId="39" borderId="10" xfId="0" applyNumberFormat="1" applyFont="1" applyFill="1" applyBorder="1" applyAlignment="1">
      <alignment horizontal="right" vertical="center"/>
    </xf>
    <xf numFmtId="4" fontId="19" fillId="39" borderId="10" xfId="0" applyNumberFormat="1" applyFont="1" applyFill="1" applyBorder="1" applyAlignment="1">
      <alignment horizontal="right" vertical="center"/>
    </xf>
    <xf numFmtId="0" fontId="22" fillId="39" borderId="10" xfId="0" applyFont="1" applyFill="1" applyBorder="1" applyAlignment="1">
      <alignment horizontal="right" vertical="center"/>
    </xf>
    <xf numFmtId="0" fontId="19" fillId="39" borderId="10" xfId="0" applyFont="1" applyFill="1" applyBorder="1" applyAlignment="1">
      <alignment horizontal="right" vertical="center"/>
    </xf>
    <xf numFmtId="3" fontId="22" fillId="39" borderId="10" xfId="0" applyNumberFormat="1" applyFont="1" applyFill="1" applyBorder="1" applyAlignment="1">
      <alignment horizontal="right" vertical="center"/>
    </xf>
    <xf numFmtId="3" fontId="19" fillId="39" borderId="10" xfId="0" applyNumberFormat="1" applyFont="1" applyFill="1" applyBorder="1" applyAlignment="1">
      <alignment horizontal="right" vertical="center"/>
    </xf>
    <xf numFmtId="0" fontId="0" fillId="39" borderId="0" xfId="0" applyFill="1"/>
    <xf numFmtId="164" fontId="22" fillId="39" borderId="10" xfId="0" applyNumberFormat="1" applyFont="1" applyFill="1" applyBorder="1" applyAlignment="1">
      <alignment horizontal="right" vertical="center"/>
    </xf>
    <xf numFmtId="0" fontId="18" fillId="40" borderId="10" xfId="0" applyFont="1" applyFill="1" applyBorder="1" applyAlignment="1">
      <alignment horizontal="left" vertical="center" wrapText="1" indent="1"/>
    </xf>
    <xf numFmtId="4" fontId="22" fillId="40" borderId="10" xfId="0" applyNumberFormat="1" applyFont="1" applyFill="1" applyBorder="1" applyAlignment="1">
      <alignment horizontal="right" vertical="center"/>
    </xf>
    <xf numFmtId="4" fontId="19" fillId="40" borderId="10" xfId="0" applyNumberFormat="1" applyFont="1" applyFill="1" applyBorder="1" applyAlignment="1">
      <alignment horizontal="right" vertical="center"/>
    </xf>
    <xf numFmtId="164" fontId="19" fillId="40" borderId="10" xfId="0" applyNumberFormat="1" applyFont="1" applyFill="1" applyBorder="1" applyAlignment="1">
      <alignment horizontal="right" vertical="center"/>
    </xf>
    <xf numFmtId="0" fontId="19" fillId="40" borderId="10" xfId="0" applyFont="1" applyFill="1" applyBorder="1" applyAlignment="1">
      <alignment horizontal="right" vertical="center"/>
    </xf>
    <xf numFmtId="164" fontId="22" fillId="40" borderId="10" xfId="0" applyNumberFormat="1" applyFont="1" applyFill="1" applyBorder="1" applyAlignment="1">
      <alignment horizontal="right" vertical="center"/>
    </xf>
    <xf numFmtId="0" fontId="22" fillId="40" borderId="10" xfId="0" applyFont="1" applyFill="1" applyBorder="1" applyAlignment="1">
      <alignment horizontal="right" vertical="center"/>
    </xf>
    <xf numFmtId="3" fontId="22" fillId="40" borderId="10" xfId="0" applyNumberFormat="1" applyFont="1" applyFill="1" applyBorder="1" applyAlignment="1">
      <alignment horizontal="right" vertical="center"/>
    </xf>
    <xf numFmtId="3" fontId="19" fillId="40" borderId="10" xfId="0" applyNumberFormat="1" applyFont="1" applyFill="1" applyBorder="1" applyAlignment="1">
      <alignment horizontal="right" vertical="center"/>
    </xf>
    <xf numFmtId="0" fontId="0" fillId="40" borderId="0" xfId="0" applyFill="1"/>
    <xf numFmtId="0" fontId="18" fillId="38" borderId="12" xfId="0" applyFont="1" applyFill="1" applyBorder="1" applyAlignment="1">
      <alignment horizontal="left" vertical="center" wrapText="1" indent="1"/>
    </xf>
    <xf numFmtId="0" fontId="18" fillId="40" borderId="12" xfId="0" applyFont="1" applyFill="1" applyBorder="1" applyAlignment="1">
      <alignment horizontal="left" vertical="center" wrapText="1" indent="1"/>
    </xf>
    <xf numFmtId="0" fontId="18" fillId="39" borderId="12" xfId="0" applyFont="1" applyFill="1" applyBorder="1" applyAlignment="1">
      <alignment horizontal="left" vertical="center" wrapText="1" inden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11" xfId="0" applyBorder="1"/>
    <xf numFmtId="44" fontId="0" fillId="0" borderId="0" xfId="0" applyNumberFormat="1"/>
    <xf numFmtId="44" fontId="24" fillId="0" borderId="0" xfId="1" applyFont="1" applyFill="1" applyAlignment="1">
      <alignment wrapText="1"/>
    </xf>
    <xf numFmtId="0" fontId="0" fillId="38" borderId="11" xfId="0" applyFill="1" applyBorder="1"/>
    <xf numFmtId="0" fontId="0" fillId="39" borderId="11" xfId="0" applyFill="1" applyBorder="1"/>
    <xf numFmtId="0" fontId="0" fillId="40" borderId="11" xfId="0" applyFill="1" applyBorder="1"/>
    <xf numFmtId="0" fontId="25" fillId="0" borderId="11" xfId="0" applyFont="1" applyBorder="1"/>
    <xf numFmtId="0" fontId="13" fillId="0" borderId="0" xfId="0" applyFont="1"/>
    <xf numFmtId="44" fontId="0" fillId="0" borderId="0" xfId="1" applyFont="1" applyFill="1"/>
    <xf numFmtId="0" fontId="16" fillId="0" borderId="14" xfId="0" applyFont="1" applyBorder="1" applyAlignment="1">
      <alignment horizontal="center"/>
    </xf>
    <xf numFmtId="0" fontId="16" fillId="0" borderId="0" xfId="0" applyFont="1" applyAlignment="1">
      <alignment horizontal="center"/>
    </xf>
    <xf numFmtId="44" fontId="0" fillId="0" borderId="0" xfId="1" applyFont="1" applyFill="1" applyBorder="1"/>
    <xf numFmtId="0" fontId="0" fillId="0" borderId="11" xfId="0" applyBorder="1" applyAlignment="1">
      <alignment horizontal="center"/>
    </xf>
    <xf numFmtId="44" fontId="0" fillId="0" borderId="1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11" xfId="0" applyNumberFormat="1" applyBorder="1"/>
    <xf numFmtId="0" fontId="16" fillId="41" borderId="0" xfId="0" applyFont="1" applyFill="1" applyAlignment="1">
      <alignment horizontal="center"/>
    </xf>
    <xf numFmtId="0" fontId="16" fillId="41" borderId="14" xfId="0" applyFont="1" applyFill="1" applyBorder="1" applyAlignment="1">
      <alignment horizontal="center"/>
    </xf>
    <xf numFmtId="0" fontId="16" fillId="41" borderId="11" xfId="0" applyFont="1" applyFill="1" applyBorder="1" applyAlignment="1">
      <alignment horizontal="center"/>
    </xf>
    <xf numFmtId="0" fontId="24" fillId="41" borderId="11" xfId="0" applyFont="1" applyFill="1" applyBorder="1" applyAlignment="1">
      <alignment horizontal="center" vertical="center" wrapText="1"/>
    </xf>
    <xf numFmtId="4" fontId="26" fillId="41" borderId="10" xfId="0" applyNumberFormat="1" applyFont="1" applyFill="1" applyBorder="1" applyAlignment="1">
      <alignment horizontal="right" vertical="center"/>
    </xf>
    <xf numFmtId="3" fontId="27" fillId="41" borderId="10" xfId="0" applyNumberFormat="1" applyFont="1" applyFill="1" applyBorder="1" applyAlignment="1">
      <alignment horizontal="right" vertical="center"/>
    </xf>
    <xf numFmtId="164" fontId="27" fillId="41" borderId="10" xfId="0" applyNumberFormat="1" applyFont="1" applyFill="1" applyBorder="1" applyAlignment="1">
      <alignment horizontal="right" vertical="center"/>
    </xf>
    <xf numFmtId="0" fontId="27" fillId="41" borderId="10" xfId="0" applyFont="1" applyFill="1" applyBorder="1" applyAlignment="1">
      <alignment horizontal="right" vertical="center"/>
    </xf>
    <xf numFmtId="0" fontId="28" fillId="41" borderId="12" xfId="0" applyFont="1" applyFill="1" applyBorder="1" applyAlignment="1">
      <alignment horizontal="left" vertical="center" wrapText="1" indent="1"/>
    </xf>
    <xf numFmtId="0" fontId="28" fillId="41" borderId="10" xfId="0" applyFont="1" applyFill="1" applyBorder="1" applyAlignment="1">
      <alignment horizontal="left" vertical="center" wrapText="1" indent="1"/>
    </xf>
    <xf numFmtId="4" fontId="27" fillId="41" borderId="10" xfId="0" applyNumberFormat="1" applyFont="1" applyFill="1" applyBorder="1" applyAlignment="1">
      <alignment horizontal="right" vertical="center"/>
    </xf>
    <xf numFmtId="0" fontId="0" fillId="41" borderId="0" xfId="0" applyFill="1"/>
    <xf numFmtId="3" fontId="26" fillId="41" borderId="10" xfId="0" applyNumberFormat="1" applyFont="1" applyFill="1" applyBorder="1" applyAlignment="1">
      <alignment horizontal="center" vertical="center"/>
    </xf>
    <xf numFmtId="0" fontId="26" fillId="41" borderId="10" xfId="0" applyFont="1" applyFill="1" applyBorder="1" applyAlignment="1">
      <alignment horizontal="center" vertical="center"/>
    </xf>
    <xf numFmtId="164" fontId="26" fillId="41" borderId="1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36" borderId="0" xfId="0" applyFont="1" applyFill="1" applyAlignment="1">
      <alignment horizontal="center" vertical="center"/>
    </xf>
    <xf numFmtId="4" fontId="26" fillId="41" borderId="10" xfId="0" applyNumberFormat="1" applyFont="1" applyFill="1" applyBorder="1" applyAlignment="1">
      <alignment horizontal="center" vertical="center"/>
    </xf>
    <xf numFmtId="164" fontId="27" fillId="41" borderId="15" xfId="0" applyNumberFormat="1" applyFont="1" applyFill="1" applyBorder="1" applyAlignment="1">
      <alignment horizontal="right" vertical="center"/>
    </xf>
    <xf numFmtId="4" fontId="27" fillId="41" borderId="15" xfId="0" applyNumberFormat="1" applyFont="1" applyFill="1" applyBorder="1" applyAlignment="1">
      <alignment horizontal="right" vertical="center"/>
    </xf>
    <xf numFmtId="44" fontId="26" fillId="41" borderId="10" xfId="1" applyFont="1" applyFill="1" applyBorder="1" applyAlignment="1">
      <alignment horizontal="center" vertical="center"/>
    </xf>
    <xf numFmtId="44" fontId="27" fillId="41" borderId="12" xfId="1" applyFont="1" applyFill="1" applyBorder="1" applyAlignment="1">
      <alignment horizontal="right" vertical="center"/>
    </xf>
    <xf numFmtId="44" fontId="27" fillId="41" borderId="10" xfId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0" fillId="0" borderId="11" xfId="0" applyNumberForma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indent="1"/>
    </xf>
    <xf numFmtId="0" fontId="0" fillId="0" borderId="11" xfId="0" pivotButton="1" applyBorder="1" applyAlignment="1">
      <alignment horizontal="center" vertical="center" wrapText="1"/>
    </xf>
    <xf numFmtId="44" fontId="26" fillId="41" borderId="15" xfId="1" applyFont="1" applyFill="1" applyBorder="1" applyAlignment="1">
      <alignment horizontal="center" vertical="center"/>
    </xf>
    <xf numFmtId="44" fontId="27" fillId="41" borderId="15" xfId="1" applyFont="1" applyFill="1" applyBorder="1" applyAlignment="1">
      <alignment horizontal="right" vertical="center"/>
    </xf>
    <xf numFmtId="4" fontId="26" fillId="41" borderId="15" xfId="0" applyNumberFormat="1" applyFont="1" applyFill="1" applyBorder="1" applyAlignment="1">
      <alignment horizontal="right" vertical="center"/>
    </xf>
    <xf numFmtId="3" fontId="26" fillId="41" borderId="15" xfId="0" applyNumberFormat="1" applyFont="1" applyFill="1" applyBorder="1" applyAlignment="1">
      <alignment horizontal="center" vertical="center"/>
    </xf>
    <xf numFmtId="3" fontId="27" fillId="41" borderId="15" xfId="0" applyNumberFormat="1" applyFont="1" applyFill="1" applyBorder="1" applyAlignment="1">
      <alignment horizontal="right" vertical="center"/>
    </xf>
    <xf numFmtId="4" fontId="26" fillId="41" borderId="15" xfId="0" applyNumberFormat="1" applyFont="1" applyFill="1" applyBorder="1" applyAlignment="1">
      <alignment horizontal="center" vertical="center"/>
    </xf>
    <xf numFmtId="164" fontId="26" fillId="41" borderId="15" xfId="0" applyNumberFormat="1" applyFont="1" applyFill="1" applyBorder="1" applyAlignment="1">
      <alignment horizontal="center" vertical="center"/>
    </xf>
    <xf numFmtId="44" fontId="25" fillId="42" borderId="11" xfId="1" applyFont="1" applyFill="1" applyBorder="1"/>
    <xf numFmtId="3" fontId="25" fillId="42" borderId="11" xfId="0" applyNumberFormat="1" applyFont="1" applyFill="1" applyBorder="1"/>
    <xf numFmtId="44" fontId="25" fillId="39" borderId="11" xfId="1" applyFont="1" applyFill="1" applyBorder="1"/>
    <xf numFmtId="3" fontId="25" fillId="39" borderId="11" xfId="0" applyNumberFormat="1" applyFont="1" applyFill="1" applyBorder="1"/>
    <xf numFmtId="44" fontId="0" fillId="0" borderId="0" xfId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29" fillId="0" borderId="0" xfId="0" applyFont="1"/>
    <xf numFmtId="44" fontId="25" fillId="0" borderId="0" xfId="1" applyFont="1" applyAlignment="1">
      <alignment horizontal="center" vertical="center"/>
    </xf>
    <xf numFmtId="3" fontId="29" fillId="0" borderId="0" xfId="0" applyNumberFormat="1" applyFont="1"/>
    <xf numFmtId="4" fontId="25" fillId="0" borderId="0" xfId="0" applyNumberFormat="1" applyFont="1" applyAlignment="1">
      <alignment horizontal="center" vertical="center"/>
    </xf>
    <xf numFmtId="0" fontId="25" fillId="0" borderId="11" xfId="0" applyFont="1" applyFill="1" applyBorder="1"/>
    <xf numFmtId="44" fontId="25" fillId="0" borderId="11" xfId="0" applyNumberFormat="1" applyFont="1" applyBorder="1"/>
    <xf numFmtId="44" fontId="0" fillId="0" borderId="11" xfId="1" applyFont="1" applyBorder="1"/>
    <xf numFmtId="0" fontId="0" fillId="0" borderId="0" xfId="0" applyFill="1" applyBorder="1"/>
    <xf numFmtId="44" fontId="25" fillId="0" borderId="11" xfId="0" applyNumberFormat="1" applyFont="1" applyBorder="1" applyProtection="1"/>
    <xf numFmtId="0" fontId="25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0" fillId="0" borderId="0" xfId="0" applyNumberFormat="1"/>
    <xf numFmtId="0" fontId="0" fillId="0" borderId="0" xfId="1" applyNumberFormat="1" applyFont="1" applyFill="1" applyBorder="1"/>
    <xf numFmtId="0" fontId="0" fillId="0" borderId="0" xfId="0" applyNumberFormat="1" applyBorder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left" indent="7"/>
    </xf>
    <xf numFmtId="10" fontId="0" fillId="0" borderId="0" xfId="0" applyNumberForma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vertical="center"/>
    </dxf>
    <dxf>
      <alignment horizontal="center"/>
    </dxf>
    <dxf>
      <numFmt numFmtId="0" formatCode="General"/>
    </dxf>
    <dxf>
      <alignment horizont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wrapText="1"/>
    </dxf>
    <dxf>
      <numFmt numFmtId="165" formatCode="&quot;$&quot;#,##0.00"/>
    </dxf>
    <dxf>
      <alignment horizontal="center"/>
    </dxf>
    <dxf>
      <alignment vertical="center"/>
    </dxf>
    <dxf>
      <alignment wrapText="1"/>
    </dxf>
    <dxf>
      <fill>
        <patternFill patternType="solid">
          <fgColor rgb="FFFFC7CE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406400</xdr:colOff>
      <xdr:row>2</xdr:row>
      <xdr:rowOff>190501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entro de beneficio">
              <a:extLst>
                <a:ext uri="{FF2B5EF4-FFF2-40B4-BE49-F238E27FC236}">
                  <a16:creationId xmlns:a16="http://schemas.microsoft.com/office/drawing/2014/main" id="{A2161C40-5477-D6E3-A88E-185984089D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benef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101"/>
              <a:ext cx="1828800" cy="107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Malpica Herrera" refreshedDate="45525.98610671296" createdVersion="8" refreshedVersion="8" minRefreshableVersion="3" recordCount="224" xr:uid="{F8113E65-4F04-4B4F-9D80-875BF9ED2DB6}">
  <cacheSource type="worksheet">
    <worksheetSource ref="A1:AV225" sheet="SAPBW_DOWNLOAD (2)"/>
  </cacheSource>
  <cacheFields count="48">
    <cacheField name="Centro de beneficio" numFmtId="0">
      <sharedItems count="3">
        <s v="            EM3CCVA595"/>
        <s v="            EM3CTLC630"/>
        <s v="            EM3CACA689"/>
      </sharedItems>
    </cacheField>
    <cacheField name="RFC" numFmtId="0">
      <sharedItems count="224">
        <s v="WME9003078U2"/>
        <s v="BME950721K35"/>
        <s v="RUVP871009DN2"/>
        <s v="DVC910102VDA"/>
        <s v="ZLO2212085A4"/>
        <s v="LSI8112153I7"/>
        <s v="QUA0402022D1"/>
        <s v="POL9906248F4"/>
        <s v="ISD950921HE5"/>
        <s v="MUM230801MK1"/>
        <s v="CAL0908193M7"/>
        <s v="GPM9510126V6"/>
        <s v="SME9502015F6"/>
        <s v="MEI850701UK5"/>
        <s v="LOG190905JF9"/>
        <s v="EDA220523Q59"/>
        <s v="BCE160423IQ4"/>
        <s v="HHR170927P50"/>
        <s v="OOPF030330J96"/>
        <s v="BME511128MZ2"/>
        <s v="FME880210NG1"/>
        <s v="COM0509158G3"/>
        <s v="BPM950604DG3"/>
        <s v="AARE830226C8A"/>
        <s v="RAGE881129PS2"/>
        <s v="BDM170622QS9"/>
        <s v="EDF021213USA"/>
        <s v="SLC050506BK6"/>
        <s v="CCE120626V36"/>
        <s v="RME940805UM1"/>
        <s v="DRM050212HR5"/>
        <s v="LAF080718FS4"/>
        <s v="ADE9101309SA"/>
        <s v="IAE111129TH8"/>
        <s v="MNY230403N28"/>
        <s v="GAM1912048E6"/>
        <s v="NACJ5112251P4"/>
        <s v="CAP900111823"/>
        <s v="IPM670824S94"/>
        <s v="MAI170407M11"/>
        <s v="SEM210101QK4"/>
        <s v="MAVJ840823R55"/>
        <s v="IAU680529C65"/>
        <s v="PWB210427Q49"/>
        <s v="QAP8305205H4"/>
        <s v="INI7901272S2"/>
        <s v="PHO830421C59"/>
        <s v="AESA600112R9A"/>
        <s v="TCA0407219T6"/>
        <s v="REVM6702113I7"/>
        <s v="MOGJ720529RH7"/>
        <s v="ASI230422V74"/>
        <s v="ACO000225149"/>
        <s v="CGI931213KN4"/>
        <s v="GUHJ990717KI6"/>
        <s v="SRE110418TL9"/>
        <s v="ARA900710AX8"/>
        <s v="MAAJ8501303F2"/>
        <s v="PHM870907PP0"/>
        <s v="IARG500122DX3"/>
        <s v="FTM001025RS7"/>
        <s v="EXE0704204A2"/>
        <s v="CXM201015UN0"/>
        <s v="UVL100507RG8"/>
        <s v="NFM0510059FA"/>
        <s v="TEC001018RI8"/>
        <s v="IME011231CZA"/>
        <s v="ZAR110720UY5"/>
        <s v="CVI070314F44"/>
        <s v="KDM050818RD1"/>
        <s v="CPS2009113Y3"/>
        <s v="CIB050928SH9"/>
        <s v="PEAY860409H7A"/>
        <s v="VVE880413Q7A"/>
        <s v="BSE911119KF4"/>
        <s v="NFM180427K13"/>
        <s v="TES8708074Y2"/>
        <s v="RFO801023MJ4"/>
        <s v="HAZ040413HY4"/>
        <s v="PSI970127141"/>
        <s v="ALM1712101Y7"/>
        <s v="SID040910GSA"/>
        <s v="CPO080718QE6"/>
        <s v="SVM190126FUA"/>
        <s v="FME720816SU5"/>
        <s v="MTI920514587"/>
        <s v="MSI140825NT4"/>
        <s v="GRC981221UE8"/>
        <s v="FER040804DP5"/>
        <s v="ERG980108JZ1"/>
        <s v="LBR841218BL6"/>
        <s v="FME050125MS0"/>
        <s v="PDI830224F62"/>
        <s v="PASH900926TP7"/>
        <s v="PTI0307182A9"/>
        <s v="IAL110509EB2"/>
        <s v="IES020408NW5"/>
        <s v="ACA120618G94"/>
        <s v="CIA090819PW4"/>
        <s v="IMO101007TW8"/>
        <s v="AETF511011QPA"/>
        <s v="AME980810VBA"/>
        <s v="INE140404NI0"/>
        <s v="VTA140911DP6"/>
        <s v="PSE891129GS1"/>
        <s v="AAT111213TV3"/>
        <s v="SASE9412171A0"/>
        <s v="LGM140508H47"/>
        <s v="CME190925S9A"/>
        <s v="XAXX010101000"/>
        <s v="TSS940421JYA"/>
        <s v="BMA140910BE6"/>
        <s v="LOGA7610104I3"/>
        <s v="RAHL901225PQ1"/>
        <s v="OTE130703U26"/>
        <s v="CCO8605231N4"/>
        <s v="SAC991222G1A"/>
        <s v="MACD8506267P1"/>
        <s v="TIRM920922VE3"/>
        <s v="LIT850619Q49"/>
        <s v="MATA840924L22"/>
        <s v="FBO111209QW3"/>
        <s v="HEAN010105GP6"/>
        <s v="AUAS8007025N4"/>
        <s v="GAHD791211KE6"/>
        <s v="FME781221P81"/>
        <s v="DME090526D21"/>
        <s v="PIGO690818UE8"/>
        <s v="MAAR911022KP1"/>
        <s v="MOM920318GW1"/>
        <s v="MFR020626N75"/>
        <s v="RUM860903S85"/>
        <s v="ROM860405PH7"/>
        <s v="RIFS910110H96"/>
        <s v="OLN9503161H5"/>
        <s v="MME641005KH8"/>
        <s v="GAAJ860531KD8"/>
        <s v="SGS020508BT8"/>
        <s v="GFM161104S79"/>
        <s v="SAZ1310075C2"/>
        <s v="COC1905032F9"/>
        <s v="AERA841005HU7"/>
        <s v="HVE941128MN6"/>
        <s v="FCS021217NF4"/>
        <s v="AAC850930II9"/>
        <s v="OONL810923GM6"/>
        <s v="CME0401143S0"/>
        <s v="GAT2305113S1"/>
        <s v="SPE130319M22"/>
        <s v="ETA1112133Z8"/>
        <s v="VMI0007136HA"/>
        <s v="GIL031203GU8"/>
        <s v="AUT020702435"/>
        <s v="OCA901107CL8"/>
        <s v="FTR110205TX7"/>
        <s v="FMA020527D74"/>
        <s v="NAHB520111CT3"/>
        <s v="OHV9706303X9"/>
        <s v="COS850425822"/>
        <s v="AARL700415HS1"/>
        <s v="EBF080712DQ1"/>
        <s v="APE9003284Y4"/>
        <s v="APM1310144N6"/>
        <s v="STM1509045ZA"/>
        <s v="TELA8908143J6"/>
        <s v="GAHM900404T6A"/>
        <s v="CME861117QN9"/>
        <s v="TPL180706AJ7"/>
        <s v="LGE010130NS5"/>
        <s v="NCM920527KH7"/>
        <s v="GAVA910822876"/>
        <s v="OCS140225QE2"/>
        <s v="SIA980827BV8"/>
        <s v="APV170810979"/>
        <s v="GME001027AY5"/>
        <s v="EPU9812212U5"/>
        <s v="LEB1812201R8"/>
        <s v="STE070601MC0"/>
        <s v="MAEG451123NK6"/>
        <s v="OGR161021PX2"/>
        <s v="CALH630425EY3"/>
        <s v="NAP210122JQA"/>
        <s v="CEM780216611"/>
        <s v="SEN040310IN7"/>
        <s v="GUPN7606182S9"/>
        <s v="JAU0609208Z5"/>
        <s v="ADI991022KX2"/>
        <s v="DGL091117I55"/>
        <s v="ACA090512JI4"/>
        <s v="CMO230705EB2"/>
        <s v="MOTR7209032W6"/>
        <s v="IND960930PN6"/>
        <s v="DME990323PR7"/>
        <s v="CGA890117N45"/>
        <s v="CBU020304N45"/>
        <s v="THS19060348A"/>
        <s v="IGO131210UU7"/>
        <s v="GCB1012159G7"/>
        <s v="GALL891127QE5"/>
        <s v="VPP900618II6"/>
        <s v="ZLT16030532A"/>
        <s v="PLI220715JH1"/>
        <s v="KTO911206MC6"/>
        <s v="AZI980528BV5"/>
        <s v="CRA011109LSA"/>
        <s v="RACP661105BT7"/>
        <s v="GCO0005082T5"/>
        <s v="SIC120117SY7"/>
        <s v="USC910624DP6"/>
        <s v="GEV190312Q7A"/>
        <s v="GCJ2310268Y5"/>
        <s v="FIN080623RZ8"/>
        <s v="HERA8208023M7"/>
        <s v="MSU850911A56"/>
        <s v="EMP071130FG8"/>
        <s v="HTI040727NA1"/>
        <s v="GME170117QQ4"/>
        <s v="ROH1501229G3"/>
        <s v="AURP990113K11"/>
        <s v="SAGV681124J38"/>
        <s v="EQU070308TU4"/>
        <s v="LILI8608245Z7"/>
        <s v="GWM790307NB0"/>
        <s v="PUH2103235Q2"/>
      </sharedItems>
    </cacheField>
    <cacheField name="Ratios" numFmtId="0">
      <sharedItems count="224">
        <s v="WURTH MEXICO"/>
        <s v="LOGISTICA Y TRANSPORTE PARA LA"/>
        <s v="PABLO RUIZ VELAZCO"/>
        <s v="DAIMLER VEHICULOS COMERCIALES"/>
        <s v="ZIIPCO LOGISTIC"/>
        <s v="LABORATORIOS SILANES"/>
        <s v="QUALAMEX"/>
        <s v="POLOMEX"/>
        <s v="PASE, SERVICIOS ELECTRONICOS"/>
        <s v="MUMUGRAND"/>
        <s v="CEDIS ALCE"/>
        <s v="GÜTERMANN POLYGAL MEXICANA"/>
        <s v="SAINT-GOBAIN MEXICO"/>
        <s v="MEXICANA DE ELECTRONICA"/>
        <s v="LOGISCTASH"/>
        <s v="EDARKSTORE"/>
        <s v="BLUE COMMERCE ENTERPRISES"/>
        <s v="HRD HIGH RESOLUTION DIAGNOSTICS"/>
        <s v="FERNANDO OROZCO PEREZ"/>
        <s v="BARDAHL DE MEXICO"/>
        <s v="FOLI DE MEXICO"/>
        <s v="COMEXPROCON"/>
        <s v="HUBBELL PRODUCTS MEXICO"/>
        <s v="ERIKA YADIRA ADAME RAMIREZ"/>
        <s v="ERICK IGNACIO RANGEL GUTIERREZ"/>
        <s v="BCPE DIAMOND MEXICO HOLDCO"/>
        <s v="ENLACE Y DISTRIBUCION FARMACEUTICA"/>
        <s v="SOLUCIONES LOGISTICAS CRYPTEX"/>
        <s v="COSMOPOLITAN CHEF"/>
        <s v="RHEEM DE MEXICO"/>
        <s v="DISTRIBUIDORA RANCHO"/>
        <s v="LABORATORIO DE AGRODIAGNOSTICO"/>
        <s v="AIR DESIGN"/>
        <s v="INDUMET AEROSPACE"/>
        <s v="MAYOREO Y NOVEDADES YULIANA"/>
        <s v="GAMAGUMI"/>
        <s v="JESUS NAVA CASARRUBIAS"/>
        <s v="CAPACO"/>
        <s v="INDUSTRIAS PLASTICAS MEDICAS"/>
        <s v="MANTENIMIENTO AUTOSUFICIENTE"/>
        <s v="SIMON ELECTRICA DE MEXICO"/>
        <s v="JAVIER ISMAEL MARTINEZ VARELA"/>
        <s v="INDUSTRIAS AUGE"/>
        <s v="PCK WIDE BRAND"/>
        <s v="QUIMICA APOLLO"/>
        <s v="INSTITUTO NACIONAL DE"/>
        <s v="PRODUCTOS HOSPITALARIOS"/>
        <s v="ALFREDO ARTEAGA SOLORIO"/>
        <s v="TELEFONIA POR CABLE"/>
        <s v="MA. DE LOURDES RENDON VAZQUEZ"/>
        <s v="JAIME ANTONIO MONTESANOS GARCIA"/>
        <s v="AF22 SOLUCIONES INTEGRALES"/>
        <s v="AMERICAN COTTON"/>
        <s v="CONFERENCIA GENERAL DE LA IGLESIA"/>
        <s v="JORGE GILBERTO GUTIERREZ HUERTA"/>
        <s v="SAFE REFACCIONES EUROPEAS"/>
        <s v="ARABELA"/>
        <s v="JESSICA MARTINEZ AGUILAR"/>
        <s v="PARKER HANNIFIN DE MEXICO"/>
        <s v="GUADALUPE ISLAS REYES"/>
        <s v="FINOS TEXTILES DE MEXICO"/>
        <s v="EXELLQUIM"/>
        <s v="COMERCIALIZADORA XPERTA MEXICO"/>
        <s v="UNITED VITAMIN LABORATORIES"/>
        <s v="NISSIN FOODS DE MEXICO"/>
        <s v="TECNOFEN"/>
        <s v="IGUS MEXICO"/>
        <s v="ZAR/KRUSE"/>
        <s v="COMERCIALIZADORA VICONT"/>
        <s v="K2 MENDEZ"/>
        <s v="COMERCIALIZADORA PET SAI"/>
        <s v="CENTRO INTERNACIONAL DE BIOLOGIA"/>
        <s v="YIRIAN SORALLA PEREZ AMAYA"/>
        <s v="VAME VEHICULOS"/>
        <s v="BY THE SEA"/>
        <s v="NOBATA FARM MEXICO"/>
        <s v="TALLERES ESTRELLA"/>
        <s v="REPRODUCCIONES FOTO MECANICAS"/>
        <s v="HAZEL AZTECA"/>
        <s v="PROMOTORA DE SERVICIOS INTEGRALES"/>
        <s v="ALMATODO"/>
        <s v="SISTEMAS DE IMPRESION DIGITAL"/>
        <s v="&quot;COMERCIALIZADORA POTIZ&quot;"/>
        <s v="SISTEMAS DE VERIFICACION MOR"/>
        <s v="FOSFORITA DE MEXICO"/>
        <s v="MINERA TIZAPA"/>
        <s v="MCD SERVICIOS INTEGRALES DE"/>
        <s v="GRUPO RADIODIFUSORAS CAPITAL"/>
        <s v="FERTICHEM"/>
        <s v="ERGOFORM"/>
        <s v="DECHRA PRODUCTOS VETERINARIOS"/>
        <s v="FINANMADRID MEXICO"/>
        <s v="PRODUCTOS DIETRIX"/>
        <s v="HABACUC PALACIOS SALAZAR"/>
        <s v="PROFESIONALES EN TRANSPORTE"/>
        <s v="IMPORTACIONES ALAR"/>
        <s v="IHO ESPACIOS"/>
        <s v="AGROTECNOLOGIA CASASANO"/>
        <s v="COMERCIAL IAC"/>
        <s v="INDUSTRIA MORJAL"/>
        <s v="FIDEL ARMANDO ACEVEDO TOLEDO"/>
        <s v="AQUA MEDICA"/>
        <s v="INSTITUTO NACIONAL ELECTORAL"/>
        <s v="VACATION TRAVEL ADVISORY"/>
        <s v="PRODUCTOS SEREL"/>
        <s v="AGRI AVI TECNOLOGIA"/>
        <s v="EDWIN SANCHEZ SARMIENTO"/>
        <s v="LATAM GROWTH DE MEXICO"/>
        <s v="5 MEDICI"/>
        <s v="ZEDLAV LOGISTICA, MENSAJERIA Y"/>
        <s v="TOTAL SYSTEM SERVICES DE MEXICO"/>
        <s v="BLISTEADORAS MAR"/>
        <s v="JOSE ANTONIO LORENZO GORDO"/>
        <s v="LUIS FERNANDO LINCOLN RAIMOND"/>
        <s v="OPERADORA DE TIENDAS EMIR"/>
        <s v="CADENA COMERCIAL OXXO"/>
        <s v="SIGMA ALIMENTOS COMERCIAL SA DE CV"/>
        <s v="DALIA MARCIAL CLETO"/>
        <s v="JOSE MARTIN TIJERINA RODRIGUEZ"/>
        <s v="LITOBEL"/>
        <s v="ALAN ALEJANDRO MALDONADO TAMEZ"/>
        <s v="FANTASIAS BOBBY"/>
        <s v="NAZARET HERNANDEZ ARMENTA"/>
        <s v="SANTIAGO AHUIXTLE AHUANTA"/>
        <s v="DANIEL GARCIA HERNANDEZ"/>
        <s v="FORMACRYL DE MEXICO"/>
        <s v="DRAGON MEXICO"/>
        <s v="OSCAR PLIEGO GARCIA"/>
        <s v="RUBEN MARQUEZ AVILA"/>
        <s v="MOMATT"/>
        <s v="MOTOR FRANCE"/>
        <s v="RISH"/>
        <s v="ROMACEL"/>
        <s v="SAGID RIVERA FUENTES"/>
        <s v="OLNATURA"/>
        <s v="MAYEKAWA DE MEXICO"/>
        <s v="JESUS ABELARDO GALEANA ARMENTA"/>
        <s v="SERVICIOS GASOLINEROS SAN CARLOS"/>
        <s v="GRAN FABRICA DE MUEBLES"/>
        <s v="SAZAS COMPANY"/>
        <s v="CACSI DE OCCIDENTE"/>
        <s v="ARTURO ARREOLA RIVERA"/>
        <s v="EXITUS CREDIT"/>
        <s v="FR CONSTRUCCION Y SERVICIOS"/>
        <s v="AUTOS ACAPULCO"/>
        <s v="LUZ DEISY OSORIO NARANJO"/>
        <s v="CALZADO MEGA"/>
        <s v="GTU AUTOMOTRIZ TOY"/>
        <s v="SOLUCIONES PROFESIONALES"/>
        <s v="EVOLUCION TECNOLOGICA AGROPECUARIA"/>
        <s v="VIA MODA INTERNACIONAL"/>
        <s v="GRUPO ILUMA"/>
        <s v="AUTOCIRC"/>
        <s v="OPERACION Y CONSERVACION DE"/>
        <s v="FABRICA DE TREFILADOS"/>
        <s v="CRESTA FURIA ACAPULCO"/>
        <s v="BOLIVAR NAVARRETE HEREDIA"/>
        <s v="OPERADORA DE HOTELES VILLA"/>
        <s v="LA COSMOPOLITANA"/>
        <s v="LUIS ALBERTO ALVAREZ ROLDAN"/>
        <s v="EMPORIUM BY FRIDA S"/>
        <s v="AUTOTANQUES PENINSULARES, S.A. DE C"/>
        <s v="AMAPARTS PRECISION MACHINING"/>
        <s v="SELO TRANS MULTIMODAL"/>
        <s v="MARIA ALEJANDRA TERRONES LOPEZ"/>
        <s v="MARIBEL GARCIA HERNANDEZ"/>
        <s v="CITIZEN DE MEXICO"/>
        <s v="TIENDAS PLATINO"/>
        <s v="LABORATORIO GENOMELAB"/>
        <s v="NOVELTY CORP DE MEXICO"/>
        <s v="ANAHI GALVAN VILLA"/>
        <s v="OPERADORA DE COMEDORES SALUDABLES"/>
        <s v="MEXICO PARRIBA"/>
        <s v="ASISTENCIA PREDICTIVA VEHICULAR"/>
        <s v="GREIF MEXICO"/>
        <s v="CAPITAL NEWS"/>
        <s v="LEBENSSTÜCK"/>
        <s v="SOLUCIONES Y TRATAMIENTO ECOLOGICO"/>
        <s v="GEMA CLEMENTINA MACIAS ESPINOSA"/>
        <s v="ORSAGO GROUP"/>
        <s v="HECTOR CASTRO LOPEZ"/>
        <s v="NAPROBELL"/>
        <s v="CARROCERIAS Y EQUIPOS MUNICIPALES"/>
        <s v="SENBIS"/>
        <s v="NOHEMI GUADARRAMA POPOCA"/>
        <s v="&quot;JAR AUTOTRANSPORTES&quot;"/>
        <s v="ABASTOS Y DISTRIBUCIONES"/>
        <s v="DIETRICH - LOGISTICS"/>
        <s v="&quot;AUTOMOTRIZ MARBRA&quot;"/>
        <s v="CERTEZA MOTRIZ"/>
        <s v="RAUL MONDRAGON TORRES"/>
        <s v="INDELPA"/>
        <s v="DELFINITI DE MEXICO"/>
        <s v="CALZA GARVER"/>
        <s v="CORPORATIVO BURBUPAC"/>
        <s v="TU HOGAR CON SENTIDO"/>
        <s v="INGREDIENTA GOURMET"/>
        <s v="GRUPO CIDAR BUSINESS BROKERS,"/>
        <s v="LIZET GARCIA LUNA"/>
        <s v="VITRACOAT PINTURAS EN POLVO"/>
        <s v="ZYANYA LOGISTICS AND TOURS"/>
        <s v="PKA LOGISTICA INTEGRAL"/>
        <s v="KOL-TOV"/>
        <s v="AEROPUERTO DE ZIHUATANEJO"/>
        <s v="C Y R AGROQUIMICA"/>
        <s v="PEDRO RAMIREZ CERRATO"/>
        <s v="GALERIA DEL CHOCOLATE S DE RL"/>
        <s v="SERVICIOS INSUMOS Y CONSUMIBLES"/>
        <s v="UNIVERSIDAD LA SALLE CUERNAVACA"/>
        <s v="GRUPO EVALUADOR VALDES"/>
        <s v="GRUPO COMERCIAL JARPEX"/>
        <s v="SOFIPA CORPORATION"/>
        <s v="ANGEL HERNANDEZ RODRIGUEZ"/>
        <s v="MOLINOS DEL SUDESTE"/>
        <s v="EXPLORACIONES MINERAS PEÑOLES"/>
        <s v="HOTELES TURISTICOS DE IXTAPA"/>
        <s v="GARKEN MEDICAL"/>
        <s v="RIALBE, OPERADORA DE HOTELES"/>
        <s v="PAULINA INES AGUIRRE ROJAS"/>
        <s v="VICTOR MANUEL SANCHEZ GUARNEROS"/>
        <s v="EQUIVER"/>
        <s v="LIU LIRONG"/>
        <s v="GEODIS MEXICO"/>
        <s v="PAYNALTON UAN HUITZIL"/>
      </sharedItems>
    </cacheField>
    <cacheField name="  - Subtotal_x000a_Despues del_x000a_Descuento" numFmtId="44">
      <sharedItems containsSemiMixedTypes="0" containsString="0" containsNumber="1" minValue="-1441891.92" maxValue="9340075.7200000007"/>
    </cacheField>
    <cacheField name="ENE" numFmtId="44">
      <sharedItems containsString="0" containsBlank="1" containsNumber="1" minValue="-9254.99" maxValue="1609133.27"/>
    </cacheField>
    <cacheField name="FEB" numFmtId="44">
      <sharedItems containsString="0" containsBlank="1" containsNumber="1" minValue="-48142.31" maxValue="1185759.08"/>
    </cacheField>
    <cacheField name="MAR" numFmtId="44">
      <sharedItems containsString="0" containsBlank="1" containsNumber="1" minValue="-11621.32" maxValue="1365333.78"/>
    </cacheField>
    <cacheField name="ABR" numFmtId="44">
      <sharedItems containsString="0" containsBlank="1" containsNumber="1" minValue="-12807.3" maxValue="3033430.75"/>
    </cacheField>
    <cacheField name="MAY" numFmtId="44">
      <sharedItems containsString="0" containsBlank="1" containsNumber="1" minValue="-259859.20000000001" maxValue="3347904.3"/>
    </cacheField>
    <cacheField name="JUN" numFmtId="44">
      <sharedItems containsString="0" containsBlank="1" containsNumber="1" minValue="-2687081.27" maxValue="1522694.07"/>
    </cacheField>
    <cacheField name="JUL" numFmtId="44">
      <sharedItems containsString="0" containsBlank="1" containsNumber="1" minValue="-768994.72" maxValue="1999010.57"/>
    </cacheField>
    <cacheField name="AGO" numFmtId="44">
      <sharedItems containsString="0" containsBlank="1" containsNumber="1" minValue="-125350.09" maxValue="1698802.46"/>
    </cacheField>
    <cacheField name="  - Importe Total_x000a_ + _x000a_Iva" numFmtId="4">
      <sharedItems containsSemiMixedTypes="0" containsString="0" containsNumber="1" minValue="-1672594.63" maxValue="10834487.83"/>
    </cacheField>
    <cacheField name="1" numFmtId="0">
      <sharedItems containsString="0" containsBlank="1" containsNumber="1" minValue="-9254.99" maxValue="1866594.59" count="162">
        <n v="1866594.59"/>
        <n v="675790.09"/>
        <n v="31223.71"/>
        <n v="1110862.33"/>
        <m/>
        <n v="620236.31000000006"/>
        <n v="305609.68"/>
        <n v="355628.56"/>
        <n v="575424.94999999995"/>
        <n v="263895.5"/>
        <n v="171377.98"/>
        <n v="99635.18"/>
        <n v="30954.51"/>
        <n v="39295.61"/>
        <n v="60723.03"/>
        <n v="361030.51"/>
        <n v="81715.47"/>
        <n v="1975.62"/>
        <n v="69524.3"/>
        <n v="15562.99"/>
        <n v="296622.17"/>
        <n v="40811.120000000003"/>
        <n v="83700.460000000006"/>
        <n v="48728.02"/>
        <n v="14465.55"/>
        <n v="43730.400000000001"/>
        <n v="37085.06"/>
        <n v="44309.81"/>
        <n v="13656.96"/>
        <n v="42033.31"/>
        <n v="13861.64"/>
        <n v="22348.560000000001"/>
        <n v="122517.99"/>
        <n v="87233.44"/>
        <n v="40333.370000000003"/>
        <n v="241099.63"/>
        <n v="51772.43"/>
        <n v="45119.79"/>
        <n v="41064.54"/>
        <n v="21429.23"/>
        <n v="9433.07"/>
        <n v="18808.91"/>
        <n v="1377.64"/>
        <n v="46853.83"/>
        <n v="49914.81"/>
        <n v="33323.230000000003"/>
        <n v="34585.68"/>
        <n v="77915.240000000005"/>
        <n v="50759.76"/>
        <n v="16836.14"/>
        <n v="10287.709999999999"/>
        <n v="20813.18"/>
        <n v="158507.46"/>
        <n v="29199.200000000001"/>
        <n v="17313.5"/>
        <n v="8466.4500000000007"/>
        <n v="12564.69"/>
        <n v="13207.7"/>
        <n v="11805.82"/>
        <n v="12537.47"/>
        <n v="97118.67"/>
        <n v="25468.53"/>
        <n v="11917.1"/>
        <n v="1459.55"/>
        <n v="344.02"/>
        <n v="15291.51"/>
        <n v="5908.15"/>
        <n v="1285.7"/>
        <n v="34757.06"/>
        <n v="606.76"/>
        <n v="2966.48"/>
        <n v="371.55"/>
        <n v="15090.66"/>
        <n v="25833.23"/>
        <n v="2837.71"/>
        <n v="78127.03"/>
        <n v="3941.58"/>
        <n v="28324.43"/>
        <n v="6359.22"/>
        <n v="34289.949999999997"/>
        <n v="6179.55"/>
        <n v="2165.37"/>
        <n v="3338.47"/>
        <n v="12247.12"/>
        <n v="841.84"/>
        <n v="1028.56"/>
        <n v="11328.12"/>
        <n v="131.4"/>
        <n v="4482.5"/>
        <n v="5315.09"/>
        <n v="9730.5400000000009"/>
        <n v="7281.69"/>
        <n v="9889.1299999999992"/>
        <n v="5100.3100000000004"/>
        <n v="7981.87"/>
        <n v="6249.04"/>
        <n v="21417.41"/>
        <n v="7854.45"/>
        <n v="6622.64"/>
        <n v="4255.3900000000003"/>
        <n v="4025"/>
        <n v="168.54"/>
        <n v="2949.07"/>
        <n v="3885.63"/>
        <n v="23.92"/>
        <n v="2599.9299999999998"/>
        <n v="10091.299999999999"/>
        <n v="886.56"/>
        <n v="30188.92"/>
        <n v="1144.94"/>
        <n v="7723.76"/>
        <n v="301.24"/>
        <n v="1057.57"/>
        <n v="3500.68"/>
        <n v="5047.3599999999997"/>
        <n v="4607.0200000000004"/>
        <n v="11308.15"/>
        <n v="1566.94"/>
        <n v="3054.25"/>
        <n v="5635.52"/>
        <n v="7209.16"/>
        <n v="1375.31"/>
        <n v="20377.63"/>
        <n v="4281.66"/>
        <n v="2917.21"/>
        <n v="467.06"/>
        <n v="410.98"/>
        <n v="231.73"/>
        <n v="363.49"/>
        <n v="586.37"/>
        <n v="16260.04"/>
        <n v="305.17"/>
        <n v="91.66"/>
        <n v="8272.34"/>
        <n v="1640.22"/>
        <n v="1095.3599999999999"/>
        <n v="8860.7900000000009"/>
        <n v="1170.83"/>
        <n v="6206.73"/>
        <n v="789.11"/>
        <n v="408.2"/>
        <n v="8221.0400000000009"/>
        <n v="4932.42"/>
        <n v="277.99"/>
        <n v="979.17"/>
        <n v="5755.49"/>
        <n v="1096.3900000000001"/>
        <n v="6004.82"/>
        <n v="4930.76"/>
        <n v="399.64"/>
        <n v="4455.34"/>
        <n v="2247.5"/>
        <n v="1897.56"/>
        <n v="704.55"/>
        <n v="163"/>
        <n v="92.81"/>
        <n v="957.77"/>
        <n v="784.46"/>
        <n v="452.21"/>
        <n v="58.38"/>
        <n v="-9254.99"/>
        <n v="3308.59"/>
      </sharedItems>
    </cacheField>
    <cacheField name="2" numFmtId="0">
      <sharedItems containsString="0" containsBlank="1" containsNumber="1" minValue="-47267.57" maxValue="1375480.54" count="163">
        <n v="1375480.54"/>
        <n v="1048666.1200000001"/>
        <m/>
        <n v="988192.54"/>
        <n v="10639.85"/>
        <n v="875563.81"/>
        <n v="682074.57"/>
        <n v="428029.17"/>
        <n v="330484.84999999998"/>
        <n v="172573.77"/>
        <n v="67504.89"/>
        <n v="95578.69"/>
        <n v="20602.07"/>
        <n v="33922.74"/>
        <n v="78576.17"/>
        <n v="132098.43"/>
        <n v="118114.71"/>
        <n v="3410.96"/>
        <n v="76614.460000000006"/>
        <n v="46065.47"/>
        <n v="4504.33"/>
        <n v="16955.669999999998"/>
        <n v="14393.13"/>
        <n v="62037.57"/>
        <n v="60225.16"/>
        <n v="61605.440000000002"/>
        <n v="34114.18"/>
        <n v="36129.47"/>
        <n v="55838.66"/>
        <n v="259859.20000000001"/>
        <n v="21320.17"/>
        <n v="-47267.57"/>
        <n v="5308.77"/>
        <n v="31727.95"/>
        <n v="44794.33"/>
        <n v="47957.39"/>
        <n v="16326.71"/>
        <n v="19223.41"/>
        <n v="19314.650000000001"/>
        <n v="17914.2"/>
        <n v="17478.599999999999"/>
        <n v="41720.68"/>
        <n v="33408.92"/>
        <n v="39466.019999999997"/>
        <n v="28367.64"/>
        <n v="12714.92"/>
        <n v="37844.03"/>
        <n v="264.07"/>
        <n v="34325.949999999997"/>
        <n v="31616.51"/>
        <n v="5793.87"/>
        <n v="8464.6200000000008"/>
        <n v="26543.41"/>
        <n v="28739.09"/>
        <n v="10330.969999999999"/>
        <n v="3191.81"/>
        <n v="13399.04"/>
        <n v="176.32"/>
        <n v="3048.78"/>
        <n v="18120.82"/>
        <n v="15826.87"/>
        <n v="18058.02"/>
        <n v="16998.29"/>
        <n v="10900.08"/>
        <n v="16619.259999999998"/>
        <n v="6312.3"/>
        <n v="8997.18"/>
        <n v="22018.16"/>
        <n v="5693.44"/>
        <n v="12019.56"/>
        <n v="17714.349999999999"/>
        <n v="53938.63"/>
        <n v="3393.9"/>
        <n v="312.26"/>
        <n v="9900.44"/>
        <n v="627.01"/>
        <n v="476.1"/>
        <n v="3401.94"/>
        <n v="4181.72"/>
        <n v="15969.31"/>
        <n v="6784.26"/>
        <n v="15774.58"/>
        <n v="20573.97"/>
        <n v="6072.38"/>
        <n v="2259.6999999999998"/>
        <n v="3318.96"/>
        <n v="39785.980000000003"/>
        <n v="1345.88"/>
        <n v="1346.56"/>
        <n v="848.67"/>
        <n v="18774.080000000002"/>
        <n v="8440.32"/>
        <n v="47360.2"/>
        <n v="8053.79"/>
        <n v="11568.85"/>
        <n v="24153.52"/>
        <n v="5851.4"/>
        <n v="5110.1899999999996"/>
        <n v="10456.530000000001"/>
        <n v="7956.56"/>
        <n v="3643.2"/>
        <n v="4755.88"/>
        <n v="3796.15"/>
        <n v="8186.02"/>
        <n v="3630.56"/>
        <n v="8250.2000000000007"/>
        <n v="10926.02"/>
        <n v="743.56"/>
        <n v="2673.74"/>
        <n v="4692.78"/>
        <n v="7886.79"/>
        <n v="4518.6400000000003"/>
        <n v="2243.8000000000002"/>
        <n v="8410.24"/>
        <n v="272.73"/>
        <n v="14574.26"/>
        <n v="625.03"/>
        <n v="5859.87"/>
        <n v="5179.45"/>
        <n v="870"/>
        <n v="1287.17"/>
        <n v="5074.8100000000004"/>
        <n v="1038.68"/>
        <n v="15565.81"/>
        <n v="1587.25"/>
        <n v="3752.79"/>
        <n v="2752.71"/>
        <n v="2718.44"/>
        <n v="1121.21"/>
        <n v="3207.43"/>
        <n v="5326.91"/>
        <n v="7264.58"/>
        <n v="78.930000000000007"/>
        <n v="2194.1"/>
        <n v="19869.080000000002"/>
        <n v="11020.52"/>
        <n v="3861.64"/>
        <n v="3595.72"/>
        <n v="49.69"/>
        <n v="159.51"/>
        <n v="262.81"/>
        <n v="313.64999999999998"/>
        <n v="13671.81"/>
        <n v="3217.63"/>
        <n v="1284.96"/>
        <n v="992.51"/>
        <n v="290.52"/>
        <n v="376.5"/>
        <n v="501.25"/>
        <n v="1885.46"/>
        <n v="105.24"/>
        <n v="858.64"/>
        <n v="742.27"/>
        <n v="7444.42"/>
        <n v="4712.63"/>
        <n v="1042.8699999999999"/>
        <n v="492.07"/>
        <n v="450.03"/>
        <n v="453.12"/>
        <n v="404.19"/>
        <n v="233.42"/>
        <n v="167.23"/>
        <n v="176.51"/>
      </sharedItems>
    </cacheField>
    <cacheField name="3" numFmtId="0">
      <sharedItems containsString="0" containsBlank="1" containsNumber="1" minValue="-13480.73" maxValue="1583787.18" count="155">
        <n v="1583787.18"/>
        <n v="1479796.92"/>
        <m/>
        <n v="1139999.08"/>
        <n v="84507.05"/>
        <n v="446731.56"/>
        <n v="320573.17"/>
        <n v="271093.39"/>
        <n v="143069.82999999999"/>
        <n v="163647.01999999999"/>
        <n v="74008.44"/>
        <n v="16601.64"/>
        <n v="174742.39"/>
        <n v="63848.480000000003"/>
        <n v="181691.43"/>
        <n v="137689.94"/>
        <n v="59432.59"/>
        <n v="67355.88"/>
        <n v="19358.900000000001"/>
        <n v="50183.54"/>
        <n v="59765.55"/>
        <n v="54913.1"/>
        <n v="137508.22"/>
        <n v="74786.34"/>
        <n v="12029.32"/>
        <n v="14733.44"/>
        <n v="13039.56"/>
        <n v="80485.89"/>
        <n v="49178.35"/>
        <n v="29954.66"/>
        <n v="28313.16"/>
        <n v="30512.94"/>
        <n v="18751.919999999998"/>
        <n v="26525.79"/>
        <n v="25442.11"/>
        <n v="25712.32"/>
        <n v="17717.97"/>
        <n v="13492.91"/>
        <n v="23991.69"/>
        <n v="2790.65"/>
        <n v="28810.400000000001"/>
        <n v="70104.66"/>
        <n v="-13480.73"/>
        <n v="17342.41"/>
        <n v="25835.22"/>
        <n v="1811.86"/>
        <n v="31380.25"/>
        <n v="23220.98"/>
        <n v="20688.29"/>
        <n v="16621.009999999998"/>
        <n v="150.80000000000001"/>
        <n v="9926.27"/>
        <n v="10676.76"/>
        <n v="4536.5200000000004"/>
        <n v="23464"/>
        <n v="7646.98"/>
        <n v="14458.81"/>
        <n v="16100.9"/>
        <n v="7909.3"/>
        <n v="15768.98"/>
        <n v="7952.28"/>
        <n v="94558.11"/>
        <n v="316.12"/>
        <n v="9644.48"/>
        <n v="9419.99"/>
        <n v="44988.5"/>
        <n v="2217.71"/>
        <n v="84354.54"/>
        <n v="21158.14"/>
        <n v="34165.620000000003"/>
        <n v="4957.8900000000003"/>
        <n v="8774.61"/>
        <n v="12449.64"/>
        <n v="12082.12"/>
        <n v="34042.25"/>
        <n v="9152.89"/>
        <n v="50485.68"/>
        <n v="1716.41"/>
        <n v="3403.89"/>
        <n v="9047.2099999999991"/>
        <n v="9576.4599999999991"/>
        <n v="28050.63"/>
        <n v="1298.8900000000001"/>
        <n v="20101.32"/>
        <n v="13117.16"/>
        <n v="2447.4699999999998"/>
        <n v="7575.47"/>
        <n v="6680.63"/>
        <n v="2001.17"/>
        <n v="8102.02"/>
        <n v="10231.35"/>
        <n v="8852.7800000000007"/>
        <n v="8881.15"/>
        <n v="2575.56"/>
        <n v="7247.02"/>
        <n v="12423.55"/>
        <n v="4123.09"/>
        <n v="5848.4"/>
        <n v="4892.12"/>
        <n v="9943.76"/>
        <n v="9367.7000000000007"/>
        <n v="1314.89"/>
        <n v="3650.38"/>
        <n v="5206.71"/>
        <n v="14396.77"/>
        <n v="6586.16"/>
        <n v="3529.21"/>
        <n v="152.96"/>
        <n v="990.63"/>
        <n v="3801.1"/>
        <n v="6586.75"/>
        <n v="1339.64"/>
        <n v="920.55"/>
        <n v="4965.46"/>
        <n v="272.76"/>
        <n v="2574.96"/>
        <n v="2870.25"/>
        <n v="174"/>
        <n v="2015.45"/>
        <n v="5540.73"/>
        <n v="1816.65"/>
        <n v="659.17"/>
        <n v="3088.5"/>
        <n v="1941.9"/>
        <n v="3868.98"/>
        <n v="12627.68"/>
        <n v="211.44"/>
        <n v="6937.96"/>
        <n v="1295.05"/>
        <n v="1025.82"/>
        <n v="5877.02"/>
        <n v="-499.55"/>
        <n v="-3468.66"/>
        <n v="1701.4"/>
        <n v="11933.92"/>
        <n v="1542.02"/>
        <n v="2584.2800000000002"/>
        <n v="1562.24"/>
        <n v="729"/>
        <n v="991.37"/>
        <n v="180.51"/>
        <n v="-3553.21"/>
        <n v="449.76"/>
        <n v="229.33"/>
        <n v="231.98"/>
        <n v="1664.52"/>
        <n v="477.71"/>
        <n v="822.56"/>
        <n v="1067.08"/>
        <n v="2147.84"/>
        <n v="3508.36"/>
        <n v="111.07"/>
        <n v="2165.7399999999998"/>
        <n v="1620.47"/>
        <n v="297.18"/>
      </sharedItems>
    </cacheField>
    <cacheField name="4" numFmtId="0">
      <sharedItems containsString="0" containsBlank="1" containsNumber="1" minValue="-14856.47" maxValue="3518779.67" count="159">
        <n v="1229931.44"/>
        <n v="1186504.8400000001"/>
        <n v="3518779.67"/>
        <n v="54397.3"/>
        <m/>
        <n v="432049.48"/>
        <n v="573017.78"/>
        <n v="352784.44"/>
        <n v="300876.37"/>
        <n v="215985.71"/>
        <n v="145481.82"/>
        <n v="199306.87"/>
        <n v="57587.05"/>
        <n v="4073.57"/>
        <n v="85196.63"/>
        <n v="63958.81"/>
        <n v="151648.89000000001"/>
        <n v="1233.32"/>
        <n v="77586.75"/>
        <n v="137688.43"/>
        <n v="-14856.47"/>
        <n v="108609.66"/>
        <n v="358067.16"/>
        <n v="75403.05"/>
        <n v="40589.03"/>
        <n v="50873.81"/>
        <n v="60172.28"/>
        <n v="21849.53"/>
        <n v="68082.3"/>
        <n v="47253.440000000002"/>
        <n v="260284.79999999999"/>
        <n v="18768.37"/>
        <n v="90044.44"/>
        <n v="129878.9"/>
        <n v="54885.120000000003"/>
        <n v="40703.269999999997"/>
        <n v="46194.13"/>
        <n v="26837.68"/>
        <n v="56120.38"/>
        <n v="29682.959999999999"/>
        <n v="28226.27"/>
        <n v="35428.14"/>
        <n v="25476.25"/>
        <n v="46314.26"/>
        <n v="48493.53"/>
        <n v="21645.24"/>
        <n v="51215.360000000001"/>
        <n v="23353.040000000001"/>
        <n v="12090.17"/>
        <n v="17275.830000000002"/>
        <n v="5199.7299999999996"/>
        <n v="7774.21"/>
        <n v="17840.05"/>
        <n v="20788.14"/>
        <n v="16971.46"/>
        <n v="10851.36"/>
        <n v="16348.08"/>
        <n v="13590.66"/>
        <n v="10088.719999999999"/>
        <n v="18188.41"/>
        <n v="16873.7"/>
        <n v="19054"/>
        <n v="15461.21"/>
        <n v="27007.69"/>
        <n v="11687.26"/>
        <n v="21789.06"/>
        <n v="1301.57"/>
        <n v="25347.72"/>
        <n v="8183.66"/>
        <n v="3192.16"/>
        <n v="3611.29"/>
        <n v="2313.04"/>
        <n v="744.58"/>
        <n v="21385.06"/>
        <n v="4496.3999999999996"/>
        <n v="23343.32"/>
        <n v="-11717.84"/>
        <n v="5897.47"/>
        <n v="14242.41"/>
        <n v="13915.16"/>
        <n v="3253.58"/>
        <n v="28532.83"/>
        <n v="1606.33"/>
        <n v="11354.33"/>
        <n v="26587.119999999999"/>
        <n v="8219.58"/>
        <n v="1550.39"/>
        <n v="1809.41"/>
        <n v="648.01"/>
        <n v="28932.720000000001"/>
        <n v="980.34"/>
        <n v="3861.66"/>
        <n v="2489.86"/>
        <n v="8418.16"/>
        <n v="5694.23"/>
        <n v="79.14"/>
        <n v="17268.64"/>
        <n v="5135.78"/>
        <n v="8808.1"/>
        <n v="5449.03"/>
        <n v="3078.68"/>
        <n v="5254.09"/>
        <n v="10362.11"/>
        <n v="4317.5"/>
        <n v="4451.37"/>
        <n v="7183.1"/>
        <n v="1376.95"/>
        <n v="2863.69"/>
        <n v="16506.62"/>
        <n v="4982.42"/>
        <n v="2653.98"/>
        <n v="6440.67"/>
        <n v="4992.1899999999996"/>
        <n v="19262.740000000002"/>
        <n v="3418.16"/>
        <n v="10526.16"/>
        <n v="13064.84"/>
        <n v="21.68"/>
        <n v="7839.58"/>
        <n v="6275.77"/>
        <n v="6841.71"/>
        <n v="3222.35"/>
        <n v="3980.3"/>
        <n v="-1862.66"/>
        <n v="5168.03"/>
        <n v="4189.9399999999996"/>
        <n v="305.39999999999998"/>
        <n v="9215.26"/>
        <n v="1525.43"/>
        <n v="2339.9299999999998"/>
        <n v="1146.3"/>
        <n v="4445.1400000000003"/>
        <n v="248.47"/>
        <n v="3320.86"/>
        <n v="1824.91"/>
        <n v="212.58"/>
        <n v="1004.22"/>
        <n v="2404.2600000000002"/>
        <n v="2321.29"/>
        <n v="331.17"/>
        <n v="1250.74"/>
        <n v="1204.32"/>
        <n v="2406.11"/>
        <n v="225.21"/>
        <n v="332.55"/>
        <n v="5901.8"/>
        <n v="427"/>
        <n v="737.62"/>
        <n v="397.39"/>
        <n v="424.4"/>
        <n v="1063.05"/>
        <n v="75.59"/>
        <n v="1400.15"/>
        <n v="252.88"/>
        <n v="4058.33"/>
        <n v="451.08"/>
        <n v="2087.61"/>
        <n v="419.32"/>
        <n v="105"/>
      </sharedItems>
    </cacheField>
    <cacheField name="5" numFmtId="0">
      <sharedItems containsString="0" containsBlank="1" containsNumber="1" minValue="-259859.20000000001" maxValue="3883568.99" count="169">
        <n v="1475701.98"/>
        <n v="1614903.53"/>
        <n v="3883568.99"/>
        <m/>
        <n v="324962.55"/>
        <n v="385436.63"/>
        <n v="420709.55"/>
        <n v="358998.54"/>
        <n v="2403.4699999999998"/>
        <n v="129279.41"/>
        <n v="102009.23"/>
        <n v="100081.87"/>
        <n v="82512.539999999994"/>
        <n v="52731.42"/>
        <n v="55045.58"/>
        <n v="6222.33"/>
        <n v="1699.36"/>
        <n v="57316.86"/>
        <n v="137282.1"/>
        <n v="92093.96"/>
        <n v="68424.37"/>
        <n v="47624.5"/>
        <n v="113908.65"/>
        <n v="51210.03"/>
        <n v="68119.429999999993"/>
        <n v="57324.76"/>
        <n v="28522.73"/>
        <n v="47608.89"/>
        <n v="26156.14"/>
        <n v="-259859.20000000001"/>
        <n v="81875.58"/>
        <n v="202893.72"/>
        <n v="645.78"/>
        <n v="47039.59"/>
        <n v="31406.97"/>
        <n v="39747.269999999997"/>
        <n v="5300.62"/>
        <n v="39309.839999999997"/>
        <n v="13240.01"/>
        <n v="42065.45"/>
        <n v="26075.919999999998"/>
        <n v="21780.59"/>
        <n v="35825.07"/>
        <n v="17995.78"/>
        <n v="20899.72"/>
        <n v="17493.169999999998"/>
        <n v="-6136.98"/>
        <n v="4768.95"/>
        <n v="9806.9"/>
        <n v="15387.91"/>
        <n v="50897.02"/>
        <n v="21363.43"/>
        <n v="28999.16"/>
        <n v="24872.3"/>
        <n v="12291.26"/>
        <n v="20793.73"/>
        <n v="-36943.199999999997"/>
        <n v="18533.509999999998"/>
        <n v="7600.14"/>
        <n v="18533.84"/>
        <n v="3042.97"/>
        <n v="38624.49"/>
        <n v="4217.01"/>
        <n v="25098.13"/>
        <n v="19904.650000000001"/>
        <n v="9203.1299999999992"/>
        <n v="3157.57"/>
        <n v="9535.6200000000008"/>
        <n v="19941.47"/>
        <n v="51540.9"/>
        <n v="9780.18"/>
        <n v="15318.21"/>
        <n v="1846.12"/>
        <n v="36575.730000000003"/>
        <n v="14225.74"/>
        <n v="615.14"/>
        <n v="28671.72"/>
        <n v="38520.93"/>
        <n v="10741.02"/>
        <n v="5330.69"/>
        <n v="2536.71"/>
        <n v="19706.16"/>
        <n v="5144.05"/>
        <n v="9963.8700000000008"/>
        <n v="4189.68"/>
        <n v="16061.85"/>
        <n v="439.18"/>
        <n v="24133.19"/>
        <n v="687.57"/>
        <n v="641.42999999999995"/>
        <n v="425.17"/>
        <n v="4319.0600000000004"/>
        <n v="694.12"/>
        <n v="7045.49"/>
        <n v="6375.27"/>
        <n v="449.24"/>
        <n v="15730.32"/>
        <n v="5791.66"/>
        <n v="998.9"/>
        <n v="32181.279999999999"/>
        <n v="5362.16"/>
        <n v="369.81"/>
        <n v="3746.43"/>
        <n v="1379.89"/>
        <n v="7708.71"/>
        <n v="4503.92"/>
        <n v="2391.87"/>
        <n v="-1335.04"/>
        <n v="581.76"/>
        <n v="2962.41"/>
        <n v="4492.95"/>
        <n v="3998.14"/>
        <n v="4702.21"/>
        <n v="12035.21"/>
        <n v="1512.33"/>
        <n v="84.29"/>
        <n v="1053.55"/>
        <n v="406.94"/>
        <n v="29866.52"/>
        <n v="12568.94"/>
        <n v="2669.98"/>
        <n v="5083.58"/>
        <n v="10935.26"/>
        <n v="221.75"/>
        <n v="4427.1499999999996"/>
        <n v="11577.55"/>
        <n v="3514.31"/>
        <n v="14066.14"/>
        <n v="1252.5899999999999"/>
        <n v="2491.89"/>
        <n v="1367.66"/>
        <n v="18267.29"/>
        <n v="15207.01"/>
        <n v="4385.8100000000004"/>
        <n v="2253.04"/>
        <n v="2409.5500000000002"/>
        <n v="984.26"/>
        <n v="4736.2"/>
        <n v="422.68"/>
        <n v="3323.97"/>
        <n v="2349.71"/>
        <n v="82.58"/>
        <n v="1774.27"/>
        <n v="3038.6"/>
        <n v="1778.52"/>
        <n v="1358.74"/>
        <n v="2590.37"/>
        <n v="75.63"/>
        <n v="480.14"/>
        <n v="348"/>
        <n v="616.77"/>
        <n v="233.36"/>
        <n v="5194.7"/>
        <n v="4299.2299999999996"/>
        <n v="1109.33"/>
        <n v="1402.16"/>
        <n v="1845.84"/>
        <n v="2421.94"/>
        <n v="3644.14"/>
        <n v="330.08"/>
        <n v="1200.95"/>
        <n v="428.88"/>
        <n v="3986.51"/>
        <n v="305.02"/>
        <n v="668.51"/>
        <n v="131.4"/>
        <n v="274.43"/>
        <n v="17.54"/>
        <n v="-14229"/>
      </sharedItems>
    </cacheField>
    <cacheField name="6" numFmtId="0">
      <sharedItems containsString="0" containsBlank="1" containsNumber="1" minValue="-3117014.27" maxValue="1766325.12" count="171">
        <n v="1766325.12"/>
        <n v="206533.62"/>
        <n v="-3117014.27"/>
        <n v="-40246.120000000003"/>
        <n v="167344.74"/>
        <n v="476546.04"/>
        <n v="339620.39"/>
        <n v="316899.7"/>
        <n v="318119.33"/>
        <n v="499752.36"/>
        <n v="363417.38"/>
        <n v="108587.68"/>
        <n v="181189.92"/>
        <n v="112430.7"/>
        <n v="114803.08"/>
        <n v="113062.2"/>
        <n v="79654.16"/>
        <m/>
        <n v="2260.09"/>
        <n v="903.33"/>
        <n v="15948.2"/>
        <n v="55970.1"/>
        <n v="113017.26"/>
        <n v="130745.22"/>
        <n v="-4714.3599999999997"/>
        <n v="99777.55"/>
        <n v="49449.85"/>
        <n v="89548.6"/>
        <n v="69126.95"/>
        <n v="35460.33"/>
        <n v="39907.279999999999"/>
        <n v="194148.71"/>
        <n v="5434.66"/>
        <n v="924190.54"/>
        <n v="251.12"/>
        <n v="53930.86"/>
        <n v="41194.620000000003"/>
        <n v="52164.97"/>
        <n v="111217.9"/>
        <n v="30717.31"/>
        <n v="12342.86"/>
        <n v="112383.51"/>
        <n v="23681.49"/>
        <n v="20785.57"/>
        <n v="15235.53"/>
        <n v="44506.27"/>
        <n v="20021.759999999998"/>
        <n v="19810.96"/>
        <n v="26433.39"/>
        <n v="19131.349999999999"/>
        <n v="23345.79"/>
        <n v="81009.42"/>
        <n v="17964.62"/>
        <n v="27870.880000000001"/>
        <n v="4877.47"/>
        <n v="26986.799999999999"/>
        <n v="10269.530000000001"/>
        <n v="15182.75"/>
        <n v="79152.679999999993"/>
        <n v="21011.61"/>
        <n v="7661.72"/>
        <n v="48168.28"/>
        <n v="36146.019999999997"/>
        <n v="6226.16"/>
        <n v="7403.73"/>
        <n v="12122.29"/>
        <n v="28288.13"/>
        <n v="21052.53"/>
        <n v="10701.35"/>
        <n v="4666.05"/>
        <n v="17424.29"/>
        <n v="18682.8"/>
        <n v="4968.91"/>
        <n v="10207.120000000001"/>
        <n v="2787.22"/>
        <n v="316.61"/>
        <n v="4913.26"/>
        <n v="50.02"/>
        <n v="15400.4"/>
        <n v="79515.240000000005"/>
        <n v="841.71"/>
        <n v="6304.59"/>
        <n v="8762.23"/>
        <n v="8454.68"/>
        <n v="823.11"/>
        <n v="14792.32"/>
        <n v="7225.85"/>
        <n v="3201.37"/>
        <n v="-5520.98"/>
        <n v="937.08"/>
        <n v="56016.800000000003"/>
        <n v="561.25"/>
        <n v="16269.14"/>
        <n v="4547.6099999999997"/>
        <n v="579.07000000000005"/>
        <n v="6670.1"/>
        <n v="9363.02"/>
        <n v="24014.32"/>
        <n v="411.54"/>
        <n v="47289.51"/>
        <n v="5146.75"/>
        <n v="10052.27"/>
        <n v="12440"/>
        <n v="4226.6099999999997"/>
        <n v="10633.35"/>
        <n v="5804.13"/>
        <n v="13621.85"/>
        <n v="5435.2"/>
        <n v="3564.47"/>
        <n v="966.62"/>
        <n v="1387.04"/>
        <n v="30789.07"/>
        <n v="9234.7099999999991"/>
        <n v="3463.96"/>
        <n v="2054.63"/>
        <n v="351.49"/>
        <n v="2663.39"/>
        <n v="131.4"/>
        <n v="7670.41"/>
        <n v="67.650000000000006"/>
        <n v="3489.84"/>
        <n v="1495.89"/>
        <n v="2987.68"/>
        <n v="12243.66"/>
        <n v="21966.35"/>
        <n v="3588.38"/>
        <n v="5698.29"/>
        <n v="12200.52"/>
        <n v="1968.52"/>
        <n v="-9133.41"/>
        <n v="3236"/>
        <n v="3154.96"/>
        <n v="679.95"/>
        <n v="5934.26"/>
        <n v="4407.74"/>
        <n v="6707.51"/>
        <n v="19252.080000000002"/>
        <n v="2142.2199999999998"/>
        <n v="3779.15"/>
        <n v="16977.759999999998"/>
        <n v="7801.81"/>
        <n v="7972.31"/>
        <n v="6944.58"/>
        <n v="787.79"/>
        <n v="9645.6200000000008"/>
        <n v="1571.25"/>
        <n v="1261.6199999999999"/>
        <n v="4129.84"/>
        <n v="2207.98"/>
        <n v="1055.52"/>
        <n v="4753.2700000000004"/>
        <n v="3901.65"/>
        <n v="4918.79"/>
        <n v="1547"/>
        <n v="1549.21"/>
        <n v="5183.8500000000004"/>
        <n v="661.06"/>
        <n v="159.13"/>
        <n v="232.15"/>
        <n v="1652.91"/>
        <n v="58.79"/>
        <n v="3305.05"/>
        <n v="119.82"/>
        <n v="2491.13"/>
        <n v="2131.64"/>
        <n v="908.45"/>
        <n v="164.94"/>
        <n v="374.55"/>
        <n v="133.56"/>
        <n v="56310.81"/>
        <n v="-1647213.61"/>
      </sharedItems>
    </cacheField>
    <cacheField name="7" numFmtId="0">
      <sharedItems containsString="0" containsBlank="1" containsNumber="1" minValue="-767786.67" maxValue="2318852.2599999998" count="155">
        <n v="1682073.08"/>
        <n v="-435851.83"/>
        <n v="645202.17000000004"/>
        <n v="1059238.1599999999"/>
        <n v="2318852.2599999998"/>
        <n v="461239.62"/>
        <n v="147687.64000000001"/>
        <n v="395289.96"/>
        <n v="332599.65999999997"/>
        <n v="380530.6"/>
        <n v="798451.53"/>
        <n v="157228.91"/>
        <n v="89834.57"/>
        <n v="123581.46"/>
        <n v="405527.11"/>
        <n v="170247.24"/>
        <n v="105756.14"/>
        <m/>
        <n v="20764.5"/>
        <n v="413827.07"/>
        <n v="243501.22"/>
        <n v="28029.87"/>
        <n v="22654.65"/>
        <n v="30528.720000000001"/>
        <n v="30724.36"/>
        <n v="97261.57"/>
        <n v="92545"/>
        <n v="58137.11"/>
        <n v="67194.53"/>
        <n v="64849.49"/>
        <n v="36973.57"/>
        <n v="14375.1"/>
        <n v="35760.410000000003"/>
        <n v="-767786.67"/>
        <n v="53926.28"/>
        <n v="54776.3"/>
        <n v="39730.230000000003"/>
        <n v="130796.79"/>
        <n v="33912.410000000003"/>
        <n v="27283.1"/>
        <n v="56892.1"/>
        <n v="22921.65"/>
        <n v="38385.33"/>
        <n v="49149.15"/>
        <n v="19521.47"/>
        <n v="12077.04"/>
        <n v="18263.32"/>
        <n v="38368.29"/>
        <n v="30406.29"/>
        <n v="13584.57"/>
        <n v="5346.68"/>
        <n v="86753.27"/>
        <n v="3595.1"/>
        <n v="4163.8"/>
        <n v="10253.700000000001"/>
        <n v="5154.9399999999996"/>
        <n v="16338.78"/>
        <n v="47335.02"/>
        <n v="20929.93"/>
        <n v="18755.650000000001"/>
        <n v="41770.699999999997"/>
        <n v="5834.53"/>
        <n v="18550.330000000002"/>
        <n v="52098.02"/>
        <n v="14505"/>
        <n v="10695.7"/>
        <n v="14218.71"/>
        <n v="24898.09"/>
        <n v="10775.51"/>
        <n v="14278.31"/>
        <n v="481.83"/>
        <n v="7218.26"/>
        <n v="2784.87"/>
        <n v="37745.54"/>
        <n v="3451.88"/>
        <n v="203.56"/>
        <n v="1326.24"/>
        <n v="158.06"/>
        <n v="30774.61"/>
        <n v="8950.6299999999992"/>
        <n v="10739.77"/>
        <n v="7316.83"/>
        <n v="2937.11"/>
        <n v="24632.400000000001"/>
        <n v="1776.64"/>
        <n v="11989"/>
        <n v="4362.33"/>
        <n v="106.94"/>
        <n v="29654.33"/>
        <n v="469.12"/>
        <n v="3067.14"/>
        <n v="108.47"/>
        <n v="3384.35"/>
        <n v="6176.27"/>
        <n v="5143.09"/>
        <n v="212.33"/>
        <n v="4871.88"/>
        <n v="5736.91"/>
        <n v="5162.45"/>
        <n v="-561.51"/>
        <n v="5538"/>
        <n v="5478.34"/>
        <n v="11201.97"/>
        <n v="2166.69"/>
        <n v="976.08"/>
        <n v="7101.88"/>
        <n v="9890.83"/>
        <n v="95.28"/>
        <n v="3199.29"/>
        <n v="2492.98"/>
        <n v="531.54999999999995"/>
        <n v="3475.6"/>
        <n v="4287.8900000000003"/>
        <n v="67.77"/>
        <n v="2436.8200000000002"/>
        <n v="1758.58"/>
        <n v="1942.63"/>
        <n v="163.84"/>
        <n v="106.88"/>
        <n v="2715.8"/>
        <n v="7973.17"/>
        <n v="1403.28"/>
        <n v="3123.25"/>
        <n v="8649.1299999999992"/>
        <n v="4947.6000000000004"/>
        <n v="3847.91"/>
        <n v="967.23"/>
        <n v="1560.95"/>
        <n v="1467.78"/>
        <n v="3661.7"/>
        <n v="17612.28"/>
        <n v="279.68"/>
        <n v="329.21"/>
        <n v="2695.05"/>
        <n v="1300.48"/>
        <n v="1304.8800000000001"/>
        <n v="2436.7800000000002"/>
        <n v="851.96"/>
        <n v="7105.39"/>
        <n v="4038.7"/>
        <n v="306.33999999999997"/>
        <n v="1123.1500000000001"/>
        <n v="515.85"/>
        <n v="1029.8699999999999"/>
        <n v="310.35000000000002"/>
        <n v="4008.91"/>
        <n v="462.69"/>
        <n v="416.45"/>
        <n v="385.28"/>
        <n v="-1377.64"/>
        <n v="-104.83"/>
        <n v="900.74"/>
        <n v="350.4"/>
        <n v="-123328.85"/>
        <n v="-25381.02"/>
      </sharedItems>
    </cacheField>
    <cacheField name="8" numFmtId="0">
      <sharedItems containsString="0" containsBlank="1" containsNumber="1" minValue="-145406.1" maxValue="1970610.85" count="79">
        <n v="-145406.1"/>
        <m/>
        <n v="525394.34"/>
        <n v="1970610.85"/>
        <n v="193512.77"/>
        <n v="456157.85"/>
        <n v="108231.71"/>
        <n v="77510.41"/>
        <n v="1312.73"/>
        <n v="48216.14"/>
        <n v="84969.48"/>
        <n v="32992.660000000003"/>
        <n v="58598.99"/>
        <n v="47151.13"/>
        <n v="43907.03"/>
        <n v="43377.7"/>
        <n v="21917.93"/>
        <n v="30741.47"/>
        <n v="55156.32"/>
        <n v="1624.32"/>
        <n v="18183.099999999999"/>
        <n v="25801.51"/>
        <n v="37386.410000000003"/>
        <n v="38088.6"/>
        <n v="22753.96"/>
        <n v="-15986.28"/>
        <n v="926.75"/>
        <n v="7922.66"/>
        <n v="20330.009999999998"/>
        <n v="12937.36"/>
        <n v="13733.32"/>
        <n v="42180.71"/>
        <n v="81914.559999999998"/>
        <n v="11307.11"/>
        <n v="32370.880000000001"/>
        <n v="10779.85"/>
        <n v="7162.95"/>
        <n v="26.1"/>
        <n v="16423.830000000002"/>
        <n v="1325.68"/>
        <n v="4568.76"/>
        <n v="11130.46"/>
        <n v="5318.42"/>
        <n v="23063.119999999999"/>
        <n v="18203.919999999998"/>
        <n v="1546.22"/>
        <n v="160.36000000000001"/>
        <n v="1412.56"/>
        <n v="6998.13"/>
        <n v="6075.12"/>
        <n v="7086"/>
        <n v="5723.21"/>
        <n v="1374"/>
        <n v="12073.38"/>
        <n v="2582.14"/>
        <n v="1058.06"/>
        <n v="33708.14"/>
        <n v="3698.66"/>
        <n v="1942.61"/>
        <n v="10420.58"/>
        <n v="1481.9"/>
        <n v="15088.7"/>
        <n v="11089.6"/>
        <n v="607.25"/>
        <n v="1476.92"/>
        <n v="58.88"/>
        <n v="2935.48"/>
        <n v="16035.26"/>
        <n v="295.92"/>
        <n v="7119.56"/>
        <n v="1937.33"/>
        <n v="2139.11"/>
        <n v="1344.9"/>
        <n v="239.66"/>
        <n v="128.9"/>
        <n v="2100.5700000000002"/>
        <n v="7039.47"/>
        <n v="870.43"/>
        <n v="-6308.78"/>
      </sharedItems>
    </cacheField>
    <cacheField name="  - Guías_x000a_vendidas" numFmtId="0">
      <sharedItems containsString="0" containsBlank="1" containsNumber="1" containsInteger="1" minValue="-18659" maxValue="75619" count="133">
        <n v="75619"/>
        <n v="23439"/>
        <n v="35000"/>
        <n v="3254"/>
        <n v="36787"/>
        <n v="12581"/>
        <n v="6712"/>
        <n v="2474"/>
        <n v="12506"/>
        <n v="14409"/>
        <n v="9562"/>
        <n v="3031"/>
        <n v="236"/>
        <n v="1167"/>
        <n v="1388"/>
        <n v="3913"/>
        <n v="1332"/>
        <m/>
        <n v="4000"/>
        <n v="788"/>
        <n v="1327"/>
        <n v="191"/>
        <n v="725"/>
        <n v="-328"/>
        <n v="595"/>
        <n v="1114"/>
        <n v="1603"/>
        <n v="1871"/>
        <n v="1039"/>
        <n v="173"/>
        <n v="1050"/>
        <n v="289"/>
        <n v="104"/>
        <n v="247"/>
        <n v="300"/>
        <n v="354"/>
        <n v="304"/>
        <n v="1485"/>
        <n v="769"/>
        <n v="789"/>
        <n v="134"/>
        <n v="318"/>
        <n v="439"/>
        <n v="586"/>
        <n v="44"/>
        <n v="275"/>
        <n v="200"/>
        <n v="225"/>
        <n v="240"/>
        <n v="11"/>
        <n v="376"/>
        <n v="499"/>
        <n v="24"/>
        <n v="668"/>
        <n v="790"/>
        <n v="145"/>
        <n v="41"/>
        <n v="250"/>
        <n v="36"/>
        <n v="90"/>
        <n v="22"/>
        <n v="201"/>
        <n v="81"/>
        <n v="185"/>
        <n v="253"/>
        <n v="828"/>
        <n v="209"/>
        <n v="331"/>
        <n v="125"/>
        <n v="205"/>
        <n v="65"/>
        <n v="35"/>
        <n v="350"/>
        <n v="400"/>
        <n v="70"/>
        <n v="14"/>
        <n v="100"/>
        <n v="152"/>
        <n v="368"/>
        <n v="212"/>
        <n v="99"/>
        <n v="4"/>
        <n v="20"/>
        <n v="93"/>
        <n v="195"/>
        <n v="115"/>
        <n v="210"/>
        <n v="160"/>
        <n v="169"/>
        <n v="86"/>
        <n v="139"/>
        <n v="95"/>
        <n v="402"/>
        <n v="9"/>
        <n v="58"/>
        <n v="18"/>
        <n v="135"/>
        <n v="55"/>
        <n v="118"/>
        <n v="161"/>
        <n v="177"/>
        <n v="40"/>
        <n v="30"/>
        <n v="76"/>
        <n v="79"/>
        <n v="60"/>
        <n v="53"/>
        <n v="88"/>
        <n v="50"/>
        <n v="3"/>
        <n v="2"/>
        <n v="67"/>
        <n v="59"/>
        <n v="69"/>
        <n v="28"/>
        <n v="47"/>
        <n v="7"/>
        <n v="61"/>
        <n v="46"/>
        <n v="49"/>
        <n v="38"/>
        <n v="25"/>
        <n v="8"/>
        <n v="54"/>
        <n v="33"/>
        <n v="12"/>
        <n v="16"/>
        <n v="5"/>
        <n v="19"/>
        <n v="15"/>
        <n v="-1"/>
        <n v="13"/>
        <n v="-18659"/>
      </sharedItems>
    </cacheField>
    <cacheField name="ENE2" numFmtId="0">
      <sharedItems containsString="0" containsBlank="1" containsNumber="1" containsInteger="1" minValue="-1" maxValue="10795"/>
    </cacheField>
    <cacheField name="FEB2" numFmtId="0">
      <sharedItems containsString="0" containsBlank="1" containsNumber="1" containsInteger="1" minValue="-31" maxValue="10506"/>
    </cacheField>
    <cacheField name="MAR2" numFmtId="0">
      <sharedItems containsString="0" containsBlank="1" containsNumber="1" containsInteger="1" minValue="1" maxValue="11011"/>
    </cacheField>
    <cacheField name="ABR2" numFmtId="0">
      <sharedItems containsString="0" containsBlank="1" containsNumber="1" containsInteger="1" minValue="-10" maxValue="9062"/>
    </cacheField>
    <cacheField name="MAY2" numFmtId="0">
      <sharedItems containsString="0" containsBlank="1" containsNumber="1" containsInteger="1" minValue="-372" maxValue="35000"/>
    </cacheField>
    <cacheField name="JUN2" numFmtId="0">
      <sharedItems containsString="0" containsBlank="1" containsNumber="1" containsInteger="1" minValue="-18425" maxValue="13280"/>
    </cacheField>
    <cacheField name="JUL2" numFmtId="0">
      <sharedItems containsString="0" containsBlank="1" containsNumber="1" containsInteger="1" minValue="-1518" maxValue="19198"/>
    </cacheField>
    <cacheField name="AGO2" numFmtId="0">
      <sharedItems containsString="0" containsBlank="1" containsNumber="1" containsInteger="1" minValue="-1571" maxValue="16119"/>
    </cacheField>
    <cacheField name="  - Precio_x000a_Promedio" numFmtId="0">
      <sharedItems containsMixedTypes="1" containsNumber="1" minValue="-1328.5992378048782" maxValue="15043.2925" count="188">
        <n v="123.51493301947923"/>
        <n v="212.44960450531167"/>
        <n v="122.21084399999999"/>
        <n v="1281.668598647818"/>
        <n v="104.69046211977057"/>
        <n v="224.41508942055481"/>
        <n v="395.99194278903457"/>
        <n v="902.53546079223929"/>
        <n v="171.47611146649609"/>
        <n v="93.02315774862933"/>
        <n v="104.74912466011295"/>
        <n v="318.5806763444408"/>
        <n v="3561.0406355932205"/>
        <n v="569.64151670951162"/>
        <n v="419.28010806916427"/>
        <n v="147.43036544850497"/>
        <n v="378.65848348348351"/>
        <s v="X"/>
        <n v="121.13196499999999"/>
        <n v="591.29592639593909"/>
        <n v="343.16951017332332"/>
        <n v="2320.0753403141362"/>
        <n v="603.55409655172411"/>
        <n v="-1328.5992378048782"/>
        <n v="730.26721008403365"/>
        <n v="350.81874326750449"/>
        <n v="241.08156581409858"/>
        <n v="190.78284874398716"/>
        <n v="334.61930702598653"/>
        <n v="1949.2492485549133"/>
        <n v="316.4008761904762"/>
        <n v="1148.9044982698963"/>
        <n v="3118.1551923076922"/>
        <n v="1119.6783805668017"/>
        <n v="917.8887666666667"/>
        <n v="771.95901129943502"/>
        <n v="828.70348684210524"/>
        <n v="167.80275420875421"/>
        <n v="277.24687906371912"/>
        <n v="250.6329784537389"/>
        <n v="1369.7858208955224"/>
        <n v="572.92632075471693"/>
        <n v="407.3719362186788"/>
        <n v="295.15977815699659"/>
        <n v="3917.2409090909091"/>
        <n v="607.34069090909088"/>
        <n v="818.55994999999996"/>
        <n v="688.78875555555555"/>
        <n v="644.83870833333333"/>
        <n v="13396.733636363637"/>
        <n v="389.92101063829784"/>
        <n v="291.64364729458919"/>
        <n v="5571.8762500000003"/>
        <n v="191.83616766467065"/>
        <n v="158.35439240506329"/>
        <n v="854.74055172413796"/>
        <n v="3014.340731707317"/>
        <n v="436.16448000000003"/>
        <n v="3003.3305555555557"/>
        <n v="1149.4245555555556"/>
        <n v="4628.7986363636364"/>
        <n v="503.6460696517413"/>
        <n v="1237.9166666666667"/>
        <n v="330.00756666666666"/>
        <n v="530.07843243243246"/>
        <n v="4326.1131818181821"/>
        <n v="359.89462450592885"/>
        <n v="107.68676328502416"/>
        <n v="437.91562189054724"/>
        <n v="408.87191387559807"/>
        <n v="252.52595166163141"/>
        <n v="661.10119999999995"/>
        <n v="273.11826666666667"/>
        <n v="397.2388292682927"/>
        <n v="1238.0533846153846"/>
        <n v="2211.6688571428572"/>
        <n v="215.81917142857142"/>
        <n v="188.78749999999999"/>
        <n v="1063.5775714285714"/>
        <n v="369.75605000000002"/>
        <n v="5182.6400000000003"/>
        <n v="344.1268"/>
        <n v="683.24699999999996"/>
        <n v="432.10539473684213"/>
        <n v="177.14983695652174"/>
        <n v="303.96037735849058"/>
        <n v="644.28393939393936"/>
        <n v="15043.2925"/>
        <n v="3002.424"/>
        <n v="622.40247311827954"/>
        <n v="287.27109999999999"/>
        <n v="281.16323076923078"/>
        <n v="466.15252173913041"/>
        <n v="250.19138095238094"/>
        <n v="218.38637499999999"/>
        <n v="320.36787500000003"/>
        <n v="284.01964497041422"/>
        <n v="231.94225"/>
        <n v="529.97360465116276"/>
        <n v="317.3738129496403"/>
        <n v="218.52324999999999"/>
        <n v="430.18284210526315"/>
        <n v="101.41"/>
        <n v="4433.847777777778"/>
        <n v="675.62465517241378"/>
        <n v="2137.0344444444445"/>
        <n v="281.15629629629632"/>
        <n v="674.17909090909086"/>
        <n v="312.63533898305087"/>
        <n v="251.26014814814815"/>
        <n v="208.2914906832298"/>
        <n v="186.44824858757062"/>
        <n v="311.17336538461541"/>
        <n v="323.09242424242422"/>
        <n v="445.91171428571431"/>
        <n v="764.33825000000002"/>
        <n v="1019.064"/>
        <n v="292.86169999999998"/>
        <n v="381.42328947368424"/>
        <n v="359.37734177215191"/>
        <n v="468.48200000000003"/>
        <n v="514.00603773584908"/>
        <n v="302.63544444444443"/>
        <n v="267.488"/>
        <n v="298.46113636363634"/>
        <n v="261.23430000000002"/>
        <n v="518.73140000000001"/>
        <n v="516.27440000000001"/>
        <n v="8356.8466666666664"/>
        <n v="233.84309999999999"/>
        <n v="11583.605"/>
        <n v="221.74080000000001"/>
        <n v="325.28761194029852"/>
        <n v="368.92186440677966"/>
        <n v="212.8741"/>
        <n v="300.53115942028984"/>
        <n v="585.48428571428576"/>
        <n v="726.14107142857142"/>
        <n v="422.13"/>
        <n v="306.10849999999999"/>
        <n v="367.21879999999999"/>
        <n v="2603.6042857142857"/>
        <n v="289.61573770491805"/>
        <n v="347.86959999999999"/>
        <n v="313.18309090909094"/>
        <n v="255.33261538461537"/>
        <n v="338.79717391304348"/>
        <n v="303.66000000000003"/>
        <n v="1360.8054545454545"/>
        <n v="294.74740000000003"/>
        <n v="146.36000000000001"/>
        <n v="360.82474999999999"/>
        <n v="288.87326530612245"/>
        <n v="355.0386842105263"/>
        <n v="465.58600000000001"/>
        <n v="256.24386363636364"/>
        <n v="184.39166666666668"/>
        <n v="231.99173913043478"/>
        <n v="1285.9825000000001"/>
        <n v="180.09537037037038"/>
        <n v="293.50151515151515"/>
        <n v="661.49"/>
        <n v="153.7062"/>
        <n v="223.92"/>
        <n v="242.74039999999999"/>
        <n v="205.44892857142858"/>
        <n v="472.93916666666667"/>
        <n v="2768.64"/>
        <n v="2766.05"/>
        <n v="675.71375"/>
        <n v="657.29250000000002"/>
        <n v="470.59727272727275"/>
        <n v="2234.42"/>
        <n v="265.66624999999999"/>
        <n v="721.83399999999995"/>
        <n v="184.13473684210527"/>
        <n v="230.39733333333334"/>
        <n v="269.75090909090909"/>
        <n v="569.83600000000001"/>
        <n v="613.90750000000003"/>
        <n v="301.31"/>
        <n v="918.81"/>
        <n v="652.66999999999996"/>
        <n v="208.32"/>
        <n v="194.92"/>
        <n v="9254.99"/>
        <n v="-724.1653846153846"/>
        <n v="77.275948335923687"/>
      </sharedItems>
    </cacheField>
    <cacheField name="ENE3" numFmtId="0">
      <sharedItems containsBlank="1" containsMixedTypes="1" containsNumber="1" minValue="103.36172839506173" maxValue="12732.703333333333"/>
    </cacheField>
    <cacheField name="FEB3" numFmtId="0">
      <sharedItems containsBlank="1" containsMixedTypes="1" containsNumber="1" minValue="112.86494193794022" maxValue="31146.09"/>
    </cacheField>
    <cacheField name="MAR3" numFmtId="0">
      <sharedItems containsBlank="1" containsMixedTypes="1" containsNumber="1" minValue="118.54156999999999" maxValue="25242.84"/>
    </cacheField>
    <cacheField name="ABR3" numFmtId="0">
      <sharedItems containsBlank="1" containsMixedTypes="1" containsNumber="1" minValue="111.49376047904192" maxValue="9417.9"/>
    </cacheField>
    <cacheField name="MAY3" numFmtId="0">
      <sharedItems containsBlank="1" containsMixedTypes="1" containsNumber="1" minValue="-264.52499999999998" maxValue="10260.535"/>
    </cacheField>
    <cacheField name="JUN3" numFmtId="0">
      <sharedItems containsBlank="1" containsMixedTypes="1" containsNumber="1" minValue="-98.845982905982908" maxValue="27060.360294117647"/>
    </cacheField>
    <cacheField name="JUL3" numFmtId="0">
      <sharedItems containsBlank="1" containsMixedTypes="1" containsNumber="1" minValue="-54928.194285714286" maxValue="8737.44"/>
    </cacheField>
    <cacheField name="AGO3" numFmtId="0">
      <sharedItems containsBlank="1" containsMixedTypes="1" containsNumber="1" minValue="79.790000000000006" maxValue="7685.3675000000003"/>
    </cacheField>
    <cacheField name="  - Kilogramos" numFmtId="0">
      <sharedItems containsString="0" containsBlank="1" containsNumber="1" minValue="-1210" maxValue="796841" count="178">
        <n v="796841"/>
        <m/>
        <n v="577094"/>
        <n v="33955"/>
        <n v="397768"/>
        <n v="278774"/>
        <n v="88764.2"/>
        <n v="21652"/>
        <n v="12842"/>
        <n v="317376"/>
        <n v="72726"/>
        <n v="110"/>
        <n v="17412"/>
        <n v="33290.199999999997"/>
        <n v="3908"/>
        <n v="9266"/>
        <n v="20520"/>
        <n v="1094"/>
        <n v="3895"/>
        <n v="25660"/>
        <n v="45658"/>
        <n v="131818"/>
        <n v="13618"/>
        <n v="9868"/>
        <n v="5168"/>
        <n v="23602"/>
        <n v="17270"/>
        <n v="66292"/>
        <n v="4166"/>
        <n v="2574"/>
        <n v="5300"/>
        <n v="149624"/>
        <n v="2327.1999999999998"/>
        <n v="28742"/>
        <n v="12375.6"/>
        <n v="42512"/>
        <n v="6866"/>
        <n v="6720"/>
        <n v="1516"/>
        <n v="5768"/>
        <n v="2154"/>
        <n v="697"/>
        <n v="4064"/>
        <n v="2034"/>
        <n v="14536"/>
        <n v="3842"/>
        <n v="5338"/>
        <n v="11286"/>
        <n v="3750"/>
        <n v="12332"/>
        <n v="526"/>
        <n v="30"/>
        <n v="1762"/>
        <n v="4018"/>
        <n v="4226"/>
        <n v="118"/>
        <n v="12764"/>
        <n v="9142"/>
        <n v="2843"/>
        <n v="3934"/>
        <n v="1578"/>
        <n v="1398"/>
        <n v="9180"/>
        <n v="4002"/>
        <n v="1354"/>
        <n v="70"/>
        <n v="5078"/>
        <n v="2476"/>
        <n v="1658"/>
        <n v="1330"/>
        <n v="2960"/>
        <n v="2210"/>
        <n v="1486"/>
        <n v="1314"/>
        <n v="3762"/>
        <n v="88"/>
        <n v="46"/>
        <n v="406"/>
        <n v="284"/>
        <n v="1044"/>
        <n v="12736"/>
        <n v="1928"/>
        <n v="420"/>
        <n v="2816"/>
        <n v="5110"/>
        <n v="1048"/>
        <n v="2064"/>
        <n v="8555"/>
        <n v="6082"/>
        <n v="3446"/>
        <n v="272"/>
        <n v="44"/>
        <n v="182"/>
        <n v="376"/>
        <n v="880"/>
        <n v="518"/>
        <n v="50"/>
        <n v="2837.9"/>
        <n v="3995"/>
        <n v="444"/>
        <n v="760"/>
        <n v="1420"/>
        <n v="352.1"/>
        <n v="426"/>
        <n v="468"/>
        <n v="361.8"/>
        <n v="1894"/>
        <n v="1458"/>
        <n v="2722"/>
        <n v="822"/>
        <n v="7706"/>
        <n v="12"/>
        <n v="538"/>
        <n v="1256"/>
        <n v="904"/>
        <n v="20"/>
        <n v="2400"/>
        <n v="1102"/>
        <n v="253"/>
        <n v="2130"/>
        <n v="1584"/>
        <n v="408"/>
        <n v="230"/>
        <n v="1774"/>
        <n v="134"/>
        <n v="262"/>
        <n v="412"/>
        <n v="254"/>
        <n v="452"/>
        <n v="578"/>
        <n v="1420.8"/>
        <n v="704"/>
        <n v="136"/>
        <n v="108"/>
        <n v="612"/>
        <n v="16"/>
        <n v="76"/>
        <n v="82"/>
        <n v="2036"/>
        <n v="190"/>
        <n v="746"/>
        <n v="3118"/>
        <n v="1266"/>
        <n v="74"/>
        <n v="1694"/>
        <n v="64"/>
        <n v="144"/>
        <n v="198"/>
        <n v="172"/>
        <n v="58"/>
        <n v="224"/>
        <n v="67"/>
        <n v="130"/>
        <n v="352"/>
        <n v="128"/>
        <n v="14"/>
        <n v="114"/>
        <n v="38"/>
        <n v="218.6"/>
        <n v="80"/>
        <n v="383.2"/>
        <n v="338"/>
        <n v="778"/>
        <n v="78"/>
        <n v="280"/>
        <n v="242"/>
        <n v="24"/>
        <n v="96"/>
        <n v="57"/>
        <n v="54"/>
        <n v="52"/>
        <n v="564"/>
        <n v="10"/>
        <n v="32"/>
        <n v="104"/>
        <n v="2"/>
        <n v="-308"/>
        <n v="-1210"/>
      </sharedItems>
    </cacheField>
    <cacheField name="ENE4" numFmtId="0">
      <sharedItems containsString="0" containsBlank="1" containsNumber="1" minValue="2" maxValue="59549" count="115">
        <n v="59549"/>
        <m/>
        <n v="12368"/>
        <n v="9630"/>
        <n v="46410"/>
        <n v="6740"/>
        <n v="3142"/>
        <n v="3186"/>
        <n v="17810"/>
        <n v="46"/>
        <n v="1818"/>
        <n v="2148"/>
        <n v="792"/>
        <n v="1026"/>
        <n v="4338"/>
        <n v="160"/>
        <n v="524"/>
        <n v="1328"/>
        <n v="19336"/>
        <n v="2396"/>
        <n v="1152"/>
        <n v="324"/>
        <n v="2268"/>
        <n v="1280"/>
        <n v="10884"/>
        <n v="382"/>
        <n v="1198"/>
        <n v="226"/>
        <n v="6422"/>
        <n v="4678"/>
        <n v="3495.8"/>
        <n v="6321.4"/>
        <n v="6052"/>
        <n v="1500"/>
        <n v="82"/>
        <n v="448"/>
        <n v="110"/>
        <n v="616"/>
        <n v="62"/>
        <n v="112"/>
        <n v="1272"/>
        <n v="2220"/>
        <n v="64"/>
        <n v="2"/>
        <n v="204"/>
        <n v="1016"/>
        <n v="4"/>
        <n v="12496"/>
        <n v="2274"/>
        <n v="736"/>
        <n v="148"/>
        <n v="562"/>
        <n v="1124"/>
        <n v="414"/>
        <n v="70"/>
        <n v="1368"/>
        <n v="338"/>
        <n v="10"/>
        <n v="26"/>
        <n v="456"/>
        <n v="12"/>
        <n v="154"/>
        <n v="458"/>
        <n v="8"/>
        <n v="14"/>
        <n v="318"/>
        <n v="68"/>
        <n v="12736"/>
        <n v="88"/>
        <n v="182"/>
        <n v="144"/>
        <n v="162"/>
        <n v="402"/>
        <n v="1266"/>
        <n v="32"/>
        <n v="194"/>
        <n v="41.7"/>
        <n v="232"/>
        <n v="22"/>
        <n v="176"/>
        <n v="231"/>
        <n v="476"/>
        <n v="358"/>
        <n v="1058"/>
        <n v="80"/>
        <n v="48"/>
        <n v="2326"/>
        <n v="34"/>
        <n v="74"/>
        <n v="102"/>
        <n v="370"/>
        <n v="66"/>
        <n v="1024"/>
        <n v="54"/>
        <n v="36"/>
        <n v="72"/>
        <n v="150"/>
        <n v="94"/>
        <n v="932.8"/>
        <n v="290"/>
        <n v="16"/>
        <n v="50"/>
        <n v="6"/>
        <n v="106"/>
        <n v="536"/>
        <n v="18"/>
        <n v="244"/>
        <n v="142"/>
        <n v="20"/>
        <n v="122"/>
        <n v="218.6"/>
        <n v="383.2"/>
        <n v="116"/>
        <n v="42"/>
        <n v="56"/>
      </sharedItems>
    </cacheField>
    <cacheField name="FEB4" numFmtId="0">
      <sharedItems containsString="0" containsBlank="1" containsNumber="1" minValue="-2670.5" maxValue="81360"/>
    </cacheField>
    <cacheField name="MAR4" numFmtId="0">
      <sharedItems containsString="0" containsBlank="1" containsNumber="1" minValue="-516" maxValue="185384"/>
    </cacheField>
    <cacheField name="ABR4" numFmtId="0">
      <sharedItems containsString="0" containsBlank="1" containsNumber="1" minValue="-134" maxValue="1334398"/>
    </cacheField>
    <cacheField name="MAY4" numFmtId="0">
      <sharedItems containsString="0" containsBlank="1" containsNumber="1" minValue="-340" maxValue="118464"/>
    </cacheField>
    <cacheField name="JUN4" numFmtId="0">
      <sharedItems containsString="0" containsBlank="1" containsNumber="1" minValue="-1149086" maxValue="145368"/>
    </cacheField>
    <cacheField name="JUL4" numFmtId="0">
      <sharedItems containsString="0" containsBlank="1" containsNumber="1" minValue="-1218" maxValue="260950"/>
    </cacheField>
    <cacheField name="AGO4" numFmtId="0">
      <sharedItems containsString="0" containsBlank="1" containsNumber="1" minValue="-166" maxValue="170732"/>
    </cacheField>
  </cacheFields>
  <extLst>
    <ext xmlns:x14="http://schemas.microsoft.com/office/spreadsheetml/2009/9/main" uri="{725AE2AE-9491-48be-B2B4-4EB974FC3084}">
      <x14:pivotCacheDefinition pivotCacheId="15150109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x v="0"/>
    <x v="0"/>
    <n v="9340075.7200000007"/>
    <n v="1609133.27"/>
    <n v="1185759.08"/>
    <n v="1365333.78"/>
    <n v="1060285.73"/>
    <n v="1272156.8799999999"/>
    <n v="1522694.07"/>
    <n v="1450063"/>
    <n v="-125350.09"/>
    <n v="10834487.83"/>
    <x v="0"/>
    <x v="0"/>
    <x v="0"/>
    <x v="0"/>
    <x v="0"/>
    <x v="0"/>
    <x v="0"/>
    <x v="0"/>
    <x v="0"/>
    <n v="10795"/>
    <n v="10506"/>
    <n v="11011"/>
    <n v="9062"/>
    <n v="11167"/>
    <n v="13280"/>
    <n v="11369"/>
    <n v="-1571"/>
    <x v="0"/>
    <n v="149.06283186660491"/>
    <n v="112.86494193794022"/>
    <n v="123.99725547180093"/>
    <n v="117.00350143456191"/>
    <n v="113.92109608668397"/>
    <n v="114.66069804216868"/>
    <n v="127.54534259829362"/>
    <n v="79.790000000000006"/>
    <x v="0"/>
    <x v="0"/>
    <n v="81360"/>
    <n v="185384"/>
    <n v="62932"/>
    <n v="89472"/>
    <n v="145368"/>
    <n v="172776"/>
    <m/>
  </r>
  <r>
    <x v="1"/>
    <x v="1"/>
    <x v="1"/>
    <n v="4979606.28"/>
    <n v="582577.66"/>
    <n v="904022.52"/>
    <n v="1275687"/>
    <n v="1022849"/>
    <n v="1392158.21"/>
    <n v="178046.23"/>
    <n v="-375734.34"/>
    <m/>
    <n v="5776343.29"/>
    <x v="1"/>
    <x v="1"/>
    <x v="1"/>
    <x v="1"/>
    <x v="1"/>
    <x v="1"/>
    <x v="1"/>
    <x v="1"/>
    <x v="1"/>
    <n v="2530"/>
    <n v="5960"/>
    <n v="5646"/>
    <n v="4248"/>
    <n v="5939"/>
    <n v="634"/>
    <n v="-1518"/>
    <m/>
    <x v="1"/>
    <n v="230.26784980237153"/>
    <n v="151.68163087248323"/>
    <n v="225.94527098831031"/>
    <n v="240.78366290018832"/>
    <n v="234.40953190772856"/>
    <n v="280.83001577287064"/>
    <n v="247.51932806324112"/>
    <m/>
    <x v="1"/>
    <x v="1"/>
    <m/>
    <m/>
    <m/>
    <m/>
    <m/>
    <m/>
    <m/>
  </r>
  <r>
    <x v="1"/>
    <x v="2"/>
    <x v="2"/>
    <n v="4277379.54"/>
    <n v="26916.99"/>
    <m/>
    <m/>
    <n v="3033430.75"/>
    <n v="3347904.3"/>
    <n v="-2687081.27"/>
    <n v="556208.77"/>
    <m/>
    <n v="4961760.2699999996"/>
    <x v="2"/>
    <x v="2"/>
    <x v="2"/>
    <x v="2"/>
    <x v="2"/>
    <x v="2"/>
    <x v="2"/>
    <x v="1"/>
    <x v="2"/>
    <m/>
    <m/>
    <m/>
    <m/>
    <n v="35000"/>
    <m/>
    <m/>
    <m/>
    <x v="2"/>
    <s v="X"/>
    <m/>
    <m/>
    <s v="X"/>
    <n v="95.654408571428576"/>
    <s v="X"/>
    <s v="X"/>
    <m/>
    <x v="2"/>
    <x v="2"/>
    <m/>
    <m/>
    <n v="1334398"/>
    <n v="118464"/>
    <n v="-1149086"/>
    <n v="260950"/>
    <m/>
  </r>
  <r>
    <x v="1"/>
    <x v="3"/>
    <x v="3"/>
    <n v="4170549.62"/>
    <n v="957639.94"/>
    <n v="851890.12"/>
    <n v="982757.81"/>
    <n v="46894.23"/>
    <m/>
    <n v="-34694.94"/>
    <n v="913136.32"/>
    <n v="452926.14"/>
    <n v="4837837.63"/>
    <x v="3"/>
    <x v="3"/>
    <x v="3"/>
    <x v="3"/>
    <x v="3"/>
    <x v="3"/>
    <x v="3"/>
    <x v="2"/>
    <x v="3"/>
    <n v="541"/>
    <n v="424"/>
    <n v="388"/>
    <n v="65"/>
    <m/>
    <n v="351"/>
    <n v="1199"/>
    <n v="286"/>
    <x v="3"/>
    <n v="1770.1292791127541"/>
    <n v="2009.1748113207548"/>
    <n v="2532.8809536082476"/>
    <n v="721.44969230769232"/>
    <m/>
    <n v="-98.845982905982908"/>
    <n v="761.58158465387828"/>
    <n v="1583.6578321678321"/>
    <x v="3"/>
    <x v="3"/>
    <n v="5444"/>
    <n v="5736"/>
    <n v="855"/>
    <m/>
    <n v="1606"/>
    <n v="9126"/>
    <n v="1558"/>
  </r>
  <r>
    <x v="1"/>
    <x v="4"/>
    <x v="4"/>
    <n v="3851248.03"/>
    <m/>
    <n v="9172.2900000000009"/>
    <m/>
    <m/>
    <m/>
    <n v="144262.71"/>
    <n v="1999010.57"/>
    <n v="1698802.46"/>
    <n v="4467447.7"/>
    <x v="4"/>
    <x v="4"/>
    <x v="2"/>
    <x v="4"/>
    <x v="3"/>
    <x v="4"/>
    <x v="4"/>
    <x v="3"/>
    <x v="4"/>
    <m/>
    <n v="50"/>
    <m/>
    <m/>
    <m/>
    <n v="1420"/>
    <n v="19198"/>
    <n v="16119"/>
    <x v="4"/>
    <m/>
    <n v="183.44579999999999"/>
    <m/>
    <m/>
    <m/>
    <n v="101.59345774647888"/>
    <n v="104.12598031044901"/>
    <n v="105.39130591227745"/>
    <x v="4"/>
    <x v="1"/>
    <n v="4"/>
    <m/>
    <m/>
    <m/>
    <n v="11158"/>
    <n v="215874"/>
    <n v="170732"/>
  </r>
  <r>
    <x v="1"/>
    <x v="5"/>
    <x v="5"/>
    <n v="2823366.24"/>
    <n v="534686.47"/>
    <n v="754796.38"/>
    <n v="72850.899999999994"/>
    <n v="372456.45"/>
    <n v="280140.13"/>
    <n v="410815.55"/>
    <n v="397620.36"/>
    <m/>
    <n v="3275104.86"/>
    <x v="5"/>
    <x v="5"/>
    <x v="4"/>
    <x v="5"/>
    <x v="4"/>
    <x v="5"/>
    <x v="5"/>
    <x v="1"/>
    <x v="5"/>
    <n v="2091"/>
    <n v="2446"/>
    <n v="296"/>
    <n v="1728"/>
    <n v="1502"/>
    <n v="2296"/>
    <n v="2222"/>
    <m/>
    <x v="5"/>
    <n v="255.70849832615974"/>
    <n v="308.58396565821749"/>
    <n v="246.11790540540542"/>
    <n v="215.54192708333332"/>
    <n v="186.51140479360853"/>
    <n v="178.92663327526131"/>
    <n v="178.94705670567058"/>
    <m/>
    <x v="5"/>
    <x v="4"/>
    <n v="68154"/>
    <n v="5270"/>
    <n v="46484"/>
    <n v="29854"/>
    <n v="41286"/>
    <n v="41316"/>
    <m/>
  </r>
  <r>
    <x v="1"/>
    <x v="6"/>
    <x v="6"/>
    <n v="2657897.92"/>
    <n v="263555.61"/>
    <n v="592284.54"/>
    <n v="385113.42"/>
    <n v="496858.05"/>
    <n v="332272.95"/>
    <n v="293675.06"/>
    <n v="127316.93"/>
    <n v="166821.35999999999"/>
    <n v="3073691.02"/>
    <x v="6"/>
    <x v="6"/>
    <x v="5"/>
    <x v="6"/>
    <x v="5"/>
    <x v="6"/>
    <x v="6"/>
    <x v="4"/>
    <x v="6"/>
    <n v="646"/>
    <n v="1076"/>
    <n v="906"/>
    <n v="923"/>
    <n v="856"/>
    <n v="1089"/>
    <n v="655"/>
    <n v="561"/>
    <x v="6"/>
    <n v="407.98082043343652"/>
    <n v="550.45031598513015"/>
    <n v="425.07"/>
    <n v="538.30774647887324"/>
    <n v="388.16933411214956"/>
    <n v="269.67406795224974"/>
    <n v="194.3769923664122"/>
    <n v="297.36427807486632"/>
    <x v="6"/>
    <x v="5"/>
    <n v="15658.2"/>
    <n v="15836"/>
    <n v="16442"/>
    <n v="9226"/>
    <n v="13658"/>
    <n v="4342"/>
    <n v="6862"/>
  </r>
  <r>
    <x v="1"/>
    <x v="7"/>
    <x v="7"/>
    <n v="2232872.73"/>
    <n v="306576.34999999998"/>
    <n v="368990.66"/>
    <n v="276356.18"/>
    <n v="304124.51"/>
    <n v="362680.65"/>
    <n v="273189.39"/>
    <n v="340954.99"/>
    <m/>
    <n v="2589914.5499999998"/>
    <x v="7"/>
    <x v="7"/>
    <x v="6"/>
    <x v="7"/>
    <x v="6"/>
    <x v="7"/>
    <x v="7"/>
    <x v="1"/>
    <x v="7"/>
    <n v="336"/>
    <n v="396"/>
    <n v="348"/>
    <n v="340"/>
    <n v="382"/>
    <n v="316"/>
    <n v="356"/>
    <m/>
    <x v="7"/>
    <n v="912.4296130952381"/>
    <n v="931.79459595959599"/>
    <n v="794.12695402298846"/>
    <n v="894.48385294117645"/>
    <n v="949.42578534031418"/>
    <n v="864.52338607594936"/>
    <n v="957.7387359550562"/>
    <m/>
    <x v="7"/>
    <x v="6"/>
    <n v="3700"/>
    <n v="3104"/>
    <n v="2668"/>
    <n v="3422"/>
    <n v="2242"/>
    <n v="3374"/>
    <m/>
  </r>
  <r>
    <x v="0"/>
    <x v="8"/>
    <x v="8"/>
    <n v="2144480.25"/>
    <n v="496055.99"/>
    <n v="284900.74"/>
    <n v="233701.2"/>
    <n v="259376.18"/>
    <n v="309481.5"/>
    <n v="274240.8"/>
    <n v="286723.84000000003"/>
    <m/>
    <n v="2487597.09"/>
    <x v="8"/>
    <x v="8"/>
    <x v="7"/>
    <x v="8"/>
    <x v="7"/>
    <x v="8"/>
    <x v="8"/>
    <x v="1"/>
    <x v="8"/>
    <n v="2905"/>
    <n v="1635"/>
    <n v="1503"/>
    <n v="1600"/>
    <n v="1688"/>
    <n v="1588"/>
    <n v="1587"/>
    <m/>
    <x v="8"/>
    <n v="170.7593769363167"/>
    <n v="174.25121712538225"/>
    <n v="155.48982035928145"/>
    <n v="162.11011250000001"/>
    <n v="183.34212085308056"/>
    <n v="172.69571788413097"/>
    <n v="180.67034656584752"/>
    <m/>
    <x v="8"/>
    <x v="7"/>
    <n v="1980"/>
    <n v="648"/>
    <n v="1024"/>
    <n v="2500"/>
    <n v="1724"/>
    <n v="1780"/>
    <m/>
  </r>
  <r>
    <x v="1"/>
    <x v="9"/>
    <x v="9"/>
    <n v="1340370.68"/>
    <m/>
    <m/>
    <m/>
    <n v="186194.58"/>
    <n v="2071.96"/>
    <n v="430821"/>
    <n v="328043.62"/>
    <n v="393239.52"/>
    <n v="1554829.99"/>
    <x v="4"/>
    <x v="2"/>
    <x v="2"/>
    <x v="9"/>
    <x v="8"/>
    <x v="9"/>
    <x v="9"/>
    <x v="5"/>
    <x v="9"/>
    <m/>
    <m/>
    <m/>
    <n v="1670"/>
    <n v="13"/>
    <n v="4525"/>
    <n v="3669"/>
    <n v="4532"/>
    <x v="9"/>
    <m/>
    <m/>
    <m/>
    <n v="111.49376047904192"/>
    <n v="159.38153846153847"/>
    <n v="95.209060773480658"/>
    <n v="89.409544835104924"/>
    <n v="86.769532215357458"/>
    <x v="9"/>
    <x v="1"/>
    <m/>
    <m/>
    <n v="38880"/>
    <n v="130"/>
    <n v="99640"/>
    <n v="87560"/>
    <n v="91166"/>
  </r>
  <r>
    <x v="1"/>
    <x v="10"/>
    <x v="10"/>
    <n v="1001611.13"/>
    <m/>
    <m/>
    <m/>
    <m/>
    <m/>
    <n v="313290.84000000003"/>
    <n v="688320.29"/>
    <m/>
    <n v="1161868.9099999999"/>
    <x v="4"/>
    <x v="2"/>
    <x v="2"/>
    <x v="4"/>
    <x v="3"/>
    <x v="10"/>
    <x v="10"/>
    <x v="1"/>
    <x v="10"/>
    <m/>
    <m/>
    <m/>
    <m/>
    <m/>
    <n v="2972"/>
    <n v="6590"/>
    <m/>
    <x v="10"/>
    <m/>
    <m/>
    <m/>
    <m/>
    <m/>
    <n v="105.41414535666217"/>
    <n v="104.44920940819424"/>
    <m/>
    <x v="1"/>
    <x v="1"/>
    <m/>
    <m/>
    <m/>
    <m/>
    <m/>
    <m/>
    <m/>
  </r>
  <r>
    <x v="0"/>
    <x v="11"/>
    <x v="11"/>
    <n v="965618.03"/>
    <n v="227496.12"/>
    <n v="148770.49"/>
    <n v="123336.06"/>
    <n v="125415.36"/>
    <n v="111447.77"/>
    <n v="93610.07"/>
    <n v="135542.16"/>
    <m/>
    <n v="1120116.92"/>
    <x v="9"/>
    <x v="9"/>
    <x v="8"/>
    <x v="10"/>
    <x v="9"/>
    <x v="11"/>
    <x v="11"/>
    <x v="1"/>
    <x v="11"/>
    <n v="685"/>
    <n v="470"/>
    <n v="386"/>
    <n v="400"/>
    <n v="359"/>
    <n v="322"/>
    <n v="409"/>
    <m/>
    <x v="11"/>
    <n v="332.11112408759124"/>
    <n v="316.5329574468085"/>
    <n v="319.52347150259067"/>
    <n v="313.53840000000002"/>
    <n v="310.43947075208916"/>
    <n v="290.71450310559004"/>
    <n v="331.39892420537899"/>
    <m/>
    <x v="10"/>
    <x v="8"/>
    <n v="11078"/>
    <n v="8834"/>
    <n v="9302"/>
    <n v="8916"/>
    <n v="6962"/>
    <n v="9824"/>
    <m/>
  </r>
  <r>
    <x v="0"/>
    <x v="12"/>
    <x v="12"/>
    <n v="840405.59"/>
    <n v="147739.63"/>
    <n v="58193.87"/>
    <n v="141075.01999999999"/>
    <n v="171816.27"/>
    <n v="87938.99"/>
    <n v="156198.21"/>
    <n v="77443.600000000006"/>
    <m/>
    <n v="974870.48"/>
    <x v="10"/>
    <x v="10"/>
    <x v="9"/>
    <x v="11"/>
    <x v="10"/>
    <x v="12"/>
    <x v="12"/>
    <x v="1"/>
    <x v="12"/>
    <n v="46"/>
    <n v="18"/>
    <n v="35"/>
    <n v="47"/>
    <n v="27"/>
    <n v="43"/>
    <n v="20"/>
    <m/>
    <x v="12"/>
    <n v="3211.7310869565217"/>
    <n v="3232.992777777778"/>
    <n v="4030.714857142857"/>
    <n v="3655.6653191489363"/>
    <n v="3256.9996296296295"/>
    <n v="3632.5165116279068"/>
    <n v="3872.18"/>
    <m/>
    <x v="11"/>
    <x v="9"/>
    <n v="10"/>
    <m/>
    <n v="24"/>
    <m/>
    <n v="20"/>
    <n v="10"/>
    <m/>
  </r>
  <r>
    <x v="1"/>
    <x v="13"/>
    <x v="13"/>
    <n v="664771.65"/>
    <n v="85892.4"/>
    <n v="82395.429999999993"/>
    <n v="63800.38"/>
    <n v="49644.01"/>
    <n v="86277.48"/>
    <n v="96923.01"/>
    <n v="106535.74"/>
    <n v="93303.2"/>
    <n v="771135.1"/>
    <x v="11"/>
    <x v="11"/>
    <x v="10"/>
    <x v="12"/>
    <x v="11"/>
    <x v="13"/>
    <x v="13"/>
    <x v="6"/>
    <x v="13"/>
    <n v="137"/>
    <n v="155"/>
    <n v="121"/>
    <n v="102"/>
    <n v="157"/>
    <n v="178"/>
    <n v="146"/>
    <n v="171"/>
    <x v="13"/>
    <n v="626.95182481751829"/>
    <n v="531.58341935483872"/>
    <n v="527.27586776859505"/>
    <n v="486.70598039215685"/>
    <n v="549.53808917197455"/>
    <n v="544.51129213483148"/>
    <n v="729.69684931506845"/>
    <n v="545.6327485380117"/>
    <x v="12"/>
    <x v="10"/>
    <n v="2716"/>
    <n v="1396"/>
    <n v="1340"/>
    <n v="2136"/>
    <n v="3278"/>
    <n v="2004"/>
    <n v="2724"/>
  </r>
  <r>
    <x v="1"/>
    <x v="14"/>
    <x v="14"/>
    <n v="581960.79"/>
    <n v="26684.92"/>
    <n v="17760.400000000001"/>
    <n v="14311.76"/>
    <n v="3511.7"/>
    <n v="71131.5"/>
    <n v="98968.17"/>
    <n v="349592.34"/>
    <m/>
    <n v="675074.52"/>
    <x v="12"/>
    <x v="12"/>
    <x v="11"/>
    <x v="13"/>
    <x v="12"/>
    <x v="14"/>
    <x v="14"/>
    <x v="1"/>
    <x v="14"/>
    <n v="25"/>
    <n v="17"/>
    <n v="15"/>
    <n v="4"/>
    <n v="26"/>
    <n v="17"/>
    <n v="1284"/>
    <m/>
    <x v="14"/>
    <n v="1067.3968"/>
    <n v="1044.7294117647059"/>
    <n v="954.11733333333336"/>
    <n v="877.92499999999995"/>
    <n v="2735.8269230769229"/>
    <n v="5821.657058823529"/>
    <n v="272.26817757009348"/>
    <m/>
    <x v="13"/>
    <x v="11"/>
    <n v="556"/>
    <n v="590"/>
    <n v="396"/>
    <n v="1186"/>
    <n v="10718"/>
    <n v="17696.2"/>
    <m/>
  </r>
  <r>
    <x v="1"/>
    <x v="15"/>
    <x v="15"/>
    <n v="576895.02"/>
    <n v="33875.53"/>
    <n v="29243.74"/>
    <n v="150639.99"/>
    <n v="73445.37"/>
    <n v="45458.12"/>
    <n v="97467.41"/>
    <n v="146764.85999999999"/>
    <m/>
    <n v="669198.23"/>
    <x v="13"/>
    <x v="13"/>
    <x v="12"/>
    <x v="14"/>
    <x v="13"/>
    <x v="15"/>
    <x v="15"/>
    <x v="1"/>
    <x v="15"/>
    <n v="264"/>
    <n v="204"/>
    <n v="983"/>
    <n v="505"/>
    <n v="303"/>
    <n v="658"/>
    <n v="996"/>
    <m/>
    <x v="15"/>
    <n v="128.31640151515151"/>
    <n v="143.35166666666666"/>
    <n v="153.24515768056969"/>
    <n v="145.43637623762376"/>
    <n v="150.02679867986799"/>
    <n v="148.12676291793312"/>
    <n v="147.35427710843373"/>
    <m/>
    <x v="14"/>
    <x v="12"/>
    <n v="172"/>
    <n v="1182"/>
    <n v="236"/>
    <n v="230"/>
    <n v="506"/>
    <n v="790"/>
    <m/>
  </r>
  <r>
    <x v="0"/>
    <x v="16"/>
    <x v="16"/>
    <n v="504373.1"/>
    <n v="52347.44"/>
    <n v="67738.080000000002"/>
    <n v="55041.79"/>
    <n v="55136.91"/>
    <n v="47453.09"/>
    <n v="68667.38"/>
    <n v="91169.09"/>
    <n v="66819.320000000007"/>
    <n v="585072.78"/>
    <x v="14"/>
    <x v="14"/>
    <x v="13"/>
    <x v="15"/>
    <x v="14"/>
    <x v="16"/>
    <x v="16"/>
    <x v="7"/>
    <x v="16"/>
    <n v="161"/>
    <n v="171"/>
    <n v="130"/>
    <n v="151"/>
    <n v="141"/>
    <n v="178"/>
    <n v="216"/>
    <n v="184"/>
    <x v="16"/>
    <n v="325.13937888198757"/>
    <n v="396.12912280701755"/>
    <n v="423.3983846153846"/>
    <n v="365.14509933774832"/>
    <n v="336.54673758865249"/>
    <n v="385.77179775280899"/>
    <n v="422.07912037037039"/>
    <n v="363.14847826086958"/>
    <x v="15"/>
    <x v="13"/>
    <n v="918"/>
    <n v="706"/>
    <n v="766"/>
    <n v="700"/>
    <n v="1754"/>
    <n v="2350"/>
    <n v="1046"/>
  </r>
  <r>
    <x v="1"/>
    <x v="17"/>
    <x v="17"/>
    <n v="491574.48"/>
    <n v="359997.07"/>
    <n v="131577.41"/>
    <m/>
    <m/>
    <m/>
    <m/>
    <m/>
    <m/>
    <n v="493128.94"/>
    <x v="15"/>
    <x v="15"/>
    <x v="2"/>
    <x v="4"/>
    <x v="3"/>
    <x v="17"/>
    <x v="17"/>
    <x v="1"/>
    <x v="17"/>
    <m/>
    <m/>
    <m/>
    <m/>
    <m/>
    <m/>
    <m/>
    <m/>
    <x v="17"/>
    <s v="X"/>
    <s v="X"/>
    <m/>
    <m/>
    <m/>
    <m/>
    <m/>
    <m/>
    <x v="1"/>
    <x v="1"/>
    <m/>
    <m/>
    <m/>
    <m/>
    <m/>
    <m/>
    <m/>
  </r>
  <r>
    <x v="1"/>
    <x v="18"/>
    <x v="18"/>
    <n v="484842.6"/>
    <n v="70444.37"/>
    <n v="101823.03"/>
    <n v="156630.54"/>
    <n v="130731.8"/>
    <n v="5364.08"/>
    <n v="1948.35"/>
    <n v="17900.43"/>
    <m/>
    <n v="562417.42000000004"/>
    <x v="16"/>
    <x v="16"/>
    <x v="14"/>
    <x v="16"/>
    <x v="15"/>
    <x v="18"/>
    <x v="18"/>
    <x v="1"/>
    <x v="17"/>
    <m/>
    <m/>
    <m/>
    <m/>
    <m/>
    <m/>
    <m/>
    <m/>
    <x v="17"/>
    <s v="X"/>
    <s v="X"/>
    <s v="X"/>
    <s v="X"/>
    <s v="X"/>
    <s v="X"/>
    <s v="X"/>
    <m/>
    <x v="16"/>
    <x v="14"/>
    <n v="4516"/>
    <n v="7368"/>
    <n v="3658"/>
    <n v="104"/>
    <n v="40"/>
    <n v="496"/>
    <m/>
  </r>
  <r>
    <x v="1"/>
    <x v="19"/>
    <x v="19"/>
    <n v="484527.86"/>
    <n v="1703.12"/>
    <n v="2940.48"/>
    <n v="118698.22"/>
    <n v="1063.21"/>
    <n v="1464.97"/>
    <n v="778.73"/>
    <n v="356747.47"/>
    <n v="1131.6600000000001"/>
    <n v="562052.32999999996"/>
    <x v="17"/>
    <x v="17"/>
    <x v="15"/>
    <x v="17"/>
    <x v="16"/>
    <x v="19"/>
    <x v="19"/>
    <x v="8"/>
    <x v="18"/>
    <m/>
    <m/>
    <n v="1000"/>
    <m/>
    <m/>
    <m/>
    <n v="3000"/>
    <m/>
    <x v="18"/>
    <s v="X"/>
    <s v="X"/>
    <n v="118.69822000000001"/>
    <s v="X"/>
    <s v="X"/>
    <s v="X"/>
    <n v="118.91582333333334"/>
    <s v="X"/>
    <x v="17"/>
    <x v="15"/>
    <n v="228"/>
    <n v="134"/>
    <n v="84"/>
    <n v="82"/>
    <n v="100"/>
    <n v="172"/>
    <n v="134"/>
  </r>
  <r>
    <x v="1"/>
    <x v="20"/>
    <x v="20"/>
    <n v="465941.19"/>
    <n v="59934.74"/>
    <n v="66046.95"/>
    <m/>
    <n v="66885.13"/>
    <n v="49411.08"/>
    <n v="13748.45"/>
    <n v="209914.84"/>
    <m/>
    <n v="540491.79"/>
    <x v="18"/>
    <x v="18"/>
    <x v="2"/>
    <x v="18"/>
    <x v="17"/>
    <x v="20"/>
    <x v="20"/>
    <x v="1"/>
    <x v="19"/>
    <n v="286"/>
    <n v="36"/>
    <m/>
    <n v="35"/>
    <n v="33"/>
    <n v="16"/>
    <n v="382"/>
    <m/>
    <x v="19"/>
    <n v="209.56202797202798"/>
    <n v="1834.6375"/>
    <m/>
    <n v="1911.0037142857143"/>
    <n v="1497.3054545454545"/>
    <n v="859.27812500000005"/>
    <n v="549.51528795811521"/>
    <m/>
    <x v="18"/>
    <x v="16"/>
    <m/>
    <m/>
    <n v="38"/>
    <n v="26"/>
    <n v="174"/>
    <n v="3133"/>
    <m/>
  </r>
  <r>
    <x v="1"/>
    <x v="21"/>
    <x v="21"/>
    <n v="455385.94"/>
    <n v="13416.37"/>
    <n v="39711.61"/>
    <n v="51234.99"/>
    <n v="118696.92"/>
    <n v="118346.64"/>
    <n v="48250.09"/>
    <n v="24163.68"/>
    <n v="41565.64"/>
    <n v="528247.68999999994"/>
    <x v="19"/>
    <x v="19"/>
    <x v="16"/>
    <x v="19"/>
    <x v="18"/>
    <x v="21"/>
    <x v="21"/>
    <x v="9"/>
    <x v="20"/>
    <n v="66"/>
    <n v="142"/>
    <n v="176"/>
    <n v="192"/>
    <n v="319"/>
    <n v="178"/>
    <n v="82"/>
    <n v="172"/>
    <x v="20"/>
    <n v="203.27833333333334"/>
    <n v="279.65922535211268"/>
    <n v="291.10789772727276"/>
    <n v="618.21312499999999"/>
    <n v="370.99260188087771"/>
    <n v="271.0679213483146"/>
    <n v="294.67902439024391"/>
    <n v="241.6606976744186"/>
    <x v="19"/>
    <x v="17"/>
    <n v="2902"/>
    <n v="3060"/>
    <n v="4994"/>
    <n v="5554"/>
    <n v="3692"/>
    <n v="1338"/>
    <n v="2792"/>
  </r>
  <r>
    <x v="1"/>
    <x v="22"/>
    <x v="22"/>
    <n v="443134.39"/>
    <n v="255708.77"/>
    <n v="3883.04"/>
    <m/>
    <n v="-12807.3"/>
    <n v="79391.34"/>
    <n v="97428.67"/>
    <n v="19529.87"/>
    <m/>
    <n v="514035.9"/>
    <x v="20"/>
    <x v="20"/>
    <x v="2"/>
    <x v="20"/>
    <x v="19"/>
    <x v="22"/>
    <x v="22"/>
    <x v="1"/>
    <x v="21"/>
    <n v="100"/>
    <n v="4"/>
    <m/>
    <n v="-10"/>
    <n v="42"/>
    <n v="45"/>
    <n v="10"/>
    <m/>
    <x v="21"/>
    <n v="2557.0877"/>
    <n v="970.76"/>
    <m/>
    <n v="1280.73"/>
    <n v="1890.27"/>
    <n v="2165.0815555555555"/>
    <n v="1952.9870000000001"/>
    <m/>
    <x v="1"/>
    <x v="1"/>
    <m/>
    <m/>
    <m/>
    <m/>
    <m/>
    <m/>
    <m/>
  </r>
  <r>
    <x v="2"/>
    <x v="23"/>
    <x v="23"/>
    <n v="437576.72"/>
    <m/>
    <n v="14616.96"/>
    <n v="58065.41"/>
    <n v="93629.01"/>
    <n v="58986.53"/>
    <n v="112711.4"/>
    <n v="26317.86"/>
    <n v="73249.55"/>
    <n v="507589"/>
    <x v="4"/>
    <x v="21"/>
    <x v="17"/>
    <x v="21"/>
    <x v="20"/>
    <x v="23"/>
    <x v="23"/>
    <x v="10"/>
    <x v="22"/>
    <m/>
    <m/>
    <n v="105"/>
    <n v="190"/>
    <n v="100"/>
    <n v="230"/>
    <m/>
    <n v="100"/>
    <x v="22"/>
    <m/>
    <s v="X"/>
    <n v="553.00390476190478"/>
    <n v="492.78426315789471"/>
    <n v="589.86530000000005"/>
    <n v="490.04956521739132"/>
    <s v="X"/>
    <n v="732.49549999999999"/>
    <x v="20"/>
    <x v="1"/>
    <n v="1536"/>
    <n v="4262"/>
    <n v="7110"/>
    <n v="7674"/>
    <n v="13454"/>
    <n v="2150"/>
    <n v="9472"/>
  </r>
  <r>
    <x v="1"/>
    <x v="24"/>
    <x v="24"/>
    <n v="435780.55"/>
    <n v="35182"/>
    <m/>
    <m/>
    <n v="308678.58"/>
    <n v="41055.599999999999"/>
    <n v="-4064.1"/>
    <n v="26486.52"/>
    <n v="28441.95"/>
    <n v="505505.44"/>
    <x v="21"/>
    <x v="2"/>
    <x v="2"/>
    <x v="22"/>
    <x v="21"/>
    <x v="24"/>
    <x v="24"/>
    <x v="11"/>
    <x v="23"/>
    <m/>
    <m/>
    <m/>
    <m/>
    <m/>
    <n v="-328"/>
    <m/>
    <m/>
    <x v="23"/>
    <s v="X"/>
    <m/>
    <m/>
    <s v="X"/>
    <s v="X"/>
    <n v="12.3905487804878"/>
    <s v="X"/>
    <s v="X"/>
    <x v="21"/>
    <x v="18"/>
    <m/>
    <m/>
    <n v="68288"/>
    <n v="15640"/>
    <n v="10436"/>
    <n v="9016"/>
    <n v="9102"/>
  </r>
  <r>
    <x v="1"/>
    <x v="25"/>
    <x v="25"/>
    <n v="434508.99"/>
    <n v="72155.570000000007"/>
    <n v="12407.87"/>
    <n v="16688.71"/>
    <n v="65086.82"/>
    <n v="98296.41"/>
    <n v="86027.43"/>
    <n v="83846.179999999993"/>
    <m/>
    <n v="503803.31"/>
    <x v="22"/>
    <x v="22"/>
    <x v="18"/>
    <x v="23"/>
    <x v="22"/>
    <x v="25"/>
    <x v="25"/>
    <x v="1"/>
    <x v="24"/>
    <n v="126"/>
    <n v="30"/>
    <n v="24"/>
    <n v="113"/>
    <n v="112"/>
    <n v="101"/>
    <n v="89"/>
    <m/>
    <x v="24"/>
    <n v="572.66325396825403"/>
    <n v="413.59566666666666"/>
    <n v="695.36291666666671"/>
    <n v="575.98955752212385"/>
    <n v="877.64651785714284"/>
    <n v="851.75673267326738"/>
    <n v="942.09191011235953"/>
    <m/>
    <x v="22"/>
    <x v="19"/>
    <n v="424"/>
    <n v="574"/>
    <n v="2048"/>
    <n v="3160"/>
    <n v="2464"/>
    <n v="2552"/>
    <m/>
  </r>
  <r>
    <x v="0"/>
    <x v="26"/>
    <x v="26"/>
    <n v="390812.08"/>
    <n v="42006.91"/>
    <n v="53480.66"/>
    <n v="43261.67"/>
    <n v="34990.54"/>
    <n v="44146.58"/>
    <n v="42629.18"/>
    <n v="79780.17"/>
    <n v="50516.37"/>
    <n v="453342.03"/>
    <x v="23"/>
    <x v="23"/>
    <x v="19"/>
    <x v="24"/>
    <x v="23"/>
    <x v="26"/>
    <x v="26"/>
    <x v="12"/>
    <x v="25"/>
    <n v="118"/>
    <n v="146"/>
    <n v="119"/>
    <n v="95"/>
    <n v="130"/>
    <n v="118"/>
    <n v="246"/>
    <n v="142"/>
    <x v="25"/>
    <n v="355.99076271186442"/>
    <n v="366.30589041095891"/>
    <n v="363.54344537815126"/>
    <n v="368.3214736842105"/>
    <n v="339.5890769230769"/>
    <n v="361.26423728813558"/>
    <n v="324.30963414634147"/>
    <n v="355.74908450704226"/>
    <x v="23"/>
    <x v="20"/>
    <n v="1436"/>
    <n v="1078"/>
    <n v="938"/>
    <n v="1004"/>
    <n v="1182"/>
    <n v="1966"/>
    <n v="1112"/>
  </r>
  <r>
    <x v="1"/>
    <x v="27"/>
    <x v="27"/>
    <n v="386453.75"/>
    <n v="12470.3"/>
    <n v="51918.239999999998"/>
    <n v="51522.03"/>
    <n v="43856.73"/>
    <n v="58723.65"/>
    <n v="77197.070000000007"/>
    <n v="50118.2"/>
    <n v="40647.53"/>
    <n v="448286.34"/>
    <x v="24"/>
    <x v="24"/>
    <x v="20"/>
    <x v="25"/>
    <x v="24"/>
    <x v="27"/>
    <x v="27"/>
    <x v="13"/>
    <x v="26"/>
    <n v="40"/>
    <n v="165"/>
    <n v="202"/>
    <n v="192"/>
    <n v="262"/>
    <n v="359"/>
    <n v="216"/>
    <n v="167"/>
    <x v="26"/>
    <n v="311.75749999999999"/>
    <n v="314.65600000000001"/>
    <n v="255.05955445544555"/>
    <n v="228.42046875"/>
    <n v="224.13606870229009"/>
    <n v="215.03362116991644"/>
    <n v="232.02870370370371"/>
    <n v="243.39838323353294"/>
    <x v="24"/>
    <x v="21"/>
    <n v="496"/>
    <n v="854"/>
    <n v="256"/>
    <n v="708"/>
    <n v="1338"/>
    <n v="470"/>
    <n v="722"/>
  </r>
  <r>
    <x v="1"/>
    <x v="28"/>
    <x v="28"/>
    <n v="356954.71"/>
    <n v="37698.620000000003"/>
    <n v="53108.14"/>
    <n v="47338.879999999997"/>
    <n v="51872.66"/>
    <n v="49417.9"/>
    <n v="59592.19"/>
    <n v="57926.32"/>
    <m/>
    <n v="414067.46"/>
    <x v="25"/>
    <x v="25"/>
    <x v="21"/>
    <x v="26"/>
    <x v="25"/>
    <x v="28"/>
    <x v="28"/>
    <x v="1"/>
    <x v="27"/>
    <n v="251"/>
    <n v="304"/>
    <n v="248"/>
    <n v="290"/>
    <n v="270"/>
    <n v="243"/>
    <n v="265"/>
    <m/>
    <x v="27"/>
    <n v="150.19370517928286"/>
    <n v="174.69782894736841"/>
    <n v="190.88258064516128"/>
    <n v="178.87124137931033"/>
    <n v="183.02925925925925"/>
    <n v="245.23534979423869"/>
    <n v="218.58988679245283"/>
    <m/>
    <x v="25"/>
    <x v="22"/>
    <n v="4038"/>
    <n v="2872"/>
    <n v="3616"/>
    <n v="3502"/>
    <n v="3078"/>
    <n v="4228"/>
    <m/>
  </r>
  <r>
    <x v="1"/>
    <x v="29"/>
    <x v="29"/>
    <n v="347669.46"/>
    <n v="31969.88"/>
    <n v="29408.78"/>
    <n v="118541.57"/>
    <n v="18835.8"/>
    <n v="24588.560000000001"/>
    <n v="30569.25"/>
    <n v="55904.73"/>
    <n v="37850.89"/>
    <n v="403296.57"/>
    <x v="26"/>
    <x v="26"/>
    <x v="22"/>
    <x v="27"/>
    <x v="26"/>
    <x v="29"/>
    <x v="29"/>
    <x v="14"/>
    <x v="28"/>
    <n v="6"/>
    <n v="6"/>
    <n v="1000"/>
    <n v="2"/>
    <n v="6"/>
    <n v="6"/>
    <n v="8"/>
    <n v="5"/>
    <x v="28"/>
    <n v="5328.3133333333335"/>
    <n v="4901.4633333333331"/>
    <n v="118.54156999999999"/>
    <n v="9417.9"/>
    <n v="4098.0933333333332"/>
    <n v="5094.875"/>
    <n v="6988.0912500000004"/>
    <n v="7570.1779999999999"/>
    <x v="26"/>
    <x v="23"/>
    <n v="2122"/>
    <n v="2362"/>
    <n v="2532"/>
    <n v="1812"/>
    <n v="3472"/>
    <n v="1742"/>
    <n v="1948"/>
  </r>
  <r>
    <x v="0"/>
    <x v="30"/>
    <x v="30"/>
    <n v="337220.12"/>
    <n v="38198.11"/>
    <n v="31146.09"/>
    <n v="64470.99"/>
    <n v="58691.64"/>
    <n v="41042.14"/>
    <n v="34402.83"/>
    <n v="31873.75"/>
    <n v="37394.57"/>
    <n v="391175.36"/>
    <x v="27"/>
    <x v="27"/>
    <x v="23"/>
    <x v="28"/>
    <x v="27"/>
    <x v="30"/>
    <x v="30"/>
    <x v="15"/>
    <x v="29"/>
    <n v="3"/>
    <n v="1"/>
    <n v="6"/>
    <n v="15"/>
    <n v="4"/>
    <n v="7"/>
    <n v="23"/>
    <n v="114"/>
    <x v="29"/>
    <n v="12732.703333333333"/>
    <n v="31146.09"/>
    <n v="10745.165000000001"/>
    <n v="3912.7759999999998"/>
    <n v="10260.535"/>
    <n v="4914.6899999999996"/>
    <n v="1385.8152173913043"/>
    <n v="328.02254385964915"/>
    <x v="27"/>
    <x v="24"/>
    <n v="8844"/>
    <n v="11310"/>
    <n v="9214"/>
    <n v="7440"/>
    <n v="6758"/>
    <n v="7370"/>
    <n v="4472"/>
  </r>
  <r>
    <x v="0"/>
    <x v="31"/>
    <x v="31"/>
    <n v="332220.92"/>
    <n v="11773.24"/>
    <n v="48136.78"/>
    <n v="10370.1"/>
    <n v="40735.72"/>
    <n v="22548.400000000001"/>
    <n v="167369.57999999999"/>
    <n v="12392.33"/>
    <n v="18894.77"/>
    <n v="385376.26"/>
    <x v="28"/>
    <x v="28"/>
    <x v="24"/>
    <x v="29"/>
    <x v="28"/>
    <x v="31"/>
    <x v="31"/>
    <x v="16"/>
    <x v="30"/>
    <m/>
    <n v="150"/>
    <m/>
    <n v="100"/>
    <m/>
    <n v="800"/>
    <m/>
    <m/>
    <x v="30"/>
    <s v="X"/>
    <n v="320.9118666666667"/>
    <s v="X"/>
    <n v="407.35719999999998"/>
    <s v="X"/>
    <n v="209.211975"/>
    <s v="X"/>
    <s v="X"/>
    <x v="28"/>
    <x v="25"/>
    <n v="592"/>
    <n v="334"/>
    <n v="684"/>
    <n v="710"/>
    <n v="458"/>
    <n v="398"/>
    <n v="608"/>
  </r>
  <r>
    <x v="0"/>
    <x v="32"/>
    <x v="32"/>
    <n v="332033.40000000002"/>
    <n v="36235.61"/>
    <n v="259859.20000000001"/>
    <m/>
    <n v="260284.79999999999"/>
    <n v="-259859.20000000001"/>
    <n v="4685.05"/>
    <n v="30827.94"/>
    <m/>
    <n v="343513.18"/>
    <x v="29"/>
    <x v="29"/>
    <x v="2"/>
    <x v="30"/>
    <x v="29"/>
    <x v="32"/>
    <x v="32"/>
    <x v="1"/>
    <x v="31"/>
    <n v="163"/>
    <m/>
    <m/>
    <m/>
    <m/>
    <n v="16"/>
    <n v="110"/>
    <m/>
    <x v="31"/>
    <n v="222.30435582822085"/>
    <s v="X"/>
    <m/>
    <s v="X"/>
    <s v="X"/>
    <n v="292.81562500000001"/>
    <n v="280.25400000000002"/>
    <m/>
    <x v="29"/>
    <x v="26"/>
    <m/>
    <m/>
    <m/>
    <m/>
    <n v="204"/>
    <n v="1172"/>
    <m/>
  </r>
  <r>
    <x v="1"/>
    <x v="33"/>
    <x v="33"/>
    <n v="324288.14"/>
    <n v="12776.78"/>
    <n v="20479.52"/>
    <n v="13797.41"/>
    <n v="17074.55"/>
    <n v="78360.88"/>
    <n v="920052.25"/>
    <n v="-768994.72"/>
    <n v="30741.47"/>
    <n v="337704.54"/>
    <x v="30"/>
    <x v="30"/>
    <x v="25"/>
    <x v="31"/>
    <x v="30"/>
    <x v="33"/>
    <x v="33"/>
    <x v="17"/>
    <x v="32"/>
    <n v="5"/>
    <n v="7"/>
    <n v="14"/>
    <n v="6"/>
    <n v="20"/>
    <n v="34"/>
    <n v="14"/>
    <n v="4"/>
    <x v="32"/>
    <n v="2555.3560000000002"/>
    <n v="2925.6457142857143"/>
    <n v="985.52928571428572"/>
    <n v="2845.7583333333332"/>
    <n v="3918.0439999999999"/>
    <n v="27060.360294117647"/>
    <n v="-54928.194285714286"/>
    <n v="7685.3675000000003"/>
    <x v="30"/>
    <x v="27"/>
    <n v="804"/>
    <n v="556"/>
    <n v="588"/>
    <n v="1204"/>
    <n v="1400"/>
    <n v="522"/>
    <m/>
  </r>
  <r>
    <x v="1"/>
    <x v="34"/>
    <x v="34"/>
    <n v="283256.38"/>
    <n v="19266"/>
    <m/>
    <n v="11241"/>
    <n v="77624.52"/>
    <n v="174908.38"/>
    <n v="216.48"/>
    <m/>
    <m/>
    <n v="328577.40000000002"/>
    <x v="31"/>
    <x v="2"/>
    <x v="26"/>
    <x v="32"/>
    <x v="31"/>
    <x v="34"/>
    <x v="17"/>
    <x v="1"/>
    <x v="17"/>
    <m/>
    <m/>
    <m/>
    <m/>
    <m/>
    <m/>
    <m/>
    <m/>
    <x v="17"/>
    <s v="X"/>
    <m/>
    <s v="X"/>
    <s v="X"/>
    <s v="X"/>
    <s v="X"/>
    <m/>
    <m/>
    <x v="31"/>
    <x v="28"/>
    <m/>
    <n v="3747"/>
    <n v="33993"/>
    <n v="105330"/>
    <n v="132"/>
    <m/>
    <m/>
  </r>
  <r>
    <x v="1"/>
    <x v="35"/>
    <x v="35"/>
    <n v="276560.56"/>
    <n v="119977.08"/>
    <n v="-48142.31"/>
    <n v="76975.179999999993"/>
    <n v="127104.83"/>
    <n v="645.78"/>
    <m/>
    <m/>
    <m/>
    <n v="286260.99"/>
    <x v="32"/>
    <x v="31"/>
    <x v="27"/>
    <x v="33"/>
    <x v="32"/>
    <x v="17"/>
    <x v="17"/>
    <x v="1"/>
    <x v="33"/>
    <n v="121"/>
    <n v="-31"/>
    <n v="70"/>
    <n v="86"/>
    <n v="1"/>
    <m/>
    <m/>
    <m/>
    <x v="33"/>
    <n v="991.54611570247937"/>
    <n v="1552.9777419354839"/>
    <n v="1099.6454285714285"/>
    <n v="1477.9631395348838"/>
    <n v="645.78"/>
    <m/>
    <m/>
    <m/>
    <x v="32"/>
    <x v="29"/>
    <n v="-2670.5"/>
    <n v="134"/>
    <n v="169"/>
    <n v="16.7"/>
    <m/>
    <m/>
    <m/>
  </r>
  <r>
    <x v="2"/>
    <x v="36"/>
    <x v="36"/>
    <n v="275366.63"/>
    <m/>
    <n v="4576.53"/>
    <n v="42395.13"/>
    <n v="47314.76"/>
    <n v="40551.370000000003"/>
    <n v="46492.12"/>
    <n v="46488.17"/>
    <n v="47548.55"/>
    <n v="319425.28999999998"/>
    <x v="4"/>
    <x v="32"/>
    <x v="28"/>
    <x v="34"/>
    <x v="33"/>
    <x v="35"/>
    <x v="34"/>
    <x v="18"/>
    <x v="34"/>
    <m/>
    <m/>
    <n v="50"/>
    <n v="50"/>
    <n v="50"/>
    <n v="50"/>
    <n v="50"/>
    <n v="50"/>
    <x v="34"/>
    <m/>
    <s v="X"/>
    <n v="847.90260000000001"/>
    <n v="946.29520000000002"/>
    <n v="811.02739999999994"/>
    <n v="929.8424"/>
    <n v="929.76340000000005"/>
    <n v="950.971"/>
    <x v="33"/>
    <x v="1"/>
    <n v="390"/>
    <n v="4822"/>
    <n v="3480"/>
    <n v="4292"/>
    <n v="5216"/>
    <n v="5270"/>
    <n v="5272"/>
  </r>
  <r>
    <x v="2"/>
    <x v="37"/>
    <x v="37"/>
    <n v="273273.49"/>
    <n v="75201.240000000005"/>
    <n v="27351.7"/>
    <n v="25822.99"/>
    <n v="35089.03"/>
    <n v="27074.97"/>
    <n v="35512.61"/>
    <n v="47220.95"/>
    <m/>
    <n v="316997.21000000002"/>
    <x v="33"/>
    <x v="33"/>
    <x v="29"/>
    <x v="35"/>
    <x v="34"/>
    <x v="36"/>
    <x v="35"/>
    <x v="1"/>
    <x v="35"/>
    <n v="80"/>
    <n v="44"/>
    <n v="47"/>
    <n v="54"/>
    <n v="46"/>
    <n v="36"/>
    <n v="47"/>
    <m/>
    <x v="35"/>
    <n v="940.01549999999997"/>
    <n v="621.62954545454545"/>
    <n v="549.42531914893618"/>
    <n v="649.7968518518519"/>
    <n v="588.58630434782606"/>
    <n v="986.46138888888891"/>
    <n v="1004.7010638297872"/>
    <m/>
    <x v="34"/>
    <x v="30"/>
    <n v="1203.8"/>
    <n v="1629.4"/>
    <n v="1455.8"/>
    <n v="1166.5999999999999"/>
    <n v="1854.4"/>
    <n v="1569.8"/>
    <m/>
  </r>
  <r>
    <x v="0"/>
    <x v="38"/>
    <x v="38"/>
    <n v="251925.86"/>
    <n v="34770.15"/>
    <n v="38615.800000000003"/>
    <n v="24407.9"/>
    <n v="40482.870000000003"/>
    <n v="34429.14"/>
    <n v="44969.8"/>
    <n v="34250.199999999997"/>
    <m/>
    <n v="291277.46000000002"/>
    <x v="34"/>
    <x v="34"/>
    <x v="30"/>
    <x v="36"/>
    <x v="35"/>
    <x v="37"/>
    <x v="36"/>
    <x v="1"/>
    <x v="36"/>
    <n v="49"/>
    <n v="30"/>
    <n v="33"/>
    <n v="54"/>
    <n v="31"/>
    <n v="69"/>
    <n v="38"/>
    <m/>
    <x v="36"/>
    <n v="709.59489795918364"/>
    <n v="1287.1933333333334"/>
    <n v="739.63333333333333"/>
    <n v="749.6827777777778"/>
    <n v="1110.6174193548386"/>
    <n v="651.73623188405793"/>
    <n v="901.32105263157894"/>
    <m/>
    <x v="35"/>
    <x v="31"/>
    <n v="7393"/>
    <n v="2846.4"/>
    <n v="6049.4"/>
    <n v="5304.6"/>
    <n v="8095.8"/>
    <n v="6501.4"/>
    <m/>
  </r>
  <r>
    <x v="0"/>
    <x v="39"/>
    <x v="39"/>
    <n v="249187.09"/>
    <n v="207844.51"/>
    <n v="41342.58"/>
    <m/>
    <m/>
    <m/>
    <m/>
    <m/>
    <m/>
    <n v="289057.02"/>
    <x v="35"/>
    <x v="35"/>
    <x v="2"/>
    <x v="4"/>
    <x v="3"/>
    <x v="17"/>
    <x v="17"/>
    <x v="1"/>
    <x v="37"/>
    <n v="1228"/>
    <n v="257"/>
    <m/>
    <m/>
    <m/>
    <m/>
    <m/>
    <m/>
    <x v="37"/>
    <n v="169.25448697068404"/>
    <n v="160.86607003891052"/>
    <m/>
    <m/>
    <m/>
    <m/>
    <m/>
    <m/>
    <x v="36"/>
    <x v="32"/>
    <n v="814"/>
    <m/>
    <m/>
    <m/>
    <m/>
    <m/>
    <m/>
  </r>
  <r>
    <x v="1"/>
    <x v="40"/>
    <x v="40"/>
    <n v="213202.85"/>
    <m/>
    <m/>
    <m/>
    <m/>
    <n v="4569.5"/>
    <n v="95877.5"/>
    <n v="112755.85"/>
    <m/>
    <n v="247315.31"/>
    <x v="4"/>
    <x v="2"/>
    <x v="2"/>
    <x v="4"/>
    <x v="36"/>
    <x v="38"/>
    <x v="37"/>
    <x v="1"/>
    <x v="38"/>
    <m/>
    <m/>
    <m/>
    <m/>
    <n v="18"/>
    <n v="333"/>
    <n v="418"/>
    <m/>
    <x v="38"/>
    <m/>
    <m/>
    <m/>
    <m/>
    <n v="253.86111111111111"/>
    <n v="287.92042042042044"/>
    <n v="269.75083732057413"/>
    <m/>
    <x v="1"/>
    <x v="1"/>
    <m/>
    <m/>
    <m/>
    <n v="624"/>
    <n v="-624"/>
    <m/>
    <m/>
  </r>
  <r>
    <x v="1"/>
    <x v="41"/>
    <x v="41"/>
    <n v="197749.42"/>
    <n v="44631.41"/>
    <n v="14074.75"/>
    <n v="26304.26"/>
    <n v="23135.93"/>
    <n v="33887.79"/>
    <n v="26480.44"/>
    <n v="29234.84"/>
    <m/>
    <n v="229389.32"/>
    <x v="36"/>
    <x v="36"/>
    <x v="31"/>
    <x v="37"/>
    <x v="37"/>
    <x v="39"/>
    <x v="38"/>
    <x v="1"/>
    <x v="39"/>
    <n v="191"/>
    <n v="58"/>
    <n v="109"/>
    <n v="92"/>
    <n v="130"/>
    <n v="89"/>
    <n v="120"/>
    <m/>
    <x v="39"/>
    <n v="233.67230366492146"/>
    <n v="242.66810344827587"/>
    <n v="241.3234862385321"/>
    <n v="251.47749999999999"/>
    <n v="260.67530769230768"/>
    <n v="297.53303370786517"/>
    <n v="243.62366666666668"/>
    <m/>
    <x v="37"/>
    <x v="33"/>
    <n v="262"/>
    <n v="904"/>
    <n v="622"/>
    <n v="1336"/>
    <n v="1240"/>
    <n v="856"/>
    <m/>
  </r>
  <r>
    <x v="1"/>
    <x v="42"/>
    <x v="42"/>
    <n v="183551.3"/>
    <n v="40715.53"/>
    <n v="16846.810000000001"/>
    <n v="17464.62"/>
    <n v="55471.87"/>
    <n v="12730.9"/>
    <n v="12135.72"/>
    <n v="26561.53"/>
    <n v="1624.32"/>
    <n v="193705.79"/>
    <x v="37"/>
    <x v="37"/>
    <x v="32"/>
    <x v="38"/>
    <x v="38"/>
    <x v="40"/>
    <x v="39"/>
    <x v="19"/>
    <x v="40"/>
    <n v="31"/>
    <n v="20"/>
    <n v="22"/>
    <n v="20"/>
    <n v="17"/>
    <n v="7"/>
    <n v="14"/>
    <n v="3"/>
    <x v="40"/>
    <n v="1313.4041935483872"/>
    <n v="842.34050000000002"/>
    <n v="793.84636363636366"/>
    <n v="2773.5934999999999"/>
    <n v="748.87647058823529"/>
    <n v="1733.6742857142858"/>
    <n v="1897.2521428571429"/>
    <n v="541.44000000000005"/>
    <x v="38"/>
    <x v="34"/>
    <n v="139"/>
    <n v="168"/>
    <n v="467.8"/>
    <n v="366.8"/>
    <n v="104"/>
    <n v="188.4"/>
    <m/>
  </r>
  <r>
    <x v="1"/>
    <x v="43"/>
    <x v="43"/>
    <n v="182190.57"/>
    <n v="30083.22"/>
    <n v="52675.25"/>
    <n v="19540.87"/>
    <n v="111873.06"/>
    <n v="65826"/>
    <n v="96882.34"/>
    <n v="49044.91"/>
    <m/>
    <n v="211341.06"/>
    <x v="4"/>
    <x v="2"/>
    <x v="2"/>
    <x v="4"/>
    <x v="39"/>
    <x v="41"/>
    <x v="40"/>
    <x v="1"/>
    <x v="41"/>
    <m/>
    <m/>
    <m/>
    <m/>
    <n v="61"/>
    <n v="166"/>
    <n v="91"/>
    <m/>
    <x v="41"/>
    <m/>
    <m/>
    <m/>
    <m/>
    <n v="594.48065573770486"/>
    <n v="583.62855421686743"/>
    <n v="538.95505494505494"/>
    <m/>
    <x v="39"/>
    <x v="1"/>
    <m/>
    <m/>
    <m/>
    <n v="1940"/>
    <n v="2080"/>
    <n v="1748"/>
    <m/>
  </r>
  <r>
    <x v="1"/>
    <x v="44"/>
    <x v="44"/>
    <n v="178836.28"/>
    <n v="35400.46"/>
    <n v="16650.560000000001"/>
    <n v="22867.06"/>
    <n v="25588.76"/>
    <n v="22479.24"/>
    <n v="20415.080000000002"/>
    <n v="19760.04"/>
    <n v="15675.08"/>
    <n v="207450.1"/>
    <x v="38"/>
    <x v="38"/>
    <x v="33"/>
    <x v="39"/>
    <x v="40"/>
    <x v="42"/>
    <x v="41"/>
    <x v="20"/>
    <x v="42"/>
    <n v="95"/>
    <n v="44"/>
    <n v="46"/>
    <n v="57"/>
    <n v="55"/>
    <n v="52"/>
    <n v="47"/>
    <n v="43"/>
    <x v="42"/>
    <n v="372.63642105263159"/>
    <n v="378.4218181818182"/>
    <n v="497.11"/>
    <n v="448.92561403508773"/>
    <n v="408.71345454545457"/>
    <n v="392.59769230769228"/>
    <n v="420.42638297872338"/>
    <n v="364.53674418604652"/>
    <x v="40"/>
    <x v="35"/>
    <n v="178"/>
    <n v="344"/>
    <n v="314"/>
    <n v="274"/>
    <n v="222"/>
    <n v="234"/>
    <n v="140"/>
  </r>
  <r>
    <x v="1"/>
    <x v="45"/>
    <x v="45"/>
    <n v="172963.63"/>
    <n v="18715.599999999999"/>
    <n v="15443.28"/>
    <n v="22067.55"/>
    <n v="24416.44"/>
    <n v="18869.57"/>
    <n v="18012.75"/>
    <n v="33195.760000000002"/>
    <n v="22242.68"/>
    <n v="199764.81"/>
    <x v="39"/>
    <x v="39"/>
    <x v="34"/>
    <x v="40"/>
    <x v="41"/>
    <x v="43"/>
    <x v="42"/>
    <x v="21"/>
    <x v="43"/>
    <n v="62"/>
    <n v="55"/>
    <n v="72"/>
    <n v="84"/>
    <n v="66"/>
    <n v="68"/>
    <n v="103"/>
    <n v="76"/>
    <x v="43"/>
    <n v="301.86451612903227"/>
    <n v="280.78690909090909"/>
    <n v="306.49374999999998"/>
    <n v="290.67190476190478"/>
    <n v="285.90257575757573"/>
    <n v="264.89338235294116"/>
    <n v="322.28893203883496"/>
    <n v="292.66684210526319"/>
    <x v="41"/>
    <x v="36"/>
    <n v="36"/>
    <n v="81"/>
    <n v="88"/>
    <n v="38"/>
    <n v="4"/>
    <n v="146"/>
    <n v="194"/>
  </r>
  <r>
    <x v="1"/>
    <x v="46"/>
    <x v="46"/>
    <n v="172358.6"/>
    <n v="8131.96"/>
    <n v="15067.76"/>
    <m/>
    <n v="30541.5"/>
    <n v="30883.68"/>
    <n v="13134.08"/>
    <n v="42369.96"/>
    <n v="32229.66"/>
    <n v="199935.97"/>
    <x v="40"/>
    <x v="40"/>
    <x v="2"/>
    <x v="41"/>
    <x v="42"/>
    <x v="44"/>
    <x v="43"/>
    <x v="22"/>
    <x v="44"/>
    <n v="2"/>
    <n v="4"/>
    <m/>
    <n v="8"/>
    <n v="8"/>
    <n v="4"/>
    <n v="10"/>
    <n v="8"/>
    <x v="44"/>
    <n v="4065.98"/>
    <n v="3766.94"/>
    <m/>
    <n v="3817.6875"/>
    <n v="3860.46"/>
    <n v="3283.52"/>
    <n v="4236.9960000000001"/>
    <n v="4028.7075"/>
    <x v="1"/>
    <x v="1"/>
    <m/>
    <m/>
    <m/>
    <m/>
    <m/>
    <m/>
    <m/>
  </r>
  <r>
    <x v="2"/>
    <x v="47"/>
    <x v="47"/>
    <n v="167018.69"/>
    <n v="16214.58"/>
    <n v="35966.11"/>
    <n v="22165.79"/>
    <n v="21962.28"/>
    <n v="15513.6"/>
    <n v="38367.480000000003"/>
    <n v="16828.849999999999"/>
    <m/>
    <n v="193741.68"/>
    <x v="41"/>
    <x v="41"/>
    <x v="35"/>
    <x v="42"/>
    <x v="43"/>
    <x v="45"/>
    <x v="44"/>
    <x v="1"/>
    <x v="45"/>
    <n v="37"/>
    <n v="43"/>
    <n v="22"/>
    <n v="38"/>
    <n v="36"/>
    <n v="70"/>
    <n v="29"/>
    <m/>
    <x v="45"/>
    <n v="438.23189189189191"/>
    <n v="836.42116279069762"/>
    <n v="1007.5359090909091"/>
    <n v="577.95473684210526"/>
    <n v="430.93333333333334"/>
    <n v="548.10685714285717"/>
    <n v="580.30517241379312"/>
    <m/>
    <x v="42"/>
    <x v="37"/>
    <n v="604"/>
    <n v="720"/>
    <n v="498"/>
    <n v="526"/>
    <n v="750"/>
    <n v="350"/>
    <m/>
  </r>
  <r>
    <x v="1"/>
    <x v="48"/>
    <x v="48"/>
    <n v="163711.99"/>
    <n v="1187.6199999999999"/>
    <n v="28800.79"/>
    <n v="15274.11"/>
    <n v="39926.089999999997"/>
    <n v="18017"/>
    <n v="17260.14"/>
    <n v="10411.24"/>
    <n v="32835"/>
    <n v="189905.91"/>
    <x v="42"/>
    <x v="42"/>
    <x v="36"/>
    <x v="43"/>
    <x v="44"/>
    <x v="46"/>
    <x v="45"/>
    <x v="23"/>
    <x v="46"/>
    <m/>
    <m/>
    <m/>
    <n v="100"/>
    <m/>
    <m/>
    <m/>
    <n v="100"/>
    <x v="46"/>
    <s v="X"/>
    <s v="X"/>
    <s v="X"/>
    <n v="399.26089999999999"/>
    <s v="X"/>
    <s v="X"/>
    <s v="X"/>
    <n v="328.35"/>
    <x v="43"/>
    <x v="38"/>
    <n v="658"/>
    <n v="298"/>
    <n v="114"/>
    <n v="364"/>
    <n v="332"/>
    <n v="206"/>
    <m/>
  </r>
  <r>
    <x v="2"/>
    <x v="49"/>
    <x v="49"/>
    <n v="154977.47"/>
    <m/>
    <n v="34022.43"/>
    <n v="11631.82"/>
    <n v="41804.769999999997"/>
    <n v="15080.32"/>
    <n v="17078.41"/>
    <n v="15744.24"/>
    <n v="19615.48"/>
    <n v="179773.87"/>
    <x v="4"/>
    <x v="43"/>
    <x v="37"/>
    <x v="44"/>
    <x v="45"/>
    <x v="47"/>
    <x v="46"/>
    <x v="24"/>
    <x v="47"/>
    <m/>
    <n v="50"/>
    <m/>
    <n v="75"/>
    <n v="25"/>
    <n v="25"/>
    <n v="25"/>
    <n v="25"/>
    <x v="47"/>
    <m/>
    <n v="680.44860000000006"/>
    <s v="X"/>
    <n v="557.39693333333332"/>
    <n v="603.21280000000002"/>
    <n v="683.13639999999998"/>
    <n v="629.76959999999997"/>
    <n v="784.61919999999998"/>
    <x v="44"/>
    <x v="1"/>
    <n v="3610"/>
    <n v="260"/>
    <n v="3180"/>
    <n v="1692"/>
    <n v="1908"/>
    <n v="1776"/>
    <n v="2110"/>
  </r>
  <r>
    <x v="1"/>
    <x v="50"/>
    <x v="50"/>
    <n v="154761.29"/>
    <n v="40391.230000000003"/>
    <n v="24454.86"/>
    <n v="20682.490000000002"/>
    <n v="18659.689999999999"/>
    <n v="-5290.5"/>
    <n v="22787.41"/>
    <n v="33076.11"/>
    <m/>
    <n v="179523.1"/>
    <x v="43"/>
    <x v="44"/>
    <x v="38"/>
    <x v="45"/>
    <x v="46"/>
    <x v="48"/>
    <x v="47"/>
    <x v="1"/>
    <x v="48"/>
    <n v="28"/>
    <n v="50"/>
    <n v="35"/>
    <n v="36"/>
    <n v="20"/>
    <n v="46"/>
    <n v="25"/>
    <m/>
    <x v="48"/>
    <n v="1442.5439285714285"/>
    <n v="489.09719999999999"/>
    <n v="590.92828571428572"/>
    <n v="518.32472222222225"/>
    <n v="-264.52499999999998"/>
    <n v="495.37847826086954"/>
    <n v="1323.0444"/>
    <m/>
    <x v="45"/>
    <x v="39"/>
    <n v="448"/>
    <n v="672"/>
    <n v="878"/>
    <n v="620"/>
    <n v="768"/>
    <n v="344"/>
    <m/>
  </r>
  <r>
    <x v="1"/>
    <x v="51"/>
    <x v="51"/>
    <n v="147364.07"/>
    <n v="43030.01"/>
    <n v="10961.14"/>
    <n v="2405.73"/>
    <n v="44151.17"/>
    <n v="4111.16"/>
    <n v="16492.54"/>
    <n v="26212.32"/>
    <m/>
    <n v="170942.33"/>
    <x v="44"/>
    <x v="45"/>
    <x v="39"/>
    <x v="46"/>
    <x v="47"/>
    <x v="49"/>
    <x v="48"/>
    <x v="1"/>
    <x v="49"/>
    <m/>
    <m/>
    <m/>
    <n v="6"/>
    <m/>
    <n v="2"/>
    <n v="3"/>
    <m/>
    <x v="49"/>
    <s v="X"/>
    <s v="X"/>
    <s v="X"/>
    <n v="7358.5283333333336"/>
    <s v="X"/>
    <n v="8246.27"/>
    <n v="8737.44"/>
    <m/>
    <x v="46"/>
    <x v="40"/>
    <n v="600"/>
    <n v="120"/>
    <n v="36"/>
    <n v="350"/>
    <n v="1240"/>
    <n v="1720"/>
    <m/>
  </r>
  <r>
    <x v="1"/>
    <x v="52"/>
    <x v="52"/>
    <n v="146610.29999999999"/>
    <n v="28726.92"/>
    <n v="32624.16"/>
    <n v="24836.55"/>
    <n v="20131.93"/>
    <n v="8454.2199999999993"/>
    <n v="20125.68"/>
    <n v="11710.84"/>
    <m/>
    <n v="170067.96"/>
    <x v="45"/>
    <x v="46"/>
    <x v="40"/>
    <x v="47"/>
    <x v="48"/>
    <x v="50"/>
    <x v="49"/>
    <x v="1"/>
    <x v="50"/>
    <n v="83"/>
    <n v="98"/>
    <n v="56"/>
    <n v="48"/>
    <n v="24"/>
    <n v="38"/>
    <n v="29"/>
    <m/>
    <x v="50"/>
    <n v="346.10746987951808"/>
    <n v="332.89959183673471"/>
    <n v="443.50982142857146"/>
    <n v="419.41520833333334"/>
    <n v="352.25916666666666"/>
    <n v="529.62315789473689"/>
    <n v="403.82206896551725"/>
    <m/>
    <x v="47"/>
    <x v="41"/>
    <n v="1996"/>
    <n v="2190"/>
    <n v="1572"/>
    <n v="618"/>
    <n v="1812"/>
    <n v="878"/>
    <m/>
  </r>
  <r>
    <x v="2"/>
    <x v="53"/>
    <x v="53"/>
    <n v="145530.18"/>
    <m/>
    <n v="227.65"/>
    <n v="60435.05"/>
    <n v="10422.56"/>
    <m/>
    <n v="69835.710000000006"/>
    <n v="4609.21"/>
    <m/>
    <n v="168815"/>
    <x v="4"/>
    <x v="47"/>
    <x v="41"/>
    <x v="48"/>
    <x v="3"/>
    <x v="51"/>
    <x v="50"/>
    <x v="1"/>
    <x v="51"/>
    <m/>
    <n v="1"/>
    <n v="215"/>
    <n v="36"/>
    <m/>
    <n v="229"/>
    <n v="18"/>
    <m/>
    <x v="51"/>
    <m/>
    <n v="227.65"/>
    <n v="281.09325581395348"/>
    <n v="289.51555555555558"/>
    <m/>
    <n v="304.95943231441049"/>
    <n v="256.0672222222222"/>
    <m/>
    <x v="48"/>
    <x v="1"/>
    <m/>
    <n v="1382"/>
    <n v="178"/>
    <m/>
    <n v="2138"/>
    <n v="52"/>
    <m/>
  </r>
  <r>
    <x v="1"/>
    <x v="54"/>
    <x v="54"/>
    <n v="136402.46"/>
    <m/>
    <n v="29591.34"/>
    <n v="-11621.32"/>
    <n v="14892.96"/>
    <n v="13265.44"/>
    <n v="15486.74"/>
    <n v="74787.3"/>
    <m/>
    <n v="158226.85"/>
    <x v="4"/>
    <x v="48"/>
    <x v="42"/>
    <x v="49"/>
    <x v="49"/>
    <x v="52"/>
    <x v="51"/>
    <x v="1"/>
    <x v="17"/>
    <m/>
    <m/>
    <m/>
    <m/>
    <m/>
    <m/>
    <m/>
    <m/>
    <x v="17"/>
    <m/>
    <s v="X"/>
    <s v="X"/>
    <s v="X"/>
    <s v="X"/>
    <s v="X"/>
    <s v="X"/>
    <m/>
    <x v="49"/>
    <x v="1"/>
    <n v="862"/>
    <n v="1488"/>
    <n v="2616"/>
    <n v="2278"/>
    <n v="2572"/>
    <n v="2516"/>
    <m/>
  </r>
  <r>
    <x v="0"/>
    <x v="55"/>
    <x v="55"/>
    <n v="133725.03"/>
    <n v="29815.24"/>
    <n v="27255.61"/>
    <n v="14950.35"/>
    <n v="4482.53"/>
    <n v="43876.74"/>
    <n v="24026.62"/>
    <n v="3099.22"/>
    <n v="-13781.28"/>
    <n v="155121.04999999999"/>
    <x v="46"/>
    <x v="49"/>
    <x v="43"/>
    <x v="50"/>
    <x v="50"/>
    <x v="53"/>
    <x v="52"/>
    <x v="25"/>
    <x v="52"/>
    <n v="7"/>
    <n v="7"/>
    <n v="3"/>
    <n v="2"/>
    <n v="8"/>
    <n v="3"/>
    <n v="2"/>
    <n v="-8"/>
    <x v="52"/>
    <n v="4259.32"/>
    <n v="3893.6585714285716"/>
    <n v="4983.45"/>
    <n v="2241.2649999999999"/>
    <n v="5484.5924999999997"/>
    <n v="8008.873333333333"/>
    <n v="1549.61"/>
    <n v="1722.66"/>
    <x v="1"/>
    <x v="1"/>
    <m/>
    <m/>
    <m/>
    <m/>
    <m/>
    <m/>
    <m/>
  </r>
  <r>
    <x v="1"/>
    <x v="56"/>
    <x v="56"/>
    <n v="128146.56"/>
    <n v="67168.320000000007"/>
    <n v="4994.71"/>
    <n v="22271.74"/>
    <n v="6701.91"/>
    <n v="18416.75"/>
    <n v="4204.72"/>
    <n v="3589.49"/>
    <n v="798.92"/>
    <n v="148649.99"/>
    <x v="47"/>
    <x v="50"/>
    <x v="44"/>
    <x v="51"/>
    <x v="51"/>
    <x v="54"/>
    <x v="53"/>
    <x v="26"/>
    <x v="53"/>
    <n v="342"/>
    <n v="11"/>
    <n v="140"/>
    <n v="30"/>
    <n v="112"/>
    <n v="16"/>
    <n v="17"/>
    <m/>
    <x v="53"/>
    <n v="196.39859649122806"/>
    <n v="454.06454545454545"/>
    <n v="159.08385714285714"/>
    <n v="223.39699999999999"/>
    <n v="164.43526785714286"/>
    <n v="262.79500000000002"/>
    <n v="211.1464705882353"/>
    <s v="X"/>
    <x v="50"/>
    <x v="42"/>
    <n v="158"/>
    <n v="40"/>
    <n v="84"/>
    <n v="22"/>
    <n v="84"/>
    <n v="34"/>
    <n v="40"/>
  </r>
  <r>
    <x v="0"/>
    <x v="57"/>
    <x v="57"/>
    <n v="125099.97"/>
    <n v="43758.41"/>
    <n v="7297.09"/>
    <n v="1561.95"/>
    <n v="15379.36"/>
    <n v="24999.279999999999"/>
    <n v="23264.48"/>
    <n v="8839.4"/>
    <m/>
    <n v="145115.95000000001"/>
    <x v="48"/>
    <x v="51"/>
    <x v="45"/>
    <x v="52"/>
    <x v="52"/>
    <x v="55"/>
    <x v="54"/>
    <x v="1"/>
    <x v="54"/>
    <n v="285"/>
    <n v="46"/>
    <n v="10"/>
    <n v="98"/>
    <n v="156"/>
    <n v="146"/>
    <n v="49"/>
    <m/>
    <x v="54"/>
    <n v="153.53828070175439"/>
    <n v="158.63239130434783"/>
    <n v="156.19499999999999"/>
    <n v="156.93224489795918"/>
    <n v="160.25179487179486"/>
    <n v="159.34575342465752"/>
    <n v="180.39591836734695"/>
    <m/>
    <x v="51"/>
    <x v="43"/>
    <m/>
    <m/>
    <m/>
    <m/>
    <m/>
    <n v="28"/>
    <m/>
  </r>
  <r>
    <x v="1"/>
    <x v="58"/>
    <x v="58"/>
    <n v="123937.38"/>
    <n v="14513.91"/>
    <n v="22882.25"/>
    <n v="27051.94"/>
    <n v="17920.810000000001"/>
    <n v="21441.64"/>
    <n v="8853.0400000000009"/>
    <n v="4443.91"/>
    <n v="6829.88"/>
    <n v="143767.37"/>
    <x v="49"/>
    <x v="52"/>
    <x v="46"/>
    <x v="53"/>
    <x v="53"/>
    <x v="56"/>
    <x v="55"/>
    <x v="27"/>
    <x v="55"/>
    <n v="22"/>
    <n v="19"/>
    <n v="25"/>
    <n v="27"/>
    <n v="23"/>
    <n v="11"/>
    <n v="7"/>
    <n v="11"/>
    <x v="55"/>
    <n v="659.72318181818184"/>
    <n v="1204.328947368421"/>
    <n v="1082.0776000000001"/>
    <n v="663.73370370370367"/>
    <n v="932.24521739130432"/>
    <n v="804.82181818181823"/>
    <n v="634.84428571428566"/>
    <n v="620.8981818181818"/>
    <x v="52"/>
    <x v="44"/>
    <n v="324"/>
    <n v="518"/>
    <n v="184"/>
    <n v="290"/>
    <n v="106"/>
    <n v="70"/>
    <n v="66"/>
  </r>
  <r>
    <x v="1"/>
    <x v="59"/>
    <x v="59"/>
    <n v="123587.97"/>
    <n v="8868.7199999999993"/>
    <n v="24775.08"/>
    <n v="20018.080000000002"/>
    <n v="14630.57"/>
    <n v="10595.92"/>
    <n v="13088.58"/>
    <n v="14085.15"/>
    <n v="17525.87"/>
    <n v="143362.04"/>
    <x v="50"/>
    <x v="53"/>
    <x v="47"/>
    <x v="54"/>
    <x v="54"/>
    <x v="57"/>
    <x v="56"/>
    <x v="28"/>
    <x v="56"/>
    <n v="2"/>
    <n v="9"/>
    <n v="6"/>
    <n v="3"/>
    <n v="5"/>
    <n v="4"/>
    <n v="6"/>
    <n v="6"/>
    <x v="56"/>
    <n v="4434.3599999999997"/>
    <n v="2752.7866666666669"/>
    <n v="3336.3466666666668"/>
    <n v="4876.8566666666666"/>
    <n v="2119.1840000000002"/>
    <n v="3272.145"/>
    <n v="2347.5250000000001"/>
    <n v="2920.9783333333335"/>
    <x v="53"/>
    <x v="45"/>
    <n v="800"/>
    <n v="556"/>
    <n v="402"/>
    <n v="198"/>
    <n v="356"/>
    <n v="126"/>
    <n v="564"/>
  </r>
  <r>
    <x v="1"/>
    <x v="60"/>
    <x v="60"/>
    <n v="109041.12"/>
    <m/>
    <m/>
    <m/>
    <m/>
    <m/>
    <n v="68235.070000000007"/>
    <n v="40806.050000000003"/>
    <m/>
    <n v="126487.7"/>
    <x v="4"/>
    <x v="2"/>
    <x v="2"/>
    <x v="4"/>
    <x v="3"/>
    <x v="58"/>
    <x v="57"/>
    <x v="1"/>
    <x v="57"/>
    <m/>
    <m/>
    <m/>
    <m/>
    <m/>
    <n v="158"/>
    <n v="92"/>
    <m/>
    <x v="57"/>
    <m/>
    <m/>
    <m/>
    <m/>
    <m/>
    <n v="431.86753164556961"/>
    <n v="443.54402173913041"/>
    <m/>
    <x v="54"/>
    <x v="1"/>
    <m/>
    <m/>
    <m/>
    <m/>
    <n v="2638"/>
    <n v="1588"/>
    <m/>
  </r>
  <r>
    <x v="1"/>
    <x v="61"/>
    <x v="61"/>
    <n v="108119.9"/>
    <n v="17942.400000000001"/>
    <n v="8906.01"/>
    <n v="17834.73"/>
    <n v="9354.6200000000008"/>
    <n v="17925.63"/>
    <n v="18113.46"/>
    <n v="18043.05"/>
    <m/>
    <n v="125419.07"/>
    <x v="51"/>
    <x v="54"/>
    <x v="48"/>
    <x v="55"/>
    <x v="55"/>
    <x v="59"/>
    <x v="58"/>
    <x v="1"/>
    <x v="58"/>
    <n v="6"/>
    <n v="3"/>
    <n v="6"/>
    <n v="3"/>
    <n v="6"/>
    <n v="6"/>
    <n v="6"/>
    <m/>
    <x v="58"/>
    <n v="2990.4"/>
    <n v="2968.67"/>
    <n v="2972.4549999999999"/>
    <n v="3118.2066666666665"/>
    <n v="2987.605"/>
    <n v="3018.91"/>
    <n v="3007.1750000000002"/>
    <m/>
    <x v="55"/>
    <x v="46"/>
    <m/>
    <m/>
    <n v="92"/>
    <m/>
    <m/>
    <n v="22"/>
    <m/>
  </r>
  <r>
    <x v="1"/>
    <x v="62"/>
    <x v="62"/>
    <n v="107548.34"/>
    <n v="216672.62"/>
    <n v="2751.56"/>
    <m/>
    <m/>
    <n v="-31847.58"/>
    <m/>
    <m/>
    <m/>
    <n v="124756.07"/>
    <x v="52"/>
    <x v="55"/>
    <x v="2"/>
    <x v="4"/>
    <x v="56"/>
    <x v="17"/>
    <x v="17"/>
    <x v="1"/>
    <x v="17"/>
    <n v="372"/>
    <m/>
    <m/>
    <m/>
    <n v="-372"/>
    <m/>
    <m/>
    <m/>
    <x v="17"/>
    <n v="367.32354838709676"/>
    <s v="X"/>
    <m/>
    <m/>
    <n v="85.611774193548385"/>
    <m/>
    <m/>
    <m/>
    <x v="56"/>
    <x v="47"/>
    <n v="262"/>
    <m/>
    <m/>
    <n v="6"/>
    <m/>
    <m/>
    <m/>
  </r>
  <r>
    <x v="0"/>
    <x v="63"/>
    <x v="63"/>
    <n v="103895.01"/>
    <n v="25171.73"/>
    <n v="11550.9"/>
    <n v="14328.46"/>
    <n v="14093.17"/>
    <n v="15977.16"/>
    <n v="6604.93"/>
    <n v="16168.66"/>
    <m/>
    <n v="120518.21"/>
    <x v="53"/>
    <x v="56"/>
    <x v="49"/>
    <x v="56"/>
    <x v="57"/>
    <x v="60"/>
    <x v="59"/>
    <x v="1"/>
    <x v="17"/>
    <m/>
    <m/>
    <m/>
    <m/>
    <m/>
    <m/>
    <m/>
    <m/>
    <x v="17"/>
    <s v="X"/>
    <s v="X"/>
    <s v="X"/>
    <s v="X"/>
    <s v="X"/>
    <s v="X"/>
    <s v="X"/>
    <m/>
    <x v="57"/>
    <x v="48"/>
    <n v="900"/>
    <n v="1264"/>
    <n v="1162"/>
    <n v="1170"/>
    <n v="520"/>
    <n v="1852"/>
    <m/>
  </r>
  <r>
    <x v="1"/>
    <x v="64"/>
    <x v="64"/>
    <n v="103448.21"/>
    <m/>
    <n v="152"/>
    <n v="130"/>
    <m/>
    <n v="6922.21"/>
    <n v="46078.02"/>
    <n v="39013.08"/>
    <n v="11152.9"/>
    <n v="110803.6"/>
    <x v="4"/>
    <x v="57"/>
    <x v="50"/>
    <x v="4"/>
    <x v="58"/>
    <x v="61"/>
    <x v="60"/>
    <x v="29"/>
    <x v="59"/>
    <m/>
    <n v="1"/>
    <n v="1"/>
    <m/>
    <n v="13"/>
    <n v="13"/>
    <n v="34"/>
    <n v="28"/>
    <x v="59"/>
    <m/>
    <n v="152"/>
    <n v="130"/>
    <m/>
    <n v="532.47769230769234"/>
    <n v="3544.4630769230771"/>
    <n v="1147.4435294117648"/>
    <n v="398.31785714285712"/>
    <x v="58"/>
    <x v="1"/>
    <m/>
    <m/>
    <m/>
    <n v="127.2"/>
    <n v="1076"/>
    <n v="1571.8"/>
    <n v="68"/>
  </r>
  <r>
    <x v="1"/>
    <x v="65"/>
    <x v="65"/>
    <n v="101833.57"/>
    <n v="14925.44"/>
    <n v="2628.26"/>
    <n v="8557.1299999999992"/>
    <n v="11716.09"/>
    <n v="15977.45"/>
    <n v="31160.36"/>
    <n v="5029.7700000000004"/>
    <n v="11839.07"/>
    <n v="118126.92"/>
    <x v="54"/>
    <x v="58"/>
    <x v="51"/>
    <x v="57"/>
    <x v="59"/>
    <x v="62"/>
    <x v="61"/>
    <x v="30"/>
    <x v="60"/>
    <n v="3"/>
    <m/>
    <n v="3"/>
    <n v="3"/>
    <n v="2"/>
    <n v="8"/>
    <n v="1"/>
    <n v="2"/>
    <x v="60"/>
    <n v="4975.1466666666665"/>
    <s v="X"/>
    <n v="2852.3766666666666"/>
    <n v="3905.3633333333332"/>
    <n v="7988.7250000000004"/>
    <n v="3895.0450000000001"/>
    <n v="5029.7700000000004"/>
    <n v="5919.5349999999999"/>
    <x v="59"/>
    <x v="49"/>
    <n v="588"/>
    <n v="464"/>
    <n v="140"/>
    <n v="716"/>
    <n v="262"/>
    <n v="258"/>
    <n v="770"/>
  </r>
  <r>
    <x v="1"/>
    <x v="66"/>
    <x v="66"/>
    <n v="101232.86"/>
    <n v="7298.66"/>
    <n v="15621.4"/>
    <n v="9270.66"/>
    <n v="8697.17"/>
    <n v="2623.25"/>
    <n v="5367.38"/>
    <n v="15991.66"/>
    <n v="36362.68"/>
    <n v="117352.92"/>
    <x v="55"/>
    <x v="59"/>
    <x v="52"/>
    <x v="58"/>
    <x v="60"/>
    <x v="63"/>
    <x v="62"/>
    <x v="31"/>
    <x v="61"/>
    <n v="9"/>
    <n v="26"/>
    <n v="25"/>
    <n v="25"/>
    <n v="12"/>
    <n v="14"/>
    <n v="28"/>
    <n v="62"/>
    <x v="61"/>
    <n v="810.96222222222218"/>
    <n v="600.82307692307688"/>
    <n v="370.82639999999998"/>
    <n v="347.88679999999999"/>
    <n v="218.60416666666666"/>
    <n v="383.38428571428574"/>
    <n v="571.13071428571425"/>
    <n v="586.49483870967742"/>
    <x v="60"/>
    <x v="50"/>
    <n v="202"/>
    <n v="220"/>
    <n v="190"/>
    <n v="-52"/>
    <n v="114"/>
    <n v="184"/>
    <n v="572"/>
  </r>
  <r>
    <x v="1"/>
    <x v="67"/>
    <x v="67"/>
    <n v="100271.25"/>
    <m/>
    <m/>
    <m/>
    <n v="15679.66"/>
    <n v="33296.97"/>
    <n v="6382.53"/>
    <n v="44912.09"/>
    <m/>
    <n v="116314.65"/>
    <x v="4"/>
    <x v="2"/>
    <x v="2"/>
    <x v="59"/>
    <x v="61"/>
    <x v="64"/>
    <x v="63"/>
    <x v="1"/>
    <x v="62"/>
    <m/>
    <m/>
    <m/>
    <n v="13"/>
    <n v="27"/>
    <n v="5"/>
    <n v="36"/>
    <m/>
    <x v="62"/>
    <m/>
    <m/>
    <m/>
    <n v="1206.1276923076923"/>
    <n v="1233.2211111111112"/>
    <n v="1276.5060000000001"/>
    <n v="1247.5580555555555"/>
    <m/>
    <x v="1"/>
    <x v="1"/>
    <m/>
    <m/>
    <m/>
    <m/>
    <m/>
    <m/>
    <m/>
  </r>
  <r>
    <x v="1"/>
    <x v="68"/>
    <x v="68"/>
    <n v="99002.27"/>
    <n v="10831.63"/>
    <n v="13643.85"/>
    <n v="3910.79"/>
    <m/>
    <m/>
    <m/>
    <m/>
    <n v="70616"/>
    <n v="114842.64"/>
    <x v="56"/>
    <x v="60"/>
    <x v="53"/>
    <x v="4"/>
    <x v="3"/>
    <x v="17"/>
    <x v="17"/>
    <x v="32"/>
    <x v="34"/>
    <m/>
    <m/>
    <m/>
    <m/>
    <m/>
    <m/>
    <m/>
    <n v="300"/>
    <x v="63"/>
    <s v="X"/>
    <s v="X"/>
    <s v="X"/>
    <m/>
    <m/>
    <m/>
    <m/>
    <n v="235.38666666666666"/>
    <x v="61"/>
    <x v="51"/>
    <n v="656"/>
    <n v="180"/>
    <m/>
    <m/>
    <m/>
    <m/>
    <m/>
  </r>
  <r>
    <x v="2"/>
    <x v="69"/>
    <x v="69"/>
    <n v="98064.51"/>
    <n v="11385.95"/>
    <n v="15567.26"/>
    <n v="20227.59"/>
    <n v="14546.29"/>
    <n v="3635.35"/>
    <n v="10450.25"/>
    <n v="12504.31"/>
    <n v="9747.51"/>
    <n v="113754.83"/>
    <x v="57"/>
    <x v="61"/>
    <x v="54"/>
    <x v="60"/>
    <x v="62"/>
    <x v="65"/>
    <x v="64"/>
    <x v="33"/>
    <x v="63"/>
    <n v="23"/>
    <n v="30"/>
    <n v="41"/>
    <n v="29"/>
    <n v="9"/>
    <n v="15"/>
    <n v="23"/>
    <n v="15"/>
    <x v="64"/>
    <n v="495.0413043478261"/>
    <n v="518.9086666666667"/>
    <n v="493.3558536585366"/>
    <n v="501.59620689655173"/>
    <n v="403.92777777777781"/>
    <n v="696.68333333333328"/>
    <n v="543.66565217391303"/>
    <n v="649.83399999999995"/>
    <x v="62"/>
    <x v="52"/>
    <n v="1368"/>
    <n v="1884"/>
    <n v="1300"/>
    <n v="244"/>
    <n v="1136"/>
    <n v="1168"/>
    <n v="956"/>
  </r>
  <r>
    <x v="1"/>
    <x v="70"/>
    <x v="70"/>
    <n v="95174.49"/>
    <m/>
    <n v="14653.7"/>
    <n v="6592.22"/>
    <m/>
    <n v="21636.32"/>
    <n v="24386.32"/>
    <m/>
    <n v="27905.93"/>
    <n v="110402.41"/>
    <x v="4"/>
    <x v="62"/>
    <x v="55"/>
    <x v="4"/>
    <x v="63"/>
    <x v="66"/>
    <x v="17"/>
    <x v="34"/>
    <x v="60"/>
    <m/>
    <n v="3"/>
    <n v="1"/>
    <m/>
    <n v="5"/>
    <n v="6"/>
    <m/>
    <n v="7"/>
    <x v="65"/>
    <m/>
    <n v="4884.5666666666666"/>
    <n v="6592.22"/>
    <m/>
    <n v="4327.2640000000001"/>
    <n v="4064.3866666666668"/>
    <m/>
    <n v="3986.5614285714287"/>
    <x v="1"/>
    <x v="1"/>
    <m/>
    <m/>
    <m/>
    <m/>
    <m/>
    <m/>
    <m/>
  </r>
  <r>
    <x v="0"/>
    <x v="71"/>
    <x v="71"/>
    <n v="92992.74"/>
    <n v="10177.43"/>
    <n v="9396.6200000000008"/>
    <n v="12464.49"/>
    <n v="16425.86"/>
    <n v="17159.18"/>
    <n v="18148.73"/>
    <n v="9220.43"/>
    <m/>
    <n v="107871.59"/>
    <x v="58"/>
    <x v="63"/>
    <x v="56"/>
    <x v="61"/>
    <x v="64"/>
    <x v="67"/>
    <x v="65"/>
    <x v="1"/>
    <x v="17"/>
    <m/>
    <m/>
    <m/>
    <m/>
    <m/>
    <m/>
    <m/>
    <m/>
    <x v="17"/>
    <s v="X"/>
    <s v="X"/>
    <s v="X"/>
    <s v="X"/>
    <s v="X"/>
    <s v="X"/>
    <s v="X"/>
    <m/>
    <x v="63"/>
    <x v="53"/>
    <n v="422"/>
    <n v="552"/>
    <n v="702"/>
    <n v="736"/>
    <n v="774"/>
    <n v="402"/>
    <m/>
  </r>
  <r>
    <x v="1"/>
    <x v="72"/>
    <x v="72"/>
    <n v="91053.34"/>
    <n v="10808.16"/>
    <n v="14326.95"/>
    <n v="13880.09"/>
    <n v="13328.63"/>
    <n v="7933.73"/>
    <n v="9225.2999999999993"/>
    <n v="12257.51"/>
    <n v="9292.9699999999993"/>
    <n v="105621.88"/>
    <x v="59"/>
    <x v="64"/>
    <x v="57"/>
    <x v="62"/>
    <x v="65"/>
    <x v="68"/>
    <x v="66"/>
    <x v="35"/>
    <x v="64"/>
    <n v="31"/>
    <n v="38"/>
    <n v="39"/>
    <n v="36"/>
    <n v="27"/>
    <n v="28"/>
    <n v="28"/>
    <n v="26"/>
    <x v="66"/>
    <n v="348.65032258064514"/>
    <n v="377.02499999999998"/>
    <n v="355.89974358974359"/>
    <n v="370.23972222222221"/>
    <n v="293.84185185185186"/>
    <n v="329.47500000000002"/>
    <n v="437.76821428571429"/>
    <n v="357.42192307692306"/>
    <x v="64"/>
    <x v="15"/>
    <n v="282"/>
    <n v="142"/>
    <n v="142"/>
    <n v="66"/>
    <n v="130"/>
    <n v="242"/>
    <n v="190"/>
  </r>
  <r>
    <x v="1"/>
    <x v="73"/>
    <x v="73"/>
    <n v="89164.64"/>
    <n v="83723"/>
    <n v="5441.64"/>
    <m/>
    <m/>
    <m/>
    <m/>
    <m/>
    <m/>
    <n v="103430.97"/>
    <x v="60"/>
    <x v="65"/>
    <x v="2"/>
    <x v="4"/>
    <x v="3"/>
    <x v="17"/>
    <x v="17"/>
    <x v="1"/>
    <x v="65"/>
    <n v="810"/>
    <n v="18"/>
    <m/>
    <m/>
    <m/>
    <m/>
    <m/>
    <m/>
    <x v="67"/>
    <n v="103.36172839506173"/>
    <n v="302.31333333333333"/>
    <m/>
    <m/>
    <m/>
    <m/>
    <m/>
    <m/>
    <x v="65"/>
    <x v="54"/>
    <m/>
    <m/>
    <m/>
    <m/>
    <m/>
    <m/>
    <m/>
  </r>
  <r>
    <x v="2"/>
    <x v="74"/>
    <x v="74"/>
    <n v="88021.04"/>
    <n v="21955.63"/>
    <n v="7756.19"/>
    <n v="6818.36"/>
    <n v="23282.49"/>
    <n v="2722.04"/>
    <n v="4022.46"/>
    <n v="21463.87"/>
    <m/>
    <n v="102104.41"/>
    <x v="61"/>
    <x v="66"/>
    <x v="58"/>
    <x v="63"/>
    <x v="66"/>
    <x v="69"/>
    <x v="67"/>
    <x v="1"/>
    <x v="61"/>
    <n v="52"/>
    <n v="20"/>
    <n v="17"/>
    <n v="44"/>
    <n v="8"/>
    <n v="11"/>
    <n v="49"/>
    <m/>
    <x v="68"/>
    <n v="422.22365384615387"/>
    <n v="387.80950000000001"/>
    <n v="401.08"/>
    <n v="529.14750000000004"/>
    <n v="340.255"/>
    <n v="365.67818181818183"/>
    <n v="438.03816326530614"/>
    <m/>
    <x v="66"/>
    <x v="55"/>
    <n v="380"/>
    <n v="350"/>
    <n v="1520"/>
    <n v="96"/>
    <n v="188"/>
    <n v="1176"/>
    <m/>
  </r>
  <r>
    <x v="1"/>
    <x v="75"/>
    <x v="75"/>
    <n v="85454.23"/>
    <n v="10273.36"/>
    <n v="18981.169999999998"/>
    <n v="13593.95"/>
    <n v="10075.219999999999"/>
    <n v="8220.36"/>
    <n v="15020.94"/>
    <n v="9289.23"/>
    <m/>
    <n v="99126.92"/>
    <x v="62"/>
    <x v="67"/>
    <x v="59"/>
    <x v="64"/>
    <x v="67"/>
    <x v="70"/>
    <x v="68"/>
    <x v="1"/>
    <x v="66"/>
    <n v="26"/>
    <n v="21"/>
    <n v="41"/>
    <n v="31"/>
    <n v="21"/>
    <n v="45"/>
    <n v="24"/>
    <m/>
    <x v="69"/>
    <n v="395.12923076923079"/>
    <n v="903.86523809523806"/>
    <n v="331.55975609756098"/>
    <n v="325.00709677419354"/>
    <n v="391.4457142857143"/>
    <n v="333.79866666666669"/>
    <n v="387.05124999999998"/>
    <m/>
    <x v="67"/>
    <x v="56"/>
    <n v="428"/>
    <n v="426"/>
    <n v="306"/>
    <n v="222"/>
    <n v="484"/>
    <n v="272"/>
    <m/>
  </r>
  <r>
    <x v="1"/>
    <x v="76"/>
    <x v="76"/>
    <n v="83586.09"/>
    <n v="1258.24"/>
    <n v="4908.1400000000003"/>
    <n v="6855.41"/>
    <n v="18783.669999999998"/>
    <n v="17190.919999999998"/>
    <n v="16105.86"/>
    <n v="12308.89"/>
    <n v="6174.96"/>
    <n v="96959.86"/>
    <x v="63"/>
    <x v="68"/>
    <x v="60"/>
    <x v="65"/>
    <x v="68"/>
    <x v="71"/>
    <x v="69"/>
    <x v="36"/>
    <x v="67"/>
    <n v="8"/>
    <n v="22"/>
    <n v="34"/>
    <n v="77"/>
    <n v="48"/>
    <n v="66"/>
    <n v="48"/>
    <n v="28"/>
    <x v="70"/>
    <n v="157.28"/>
    <n v="223.09727272727272"/>
    <n v="201.62970588235294"/>
    <n v="243.94376623376624"/>
    <n v="358.14416666666665"/>
    <n v="244.02818181818182"/>
    <n v="256.43520833333332"/>
    <n v="220.53428571428572"/>
    <x v="68"/>
    <x v="57"/>
    <n v="262"/>
    <n v="78"/>
    <n v="232"/>
    <n v="368"/>
    <n v="324"/>
    <n v="298"/>
    <n v="86"/>
  </r>
  <r>
    <x v="1"/>
    <x v="77"/>
    <x v="77"/>
    <n v="82637.649999999994"/>
    <m/>
    <m/>
    <n v="81515.61"/>
    <n v="1122.04"/>
    <m/>
    <m/>
    <m/>
    <m/>
    <n v="95859.68"/>
    <x v="4"/>
    <x v="2"/>
    <x v="61"/>
    <x v="66"/>
    <x v="3"/>
    <x v="17"/>
    <x v="17"/>
    <x v="1"/>
    <x v="68"/>
    <m/>
    <m/>
    <n v="124"/>
    <n v="1"/>
    <m/>
    <m/>
    <m/>
    <m/>
    <x v="71"/>
    <m/>
    <m/>
    <n v="657.38395161290327"/>
    <n v="1122.04"/>
    <m/>
    <m/>
    <m/>
    <m/>
    <x v="69"/>
    <x v="1"/>
    <m/>
    <n v="1298"/>
    <n v="32"/>
    <m/>
    <m/>
    <m/>
    <m/>
  </r>
  <r>
    <x v="0"/>
    <x v="78"/>
    <x v="78"/>
    <n v="81935.48"/>
    <n v="296.57"/>
    <n v="10361.69"/>
    <n v="272.52"/>
    <n v="21851.48"/>
    <n v="44431.81"/>
    <n v="4283.54"/>
    <n v="415.37"/>
    <n v="22.5"/>
    <n v="95045.16"/>
    <x v="64"/>
    <x v="69"/>
    <x v="62"/>
    <x v="67"/>
    <x v="69"/>
    <x v="72"/>
    <x v="70"/>
    <x v="37"/>
    <x v="34"/>
    <m/>
    <n v="50"/>
    <m/>
    <n v="100"/>
    <n v="150"/>
    <m/>
    <m/>
    <m/>
    <x v="72"/>
    <s v="X"/>
    <n v="207.2338"/>
    <s v="X"/>
    <n v="218.51480000000001"/>
    <n v="296.21206666666666"/>
    <s v="X"/>
    <s v="X"/>
    <s v="X"/>
    <x v="70"/>
    <x v="58"/>
    <m/>
    <n v="8"/>
    <n v="112"/>
    <n v="2120"/>
    <n v="638"/>
    <n v="54"/>
    <n v="2"/>
  </r>
  <r>
    <x v="1"/>
    <x v="79"/>
    <x v="79"/>
    <n v="81433.960000000006"/>
    <n v="13182.34"/>
    <n v="15270.99"/>
    <n v="8314.2099999999991"/>
    <n v="7054.88"/>
    <n v="8431.19"/>
    <n v="8799.24"/>
    <n v="6222.64"/>
    <n v="14158.47"/>
    <n v="94463.39"/>
    <x v="65"/>
    <x v="70"/>
    <x v="63"/>
    <x v="68"/>
    <x v="70"/>
    <x v="73"/>
    <x v="71"/>
    <x v="38"/>
    <x v="69"/>
    <n v="34"/>
    <n v="32"/>
    <n v="27"/>
    <n v="22"/>
    <n v="24"/>
    <n v="22"/>
    <n v="11"/>
    <n v="33"/>
    <x v="73"/>
    <n v="387.71588235294121"/>
    <n v="477.21843749999999"/>
    <n v="307.93370370370371"/>
    <n v="320.67636363636365"/>
    <n v="351.29958333333332"/>
    <n v="399.96545454545458"/>
    <n v="565.6945454545455"/>
    <n v="429.04454545454547"/>
    <x v="71"/>
    <x v="59"/>
    <n v="464"/>
    <n v="152"/>
    <n v="162"/>
    <n v="212"/>
    <n v="220"/>
    <n v="160"/>
    <n v="384"/>
  </r>
  <r>
    <x v="1"/>
    <x v="80"/>
    <x v="80"/>
    <n v="80473.47"/>
    <n v="5093.2299999999996"/>
    <n v="46498.82"/>
    <n v="8120.68"/>
    <n v="2751.86"/>
    <n v="13205.35"/>
    <n v="2402.7800000000002"/>
    <n v="2400.75"/>
    <m/>
    <n v="93349.23"/>
    <x v="66"/>
    <x v="71"/>
    <x v="64"/>
    <x v="69"/>
    <x v="71"/>
    <x v="74"/>
    <x v="72"/>
    <x v="1"/>
    <x v="70"/>
    <n v="3"/>
    <n v="46"/>
    <n v="6"/>
    <n v="2"/>
    <n v="6"/>
    <n v="1"/>
    <n v="1"/>
    <m/>
    <x v="74"/>
    <n v="1697.7433333333333"/>
    <n v="1010.8439130434782"/>
    <n v="1353.4466666666667"/>
    <n v="1375.93"/>
    <n v="2200.8916666666669"/>
    <n v="2402.7800000000002"/>
    <n v="2400.75"/>
    <m/>
    <x v="72"/>
    <x v="60"/>
    <n v="1378"/>
    <n v="54"/>
    <n v="42"/>
    <m/>
    <m/>
    <m/>
    <m/>
  </r>
  <r>
    <x v="0"/>
    <x v="81"/>
    <x v="81"/>
    <n v="77408.41"/>
    <n v="1108.3599999999999"/>
    <m/>
    <n v="38783.19"/>
    <n v="3113.18"/>
    <n v="1591.48"/>
    <n v="272.94"/>
    <n v="32539.26"/>
    <m/>
    <n v="89793.76"/>
    <x v="67"/>
    <x v="2"/>
    <x v="65"/>
    <x v="70"/>
    <x v="72"/>
    <x v="75"/>
    <x v="73"/>
    <x v="1"/>
    <x v="71"/>
    <n v="2"/>
    <m/>
    <n v="17"/>
    <n v="8"/>
    <n v="3"/>
    <n v="1"/>
    <n v="4"/>
    <m/>
    <x v="75"/>
    <n v="554.17999999999995"/>
    <m/>
    <n v="2281.3641176470587"/>
    <n v="389.14749999999998"/>
    <n v="530.49333333333334"/>
    <n v="272.94"/>
    <n v="8134.8149999999996"/>
    <m/>
    <x v="73"/>
    <x v="61"/>
    <m/>
    <n v="864"/>
    <n v="158"/>
    <n v="138"/>
    <m/>
    <m/>
    <m/>
  </r>
  <r>
    <x v="1"/>
    <x v="82"/>
    <x v="82"/>
    <n v="75536.710000000006"/>
    <n v="29962.98"/>
    <n v="2925.78"/>
    <n v="1911.82"/>
    <n v="1994"/>
    <n v="31530.799999999999"/>
    <n v="4235.57"/>
    <n v="2975.76"/>
    <m/>
    <n v="87622.58"/>
    <x v="68"/>
    <x v="72"/>
    <x v="66"/>
    <x v="71"/>
    <x v="73"/>
    <x v="76"/>
    <x v="74"/>
    <x v="1"/>
    <x v="72"/>
    <n v="150"/>
    <m/>
    <m/>
    <m/>
    <n v="200"/>
    <m/>
    <m/>
    <m/>
    <x v="76"/>
    <n v="199.75319999999999"/>
    <s v="X"/>
    <s v="X"/>
    <s v="X"/>
    <n v="157.654"/>
    <s v="X"/>
    <s v="X"/>
    <m/>
    <x v="74"/>
    <x v="62"/>
    <n v="750"/>
    <n v="170"/>
    <n v="408"/>
    <n v="228"/>
    <n v="1028"/>
    <n v="720"/>
    <m/>
  </r>
  <r>
    <x v="0"/>
    <x v="83"/>
    <x v="83"/>
    <n v="75515"/>
    <n v="523.07000000000005"/>
    <n v="269.19"/>
    <n v="72719.429999999993"/>
    <n v="641.88"/>
    <m/>
    <n v="43.12"/>
    <n v="175.48"/>
    <n v="1142.83"/>
    <n v="87597.4"/>
    <x v="69"/>
    <x v="73"/>
    <x v="67"/>
    <x v="72"/>
    <x v="3"/>
    <x v="77"/>
    <x v="75"/>
    <x v="39"/>
    <x v="73"/>
    <m/>
    <m/>
    <n v="400"/>
    <m/>
    <m/>
    <m/>
    <m/>
    <m/>
    <x v="77"/>
    <s v="X"/>
    <s v="X"/>
    <n v="181.798575"/>
    <s v="X"/>
    <m/>
    <s v="X"/>
    <s v="X"/>
    <s v="X"/>
    <x v="75"/>
    <x v="63"/>
    <n v="6"/>
    <n v="30"/>
    <n v="12"/>
    <m/>
    <n v="2"/>
    <n v="4"/>
    <n v="26"/>
  </r>
  <r>
    <x v="0"/>
    <x v="84"/>
    <x v="84"/>
    <n v="74450.429999999993"/>
    <n v="2557.31"/>
    <n v="8534.86"/>
    <n v="18239.77"/>
    <n v="18435.400000000001"/>
    <n v="12263.57"/>
    <n v="13276.21"/>
    <n v="1143.31"/>
    <m/>
    <n v="86362.5"/>
    <x v="70"/>
    <x v="74"/>
    <x v="68"/>
    <x v="73"/>
    <x v="74"/>
    <x v="78"/>
    <x v="76"/>
    <x v="1"/>
    <x v="74"/>
    <n v="11"/>
    <n v="12"/>
    <n v="18"/>
    <n v="13"/>
    <n v="6"/>
    <n v="9"/>
    <n v="1"/>
    <m/>
    <x v="78"/>
    <n v="232.48272727272726"/>
    <n v="711.23833333333334"/>
    <n v="1013.3205555555555"/>
    <n v="1418.1076923076923"/>
    <n v="2043.9283333333333"/>
    <n v="1475.1344444444444"/>
    <n v="1143.31"/>
    <m/>
    <x v="76"/>
    <x v="46"/>
    <n v="14"/>
    <n v="26"/>
    <m/>
    <m/>
    <n v="2"/>
    <m/>
    <m/>
  </r>
  <r>
    <x v="1"/>
    <x v="85"/>
    <x v="85"/>
    <n v="73951.210000000006"/>
    <n v="320.3"/>
    <n v="540.53"/>
    <m/>
    <n v="3876.21"/>
    <n v="530.29"/>
    <n v="68547.62"/>
    <n v="136.26"/>
    <m/>
    <n v="85783.4"/>
    <x v="71"/>
    <x v="75"/>
    <x v="2"/>
    <x v="74"/>
    <x v="75"/>
    <x v="79"/>
    <x v="77"/>
    <x v="1"/>
    <x v="46"/>
    <m/>
    <m/>
    <m/>
    <m/>
    <m/>
    <n v="200"/>
    <m/>
    <m/>
    <x v="79"/>
    <s v="X"/>
    <s v="X"/>
    <m/>
    <s v="X"/>
    <s v="X"/>
    <n v="342.73809999999997"/>
    <s v="X"/>
    <m/>
    <x v="77"/>
    <x v="64"/>
    <n v="22"/>
    <m/>
    <n v="300"/>
    <n v="34"/>
    <n v="18"/>
    <n v="18"/>
    <m/>
  </r>
  <r>
    <x v="1"/>
    <x v="86"/>
    <x v="86"/>
    <n v="72556.960000000006"/>
    <n v="15048.02"/>
    <m/>
    <n v="34165.620000000003"/>
    <n v="23343.32"/>
    <m/>
    <m/>
    <m/>
    <m/>
    <n v="72599.600000000006"/>
    <x v="72"/>
    <x v="2"/>
    <x v="69"/>
    <x v="75"/>
    <x v="3"/>
    <x v="17"/>
    <x v="17"/>
    <x v="1"/>
    <x v="75"/>
    <n v="4"/>
    <m/>
    <n v="6"/>
    <n v="4"/>
    <m/>
    <m/>
    <m/>
    <m/>
    <x v="80"/>
    <n v="3762.0050000000001"/>
    <m/>
    <n v="5694.27"/>
    <n v="5835.83"/>
    <m/>
    <m/>
    <m/>
    <m/>
    <x v="1"/>
    <x v="1"/>
    <m/>
    <m/>
    <m/>
    <m/>
    <m/>
    <m/>
    <m/>
  </r>
  <r>
    <x v="1"/>
    <x v="87"/>
    <x v="87"/>
    <n v="68825.36"/>
    <n v="22270.03"/>
    <n v="410.43"/>
    <n v="4274.04"/>
    <n v="-10101.59"/>
    <n v="24717"/>
    <n v="725.61"/>
    <n v="26529.84"/>
    <m/>
    <n v="79837.42"/>
    <x v="73"/>
    <x v="76"/>
    <x v="70"/>
    <x v="76"/>
    <x v="76"/>
    <x v="80"/>
    <x v="78"/>
    <x v="1"/>
    <x v="46"/>
    <m/>
    <m/>
    <m/>
    <m/>
    <n v="100"/>
    <m/>
    <n v="100"/>
    <m/>
    <x v="81"/>
    <s v="X"/>
    <s v="X"/>
    <s v="X"/>
    <s v="X"/>
    <n v="247.17"/>
    <s v="X"/>
    <n v="265.29840000000002"/>
    <m/>
    <x v="78"/>
    <x v="65"/>
    <n v="6"/>
    <n v="60"/>
    <n v="-134"/>
    <m/>
    <n v="10"/>
    <n v="24"/>
    <m/>
  </r>
  <r>
    <x v="0"/>
    <x v="88"/>
    <x v="88"/>
    <n v="68324.7"/>
    <n v="2446.3000000000002"/>
    <n v="2932.71"/>
    <n v="7564.32"/>
    <n v="5084.03"/>
    <n v="33207.699999999997"/>
    <n v="5434.99"/>
    <n v="7716.06"/>
    <n v="3938.59"/>
    <n v="79256.639999999999"/>
    <x v="74"/>
    <x v="77"/>
    <x v="71"/>
    <x v="77"/>
    <x v="77"/>
    <x v="81"/>
    <x v="79"/>
    <x v="40"/>
    <x v="76"/>
    <m/>
    <m/>
    <m/>
    <m/>
    <n v="100"/>
    <m/>
    <m/>
    <m/>
    <x v="82"/>
    <s v="X"/>
    <s v="X"/>
    <s v="X"/>
    <s v="X"/>
    <n v="332.077"/>
    <s v="X"/>
    <s v="X"/>
    <s v="X"/>
    <x v="79"/>
    <x v="66"/>
    <n v="90"/>
    <n v="206"/>
    <n v="136"/>
    <n v="106"/>
    <n v="138"/>
    <n v="200"/>
    <n v="100"/>
  </r>
  <r>
    <x v="0"/>
    <x v="89"/>
    <x v="89"/>
    <n v="67350.89"/>
    <n v="67350.89"/>
    <m/>
    <m/>
    <m/>
    <m/>
    <m/>
    <m/>
    <m/>
    <n v="78127.03"/>
    <x v="75"/>
    <x v="2"/>
    <x v="2"/>
    <x v="4"/>
    <x v="3"/>
    <x v="17"/>
    <x v="17"/>
    <x v="1"/>
    <x v="17"/>
    <m/>
    <m/>
    <m/>
    <m/>
    <m/>
    <m/>
    <m/>
    <m/>
    <x v="17"/>
    <s v="X"/>
    <m/>
    <m/>
    <m/>
    <m/>
    <m/>
    <m/>
    <m/>
    <x v="80"/>
    <x v="67"/>
    <m/>
    <m/>
    <m/>
    <m/>
    <m/>
    <m/>
    <m/>
  </r>
  <r>
    <x v="1"/>
    <x v="90"/>
    <x v="90"/>
    <n v="65680.02"/>
    <n v="3397.91"/>
    <n v="3604.93"/>
    <n v="10732.45"/>
    <n v="12277.94"/>
    <n v="9259.5"/>
    <n v="7553.65"/>
    <n v="9258.42"/>
    <n v="9595.2199999999993"/>
    <n v="76188.83"/>
    <x v="76"/>
    <x v="78"/>
    <x v="72"/>
    <x v="78"/>
    <x v="78"/>
    <x v="82"/>
    <x v="80"/>
    <x v="41"/>
    <x v="77"/>
    <n v="9"/>
    <n v="10"/>
    <n v="27"/>
    <n v="29"/>
    <n v="18"/>
    <n v="19"/>
    <n v="19"/>
    <n v="21"/>
    <x v="83"/>
    <n v="377.54555555555555"/>
    <n v="360.49299999999999"/>
    <n v="397.49814814814818"/>
    <n v="423.37724137931036"/>
    <n v="514.41666666666663"/>
    <n v="397.56052631578945"/>
    <n v="487.28526315789475"/>
    <n v="456.91523809523812"/>
    <x v="81"/>
    <x v="68"/>
    <n v="28"/>
    <n v="354"/>
    <n v="422"/>
    <n v="356"/>
    <n v="124"/>
    <n v="304"/>
    <n v="252"/>
  </r>
  <r>
    <x v="2"/>
    <x v="91"/>
    <x v="91"/>
    <n v="65191.14"/>
    <n v="24417.62"/>
    <n v="13766.65"/>
    <n v="10415.620000000001"/>
    <n v="11995.83"/>
    <n v="4595.42"/>
    <m/>
    <m/>
    <m/>
    <n v="75621.710000000006"/>
    <x v="77"/>
    <x v="79"/>
    <x v="73"/>
    <x v="79"/>
    <x v="79"/>
    <x v="17"/>
    <x v="17"/>
    <x v="1"/>
    <x v="78"/>
    <n v="132"/>
    <n v="86"/>
    <n v="55"/>
    <n v="70"/>
    <n v="25"/>
    <m/>
    <m/>
    <m/>
    <x v="84"/>
    <n v="184.98196969696971"/>
    <n v="160.07732558139534"/>
    <n v="189.37490909090909"/>
    <n v="171.369"/>
    <n v="183.8168"/>
    <m/>
    <m/>
    <m/>
    <x v="82"/>
    <x v="69"/>
    <n v="30"/>
    <n v="94"/>
    <n v="72"/>
    <n v="42"/>
    <m/>
    <m/>
    <m/>
  </r>
  <r>
    <x v="1"/>
    <x v="92"/>
    <x v="92"/>
    <n v="64439.6"/>
    <n v="6071.73"/>
    <n v="5848.5"/>
    <n v="29346.77"/>
    <n v="2804.81"/>
    <n v="2186.8200000000002"/>
    <n v="7288.52"/>
    <n v="6307.61"/>
    <n v="4584.84"/>
    <n v="74065.95"/>
    <x v="78"/>
    <x v="80"/>
    <x v="74"/>
    <x v="80"/>
    <x v="80"/>
    <x v="83"/>
    <x v="81"/>
    <x v="42"/>
    <x v="79"/>
    <n v="13"/>
    <n v="23"/>
    <n v="88"/>
    <n v="9"/>
    <n v="7"/>
    <n v="25"/>
    <n v="22"/>
    <n v="25"/>
    <x v="85"/>
    <n v="467.05615384615385"/>
    <n v="254.28260869565216"/>
    <n v="333.48602272727271"/>
    <n v="311.64555555555557"/>
    <n v="312.40285714285716"/>
    <n v="291.54079999999999"/>
    <n v="286.70954545454543"/>
    <n v="183.39359999999999"/>
    <x v="83"/>
    <x v="38"/>
    <n v="288"/>
    <n v="1590"/>
    <n v="58"/>
    <n v="62"/>
    <n v="442"/>
    <n v="160"/>
    <n v="154"/>
  </r>
  <r>
    <x v="2"/>
    <x v="93"/>
    <x v="93"/>
    <n v="63784.11"/>
    <m/>
    <n v="13598.78"/>
    <n v="7890.42"/>
    <n v="24597.26"/>
    <n v="16988.07"/>
    <n v="709.58"/>
    <m/>
    <m/>
    <n v="73989.570000000007"/>
    <x v="4"/>
    <x v="81"/>
    <x v="75"/>
    <x v="81"/>
    <x v="81"/>
    <x v="84"/>
    <x v="17"/>
    <x v="1"/>
    <x v="80"/>
    <m/>
    <n v="16"/>
    <n v="15"/>
    <n v="40"/>
    <n v="28"/>
    <m/>
    <m/>
    <m/>
    <x v="86"/>
    <m/>
    <n v="849.92375000000004"/>
    <n v="526.02800000000002"/>
    <n v="614.93150000000003"/>
    <n v="606.71678571428572"/>
    <s v="X"/>
    <m/>
    <m/>
    <x v="84"/>
    <x v="1"/>
    <n v="1532"/>
    <n v="482"/>
    <n v="1634"/>
    <n v="1386"/>
    <n v="76"/>
    <m/>
    <m/>
  </r>
  <r>
    <x v="1"/>
    <x v="94"/>
    <x v="94"/>
    <n v="60173.17"/>
    <m/>
    <m/>
    <n v="50485.68"/>
    <n v="1606.33"/>
    <n v="5144.05"/>
    <m/>
    <n v="2937.11"/>
    <m/>
    <n v="60173.17"/>
    <x v="4"/>
    <x v="2"/>
    <x v="76"/>
    <x v="82"/>
    <x v="82"/>
    <x v="17"/>
    <x v="82"/>
    <x v="1"/>
    <x v="81"/>
    <m/>
    <m/>
    <n v="2"/>
    <m/>
    <n v="1"/>
    <m/>
    <n v="1"/>
    <m/>
    <x v="87"/>
    <m/>
    <m/>
    <n v="25242.84"/>
    <s v="X"/>
    <n v="5144.05"/>
    <m/>
    <n v="2937.11"/>
    <m/>
    <x v="1"/>
    <x v="1"/>
    <m/>
    <m/>
    <m/>
    <m/>
    <m/>
    <m/>
    <m/>
  </r>
  <r>
    <x v="0"/>
    <x v="95"/>
    <x v="95"/>
    <n v="60048.480000000003"/>
    <n v="29560.3"/>
    <n v="17736.18"/>
    <m/>
    <m/>
    <m/>
    <n v="12752"/>
    <m/>
    <m/>
    <n v="69656.240000000005"/>
    <x v="79"/>
    <x v="82"/>
    <x v="2"/>
    <x v="4"/>
    <x v="3"/>
    <x v="85"/>
    <x v="17"/>
    <x v="1"/>
    <x v="82"/>
    <n v="10"/>
    <n v="6"/>
    <m/>
    <m/>
    <m/>
    <n v="4"/>
    <m/>
    <m/>
    <x v="88"/>
    <n v="2956.03"/>
    <n v="2956.03"/>
    <m/>
    <m/>
    <m/>
    <n v="3188"/>
    <m/>
    <m/>
    <x v="1"/>
    <x v="1"/>
    <m/>
    <m/>
    <m/>
    <m/>
    <m/>
    <m/>
    <m/>
  </r>
  <r>
    <x v="0"/>
    <x v="96"/>
    <x v="96"/>
    <n v="57883.43"/>
    <n v="5327.2"/>
    <n v="5234.8100000000004"/>
    <n v="1479.66"/>
    <n v="9788.2099999999991"/>
    <n v="8589.5400000000009"/>
    <n v="6229.18"/>
    <n v="21234.83"/>
    <m/>
    <n v="67144.789999999994"/>
    <x v="80"/>
    <x v="83"/>
    <x v="77"/>
    <x v="83"/>
    <x v="83"/>
    <x v="86"/>
    <x v="83"/>
    <x v="1"/>
    <x v="83"/>
    <m/>
    <m/>
    <m/>
    <n v="22"/>
    <n v="24"/>
    <n v="15"/>
    <n v="32"/>
    <m/>
    <x v="89"/>
    <s v="X"/>
    <s v="X"/>
    <s v="X"/>
    <n v="444.91863636363638"/>
    <n v="357.89749999999998"/>
    <n v="415.27866666666665"/>
    <n v="663.58843750000005"/>
    <m/>
    <x v="85"/>
    <x v="70"/>
    <n v="146"/>
    <n v="54"/>
    <n v="160"/>
    <n v="116"/>
    <n v="98"/>
    <n v="330"/>
    <m/>
  </r>
  <r>
    <x v="0"/>
    <x v="97"/>
    <x v="97"/>
    <n v="57454.22"/>
    <n v="1866.7"/>
    <n v="1948.02"/>
    <n v="2934.39"/>
    <n v="22919.93"/>
    <n v="3611.79"/>
    <n v="2759.8"/>
    <n v="1531.59"/>
    <n v="19882"/>
    <n v="66646.89"/>
    <x v="81"/>
    <x v="84"/>
    <x v="78"/>
    <x v="84"/>
    <x v="84"/>
    <x v="87"/>
    <x v="84"/>
    <x v="43"/>
    <x v="46"/>
    <m/>
    <m/>
    <m/>
    <n v="100"/>
    <m/>
    <m/>
    <m/>
    <n v="100"/>
    <x v="90"/>
    <s v="X"/>
    <s v="X"/>
    <s v="X"/>
    <n v="229.19929999999999"/>
    <s v="X"/>
    <s v="X"/>
    <s v="X"/>
    <n v="198.82"/>
    <x v="86"/>
    <x v="71"/>
    <n v="110"/>
    <n v="290"/>
    <n v="346"/>
    <n v="498"/>
    <n v="484"/>
    <n v="174"/>
    <m/>
  </r>
  <r>
    <x v="1"/>
    <x v="98"/>
    <x v="98"/>
    <n v="55739.65"/>
    <n v="2877.99"/>
    <n v="2861.17"/>
    <n v="7799.32"/>
    <n v="7085.84"/>
    <n v="13846.42"/>
    <n v="-4759.47"/>
    <n v="10335.34"/>
    <n v="15693.04"/>
    <n v="64658.01"/>
    <x v="82"/>
    <x v="85"/>
    <x v="79"/>
    <x v="85"/>
    <x v="85"/>
    <x v="88"/>
    <x v="85"/>
    <x v="44"/>
    <x v="17"/>
    <m/>
    <m/>
    <m/>
    <m/>
    <m/>
    <m/>
    <m/>
    <m/>
    <x v="17"/>
    <s v="X"/>
    <s v="X"/>
    <s v="X"/>
    <s v="X"/>
    <s v="X"/>
    <s v="X"/>
    <s v="X"/>
    <s v="X"/>
    <x v="87"/>
    <x v="72"/>
    <n v="398"/>
    <n v="1214"/>
    <n v="1236"/>
    <n v="1964"/>
    <n v="-773"/>
    <n v="2118"/>
    <n v="1996"/>
  </r>
  <r>
    <x v="0"/>
    <x v="99"/>
    <x v="99"/>
    <n v="54826.83"/>
    <n v="10557.86"/>
    <n v="34298.26"/>
    <n v="8255.57"/>
    <n v="1336.54"/>
    <n v="378.6"/>
    <m/>
    <m/>
    <m/>
    <n v="63599.13"/>
    <x v="83"/>
    <x v="86"/>
    <x v="80"/>
    <x v="86"/>
    <x v="86"/>
    <x v="17"/>
    <x v="17"/>
    <x v="1"/>
    <x v="84"/>
    <n v="38"/>
    <n v="121"/>
    <n v="28"/>
    <n v="7"/>
    <n v="1"/>
    <m/>
    <m/>
    <m/>
    <x v="91"/>
    <n v="277.83842105263159"/>
    <n v="283.45669421487605"/>
    <n v="294.84178571428572"/>
    <n v="190.93428571428572"/>
    <n v="378.6"/>
    <m/>
    <m/>
    <m/>
    <x v="88"/>
    <x v="73"/>
    <n v="3974"/>
    <n v="812"/>
    <n v="6"/>
    <n v="24"/>
    <m/>
    <m/>
    <m/>
  </r>
  <r>
    <x v="2"/>
    <x v="100"/>
    <x v="100"/>
    <n v="53607.54"/>
    <m/>
    <n v="1160.24"/>
    <n v="24181.56"/>
    <n v="1559.84"/>
    <n v="20804.490000000002"/>
    <n v="807.83"/>
    <n v="3760.63"/>
    <n v="1332.95"/>
    <n v="62184.74"/>
    <x v="4"/>
    <x v="87"/>
    <x v="81"/>
    <x v="87"/>
    <x v="87"/>
    <x v="89"/>
    <x v="86"/>
    <x v="45"/>
    <x v="85"/>
    <m/>
    <m/>
    <n v="60"/>
    <m/>
    <n v="50"/>
    <m/>
    <n v="5"/>
    <m/>
    <x v="92"/>
    <m/>
    <s v="X"/>
    <n v="403.02600000000001"/>
    <s v="X"/>
    <n v="416.08980000000003"/>
    <s v="X"/>
    <n v="752.12599999999998"/>
    <s v="X"/>
    <x v="89"/>
    <x v="1"/>
    <n v="164"/>
    <n v="1080"/>
    <n v="228"/>
    <n v="1440"/>
    <n v="130"/>
    <n v="286"/>
    <n v="118"/>
  </r>
  <r>
    <x v="0"/>
    <x v="101"/>
    <x v="101"/>
    <n v="52540.19"/>
    <n v="725.73"/>
    <n v="1160.83"/>
    <n v="1119.73"/>
    <n v="558.63"/>
    <n v="592.74"/>
    <n v="48290.34"/>
    <n v="92.19"/>
    <m/>
    <n v="60946.61"/>
    <x v="84"/>
    <x v="88"/>
    <x v="82"/>
    <x v="88"/>
    <x v="88"/>
    <x v="90"/>
    <x v="87"/>
    <x v="1"/>
    <x v="86"/>
    <n v="1"/>
    <n v="3"/>
    <n v="2"/>
    <n v="1"/>
    <n v="2"/>
    <n v="201"/>
    <m/>
    <m/>
    <x v="93"/>
    <n v="725.73"/>
    <n v="386.94333333333333"/>
    <n v="559.86500000000001"/>
    <n v="558.63"/>
    <n v="296.37"/>
    <n v="240.25044776119404"/>
    <s v="X"/>
    <m/>
    <x v="90"/>
    <x v="74"/>
    <n v="22"/>
    <n v="98"/>
    <n v="42"/>
    <n v="18"/>
    <n v="48"/>
    <n v="12"/>
    <m/>
  </r>
  <r>
    <x v="2"/>
    <x v="102"/>
    <x v="102"/>
    <n v="52412.73"/>
    <m/>
    <n v="731.61"/>
    <m/>
    <n v="24942"/>
    <n v="552.96"/>
    <n v="483.84"/>
    <n v="25564.080000000002"/>
    <n v="138.24"/>
    <n v="60798.76"/>
    <x v="4"/>
    <x v="89"/>
    <x v="2"/>
    <x v="89"/>
    <x v="89"/>
    <x v="91"/>
    <x v="88"/>
    <x v="46"/>
    <x v="48"/>
    <m/>
    <m/>
    <m/>
    <n v="120"/>
    <m/>
    <m/>
    <n v="120"/>
    <m/>
    <x v="94"/>
    <m/>
    <s v="X"/>
    <m/>
    <n v="207.85"/>
    <s v="X"/>
    <s v="X"/>
    <n v="213.03399999999999"/>
    <s v="X"/>
    <x v="91"/>
    <x v="1"/>
    <n v="18"/>
    <m/>
    <m/>
    <n v="8"/>
    <n v="7"/>
    <n v="9"/>
    <n v="2"/>
  </r>
  <r>
    <x v="2"/>
    <x v="103"/>
    <x v="103"/>
    <n v="51258.86"/>
    <n v="886.69"/>
    <n v="16184.55"/>
    <n v="17328.72"/>
    <n v="845.12"/>
    <n v="366.53"/>
    <n v="14025.12"/>
    <n v="404.41"/>
    <n v="1217.72"/>
    <n v="59460.29"/>
    <x v="85"/>
    <x v="90"/>
    <x v="83"/>
    <x v="90"/>
    <x v="90"/>
    <x v="92"/>
    <x v="89"/>
    <x v="47"/>
    <x v="87"/>
    <m/>
    <n v="50"/>
    <n v="60"/>
    <m/>
    <m/>
    <n v="50"/>
    <m/>
    <m/>
    <x v="95"/>
    <s v="X"/>
    <n v="323.69099999999997"/>
    <n v="288.81200000000001"/>
    <s v="X"/>
    <s v="X"/>
    <n v="280.50240000000002"/>
    <s v="X"/>
    <s v="X"/>
    <x v="92"/>
    <x v="74"/>
    <n v="20"/>
    <n v="24"/>
    <n v="20"/>
    <n v="10"/>
    <n v="16"/>
    <n v="12"/>
    <n v="48"/>
  </r>
  <r>
    <x v="2"/>
    <x v="104"/>
    <x v="104"/>
    <n v="47999.32"/>
    <n v="9765.6200000000008"/>
    <n v="7276.14"/>
    <n v="11307.9"/>
    <n v="3329.02"/>
    <n v="3723.33"/>
    <n v="3920.35"/>
    <n v="2644.09"/>
    <n v="6032.87"/>
    <n v="55679.199999999997"/>
    <x v="86"/>
    <x v="91"/>
    <x v="84"/>
    <x v="91"/>
    <x v="91"/>
    <x v="93"/>
    <x v="90"/>
    <x v="48"/>
    <x v="88"/>
    <n v="27"/>
    <n v="27"/>
    <n v="47"/>
    <n v="13"/>
    <n v="15"/>
    <n v="12"/>
    <n v="11"/>
    <n v="17"/>
    <x v="96"/>
    <n v="361.68962962962962"/>
    <n v="269.48666666666668"/>
    <n v="240.5936170212766"/>
    <n v="256.07846153846157"/>
    <n v="248.22200000000001"/>
    <n v="326.69583333333333"/>
    <n v="240.37181818181818"/>
    <n v="354.87470588235294"/>
    <x v="93"/>
    <x v="75"/>
    <n v="40"/>
    <n v="26"/>
    <n v="10"/>
    <n v="8"/>
    <n v="32"/>
    <n v="4"/>
    <n v="62"/>
  </r>
  <r>
    <x v="0"/>
    <x v="105"/>
    <x v="105"/>
    <n v="46388.45"/>
    <n v="113.28"/>
    <n v="40827.760000000002"/>
    <n v="2109.89"/>
    <n v="2146.4299999999998"/>
    <n v="598.38"/>
    <n v="499.2"/>
    <n v="93.51"/>
    <m/>
    <n v="53810.59"/>
    <x v="87"/>
    <x v="92"/>
    <x v="85"/>
    <x v="92"/>
    <x v="92"/>
    <x v="94"/>
    <x v="91"/>
    <x v="1"/>
    <x v="46"/>
    <m/>
    <n v="200"/>
    <m/>
    <m/>
    <m/>
    <m/>
    <m/>
    <m/>
    <x v="97"/>
    <s v="X"/>
    <n v="204.1388"/>
    <s v="X"/>
    <s v="X"/>
    <s v="X"/>
    <s v="X"/>
    <s v="X"/>
    <m/>
    <x v="94"/>
    <x v="1"/>
    <n v="172"/>
    <n v="244"/>
    <n v="258"/>
    <n v="92"/>
    <n v="96"/>
    <n v="18"/>
    <m/>
  </r>
  <r>
    <x v="1"/>
    <x v="106"/>
    <x v="106"/>
    <n v="45577.73"/>
    <n v="4482.5"/>
    <n v="8021.53"/>
    <n v="7575.47"/>
    <n v="8418.16"/>
    <n v="7045.49"/>
    <n v="6650.23"/>
    <n v="3384.35"/>
    <m/>
    <n v="45629.86"/>
    <x v="88"/>
    <x v="93"/>
    <x v="86"/>
    <x v="93"/>
    <x v="93"/>
    <x v="95"/>
    <x v="92"/>
    <x v="1"/>
    <x v="89"/>
    <n v="8"/>
    <n v="16"/>
    <n v="17"/>
    <n v="15"/>
    <n v="15"/>
    <n v="10"/>
    <n v="5"/>
    <m/>
    <x v="98"/>
    <n v="560.3125"/>
    <n v="501.34562499999998"/>
    <n v="445.61588235294118"/>
    <n v="561.21066666666673"/>
    <n v="469.69933333333336"/>
    <n v="665.02300000000002"/>
    <n v="676.87"/>
    <m/>
    <x v="95"/>
    <x v="76"/>
    <n v="137.5"/>
    <n v="88.8"/>
    <n v="97.1"/>
    <n v="89.7"/>
    <n v="41.9"/>
    <n v="21.3"/>
    <m/>
  </r>
  <r>
    <x v="1"/>
    <x v="107"/>
    <x v="107"/>
    <n v="44114.96"/>
    <n v="4581.97"/>
    <n v="9973.15"/>
    <n v="5759.16"/>
    <n v="4908.82"/>
    <n v="5495.92"/>
    <n v="8071.57"/>
    <n v="5324.37"/>
    <m/>
    <n v="51173.36"/>
    <x v="89"/>
    <x v="94"/>
    <x v="87"/>
    <x v="94"/>
    <x v="94"/>
    <x v="96"/>
    <x v="93"/>
    <x v="1"/>
    <x v="90"/>
    <n v="15"/>
    <n v="32"/>
    <n v="17"/>
    <n v="13"/>
    <n v="18"/>
    <n v="27"/>
    <n v="17"/>
    <m/>
    <x v="99"/>
    <n v="305.46466666666669"/>
    <n v="311.66093749999999"/>
    <n v="338.7741176470588"/>
    <n v="377.60153846153844"/>
    <n v="305.32888888888891"/>
    <n v="298.94703703703703"/>
    <n v="313.19823529411764"/>
    <m/>
    <x v="75"/>
    <x v="1"/>
    <n v="10"/>
    <m/>
    <n v="78"/>
    <m/>
    <m/>
    <m/>
    <m/>
  </r>
  <r>
    <x v="0"/>
    <x v="108"/>
    <x v="108"/>
    <n v="43704.65"/>
    <m/>
    <n v="20822"/>
    <n v="1725.15"/>
    <n v="68.22"/>
    <n v="387.28"/>
    <n v="20702"/>
    <m/>
    <m/>
    <n v="50697.39"/>
    <x v="4"/>
    <x v="95"/>
    <x v="88"/>
    <x v="95"/>
    <x v="95"/>
    <x v="97"/>
    <x v="17"/>
    <x v="1"/>
    <x v="46"/>
    <m/>
    <n v="100"/>
    <m/>
    <m/>
    <m/>
    <n v="100"/>
    <m/>
    <m/>
    <x v="100"/>
    <m/>
    <n v="208.22"/>
    <s v="X"/>
    <s v="X"/>
    <s v="X"/>
    <n v="207.02"/>
    <m/>
    <m/>
    <x v="96"/>
    <x v="1"/>
    <m/>
    <n v="30"/>
    <n v="4"/>
    <n v="16"/>
    <m/>
    <m/>
    <m/>
  </r>
  <r>
    <x v="2"/>
    <x v="109"/>
    <x v="109"/>
    <n v="40867.370000000003"/>
    <m/>
    <n v="5044.32"/>
    <n v="6984.5"/>
    <n v="14886.76"/>
    <n v="13597.01"/>
    <n v="354.78"/>
    <m/>
    <m/>
    <n v="47363.92"/>
    <x v="4"/>
    <x v="96"/>
    <x v="89"/>
    <x v="96"/>
    <x v="96"/>
    <x v="98"/>
    <x v="17"/>
    <x v="1"/>
    <x v="91"/>
    <m/>
    <n v="10"/>
    <n v="10"/>
    <n v="40"/>
    <n v="35"/>
    <m/>
    <m/>
    <m/>
    <x v="101"/>
    <m/>
    <n v="504.43200000000002"/>
    <n v="698.45"/>
    <n v="372.16899999999998"/>
    <n v="388.48599999999999"/>
    <s v="X"/>
    <m/>
    <m/>
    <x v="97"/>
    <x v="1"/>
    <n v="422"/>
    <n v="624"/>
    <n v="722"/>
    <n v="1037.9000000000001"/>
    <n v="32"/>
    <m/>
    <m/>
  </r>
  <r>
    <x v="1"/>
    <x v="110"/>
    <x v="110"/>
    <n v="40766.82"/>
    <m/>
    <m/>
    <m/>
    <m/>
    <m/>
    <n v="40766.82"/>
    <m/>
    <m/>
    <n v="47289.51"/>
    <x v="4"/>
    <x v="2"/>
    <x v="2"/>
    <x v="4"/>
    <x v="3"/>
    <x v="99"/>
    <x v="17"/>
    <x v="1"/>
    <x v="92"/>
    <m/>
    <m/>
    <m/>
    <m/>
    <m/>
    <n v="402"/>
    <m/>
    <m/>
    <x v="102"/>
    <m/>
    <m/>
    <m/>
    <m/>
    <s v="X"/>
    <n v="101.41"/>
    <s v="X"/>
    <m/>
    <x v="1"/>
    <x v="1"/>
    <m/>
    <m/>
    <m/>
    <m/>
    <m/>
    <m/>
    <m/>
  </r>
  <r>
    <x v="0"/>
    <x v="111"/>
    <x v="111"/>
    <n v="39904.629999999997"/>
    <n v="8388.4"/>
    <n v="4405.34"/>
    <n v="8820.1299999999992"/>
    <n v="4427.3999999999996"/>
    <n v="4992.8100000000004"/>
    <n v="4436.8500000000004"/>
    <n v="4433.7"/>
    <m/>
    <n v="46289.36"/>
    <x v="90"/>
    <x v="97"/>
    <x v="90"/>
    <x v="97"/>
    <x v="97"/>
    <x v="100"/>
    <x v="94"/>
    <x v="1"/>
    <x v="93"/>
    <n v="2"/>
    <n v="1"/>
    <n v="2"/>
    <n v="1"/>
    <n v="1"/>
    <n v="1"/>
    <n v="1"/>
    <m/>
    <x v="103"/>
    <n v="4194.2"/>
    <n v="4405.34"/>
    <n v="4410.0649999999996"/>
    <n v="4427.3999999999996"/>
    <n v="4992.8100000000004"/>
    <n v="4436.8500000000004"/>
    <n v="4433.7"/>
    <m/>
    <x v="1"/>
    <x v="1"/>
    <m/>
    <m/>
    <m/>
    <m/>
    <m/>
    <m/>
    <m/>
  </r>
  <r>
    <x v="2"/>
    <x v="112"/>
    <x v="112"/>
    <n v="39186.230000000003"/>
    <m/>
    <n v="9014.25"/>
    <n v="7631.71"/>
    <n v="7593.19"/>
    <n v="861.12"/>
    <n v="8665.75"/>
    <n v="183.04"/>
    <n v="5237.17"/>
    <n v="45456.03"/>
    <x v="4"/>
    <x v="98"/>
    <x v="91"/>
    <x v="98"/>
    <x v="98"/>
    <x v="101"/>
    <x v="95"/>
    <x v="49"/>
    <x v="94"/>
    <m/>
    <n v="15"/>
    <n v="12"/>
    <n v="11"/>
    <m/>
    <n v="15"/>
    <m/>
    <n v="5"/>
    <x v="104"/>
    <m/>
    <n v="600.95000000000005"/>
    <n v="635.9758333333333"/>
    <n v="690.29"/>
    <s v="X"/>
    <n v="577.7166666666667"/>
    <s v="X"/>
    <n v="1047.434"/>
    <x v="98"/>
    <x v="1"/>
    <n v="990"/>
    <n v="449"/>
    <n v="846"/>
    <n v="72"/>
    <n v="890"/>
    <n v="32"/>
    <n v="716"/>
  </r>
  <r>
    <x v="0"/>
    <x v="113"/>
    <x v="113"/>
    <n v="38466.620000000003"/>
    <m/>
    <m/>
    <m/>
    <m/>
    <n v="27742.48"/>
    <n v="10724.14"/>
    <m/>
    <m/>
    <n v="44621.279999999999"/>
    <x v="4"/>
    <x v="2"/>
    <x v="2"/>
    <x v="4"/>
    <x v="99"/>
    <x v="102"/>
    <x v="17"/>
    <x v="1"/>
    <x v="95"/>
    <m/>
    <m/>
    <m/>
    <m/>
    <n v="13"/>
    <n v="5"/>
    <m/>
    <m/>
    <x v="105"/>
    <m/>
    <m/>
    <m/>
    <m/>
    <n v="2134.0369230769229"/>
    <n v="2144.828"/>
    <m/>
    <m/>
    <x v="1"/>
    <x v="1"/>
    <m/>
    <m/>
    <m/>
    <m/>
    <m/>
    <m/>
    <m/>
  </r>
  <r>
    <x v="1"/>
    <x v="114"/>
    <x v="114"/>
    <n v="37956.1"/>
    <n v="6277.32"/>
    <n v="6859.1"/>
    <n v="7656.16"/>
    <n v="4697.4399999999996"/>
    <n v="4622.55"/>
    <n v="3643.63"/>
    <n v="4199.8999999999996"/>
    <m/>
    <n v="44029.08"/>
    <x v="91"/>
    <x v="99"/>
    <x v="92"/>
    <x v="99"/>
    <x v="100"/>
    <x v="103"/>
    <x v="96"/>
    <x v="1"/>
    <x v="96"/>
    <n v="24"/>
    <n v="27"/>
    <n v="29"/>
    <n v="17"/>
    <n v="13"/>
    <n v="13"/>
    <n v="12"/>
    <m/>
    <x v="106"/>
    <n v="261.55500000000001"/>
    <n v="254.04074074074074"/>
    <n v="264.00551724137932"/>
    <n v="276.32"/>
    <n v="355.58076923076925"/>
    <n v="280.27923076923076"/>
    <n v="349.99166666666667"/>
    <m/>
    <x v="99"/>
    <x v="66"/>
    <n v="54"/>
    <n v="102"/>
    <n v="64"/>
    <n v="58"/>
    <n v="30"/>
    <n v="68"/>
    <m/>
  </r>
  <r>
    <x v="1"/>
    <x v="115"/>
    <x v="115"/>
    <n v="37079.85"/>
    <n v="8525.11"/>
    <n v="10803.460000000001"/>
    <n v="8935.0600000000013"/>
    <n v="19470.34"/>
    <n v="8913.18"/>
    <n v="8801.91"/>
    <n v="10233.650000000001"/>
    <n v="8525.11"/>
    <n v="43012.639999999999"/>
    <x v="92"/>
    <x v="100"/>
    <x v="93"/>
    <x v="100"/>
    <x v="101"/>
    <x v="104"/>
    <x v="97"/>
    <x v="50"/>
    <x v="97"/>
    <m/>
    <m/>
    <m/>
    <m/>
    <m/>
    <n v="26"/>
    <n v="12"/>
    <n v="17"/>
    <x v="107"/>
    <s v="X"/>
    <s v="X"/>
    <s v="X"/>
    <s v="X"/>
    <s v="X"/>
    <n v="352.56461538461537"/>
    <n v="412.13416666666666"/>
    <n v="359.3305882352941"/>
    <x v="100"/>
    <x v="77"/>
    <n v="126"/>
    <n v="68"/>
    <n v="82"/>
    <n v="20"/>
    <n v="116"/>
    <n v="52"/>
    <n v="64"/>
  </r>
  <r>
    <x v="1"/>
    <x v="116"/>
    <x v="116"/>
    <n v="36890.97"/>
    <n v="4396.82"/>
    <n v="4099.8999999999996"/>
    <n v="6247.43"/>
    <n v="4529.3900000000003"/>
    <n v="3229.68"/>
    <n v="5003.5600000000004"/>
    <n v="4450.3900000000003"/>
    <n v="4933.8"/>
    <n v="42793.52"/>
    <x v="93"/>
    <x v="101"/>
    <x v="94"/>
    <x v="101"/>
    <x v="102"/>
    <x v="105"/>
    <x v="98"/>
    <x v="51"/>
    <x v="98"/>
    <n v="9"/>
    <n v="7"/>
    <n v="21"/>
    <n v="15"/>
    <n v="9"/>
    <n v="17"/>
    <n v="18"/>
    <n v="22"/>
    <x v="108"/>
    <n v="488.53555555555556"/>
    <n v="585.70000000000005"/>
    <n v="297.49666666666667"/>
    <n v="301.95933333333335"/>
    <n v="358.85333333333335"/>
    <n v="294.3270588235294"/>
    <n v="247.2438888888889"/>
    <n v="224.26363636363635"/>
    <x v="101"/>
    <x v="78"/>
    <n v="80"/>
    <n v="150"/>
    <n v="118"/>
    <n v="236"/>
    <n v="240"/>
    <n v="224"/>
    <n v="350"/>
  </r>
  <r>
    <x v="2"/>
    <x v="117"/>
    <x v="117"/>
    <n v="33920.120000000003"/>
    <m/>
    <m/>
    <n v="11060.89"/>
    <n v="8960.34"/>
    <n v="1328.15"/>
    <n v="11819.84"/>
    <n v="-443.69"/>
    <n v="1194.5899999999999"/>
    <n v="38599.89"/>
    <x v="4"/>
    <x v="2"/>
    <x v="95"/>
    <x v="102"/>
    <x v="103"/>
    <x v="106"/>
    <x v="99"/>
    <x v="52"/>
    <x v="96"/>
    <m/>
    <m/>
    <n v="40"/>
    <n v="45"/>
    <m/>
    <n v="50"/>
    <m/>
    <m/>
    <x v="109"/>
    <m/>
    <m/>
    <n v="276.52224999999999"/>
    <n v="199.11866666666668"/>
    <s v="X"/>
    <n v="236.39680000000001"/>
    <s v="X"/>
    <s v="X"/>
    <x v="102"/>
    <x v="1"/>
    <m/>
    <n v="59.9"/>
    <n v="93.1"/>
    <n v="36.6"/>
    <n v="60.5"/>
    <n v="-12"/>
    <n v="114"/>
  </r>
  <r>
    <x v="1"/>
    <x v="118"/>
    <x v="118"/>
    <n v="33534.93"/>
    <n v="6880.92"/>
    <n v="3272.54"/>
    <n v="3554.39"/>
    <n v="3721.98"/>
    <n v="6645.44"/>
    <n v="4685.5200000000004"/>
    <n v="4774.1400000000003"/>
    <m/>
    <n v="38900.519999999997"/>
    <x v="94"/>
    <x v="102"/>
    <x v="96"/>
    <x v="103"/>
    <x v="104"/>
    <x v="107"/>
    <x v="100"/>
    <x v="1"/>
    <x v="99"/>
    <n v="32"/>
    <n v="16"/>
    <n v="18"/>
    <n v="21"/>
    <n v="32"/>
    <n v="19"/>
    <n v="23"/>
    <m/>
    <x v="110"/>
    <n v="215.02875"/>
    <n v="204.53375"/>
    <n v="197.4661111111111"/>
    <n v="177.23714285714286"/>
    <n v="207.67"/>
    <n v="246.60631578947368"/>
    <n v="207.5713043478261"/>
    <m/>
    <x v="103"/>
    <x v="36"/>
    <n v="26"/>
    <n v="20"/>
    <n v="30"/>
    <n v="58"/>
    <n v="156"/>
    <n v="26"/>
    <m/>
  </r>
  <r>
    <x v="1"/>
    <x v="119"/>
    <x v="119"/>
    <n v="33001.339999999997"/>
    <n v="5387.1"/>
    <n v="7056.91"/>
    <n v="5041.72"/>
    <n v="3837.39"/>
    <n v="3882.69"/>
    <n v="3072.82"/>
    <n v="4722.71"/>
    <m/>
    <n v="38281.56"/>
    <x v="95"/>
    <x v="103"/>
    <x v="97"/>
    <x v="104"/>
    <x v="105"/>
    <x v="108"/>
    <x v="101"/>
    <x v="1"/>
    <x v="100"/>
    <n v="27"/>
    <n v="38"/>
    <n v="28"/>
    <n v="21"/>
    <n v="21"/>
    <n v="16"/>
    <n v="26"/>
    <m/>
    <x v="111"/>
    <n v="199.52222222222221"/>
    <n v="185.70815789473684"/>
    <n v="180.06142857142856"/>
    <n v="182.73285714285714"/>
    <n v="184.89"/>
    <n v="192.05125000000001"/>
    <n v="181.6426923076923"/>
    <m/>
    <x v="104"/>
    <x v="79"/>
    <n v="30"/>
    <n v="58"/>
    <n v="58"/>
    <n v="44"/>
    <n v="40"/>
    <n v="62"/>
    <m/>
  </r>
  <r>
    <x v="0"/>
    <x v="120"/>
    <x v="120"/>
    <n v="32362.03"/>
    <n v="20669.64"/>
    <m/>
    <n v="4718.0200000000004"/>
    <n v="6974.37"/>
    <m/>
    <m/>
    <m/>
    <m/>
    <n v="33492.629999999997"/>
    <x v="96"/>
    <x v="2"/>
    <x v="98"/>
    <x v="105"/>
    <x v="3"/>
    <x v="17"/>
    <x v="17"/>
    <x v="1"/>
    <x v="32"/>
    <n v="68"/>
    <m/>
    <n v="14"/>
    <n v="22"/>
    <m/>
    <m/>
    <m/>
    <m/>
    <x v="112"/>
    <n v="303.96529411764703"/>
    <m/>
    <n v="337.00142857142856"/>
    <n v="317.01681818181817"/>
    <m/>
    <m/>
    <m/>
    <m/>
    <x v="105"/>
    <x v="80"/>
    <m/>
    <n v="71.2"/>
    <n v="59.6"/>
    <m/>
    <m/>
    <m/>
    <m/>
  </r>
  <r>
    <x v="1"/>
    <x v="121"/>
    <x v="121"/>
    <n v="31986.15"/>
    <n v="6771.08"/>
    <n v="3129.79"/>
    <m/>
    <n v="1187.03"/>
    <m/>
    <n v="833.29"/>
    <n v="9656.8700000000008"/>
    <n v="10408.09"/>
    <n v="37103.93"/>
    <x v="97"/>
    <x v="104"/>
    <x v="2"/>
    <x v="106"/>
    <x v="3"/>
    <x v="109"/>
    <x v="102"/>
    <x v="53"/>
    <x v="80"/>
    <n v="21"/>
    <n v="11"/>
    <m/>
    <n v="2"/>
    <m/>
    <n v="2"/>
    <n v="26"/>
    <n v="37"/>
    <x v="113"/>
    <n v="322.43238095238092"/>
    <n v="284.52636363636361"/>
    <m/>
    <n v="593.51499999999999"/>
    <m/>
    <n v="416.64499999999998"/>
    <n v="371.41807692307691"/>
    <n v="281.29972972972973"/>
    <x v="106"/>
    <x v="81"/>
    <n v="154"/>
    <m/>
    <n v="92"/>
    <m/>
    <n v="30"/>
    <n v="628"/>
    <n v="514"/>
  </r>
  <r>
    <x v="2"/>
    <x v="122"/>
    <x v="122"/>
    <n v="31213.82"/>
    <n v="5709.17"/>
    <n v="7112.24"/>
    <n v="8572.2099999999991"/>
    <n v="2468.6999999999998"/>
    <n v="2061.96"/>
    <n v="1195.72"/>
    <n v="1867.84"/>
    <n v="2225.98"/>
    <n v="36208.03"/>
    <x v="98"/>
    <x v="105"/>
    <x v="99"/>
    <x v="107"/>
    <x v="106"/>
    <x v="110"/>
    <x v="103"/>
    <x v="54"/>
    <x v="74"/>
    <n v="14"/>
    <n v="13"/>
    <n v="19"/>
    <n v="5"/>
    <n v="6"/>
    <n v="3"/>
    <n v="5"/>
    <n v="5"/>
    <x v="114"/>
    <n v="407.79785714285714"/>
    <n v="547.09538461538466"/>
    <n v="451.16894736842107"/>
    <n v="493.74"/>
    <n v="343.66"/>
    <n v="398.57333333333332"/>
    <n v="373.56799999999998"/>
    <n v="445.19600000000003"/>
    <x v="107"/>
    <x v="82"/>
    <n v="438"/>
    <n v="316"/>
    <n v="108"/>
    <n v="38"/>
    <n v="38"/>
    <n v="64"/>
    <n v="98"/>
  </r>
  <r>
    <x v="2"/>
    <x v="123"/>
    <x v="123"/>
    <n v="30573.53"/>
    <m/>
    <n v="9418.98"/>
    <n v="8075.6"/>
    <n v="14229.84"/>
    <n v="-1150.8900000000001"/>
    <m/>
    <m/>
    <m/>
    <n v="35465.300000000003"/>
    <x v="4"/>
    <x v="106"/>
    <x v="100"/>
    <x v="108"/>
    <x v="107"/>
    <x v="17"/>
    <x v="17"/>
    <x v="1"/>
    <x v="101"/>
    <m/>
    <n v="10"/>
    <n v="10"/>
    <n v="20"/>
    <m/>
    <m/>
    <m/>
    <m/>
    <x v="115"/>
    <m/>
    <n v="941.89800000000002"/>
    <n v="807.56"/>
    <n v="711.49199999999996"/>
    <s v="X"/>
    <m/>
    <m/>
    <m/>
    <x v="108"/>
    <x v="1"/>
    <n v="1052"/>
    <n v="784"/>
    <n v="1226"/>
    <n v="-340"/>
    <m/>
    <m/>
    <m/>
  </r>
  <r>
    <x v="2"/>
    <x v="124"/>
    <x v="124"/>
    <n v="30571.919999999998"/>
    <m/>
    <n v="641"/>
    <n v="1133.53"/>
    <m/>
    <n v="501.52"/>
    <n v="26542.3"/>
    <n v="841.45"/>
    <n v="912.12"/>
    <n v="35463.42"/>
    <x v="4"/>
    <x v="107"/>
    <x v="101"/>
    <x v="4"/>
    <x v="108"/>
    <x v="111"/>
    <x v="104"/>
    <x v="55"/>
    <x v="102"/>
    <m/>
    <m/>
    <m/>
    <m/>
    <m/>
    <n v="30"/>
    <m/>
    <m/>
    <x v="116"/>
    <m/>
    <s v="X"/>
    <s v="X"/>
    <m/>
    <s v="X"/>
    <n v="884.74333333333334"/>
    <s v="X"/>
    <s v="X"/>
    <x v="45"/>
    <x v="1"/>
    <n v="8"/>
    <n v="82"/>
    <m/>
    <n v="16"/>
    <n v="3500"/>
    <n v="98"/>
    <n v="138"/>
  </r>
  <r>
    <x v="1"/>
    <x v="125"/>
    <x v="125"/>
    <n v="30052.53"/>
    <n v="3668.44"/>
    <n v="2304.9499999999998"/>
    <n v="3146.88"/>
    <n v="4295.1899999999996"/>
    <n v="2553.8000000000002"/>
    <n v="7960.96"/>
    <n v="6122.31"/>
    <m/>
    <n v="34860.93"/>
    <x v="99"/>
    <x v="108"/>
    <x v="102"/>
    <x v="109"/>
    <x v="109"/>
    <x v="112"/>
    <x v="105"/>
    <x v="1"/>
    <x v="17"/>
    <m/>
    <m/>
    <m/>
    <m/>
    <m/>
    <m/>
    <m/>
    <m/>
    <x v="17"/>
    <s v="X"/>
    <s v="X"/>
    <s v="X"/>
    <s v="X"/>
    <s v="X"/>
    <s v="X"/>
    <s v="X"/>
    <m/>
    <x v="109"/>
    <x v="39"/>
    <n v="58"/>
    <n v="96"/>
    <n v="126"/>
    <n v="58"/>
    <n v="210"/>
    <n v="162"/>
    <m/>
  </r>
  <r>
    <x v="1"/>
    <x v="126"/>
    <x v="126"/>
    <n v="29677.759999999998"/>
    <n v="3469.83"/>
    <n v="4045.5"/>
    <n v="4488.54"/>
    <n v="2287.91"/>
    <n v="3873.23"/>
    <n v="2986.17"/>
    <n v="8526.58"/>
    <m/>
    <n v="34426.21"/>
    <x v="100"/>
    <x v="109"/>
    <x v="103"/>
    <x v="110"/>
    <x v="110"/>
    <x v="113"/>
    <x v="106"/>
    <x v="1"/>
    <x v="17"/>
    <m/>
    <m/>
    <m/>
    <m/>
    <m/>
    <m/>
    <m/>
    <m/>
    <x v="17"/>
    <s v="X"/>
    <s v="X"/>
    <s v="X"/>
    <s v="X"/>
    <s v="X"/>
    <s v="X"/>
    <s v="X"/>
    <m/>
    <x v="110"/>
    <x v="83"/>
    <n v="1100"/>
    <n v="1272"/>
    <n v="538"/>
    <n v="1086"/>
    <n v="782"/>
    <n v="1870"/>
    <m/>
  </r>
  <r>
    <x v="1"/>
    <x v="127"/>
    <x v="127"/>
    <n v="29286.17"/>
    <n v="145.29"/>
    <m/>
    <m/>
    <m/>
    <m/>
    <m/>
    <n v="82.14"/>
    <n v="29058.74"/>
    <n v="33971.96"/>
    <x v="101"/>
    <x v="2"/>
    <x v="2"/>
    <x v="4"/>
    <x v="3"/>
    <x v="17"/>
    <x v="107"/>
    <x v="56"/>
    <x v="76"/>
    <m/>
    <m/>
    <m/>
    <m/>
    <m/>
    <m/>
    <m/>
    <n v="100"/>
    <x v="117"/>
    <s v="X"/>
    <m/>
    <m/>
    <m/>
    <m/>
    <m/>
    <s v="X"/>
    <n v="290.5874"/>
    <x v="111"/>
    <x v="57"/>
    <m/>
    <m/>
    <m/>
    <m/>
    <m/>
    <n v="2"/>
    <m/>
  </r>
  <r>
    <x v="2"/>
    <x v="128"/>
    <x v="128"/>
    <n v="28988.17"/>
    <n v="2664.32"/>
    <n v="7500.62"/>
    <n v="13084.45"/>
    <n v="5738.78"/>
    <m/>
    <m/>
    <m/>
    <m/>
    <n v="31673.3"/>
    <x v="102"/>
    <x v="110"/>
    <x v="104"/>
    <x v="111"/>
    <x v="3"/>
    <x v="17"/>
    <x v="17"/>
    <x v="1"/>
    <x v="103"/>
    <n v="9"/>
    <n v="22"/>
    <n v="28"/>
    <n v="17"/>
    <m/>
    <m/>
    <m/>
    <m/>
    <x v="118"/>
    <n v="296.03555555555556"/>
    <n v="340.93727272727273"/>
    <n v="467.3017857142857"/>
    <n v="337.57529411764705"/>
    <m/>
    <m/>
    <m/>
    <m/>
    <x v="112"/>
    <x v="43"/>
    <n v="49"/>
    <n v="427"/>
    <n v="60"/>
    <m/>
    <m/>
    <m/>
    <m/>
  </r>
  <r>
    <x v="1"/>
    <x v="129"/>
    <x v="129"/>
    <n v="28390.81"/>
    <n v="3349.68"/>
    <n v="3895.38"/>
    <n v="5677.72"/>
    <n v="4303.6099999999997"/>
    <n v="3446.68"/>
    <n v="1771.23"/>
    <n v="2758.01"/>
    <n v="3188.5"/>
    <n v="32933.339999999997"/>
    <x v="103"/>
    <x v="111"/>
    <x v="105"/>
    <x v="112"/>
    <x v="111"/>
    <x v="114"/>
    <x v="108"/>
    <x v="57"/>
    <x v="104"/>
    <n v="10"/>
    <n v="11"/>
    <n v="16"/>
    <n v="12"/>
    <n v="9"/>
    <n v="6"/>
    <n v="6"/>
    <n v="9"/>
    <x v="119"/>
    <n v="334.96800000000002"/>
    <n v="354.12545454545455"/>
    <n v="354.85750000000002"/>
    <n v="358.63416666666666"/>
    <n v="382.96444444444444"/>
    <n v="295.20499999999998"/>
    <n v="459.66833333333335"/>
    <n v="354.27777777777777"/>
    <x v="95"/>
    <x v="84"/>
    <n v="80"/>
    <n v="110"/>
    <n v="88"/>
    <n v="84"/>
    <n v="2"/>
    <n v="58"/>
    <n v="16"/>
  </r>
  <r>
    <x v="0"/>
    <x v="130"/>
    <x v="130"/>
    <n v="28108.92"/>
    <n v="20.62"/>
    <n v="1934.31"/>
    <n v="3042.42"/>
    <n v="16605.810000000001"/>
    <n v="4053.63"/>
    <n v="303.01"/>
    <n v="2149.12"/>
    <m/>
    <n v="32606.35"/>
    <x v="104"/>
    <x v="112"/>
    <x v="106"/>
    <x v="113"/>
    <x v="112"/>
    <x v="115"/>
    <x v="109"/>
    <x v="1"/>
    <x v="105"/>
    <m/>
    <m/>
    <m/>
    <n v="60"/>
    <m/>
    <m/>
    <m/>
    <m/>
    <x v="120"/>
    <s v="X"/>
    <s v="X"/>
    <s v="X"/>
    <n v="276.76350000000002"/>
    <s v="X"/>
    <s v="X"/>
    <s v="X"/>
    <m/>
    <x v="113"/>
    <x v="46"/>
    <n v="218"/>
    <n v="326"/>
    <n v="88"/>
    <n v="326"/>
    <n v="60"/>
    <n v="234"/>
    <m/>
  </r>
  <r>
    <x v="1"/>
    <x v="131"/>
    <x v="131"/>
    <n v="27242.32"/>
    <n v="2241.3200000000002"/>
    <n v="7250.21"/>
    <m/>
    <n v="2946.69"/>
    <n v="10375.18"/>
    <n v="2296.0300000000002"/>
    <n v="458.23"/>
    <n v="1674.66"/>
    <n v="31601.09"/>
    <x v="105"/>
    <x v="113"/>
    <x v="2"/>
    <x v="114"/>
    <x v="113"/>
    <x v="116"/>
    <x v="110"/>
    <x v="58"/>
    <x v="106"/>
    <n v="4"/>
    <n v="12"/>
    <m/>
    <n v="7"/>
    <n v="19"/>
    <n v="6"/>
    <n v="1"/>
    <n v="4"/>
    <x v="121"/>
    <n v="560.33000000000004"/>
    <n v="604.18416666666667"/>
    <m/>
    <n v="420.95571428571429"/>
    <n v="546.06210526315795"/>
    <n v="382.67166666666668"/>
    <n v="458.23"/>
    <n v="418.66500000000002"/>
    <x v="114"/>
    <x v="39"/>
    <n v="358"/>
    <m/>
    <n v="30"/>
    <n v="354"/>
    <n v="30"/>
    <n v="6"/>
    <n v="14"/>
  </r>
  <r>
    <x v="0"/>
    <x v="132"/>
    <x v="132"/>
    <n v="27237.19"/>
    <n v="8699.4"/>
    <n v="235.11"/>
    <n v="131.86000000000001"/>
    <n v="9074.2800000000007"/>
    <m/>
    <n v="113.28"/>
    <m/>
    <n v="8983.26"/>
    <n v="31595.13"/>
    <x v="106"/>
    <x v="114"/>
    <x v="107"/>
    <x v="115"/>
    <x v="3"/>
    <x v="117"/>
    <x v="17"/>
    <x v="59"/>
    <x v="59"/>
    <n v="30"/>
    <m/>
    <m/>
    <n v="30"/>
    <m/>
    <m/>
    <m/>
    <n v="30"/>
    <x v="122"/>
    <n v="289.98"/>
    <s v="X"/>
    <s v="X"/>
    <n v="302.476"/>
    <m/>
    <s v="X"/>
    <m/>
    <n v="299.44200000000001"/>
    <x v="115"/>
    <x v="1"/>
    <n v="2"/>
    <n v="2"/>
    <m/>
    <m/>
    <m/>
    <m/>
    <n v="16"/>
  </r>
  <r>
    <x v="0"/>
    <x v="133"/>
    <x v="133"/>
    <n v="26748.799999999999"/>
    <n v="764.28"/>
    <n v="12564.01"/>
    <n v="853.99"/>
    <n v="11262.79"/>
    <n v="1303.73"/>
    <m/>
    <m/>
    <m/>
    <n v="31028.62"/>
    <x v="107"/>
    <x v="115"/>
    <x v="108"/>
    <x v="116"/>
    <x v="114"/>
    <x v="17"/>
    <x v="17"/>
    <x v="1"/>
    <x v="76"/>
    <m/>
    <n v="50"/>
    <m/>
    <n v="50"/>
    <m/>
    <m/>
    <m/>
    <m/>
    <x v="123"/>
    <s v="X"/>
    <n v="251.28020000000001"/>
    <s v="X"/>
    <n v="225.25579999999999"/>
    <s v="X"/>
    <m/>
    <m/>
    <m/>
    <x v="93"/>
    <x v="85"/>
    <n v="166"/>
    <n v="44"/>
    <n v="62"/>
    <n v="56"/>
    <m/>
    <m/>
    <m/>
  </r>
  <r>
    <x v="0"/>
    <x v="134"/>
    <x v="134"/>
    <n v="26655.1"/>
    <n v="26024.93"/>
    <n v="538.82000000000005"/>
    <m/>
    <n v="18.690000000000001"/>
    <n v="72.66"/>
    <m/>
    <m/>
    <m/>
    <n v="30919.919999999998"/>
    <x v="108"/>
    <x v="116"/>
    <x v="2"/>
    <x v="117"/>
    <x v="115"/>
    <x v="17"/>
    <x v="17"/>
    <x v="1"/>
    <x v="17"/>
    <m/>
    <m/>
    <m/>
    <m/>
    <m/>
    <m/>
    <m/>
    <m/>
    <x v="17"/>
    <s v="X"/>
    <s v="X"/>
    <m/>
    <s v="X"/>
    <s v="X"/>
    <m/>
    <m/>
    <m/>
    <x v="116"/>
    <x v="86"/>
    <n v="58"/>
    <m/>
    <n v="2"/>
    <n v="14"/>
    <m/>
    <m/>
    <m/>
  </r>
  <r>
    <x v="0"/>
    <x v="135"/>
    <x v="135"/>
    <n v="26590.560000000001"/>
    <n v="987.02"/>
    <n v="5051.6099999999997"/>
    <n v="3276.81"/>
    <n v="6758.26"/>
    <n v="908.23"/>
    <n v="6612.42"/>
    <n v="2996.21"/>
    <m/>
    <n v="30845.05"/>
    <x v="109"/>
    <x v="117"/>
    <x v="109"/>
    <x v="118"/>
    <x v="116"/>
    <x v="118"/>
    <x v="111"/>
    <x v="1"/>
    <x v="17"/>
    <m/>
    <m/>
    <m/>
    <m/>
    <m/>
    <m/>
    <m/>
    <m/>
    <x v="17"/>
    <s v="X"/>
    <s v="X"/>
    <s v="X"/>
    <s v="X"/>
    <s v="X"/>
    <s v="X"/>
    <s v="X"/>
    <m/>
    <x v="117"/>
    <x v="87"/>
    <n v="186"/>
    <n v="136"/>
    <n v="270"/>
    <n v="38"/>
    <n v="266"/>
    <n v="172"/>
    <m/>
  </r>
  <r>
    <x v="2"/>
    <x v="136"/>
    <x v="136"/>
    <n v="26264.58"/>
    <n v="6658.41"/>
    <n v="4465.04"/>
    <n v="5678.23"/>
    <n v="5410.14"/>
    <n v="356.3"/>
    <m/>
    <n v="3696.46"/>
    <m/>
    <n v="30460.560000000001"/>
    <x v="110"/>
    <x v="118"/>
    <x v="110"/>
    <x v="119"/>
    <x v="117"/>
    <x v="17"/>
    <x v="112"/>
    <x v="1"/>
    <x v="107"/>
    <n v="25"/>
    <n v="15"/>
    <n v="19"/>
    <n v="16"/>
    <m/>
    <m/>
    <n v="13"/>
    <m/>
    <x v="124"/>
    <n v="266.33640000000003"/>
    <n v="297.66933333333333"/>
    <n v="298.8542105263158"/>
    <n v="338.13375000000002"/>
    <s v="X"/>
    <m/>
    <n v="284.34307692307692"/>
    <m/>
    <x v="118"/>
    <x v="88"/>
    <n v="48"/>
    <n v="30"/>
    <n v="90"/>
    <n v="11"/>
    <m/>
    <m/>
    <m/>
  </r>
  <r>
    <x v="0"/>
    <x v="137"/>
    <x v="137"/>
    <n v="26123.43"/>
    <n v="259.69"/>
    <m/>
    <m/>
    <m/>
    <n v="25747"/>
    <n v="58.32"/>
    <n v="58.42"/>
    <m/>
    <n v="30303.18"/>
    <x v="111"/>
    <x v="2"/>
    <x v="2"/>
    <x v="4"/>
    <x v="118"/>
    <x v="119"/>
    <x v="113"/>
    <x v="1"/>
    <x v="76"/>
    <m/>
    <m/>
    <m/>
    <m/>
    <n v="100"/>
    <m/>
    <m/>
    <m/>
    <x v="125"/>
    <s v="X"/>
    <m/>
    <m/>
    <m/>
    <n v="257.47000000000003"/>
    <s v="X"/>
    <s v="X"/>
    <m/>
    <x v="115"/>
    <x v="60"/>
    <m/>
    <m/>
    <m/>
    <m/>
    <n v="4"/>
    <n v="4"/>
    <m/>
  </r>
  <r>
    <x v="0"/>
    <x v="138"/>
    <x v="138"/>
    <n v="25936.57"/>
    <n v="911.7"/>
    <n v="750"/>
    <n v="1154.8599999999999"/>
    <n v="5898.03"/>
    <n v="10835.29"/>
    <n v="3008.48"/>
    <n v="2100.71"/>
    <n v="1277.5"/>
    <n v="30086.42"/>
    <x v="112"/>
    <x v="119"/>
    <x v="111"/>
    <x v="120"/>
    <x v="119"/>
    <x v="120"/>
    <x v="114"/>
    <x v="60"/>
    <x v="108"/>
    <m/>
    <m/>
    <m/>
    <m/>
    <n v="50"/>
    <m/>
    <m/>
    <m/>
    <x v="126"/>
    <s v="X"/>
    <s v="X"/>
    <s v="X"/>
    <s v="X"/>
    <n v="216.70580000000001"/>
    <s v="X"/>
    <s v="X"/>
    <s v="X"/>
    <x v="119"/>
    <x v="89"/>
    <m/>
    <n v="142"/>
    <n v="796"/>
    <n v="226"/>
    <n v="394"/>
    <n v="306"/>
    <n v="164"/>
  </r>
  <r>
    <x v="0"/>
    <x v="139"/>
    <x v="139"/>
    <n v="25813.72"/>
    <n v="3017.83"/>
    <n v="1109.6300000000001"/>
    <n v="793.58"/>
    <n v="2777.89"/>
    <n v="2301.71"/>
    <n v="1289.56"/>
    <n v="1516.02"/>
    <n v="13007.5"/>
    <n v="29943.9"/>
    <x v="113"/>
    <x v="120"/>
    <x v="112"/>
    <x v="121"/>
    <x v="120"/>
    <x v="121"/>
    <x v="115"/>
    <x v="61"/>
    <x v="108"/>
    <m/>
    <m/>
    <m/>
    <m/>
    <m/>
    <m/>
    <m/>
    <n v="50"/>
    <x v="127"/>
    <s v="X"/>
    <s v="X"/>
    <s v="X"/>
    <s v="X"/>
    <s v="X"/>
    <s v="X"/>
    <s v="X"/>
    <n v="260.14999999999998"/>
    <x v="120"/>
    <x v="90"/>
    <n v="148"/>
    <n v="112"/>
    <n v="382"/>
    <n v="254"/>
    <n v="148"/>
    <n v="170"/>
    <m/>
  </r>
  <r>
    <x v="0"/>
    <x v="140"/>
    <x v="140"/>
    <n v="25070.54"/>
    <n v="4351.17"/>
    <n v="4374.84"/>
    <n v="4280.57"/>
    <n v="3431.29"/>
    <n v="4382.3999999999996"/>
    <n v="2575.59"/>
    <n v="1674.68"/>
    <m/>
    <n v="29081.82"/>
    <x v="114"/>
    <x v="121"/>
    <x v="113"/>
    <x v="122"/>
    <x v="121"/>
    <x v="122"/>
    <x v="116"/>
    <x v="1"/>
    <x v="109"/>
    <m/>
    <m/>
    <m/>
    <m/>
    <m/>
    <n v="1"/>
    <n v="2"/>
    <m/>
    <x v="128"/>
    <s v="X"/>
    <s v="X"/>
    <s v="X"/>
    <s v="X"/>
    <s v="X"/>
    <n v="2575.59"/>
    <n v="837.34"/>
    <m/>
    <x v="121"/>
    <x v="91"/>
    <n v="72"/>
    <n v="78"/>
    <n v="54"/>
    <n v="68"/>
    <n v="46"/>
    <n v="24"/>
    <m/>
  </r>
  <r>
    <x v="2"/>
    <x v="141"/>
    <x v="141"/>
    <n v="23384.31"/>
    <n v="3971.57"/>
    <n v="895.41"/>
    <m/>
    <n v="-1605.74"/>
    <n v="9426.9500000000007"/>
    <n v="10554.88"/>
    <n v="141.24"/>
    <m/>
    <n v="27125.8"/>
    <x v="115"/>
    <x v="122"/>
    <x v="2"/>
    <x v="123"/>
    <x v="122"/>
    <x v="123"/>
    <x v="117"/>
    <x v="1"/>
    <x v="76"/>
    <n v="20"/>
    <m/>
    <m/>
    <m/>
    <n v="40"/>
    <n v="40"/>
    <m/>
    <m/>
    <x v="129"/>
    <n v="198.57849999999999"/>
    <s v="X"/>
    <m/>
    <s v="X"/>
    <n v="235.67375000000001"/>
    <n v="263.87200000000001"/>
    <s v="X"/>
    <m/>
    <x v="122"/>
    <x v="1"/>
    <n v="14"/>
    <m/>
    <n v="-50"/>
    <n v="62"/>
    <n v="200"/>
    <n v="4"/>
    <m/>
  </r>
  <r>
    <x v="2"/>
    <x v="142"/>
    <x v="142"/>
    <n v="23167.21"/>
    <n v="9748.41"/>
    <n v="13418.8"/>
    <m/>
    <m/>
    <m/>
    <m/>
    <m/>
    <m/>
    <n v="26873.96"/>
    <x v="116"/>
    <x v="123"/>
    <x v="2"/>
    <x v="4"/>
    <x v="3"/>
    <x v="17"/>
    <x v="17"/>
    <x v="1"/>
    <x v="110"/>
    <n v="2"/>
    <m/>
    <m/>
    <m/>
    <m/>
    <m/>
    <m/>
    <m/>
    <x v="130"/>
    <n v="4874.2049999999999"/>
    <s v="X"/>
    <m/>
    <m/>
    <m/>
    <m/>
    <m/>
    <m/>
    <x v="123"/>
    <x v="92"/>
    <n v="750"/>
    <m/>
    <m/>
    <m/>
    <m/>
    <m/>
    <m/>
  </r>
  <r>
    <x v="0"/>
    <x v="143"/>
    <x v="143"/>
    <n v="22174.080000000002"/>
    <n v="1350.81"/>
    <n v="1368.32"/>
    <n v="235.14"/>
    <m/>
    <n v="191.16"/>
    <n v="18936.509999999998"/>
    <n v="92.14"/>
    <m/>
    <n v="25721.93"/>
    <x v="117"/>
    <x v="124"/>
    <x v="114"/>
    <x v="4"/>
    <x v="123"/>
    <x v="124"/>
    <x v="118"/>
    <x v="1"/>
    <x v="76"/>
    <m/>
    <m/>
    <m/>
    <m/>
    <m/>
    <n v="100"/>
    <m/>
    <m/>
    <x v="131"/>
    <s v="X"/>
    <s v="X"/>
    <s v="X"/>
    <m/>
    <s v="X"/>
    <n v="189.36510000000001"/>
    <s v="X"/>
    <m/>
    <x v="124"/>
    <x v="93"/>
    <n v="64"/>
    <n v="4"/>
    <m/>
    <n v="6"/>
    <n v="2"/>
    <n v="4"/>
    <m/>
  </r>
  <r>
    <x v="2"/>
    <x v="144"/>
    <x v="144"/>
    <n v="21794.27"/>
    <n v="2632.97"/>
    <n v="3235.16"/>
    <n v="2219.79"/>
    <n v="4455.2"/>
    <n v="3816.51"/>
    <n v="3093.43"/>
    <n v="2341.21"/>
    <m/>
    <n v="25281.360000000001"/>
    <x v="118"/>
    <x v="125"/>
    <x v="115"/>
    <x v="124"/>
    <x v="124"/>
    <x v="125"/>
    <x v="119"/>
    <x v="1"/>
    <x v="111"/>
    <n v="9"/>
    <n v="9"/>
    <n v="5"/>
    <n v="16"/>
    <n v="11"/>
    <n v="9"/>
    <n v="8"/>
    <m/>
    <x v="132"/>
    <n v="292.55222222222221"/>
    <n v="359.46222222222224"/>
    <n v="443.95800000000003"/>
    <n v="278.45"/>
    <n v="346.95545454545453"/>
    <n v="343.71444444444444"/>
    <n v="292.65125"/>
    <m/>
    <x v="125"/>
    <x v="94"/>
    <n v="50"/>
    <n v="42"/>
    <n v="26"/>
    <n v="50"/>
    <n v="40"/>
    <n v="18"/>
    <m/>
  </r>
  <r>
    <x v="1"/>
    <x v="145"/>
    <x v="145"/>
    <n v="21766.39"/>
    <m/>
    <m/>
    <m/>
    <m/>
    <n v="9980.65"/>
    <n v="4912.32"/>
    <n v="6873.42"/>
    <m/>
    <n v="25249.01"/>
    <x v="4"/>
    <x v="2"/>
    <x v="2"/>
    <x v="4"/>
    <x v="125"/>
    <x v="126"/>
    <x v="120"/>
    <x v="1"/>
    <x v="112"/>
    <m/>
    <m/>
    <m/>
    <m/>
    <n v="24"/>
    <n v="15"/>
    <n v="20"/>
    <m/>
    <x v="133"/>
    <m/>
    <m/>
    <m/>
    <s v="X"/>
    <n v="415.86041666666665"/>
    <n v="327.488"/>
    <n v="343.67099999999999"/>
    <m/>
    <x v="90"/>
    <x v="1"/>
    <m/>
    <m/>
    <m/>
    <n v="178"/>
    <n v="16"/>
    <n v="78"/>
    <m/>
  </r>
  <r>
    <x v="0"/>
    <x v="146"/>
    <x v="146"/>
    <n v="21287.41"/>
    <n v="2285.44"/>
    <n v="379.98"/>
    <n v="298.8"/>
    <n v="1079.6300000000001"/>
    <n v="765.69"/>
    <n v="10526.31"/>
    <n v="1209.72"/>
    <n v="9560"/>
    <n v="24693.4"/>
    <x v="4"/>
    <x v="2"/>
    <x v="2"/>
    <x v="4"/>
    <x v="3"/>
    <x v="127"/>
    <x v="121"/>
    <x v="62"/>
    <x v="76"/>
    <m/>
    <m/>
    <m/>
    <m/>
    <m/>
    <n v="50"/>
    <m/>
    <n v="50"/>
    <x v="134"/>
    <m/>
    <m/>
    <m/>
    <m/>
    <m/>
    <n v="210.35380000000001"/>
    <s v="X"/>
    <n v="191.2"/>
    <x v="126"/>
    <x v="1"/>
    <m/>
    <m/>
    <m/>
    <m/>
    <n v="160"/>
    <n v="252"/>
    <m/>
  </r>
  <r>
    <x v="2"/>
    <x v="147"/>
    <x v="147"/>
    <n v="20736.650000000001"/>
    <n v="4858.21"/>
    <n v="2373.0300000000002"/>
    <n v="2474.35"/>
    <n v="3612.02"/>
    <n v="3029.58"/>
    <n v="1697"/>
    <n v="2692.46"/>
    <m/>
    <n v="24054.5"/>
    <x v="119"/>
    <x v="126"/>
    <x v="116"/>
    <x v="125"/>
    <x v="126"/>
    <x v="128"/>
    <x v="122"/>
    <x v="1"/>
    <x v="113"/>
    <n v="15"/>
    <n v="9"/>
    <n v="8"/>
    <n v="12"/>
    <n v="10"/>
    <n v="6"/>
    <n v="9"/>
    <m/>
    <x v="135"/>
    <n v="323.88066666666668"/>
    <n v="263.67"/>
    <n v="309.29374999999999"/>
    <n v="301.00166666666667"/>
    <n v="302.95800000000003"/>
    <n v="282.83333333333331"/>
    <n v="299.16222222222223"/>
    <m/>
    <x v="127"/>
    <x v="95"/>
    <n v="16"/>
    <n v="38"/>
    <n v="44"/>
    <n v="34"/>
    <n v="16"/>
    <n v="34"/>
    <m/>
  </r>
  <r>
    <x v="1"/>
    <x v="148"/>
    <x v="148"/>
    <n v="20680.05"/>
    <n v="6214.79"/>
    <n v="2343.48"/>
    <n v="150"/>
    <n v="263.27999999999997"/>
    <n v="12125.98"/>
    <n v="-7873.63"/>
    <n v="7456.15"/>
    <m/>
    <n v="23988.86"/>
    <x v="120"/>
    <x v="127"/>
    <x v="117"/>
    <x v="126"/>
    <x v="127"/>
    <x v="129"/>
    <x v="123"/>
    <x v="1"/>
    <x v="17"/>
    <m/>
    <m/>
    <m/>
    <m/>
    <m/>
    <m/>
    <m/>
    <m/>
    <x v="17"/>
    <s v="X"/>
    <s v="X"/>
    <s v="X"/>
    <s v="X"/>
    <s v="X"/>
    <s v="X"/>
    <s v="X"/>
    <m/>
    <x v="128"/>
    <x v="96"/>
    <n v="52"/>
    <m/>
    <m/>
    <n v="274"/>
    <n v="-188"/>
    <n v="164"/>
    <m/>
  </r>
  <r>
    <x v="0"/>
    <x v="149"/>
    <x v="149"/>
    <n v="20491.95"/>
    <n v="1185.6099999999999"/>
    <n v="966.56"/>
    <n v="1737.45"/>
    <n v="7944.19"/>
    <n v="1079.82"/>
    <n v="2789.66"/>
    <n v="4265.17"/>
    <n v="523.49"/>
    <n v="23770.67"/>
    <x v="121"/>
    <x v="128"/>
    <x v="118"/>
    <x v="127"/>
    <x v="128"/>
    <x v="130"/>
    <x v="124"/>
    <x v="63"/>
    <x v="71"/>
    <m/>
    <m/>
    <m/>
    <n v="35"/>
    <m/>
    <m/>
    <m/>
    <m/>
    <x v="136"/>
    <s v="X"/>
    <s v="X"/>
    <s v="X"/>
    <n v="226.97685714285714"/>
    <s v="X"/>
    <s v="X"/>
    <s v="X"/>
    <s v="X"/>
    <x v="129"/>
    <x v="97"/>
    <n v="48"/>
    <n v="60"/>
    <n v="34"/>
    <n v="22"/>
    <n v="108"/>
    <n v="180"/>
    <n v="32"/>
  </r>
  <r>
    <x v="2"/>
    <x v="150"/>
    <x v="150"/>
    <n v="20331.95"/>
    <n v="17566.919999999998"/>
    <n v="2765.03"/>
    <m/>
    <m/>
    <m/>
    <m/>
    <m/>
    <m/>
    <n v="23585.06"/>
    <x v="122"/>
    <x v="129"/>
    <x v="2"/>
    <x v="4"/>
    <x v="3"/>
    <x v="17"/>
    <x v="17"/>
    <x v="1"/>
    <x v="114"/>
    <n v="27"/>
    <n v="1"/>
    <m/>
    <m/>
    <m/>
    <m/>
    <m/>
    <m/>
    <x v="137"/>
    <n v="650.62666666666667"/>
    <n v="2765.03"/>
    <m/>
    <m/>
    <m/>
    <m/>
    <m/>
    <m/>
    <x v="130"/>
    <x v="98"/>
    <n v="488"/>
    <m/>
    <m/>
    <m/>
    <m/>
    <m/>
    <m/>
  </r>
  <r>
    <x v="0"/>
    <x v="151"/>
    <x v="151"/>
    <n v="19840.11"/>
    <n v="3691.08"/>
    <n v="4592.17"/>
    <n v="4776.49"/>
    <n v="1315.03"/>
    <n v="2148.1799999999998"/>
    <m/>
    <n v="3317.16"/>
    <m/>
    <n v="23014.53"/>
    <x v="123"/>
    <x v="130"/>
    <x v="119"/>
    <x v="128"/>
    <x v="129"/>
    <x v="17"/>
    <x v="125"/>
    <x v="1"/>
    <x v="115"/>
    <n v="11"/>
    <n v="12"/>
    <n v="15"/>
    <n v="3"/>
    <n v="1"/>
    <m/>
    <n v="5"/>
    <m/>
    <x v="138"/>
    <n v="335.55272727272728"/>
    <n v="382.68083333333334"/>
    <n v="318.43266666666665"/>
    <n v="438.34333333333331"/>
    <n v="2148.1799999999998"/>
    <m/>
    <n v="663.43200000000002"/>
    <m/>
    <x v="131"/>
    <x v="99"/>
    <n v="18"/>
    <n v="112"/>
    <n v="50"/>
    <n v="92"/>
    <m/>
    <n v="142"/>
    <m/>
  </r>
  <r>
    <x v="0"/>
    <x v="152"/>
    <x v="152"/>
    <n v="18366.509999999998"/>
    <n v="2514.84"/>
    <n v="6262.57"/>
    <n v="1566.08"/>
    <n v="2017.18"/>
    <n v="1179.02"/>
    <n v="2719.79"/>
    <n v="833.82"/>
    <n v="1273.21"/>
    <n v="21305.14"/>
    <x v="124"/>
    <x v="131"/>
    <x v="120"/>
    <x v="129"/>
    <x v="130"/>
    <x v="131"/>
    <x v="126"/>
    <x v="64"/>
    <x v="105"/>
    <n v="9"/>
    <n v="22"/>
    <n v="5"/>
    <n v="7"/>
    <n v="4"/>
    <n v="8"/>
    <n v="3"/>
    <n v="2"/>
    <x v="139"/>
    <n v="279.42666666666668"/>
    <n v="284.66227272727275"/>
    <n v="313.21600000000001"/>
    <n v="288.16857142857145"/>
    <n v="294.755"/>
    <n v="339.97375"/>
    <n v="277.94"/>
    <n v="636.60500000000002"/>
    <x v="132"/>
    <x v="1"/>
    <m/>
    <m/>
    <m/>
    <m/>
    <n v="46"/>
    <m/>
    <n v="90"/>
  </r>
  <r>
    <x v="0"/>
    <x v="153"/>
    <x v="153"/>
    <n v="18360.939999999999"/>
    <n v="402.64"/>
    <n v="68.040000000000006"/>
    <n v="568.25"/>
    <n v="988.19"/>
    <n v="15747.66"/>
    <n v="586.16"/>
    <m/>
    <m/>
    <n v="21298.7"/>
    <x v="125"/>
    <x v="132"/>
    <x v="121"/>
    <x v="130"/>
    <x v="131"/>
    <x v="132"/>
    <x v="17"/>
    <x v="1"/>
    <x v="108"/>
    <m/>
    <m/>
    <m/>
    <m/>
    <n v="50"/>
    <m/>
    <m/>
    <m/>
    <x v="140"/>
    <s v="X"/>
    <s v="X"/>
    <s v="X"/>
    <s v="X"/>
    <n v="314.95319999999998"/>
    <s v="X"/>
    <m/>
    <m/>
    <x v="133"/>
    <x v="100"/>
    <n v="4"/>
    <n v="10"/>
    <n v="34"/>
    <n v="22"/>
    <n v="22"/>
    <m/>
    <m/>
  </r>
  <r>
    <x v="0"/>
    <x v="154"/>
    <x v="154"/>
    <n v="18225.23"/>
    <m/>
    <m/>
    <m/>
    <m/>
    <n v="13109.49"/>
    <n v="5115.74"/>
    <m/>
    <m/>
    <n v="21141.27"/>
    <x v="4"/>
    <x v="2"/>
    <x v="2"/>
    <x v="4"/>
    <x v="132"/>
    <x v="133"/>
    <x v="17"/>
    <x v="1"/>
    <x v="116"/>
    <m/>
    <m/>
    <m/>
    <m/>
    <n v="5"/>
    <n v="2"/>
    <m/>
    <m/>
    <x v="141"/>
    <m/>
    <m/>
    <m/>
    <m/>
    <n v="2621.8980000000001"/>
    <n v="2557.87"/>
    <m/>
    <m/>
    <x v="1"/>
    <x v="1"/>
    <m/>
    <m/>
    <m/>
    <m/>
    <m/>
    <m/>
    <m/>
  </r>
  <r>
    <x v="2"/>
    <x v="155"/>
    <x v="155"/>
    <n v="17666.560000000001"/>
    <n v="354.29"/>
    <n v="1891.46"/>
    <n v="2662.5"/>
    <n v="3832.02"/>
    <n v="3780.87"/>
    <n v="3799.77"/>
    <n v="1345.65"/>
    <m/>
    <n v="20493.22"/>
    <x v="126"/>
    <x v="133"/>
    <x v="122"/>
    <x v="131"/>
    <x v="133"/>
    <x v="134"/>
    <x v="127"/>
    <x v="1"/>
    <x v="117"/>
    <n v="2"/>
    <n v="6"/>
    <n v="9"/>
    <n v="13"/>
    <n v="14"/>
    <n v="12"/>
    <n v="5"/>
    <m/>
    <x v="142"/>
    <n v="177.14500000000001"/>
    <n v="315.24333333333334"/>
    <n v="295.83333333333331"/>
    <n v="294.77076923076925"/>
    <n v="270.06214285714287"/>
    <n v="316.64749999999998"/>
    <n v="269.13"/>
    <m/>
    <x v="134"/>
    <x v="1"/>
    <n v="92"/>
    <n v="126"/>
    <n v="190"/>
    <n v="50"/>
    <n v="148"/>
    <n v="6"/>
    <m/>
  </r>
  <r>
    <x v="2"/>
    <x v="156"/>
    <x v="156"/>
    <n v="17393.48"/>
    <m/>
    <n v="17128.52"/>
    <m/>
    <n v="214.2"/>
    <m/>
    <m/>
    <m/>
    <n v="50.76"/>
    <n v="20176.43"/>
    <x v="4"/>
    <x v="134"/>
    <x v="2"/>
    <x v="132"/>
    <x v="3"/>
    <x v="17"/>
    <x v="17"/>
    <x v="65"/>
    <x v="108"/>
    <m/>
    <n v="50"/>
    <m/>
    <m/>
    <m/>
    <m/>
    <m/>
    <m/>
    <x v="143"/>
    <m/>
    <n v="342.57040000000001"/>
    <m/>
    <s v="X"/>
    <m/>
    <m/>
    <m/>
    <s v="X"/>
    <x v="135"/>
    <x v="1"/>
    <n v="10"/>
    <m/>
    <n v="4"/>
    <m/>
    <m/>
    <m/>
    <n v="2"/>
  </r>
  <r>
    <x v="2"/>
    <x v="157"/>
    <x v="157"/>
    <n v="17225.07"/>
    <m/>
    <n v="9500.4500000000007"/>
    <m/>
    <m/>
    <n v="1942.28"/>
    <n v="5782.34"/>
    <m/>
    <m/>
    <n v="19981.07"/>
    <x v="4"/>
    <x v="135"/>
    <x v="2"/>
    <x v="4"/>
    <x v="134"/>
    <x v="135"/>
    <x v="17"/>
    <x v="1"/>
    <x v="97"/>
    <m/>
    <n v="35"/>
    <m/>
    <m/>
    <m/>
    <n v="20"/>
    <m/>
    <m/>
    <x v="144"/>
    <m/>
    <n v="271.44142857142856"/>
    <m/>
    <m/>
    <s v="X"/>
    <n v="289.11700000000002"/>
    <m/>
    <m/>
    <x v="136"/>
    <x v="1"/>
    <m/>
    <m/>
    <m/>
    <n v="76"/>
    <m/>
    <m/>
    <m/>
  </r>
  <r>
    <x v="0"/>
    <x v="158"/>
    <x v="158"/>
    <n v="16596.62"/>
    <n v="24820.87"/>
    <n v="13752.25"/>
    <n v="20205.599999999999"/>
    <n v="28157.18"/>
    <n v="32472.799999999999"/>
    <n v="18158.68"/>
    <n v="16784.63"/>
    <m/>
    <n v="19252.080000000002"/>
    <x v="4"/>
    <x v="2"/>
    <x v="2"/>
    <x v="4"/>
    <x v="3"/>
    <x v="136"/>
    <x v="17"/>
    <x v="1"/>
    <x v="70"/>
    <m/>
    <m/>
    <m/>
    <m/>
    <m/>
    <n v="65"/>
    <m/>
    <m/>
    <x v="145"/>
    <m/>
    <m/>
    <m/>
    <m/>
    <m/>
    <n v="255.33261538461537"/>
    <m/>
    <m/>
    <x v="137"/>
    <x v="1"/>
    <m/>
    <m/>
    <m/>
    <m/>
    <n v="82"/>
    <m/>
    <m/>
  </r>
  <r>
    <x v="0"/>
    <x v="159"/>
    <x v="159"/>
    <n v="15785.49"/>
    <n v="199.77"/>
    <n v="3329"/>
    <n v="1674.05"/>
    <n v="2862.81"/>
    <n v="2077.1999999999998"/>
    <n v="1846.74"/>
    <n v="1265.33"/>
    <n v="2530.59"/>
    <n v="18311.16"/>
    <x v="127"/>
    <x v="136"/>
    <x v="123"/>
    <x v="133"/>
    <x v="135"/>
    <x v="137"/>
    <x v="128"/>
    <x v="66"/>
    <x v="17"/>
    <m/>
    <m/>
    <m/>
    <m/>
    <m/>
    <m/>
    <m/>
    <m/>
    <x v="17"/>
    <s v="X"/>
    <s v="X"/>
    <s v="X"/>
    <s v="X"/>
    <s v="X"/>
    <s v="X"/>
    <s v="X"/>
    <s v="X"/>
    <x v="138"/>
    <x v="101"/>
    <n v="488"/>
    <n v="210"/>
    <n v="298"/>
    <n v="236"/>
    <n v="250"/>
    <n v="200"/>
    <n v="304"/>
  </r>
  <r>
    <x v="0"/>
    <x v="160"/>
    <x v="160"/>
    <n v="15584.67"/>
    <n v="313.35000000000002"/>
    <n v="3099.76"/>
    <n v="3335.33"/>
    <n v="1573.2"/>
    <n v="848.5"/>
    <n v="3257.89"/>
    <n v="3156.64"/>
    <m/>
    <n v="18078.21"/>
    <x v="128"/>
    <x v="137"/>
    <x v="124"/>
    <x v="134"/>
    <x v="136"/>
    <x v="138"/>
    <x v="129"/>
    <x v="1"/>
    <x v="118"/>
    <n v="1"/>
    <n v="10"/>
    <n v="10"/>
    <n v="4"/>
    <n v="3"/>
    <n v="9"/>
    <n v="9"/>
    <m/>
    <x v="146"/>
    <n v="313.35000000000002"/>
    <n v="309.976"/>
    <n v="333.53300000000002"/>
    <n v="393.3"/>
    <n v="282.83333333333331"/>
    <n v="361.98777777777781"/>
    <n v="350.73777777777781"/>
    <s v="X"/>
    <x v="94"/>
    <x v="102"/>
    <n v="174"/>
    <n v="164"/>
    <n v="82"/>
    <n v="40"/>
    <n v="202"/>
    <n v="212"/>
    <m/>
  </r>
  <r>
    <x v="1"/>
    <x v="161"/>
    <x v="161"/>
    <n v="15183"/>
    <m/>
    <m/>
    <m/>
    <m/>
    <m/>
    <m/>
    <n v="15183"/>
    <m/>
    <n v="17612.28"/>
    <x v="4"/>
    <x v="2"/>
    <x v="2"/>
    <x v="4"/>
    <x v="3"/>
    <x v="17"/>
    <x v="130"/>
    <x v="1"/>
    <x v="108"/>
    <m/>
    <m/>
    <m/>
    <m/>
    <m/>
    <m/>
    <n v="50"/>
    <m/>
    <x v="147"/>
    <m/>
    <m/>
    <m/>
    <m/>
    <m/>
    <m/>
    <n v="303.66000000000003"/>
    <m/>
    <x v="1"/>
    <x v="1"/>
    <m/>
    <m/>
    <m/>
    <m/>
    <m/>
    <m/>
    <m/>
  </r>
  <r>
    <x v="1"/>
    <x v="162"/>
    <x v="162"/>
    <n v="14968.86"/>
    <m/>
    <m/>
    <n v="10885.93"/>
    <m/>
    <n v="4082.93"/>
    <m/>
    <m/>
    <m/>
    <n v="17363.88"/>
    <x v="4"/>
    <x v="2"/>
    <x v="125"/>
    <x v="4"/>
    <x v="137"/>
    <x v="17"/>
    <x v="17"/>
    <x v="1"/>
    <x v="49"/>
    <m/>
    <m/>
    <n v="10"/>
    <m/>
    <n v="1"/>
    <m/>
    <m/>
    <m/>
    <x v="148"/>
    <m/>
    <m/>
    <n v="1088.5930000000001"/>
    <m/>
    <n v="4082.93"/>
    <m/>
    <m/>
    <m/>
    <x v="139"/>
    <x v="1"/>
    <m/>
    <n v="190"/>
    <m/>
    <m/>
    <m/>
    <m/>
    <m/>
  </r>
  <r>
    <x v="1"/>
    <x v="163"/>
    <x v="163"/>
    <n v="14737.37"/>
    <n v="505.49"/>
    <n v="42.84"/>
    <n v="182.28"/>
    <n v="183.26"/>
    <m/>
    <m/>
    <m/>
    <n v="13823.5"/>
    <n v="17095.34"/>
    <x v="129"/>
    <x v="138"/>
    <x v="126"/>
    <x v="135"/>
    <x v="3"/>
    <x v="17"/>
    <x v="17"/>
    <x v="67"/>
    <x v="108"/>
    <m/>
    <m/>
    <m/>
    <m/>
    <m/>
    <m/>
    <m/>
    <n v="50"/>
    <x v="149"/>
    <s v="X"/>
    <s v="X"/>
    <s v="X"/>
    <s v="X"/>
    <m/>
    <m/>
    <m/>
    <n v="276.47000000000003"/>
    <x v="92"/>
    <x v="103"/>
    <n v="8"/>
    <n v="34"/>
    <n v="34"/>
    <m/>
    <m/>
    <m/>
    <m/>
  </r>
  <r>
    <x v="1"/>
    <x v="164"/>
    <x v="164"/>
    <n v="14636"/>
    <m/>
    <m/>
    <m/>
    <m/>
    <m/>
    <n v="14636"/>
    <m/>
    <m/>
    <n v="16977.759999999998"/>
    <x v="4"/>
    <x v="2"/>
    <x v="2"/>
    <x v="4"/>
    <x v="3"/>
    <x v="139"/>
    <x v="17"/>
    <x v="1"/>
    <x v="76"/>
    <m/>
    <m/>
    <m/>
    <m/>
    <m/>
    <n v="100"/>
    <m/>
    <m/>
    <x v="150"/>
    <m/>
    <m/>
    <m/>
    <m/>
    <m/>
    <n v="146.36000000000001"/>
    <m/>
    <m/>
    <x v="1"/>
    <x v="1"/>
    <m/>
    <m/>
    <m/>
    <m/>
    <m/>
    <m/>
    <m/>
  </r>
  <r>
    <x v="2"/>
    <x v="165"/>
    <x v="165"/>
    <n v="14432.99"/>
    <m/>
    <m/>
    <n v="5981"/>
    <n v="865.71"/>
    <n v="364.38"/>
    <n v="6725.7"/>
    <n v="241.1"/>
    <n v="255.1"/>
    <n v="16742.27"/>
    <x v="4"/>
    <x v="2"/>
    <x v="127"/>
    <x v="136"/>
    <x v="138"/>
    <x v="140"/>
    <x v="131"/>
    <x v="68"/>
    <x v="101"/>
    <m/>
    <m/>
    <n v="20"/>
    <m/>
    <m/>
    <n v="20"/>
    <m/>
    <m/>
    <x v="151"/>
    <m/>
    <m/>
    <n v="299.05"/>
    <s v="X"/>
    <s v="X"/>
    <n v="336.28500000000003"/>
    <s v="X"/>
    <s v="X"/>
    <x v="140"/>
    <x v="1"/>
    <m/>
    <n v="200"/>
    <n v="60"/>
    <n v="20"/>
    <n v="420"/>
    <n v="18"/>
    <n v="28"/>
  </r>
  <r>
    <x v="1"/>
    <x v="166"/>
    <x v="166"/>
    <n v="14154.79"/>
    <n v="14017.28"/>
    <n v="137.51"/>
    <m/>
    <m/>
    <m/>
    <m/>
    <m/>
    <m/>
    <n v="16419.55"/>
    <x v="130"/>
    <x v="139"/>
    <x v="2"/>
    <x v="4"/>
    <x v="3"/>
    <x v="17"/>
    <x v="17"/>
    <x v="1"/>
    <x v="119"/>
    <n v="48"/>
    <n v="1"/>
    <m/>
    <m/>
    <m/>
    <m/>
    <m/>
    <m/>
    <x v="152"/>
    <n v="292.02666666666664"/>
    <n v="137.51"/>
    <m/>
    <m/>
    <m/>
    <m/>
    <m/>
    <m/>
    <x v="112"/>
    <x v="104"/>
    <n v="2"/>
    <m/>
    <m/>
    <m/>
    <m/>
    <m/>
    <m/>
  </r>
  <r>
    <x v="0"/>
    <x v="167"/>
    <x v="167"/>
    <n v="13700.67"/>
    <n v="263.08"/>
    <n v="226.56"/>
    <n v="1116.42"/>
    <n v="2072.64"/>
    <n v="2865.49"/>
    <n v="6872.68"/>
    <n v="283.8"/>
    <m/>
    <n v="15892.78"/>
    <x v="131"/>
    <x v="140"/>
    <x v="128"/>
    <x v="137"/>
    <x v="139"/>
    <x v="141"/>
    <x v="132"/>
    <x v="1"/>
    <x v="17"/>
    <m/>
    <m/>
    <m/>
    <m/>
    <m/>
    <m/>
    <m/>
    <m/>
    <x v="17"/>
    <s v="X"/>
    <s v="X"/>
    <s v="X"/>
    <s v="X"/>
    <s v="X"/>
    <s v="X"/>
    <s v="X"/>
    <m/>
    <x v="93"/>
    <x v="46"/>
    <m/>
    <n v="12"/>
    <n v="12"/>
    <n v="100"/>
    <n v="214"/>
    <n v="34"/>
    <m/>
  </r>
  <r>
    <x v="0"/>
    <x v="168"/>
    <x v="168"/>
    <n v="13491.47"/>
    <m/>
    <n v="270.39"/>
    <n v="884.33"/>
    <n v="2001.11"/>
    <n v="2025.61"/>
    <n v="5986.71"/>
    <n v="2323.3200000000002"/>
    <m/>
    <n v="15650.1"/>
    <x v="4"/>
    <x v="141"/>
    <x v="129"/>
    <x v="138"/>
    <x v="140"/>
    <x v="142"/>
    <x v="133"/>
    <x v="1"/>
    <x v="120"/>
    <m/>
    <m/>
    <n v="1"/>
    <n v="6"/>
    <n v="6"/>
    <n v="18"/>
    <n v="7"/>
    <m/>
    <x v="153"/>
    <m/>
    <s v="X"/>
    <n v="884.33"/>
    <n v="333.51833333333332"/>
    <n v="337.60166666666669"/>
    <n v="332.59500000000003"/>
    <n v="331.90285714285716"/>
    <m/>
    <x v="135"/>
    <x v="1"/>
    <n v="6"/>
    <n v="10"/>
    <m/>
    <m/>
    <m/>
    <m/>
    <m/>
  </r>
  <r>
    <x v="1"/>
    <x v="169"/>
    <x v="169"/>
    <n v="11786.04"/>
    <m/>
    <n v="11786.04"/>
    <m/>
    <m/>
    <m/>
    <m/>
    <m/>
    <m/>
    <n v="13671.81"/>
    <x v="4"/>
    <x v="142"/>
    <x v="2"/>
    <x v="4"/>
    <x v="3"/>
    <x v="17"/>
    <x v="17"/>
    <x v="1"/>
    <x v="17"/>
    <m/>
    <m/>
    <m/>
    <m/>
    <m/>
    <m/>
    <m/>
    <m/>
    <x v="17"/>
    <m/>
    <s v="X"/>
    <m/>
    <m/>
    <m/>
    <m/>
    <m/>
    <m/>
    <x v="141"/>
    <x v="1"/>
    <n v="3118"/>
    <m/>
    <m/>
    <m/>
    <m/>
    <m/>
    <m/>
  </r>
  <r>
    <x v="2"/>
    <x v="170"/>
    <x v="170"/>
    <n v="11639.65"/>
    <n v="79.02"/>
    <m/>
    <n v="5066.3999999999996"/>
    <n v="285.49"/>
    <n v="71.19"/>
    <m/>
    <m/>
    <n v="6137.55"/>
    <n v="13501.99"/>
    <x v="132"/>
    <x v="2"/>
    <x v="130"/>
    <x v="139"/>
    <x v="141"/>
    <x v="17"/>
    <x v="17"/>
    <x v="69"/>
    <x v="121"/>
    <m/>
    <m/>
    <n v="10"/>
    <m/>
    <m/>
    <m/>
    <m/>
    <n v="15"/>
    <x v="154"/>
    <s v="X"/>
    <m/>
    <n v="506.64"/>
    <s v="X"/>
    <s v="X"/>
    <m/>
    <m/>
    <n v="409.17"/>
    <x v="142"/>
    <x v="105"/>
    <m/>
    <n v="600"/>
    <n v="34"/>
    <n v="14"/>
    <m/>
    <m/>
    <n v="600"/>
  </r>
  <r>
    <x v="2"/>
    <x v="171"/>
    <x v="171"/>
    <n v="11274.73"/>
    <n v="7131.33"/>
    <n v="2773.82"/>
    <n v="-430.65"/>
    <m/>
    <m/>
    <n v="679.13"/>
    <n v="1121.0999999999999"/>
    <m/>
    <n v="13078.69"/>
    <x v="133"/>
    <x v="143"/>
    <x v="131"/>
    <x v="4"/>
    <x v="3"/>
    <x v="143"/>
    <x v="134"/>
    <x v="1"/>
    <x v="44"/>
    <n v="26"/>
    <n v="10"/>
    <m/>
    <m/>
    <m/>
    <n v="3"/>
    <n v="5"/>
    <m/>
    <x v="155"/>
    <n v="274.28192307692308"/>
    <n v="277.38200000000001"/>
    <s v="X"/>
    <m/>
    <m/>
    <n v="226.37666666666667"/>
    <n v="224.22"/>
    <m/>
    <x v="143"/>
    <x v="68"/>
    <n v="16"/>
    <n v="-30"/>
    <m/>
    <m/>
    <m/>
    <m/>
    <m/>
  </r>
  <r>
    <x v="1"/>
    <x v="172"/>
    <x v="172"/>
    <n v="11063.5"/>
    <n v="1413.98"/>
    <m/>
    <n v="-2990.22"/>
    <m/>
    <n v="1529.54"/>
    <n v="8315.19"/>
    <n v="1124.9000000000001"/>
    <n v="1670.11"/>
    <n v="12833.66"/>
    <x v="134"/>
    <x v="2"/>
    <x v="132"/>
    <x v="4"/>
    <x v="142"/>
    <x v="144"/>
    <x v="135"/>
    <x v="70"/>
    <x v="105"/>
    <m/>
    <m/>
    <m/>
    <m/>
    <n v="10"/>
    <n v="50"/>
    <m/>
    <m/>
    <x v="156"/>
    <s v="X"/>
    <m/>
    <s v="X"/>
    <m/>
    <n v="152.95400000000001"/>
    <n v="166.3038"/>
    <s v="X"/>
    <s v="X"/>
    <x v="144"/>
    <x v="106"/>
    <m/>
    <n v="-516"/>
    <m/>
    <n v="54"/>
    <n v="320"/>
    <n v="976"/>
    <n v="616"/>
  </r>
  <r>
    <x v="0"/>
    <x v="173"/>
    <x v="173"/>
    <n v="10671.62"/>
    <n v="944.28"/>
    <n v="1107.72"/>
    <n v="1466.72"/>
    <n v="1078.22"/>
    <n v="2619.48"/>
    <n v="1354.53"/>
    <n v="2100.67"/>
    <m/>
    <n v="12379.09"/>
    <x v="135"/>
    <x v="144"/>
    <x v="133"/>
    <x v="140"/>
    <x v="143"/>
    <x v="145"/>
    <x v="136"/>
    <x v="1"/>
    <x v="118"/>
    <n v="4"/>
    <n v="5"/>
    <n v="6"/>
    <n v="5"/>
    <n v="12"/>
    <n v="6"/>
    <n v="8"/>
    <m/>
    <x v="157"/>
    <n v="236.07"/>
    <n v="221.54400000000001"/>
    <n v="244.45333333333332"/>
    <n v="215.64400000000001"/>
    <n v="218.29"/>
    <n v="225.755"/>
    <n v="262.58375000000001"/>
    <m/>
    <x v="145"/>
    <x v="43"/>
    <n v="2"/>
    <n v="2"/>
    <n v="4"/>
    <m/>
    <m/>
    <n v="54"/>
    <m/>
  </r>
  <r>
    <x v="0"/>
    <x v="174"/>
    <x v="174"/>
    <n v="10287.86"/>
    <m/>
    <m/>
    <n v="10287.86"/>
    <m/>
    <m/>
    <m/>
    <m/>
    <m/>
    <n v="11933.92"/>
    <x v="4"/>
    <x v="2"/>
    <x v="134"/>
    <x v="4"/>
    <x v="3"/>
    <x v="17"/>
    <x v="17"/>
    <x v="1"/>
    <x v="122"/>
    <m/>
    <m/>
    <n v="8"/>
    <m/>
    <m/>
    <m/>
    <m/>
    <m/>
    <x v="158"/>
    <m/>
    <m/>
    <n v="1285.9825000000001"/>
    <m/>
    <s v="X"/>
    <m/>
    <m/>
    <m/>
    <x v="146"/>
    <x v="1"/>
    <m/>
    <n v="144"/>
    <m/>
    <m/>
    <m/>
    <m/>
    <m/>
  </r>
  <r>
    <x v="1"/>
    <x v="175"/>
    <x v="175"/>
    <n v="9823.5499999999993"/>
    <n v="7638.61"/>
    <n v="855.61"/>
    <n v="1329.33"/>
    <m/>
    <m/>
    <m/>
    <m/>
    <m/>
    <n v="11395.32"/>
    <x v="136"/>
    <x v="145"/>
    <x v="135"/>
    <x v="4"/>
    <x v="3"/>
    <x v="17"/>
    <x v="17"/>
    <x v="1"/>
    <x v="17"/>
    <m/>
    <m/>
    <m/>
    <m/>
    <m/>
    <m/>
    <m/>
    <m/>
    <x v="17"/>
    <s v="X"/>
    <s v="X"/>
    <s v="X"/>
    <m/>
    <m/>
    <m/>
    <m/>
    <m/>
    <x v="147"/>
    <x v="107"/>
    <n v="34"/>
    <n v="22"/>
    <m/>
    <m/>
    <m/>
    <m/>
    <m/>
  </r>
  <r>
    <x v="2"/>
    <x v="176"/>
    <x v="176"/>
    <n v="9725.15"/>
    <n v="1009.34"/>
    <n v="250.45"/>
    <n v="2227.83"/>
    <n v="1038.21"/>
    <n v="1533.21"/>
    <n v="1087.5999999999999"/>
    <n v="734.45"/>
    <n v="1844.06"/>
    <n v="11281.16"/>
    <x v="137"/>
    <x v="146"/>
    <x v="136"/>
    <x v="141"/>
    <x v="144"/>
    <x v="146"/>
    <x v="137"/>
    <x v="71"/>
    <x v="123"/>
    <n v="6"/>
    <n v="2"/>
    <n v="10"/>
    <n v="5"/>
    <n v="6"/>
    <n v="6"/>
    <n v="6"/>
    <n v="13"/>
    <x v="159"/>
    <n v="168.22333333333333"/>
    <n v="125.22499999999999"/>
    <n v="222.78299999999999"/>
    <n v="207.642"/>
    <n v="255.535"/>
    <n v="181.26666666666668"/>
    <n v="122.40833333333333"/>
    <n v="141.85076923076923"/>
    <x v="148"/>
    <x v="43"/>
    <m/>
    <n v="38"/>
    <n v="18"/>
    <n v="52"/>
    <n v="30"/>
    <n v="18"/>
    <n v="14"/>
  </r>
  <r>
    <x v="1"/>
    <x v="177"/>
    <x v="177"/>
    <n v="9685.5499999999993"/>
    <m/>
    <m/>
    <m/>
    <m/>
    <m/>
    <n v="3560.21"/>
    <n v="6125.34"/>
    <m/>
    <n v="11235.23"/>
    <x v="4"/>
    <x v="2"/>
    <x v="2"/>
    <x v="4"/>
    <x v="3"/>
    <x v="147"/>
    <x v="138"/>
    <x v="1"/>
    <x v="124"/>
    <m/>
    <m/>
    <m/>
    <m/>
    <m/>
    <n v="7"/>
    <n v="26"/>
    <m/>
    <x v="160"/>
    <m/>
    <m/>
    <m/>
    <m/>
    <m/>
    <n v="508.60142857142858"/>
    <n v="235.59"/>
    <m/>
    <x v="149"/>
    <x v="1"/>
    <m/>
    <m/>
    <m/>
    <m/>
    <n v="48"/>
    <n v="10"/>
    <m/>
  </r>
  <r>
    <x v="0"/>
    <x v="178"/>
    <x v="178"/>
    <n v="9096.19"/>
    <n v="5350.63"/>
    <n v="324.57"/>
    <n v="1346.76"/>
    <n v="2074.23"/>
    <m/>
    <m/>
    <m/>
    <m/>
    <n v="10551.58"/>
    <x v="138"/>
    <x v="147"/>
    <x v="137"/>
    <x v="142"/>
    <x v="3"/>
    <x v="17"/>
    <x v="17"/>
    <x v="1"/>
    <x v="17"/>
    <m/>
    <m/>
    <m/>
    <m/>
    <m/>
    <m/>
    <m/>
    <m/>
    <x v="17"/>
    <s v="X"/>
    <s v="X"/>
    <s v="X"/>
    <s v="X"/>
    <m/>
    <m/>
    <m/>
    <m/>
    <x v="150"/>
    <x v="61"/>
    <n v="-6"/>
    <n v="24"/>
    <n v="52"/>
    <m/>
    <m/>
    <m/>
    <m/>
  </r>
  <r>
    <x v="0"/>
    <x v="179"/>
    <x v="179"/>
    <n v="8491.3799999999992"/>
    <n v="680.27"/>
    <n v="432.11"/>
    <n v="628.45000000000005"/>
    <n v="194.15"/>
    <n v="1171.33"/>
    <n v="1903.43"/>
    <n v="3481.64"/>
    <m/>
    <n v="9849.99"/>
    <x v="139"/>
    <x v="148"/>
    <x v="138"/>
    <x v="143"/>
    <x v="145"/>
    <x v="148"/>
    <x v="139"/>
    <x v="1"/>
    <x v="17"/>
    <m/>
    <m/>
    <m/>
    <m/>
    <m/>
    <m/>
    <m/>
    <m/>
    <x v="17"/>
    <s v="X"/>
    <s v="X"/>
    <s v="X"/>
    <s v="X"/>
    <s v="X"/>
    <s v="X"/>
    <s v="X"/>
    <m/>
    <x v="125"/>
    <x v="108"/>
    <n v="14"/>
    <n v="20"/>
    <n v="6"/>
    <n v="36"/>
    <n v="58"/>
    <n v="108"/>
    <m/>
  </r>
  <r>
    <x v="0"/>
    <x v="180"/>
    <x v="180"/>
    <n v="7937.88"/>
    <n v="351.9"/>
    <n v="1824.77"/>
    <n v="941.63"/>
    <m/>
    <n v="2497.38"/>
    <n v="1026.68"/>
    <m/>
    <n v="1295.52"/>
    <n v="8275.82"/>
    <x v="140"/>
    <x v="149"/>
    <x v="139"/>
    <x v="4"/>
    <x v="146"/>
    <x v="149"/>
    <x v="17"/>
    <x v="72"/>
    <x v="125"/>
    <m/>
    <n v="2"/>
    <n v="2"/>
    <m/>
    <n v="4"/>
    <n v="2"/>
    <m/>
    <n v="2"/>
    <x v="161"/>
    <s v="X"/>
    <n v="912.38499999999999"/>
    <n v="470.815"/>
    <m/>
    <n v="624.34500000000003"/>
    <n v="513.34"/>
    <m/>
    <n v="647.76"/>
    <x v="151"/>
    <x v="63"/>
    <n v="22.8"/>
    <n v="8"/>
    <m/>
    <n v="13"/>
    <n v="9"/>
    <m/>
    <n v="6.2"/>
  </r>
  <r>
    <x v="1"/>
    <x v="181"/>
    <x v="181"/>
    <n v="7685.31"/>
    <n v="7087.1"/>
    <n v="90.72"/>
    <n v="155.61000000000001"/>
    <n v="286.68"/>
    <n v="65.2"/>
    <m/>
    <m/>
    <m/>
    <n v="8914.9699999999993"/>
    <x v="141"/>
    <x v="150"/>
    <x v="140"/>
    <x v="144"/>
    <x v="147"/>
    <x v="17"/>
    <x v="17"/>
    <x v="1"/>
    <x v="108"/>
    <n v="50"/>
    <m/>
    <m/>
    <m/>
    <m/>
    <m/>
    <m/>
    <m/>
    <x v="162"/>
    <n v="141.74199999999999"/>
    <s v="X"/>
    <s v="X"/>
    <s v="X"/>
    <s v="X"/>
    <m/>
    <m/>
    <m/>
    <x v="133"/>
    <x v="100"/>
    <n v="14"/>
    <n v="24"/>
    <n v="44"/>
    <n v="10"/>
    <m/>
    <m/>
    <m/>
  </r>
  <r>
    <x v="1"/>
    <x v="182"/>
    <x v="182"/>
    <n v="7487.63"/>
    <n v="4252.09"/>
    <n v="740.21"/>
    <n v="-3063.12"/>
    <n v="5087.76"/>
    <m/>
    <m/>
    <n v="264.08999999999997"/>
    <n v="206.6"/>
    <n v="8685.65"/>
    <x v="142"/>
    <x v="151"/>
    <x v="141"/>
    <x v="145"/>
    <x v="3"/>
    <x v="17"/>
    <x v="140"/>
    <x v="73"/>
    <x v="17"/>
    <m/>
    <m/>
    <m/>
    <m/>
    <m/>
    <m/>
    <m/>
    <m/>
    <x v="17"/>
    <s v="X"/>
    <s v="X"/>
    <s v="X"/>
    <s v="X"/>
    <m/>
    <m/>
    <s v="X"/>
    <s v="X"/>
    <x v="152"/>
    <x v="109"/>
    <n v="14"/>
    <n v="-108"/>
    <n v="96"/>
    <m/>
    <m/>
    <n v="2"/>
    <n v="4"/>
  </r>
  <r>
    <x v="1"/>
    <x v="183"/>
    <x v="183"/>
    <n v="7226.27"/>
    <n v="239.65"/>
    <n v="639.89"/>
    <n v="387.72"/>
    <n v="368.1"/>
    <n v="413.91"/>
    <n v="4097.6499999999996"/>
    <n v="968.23"/>
    <n v="111.12"/>
    <n v="8382.48"/>
    <x v="143"/>
    <x v="152"/>
    <x v="142"/>
    <x v="146"/>
    <x v="148"/>
    <x v="150"/>
    <x v="141"/>
    <x v="74"/>
    <x v="17"/>
    <m/>
    <m/>
    <m/>
    <m/>
    <m/>
    <m/>
    <m/>
    <m/>
    <x v="17"/>
    <s v="X"/>
    <s v="X"/>
    <s v="X"/>
    <s v="X"/>
    <s v="X"/>
    <s v="X"/>
    <s v="X"/>
    <s v="X"/>
    <x v="153"/>
    <x v="102"/>
    <n v="30"/>
    <n v="14"/>
    <n v="48"/>
    <n v="10"/>
    <n v="186"/>
    <n v="52"/>
    <n v="6"/>
  </r>
  <r>
    <x v="1"/>
    <x v="184"/>
    <x v="184"/>
    <n v="6717.6"/>
    <m/>
    <n v="6417.6"/>
    <m/>
    <m/>
    <n v="300"/>
    <m/>
    <m/>
    <m/>
    <n v="7792.42"/>
    <x v="4"/>
    <x v="153"/>
    <x v="2"/>
    <x v="4"/>
    <x v="149"/>
    <x v="17"/>
    <x v="17"/>
    <x v="1"/>
    <x v="102"/>
    <m/>
    <n v="30"/>
    <m/>
    <m/>
    <m/>
    <m/>
    <m/>
    <m/>
    <x v="163"/>
    <m/>
    <n v="213.92"/>
    <m/>
    <m/>
    <s v="X"/>
    <m/>
    <m/>
    <m/>
    <x v="1"/>
    <x v="1"/>
    <m/>
    <m/>
    <m/>
    <m/>
    <m/>
    <m/>
    <m/>
  </r>
  <r>
    <x v="1"/>
    <x v="185"/>
    <x v="185"/>
    <n v="6539.61"/>
    <m/>
    <m/>
    <n v="197.7"/>
    <n v="635.88"/>
    <n v="531.70000000000005"/>
    <n v="3363.49"/>
    <m/>
    <n v="1810.84"/>
    <n v="7585.94"/>
    <x v="4"/>
    <x v="2"/>
    <x v="143"/>
    <x v="147"/>
    <x v="150"/>
    <x v="151"/>
    <x v="17"/>
    <x v="75"/>
    <x v="17"/>
    <m/>
    <m/>
    <m/>
    <m/>
    <m/>
    <m/>
    <m/>
    <m/>
    <x v="17"/>
    <m/>
    <m/>
    <s v="X"/>
    <s v="X"/>
    <s v="X"/>
    <s v="X"/>
    <m/>
    <s v="X"/>
    <x v="154"/>
    <x v="1"/>
    <m/>
    <n v="4"/>
    <n v="12"/>
    <n v="10"/>
    <n v="68"/>
    <m/>
    <n v="34"/>
  </r>
  <r>
    <x v="0"/>
    <x v="186"/>
    <x v="186"/>
    <n v="6068.51"/>
    <n v="5494.98"/>
    <n v="3968.31"/>
    <n v="3437.3"/>
    <n v="5717.04"/>
    <n v="3896.3"/>
    <n v="4572.24"/>
    <n v="4784.7700000000004"/>
    <n v="6068.51"/>
    <n v="7039.47"/>
    <x v="4"/>
    <x v="2"/>
    <x v="2"/>
    <x v="4"/>
    <x v="3"/>
    <x v="17"/>
    <x v="17"/>
    <x v="76"/>
    <x v="121"/>
    <m/>
    <m/>
    <m/>
    <m/>
    <m/>
    <m/>
    <m/>
    <n v="25"/>
    <x v="164"/>
    <m/>
    <m/>
    <m/>
    <m/>
    <m/>
    <m/>
    <m/>
    <n v="242.74039999999999"/>
    <x v="155"/>
    <x v="1"/>
    <m/>
    <m/>
    <m/>
    <m/>
    <m/>
    <m/>
    <n v="14"/>
  </r>
  <r>
    <x v="1"/>
    <x v="187"/>
    <x v="187"/>
    <n v="5752.57"/>
    <n v="844.11"/>
    <n v="4062.61"/>
    <n v="199.98"/>
    <m/>
    <n v="201.17"/>
    <m/>
    <n v="444.7"/>
    <m/>
    <n v="6672.99"/>
    <x v="144"/>
    <x v="154"/>
    <x v="144"/>
    <x v="4"/>
    <x v="151"/>
    <x v="17"/>
    <x v="142"/>
    <x v="1"/>
    <x v="114"/>
    <n v="4"/>
    <n v="20"/>
    <n v="1"/>
    <m/>
    <n v="1"/>
    <m/>
    <n v="2"/>
    <m/>
    <x v="165"/>
    <n v="211.0275"/>
    <n v="203.13050000000001"/>
    <n v="199.98"/>
    <m/>
    <n v="201.17"/>
    <m/>
    <n v="222.35"/>
    <m/>
    <x v="1"/>
    <x v="1"/>
    <m/>
    <m/>
    <m/>
    <m/>
    <m/>
    <m/>
    <m/>
  </r>
  <r>
    <x v="2"/>
    <x v="188"/>
    <x v="188"/>
    <n v="5675.27"/>
    <m/>
    <m/>
    <n v="1434.93"/>
    <m/>
    <m/>
    <n v="4240.34"/>
    <m/>
    <m/>
    <n v="6583.31"/>
    <x v="4"/>
    <x v="2"/>
    <x v="145"/>
    <x v="4"/>
    <x v="3"/>
    <x v="152"/>
    <x v="17"/>
    <x v="1"/>
    <x v="125"/>
    <m/>
    <m/>
    <n v="3"/>
    <m/>
    <m/>
    <n v="9"/>
    <m/>
    <m/>
    <x v="166"/>
    <m/>
    <m/>
    <n v="478.31"/>
    <m/>
    <m/>
    <n v="471.14888888888891"/>
    <m/>
    <m/>
    <x v="156"/>
    <x v="1"/>
    <m/>
    <n v="24"/>
    <m/>
    <m/>
    <n v="90"/>
    <m/>
    <m/>
  </r>
  <r>
    <x v="1"/>
    <x v="189"/>
    <x v="189"/>
    <n v="5537.28"/>
    <m/>
    <m/>
    <m/>
    <n v="342.58"/>
    <n v="5194.7"/>
    <m/>
    <m/>
    <m/>
    <n v="5592.09"/>
    <x v="4"/>
    <x v="2"/>
    <x v="2"/>
    <x v="148"/>
    <x v="152"/>
    <x v="17"/>
    <x v="17"/>
    <x v="1"/>
    <x v="110"/>
    <m/>
    <m/>
    <m/>
    <n v="1"/>
    <n v="1"/>
    <m/>
    <m/>
    <m/>
    <x v="167"/>
    <m/>
    <m/>
    <m/>
    <n v="342.58"/>
    <n v="5194.7"/>
    <m/>
    <m/>
    <m/>
    <x v="157"/>
    <x v="1"/>
    <m/>
    <m/>
    <n v="38"/>
    <m/>
    <m/>
    <m/>
    <m/>
  </r>
  <r>
    <x v="1"/>
    <x v="190"/>
    <x v="190"/>
    <n v="5532.1"/>
    <n v="5532.1"/>
    <m/>
    <m/>
    <m/>
    <m/>
    <m/>
    <m/>
    <m/>
    <n v="5755.49"/>
    <x v="145"/>
    <x v="2"/>
    <x v="2"/>
    <x v="4"/>
    <x v="3"/>
    <x v="17"/>
    <x v="17"/>
    <x v="1"/>
    <x v="110"/>
    <n v="2"/>
    <m/>
    <m/>
    <m/>
    <m/>
    <m/>
    <m/>
    <m/>
    <x v="168"/>
    <n v="2766.05"/>
    <m/>
    <m/>
    <m/>
    <m/>
    <m/>
    <m/>
    <m/>
    <x v="158"/>
    <x v="110"/>
    <m/>
    <m/>
    <m/>
    <m/>
    <m/>
    <m/>
    <m/>
  </r>
  <r>
    <x v="1"/>
    <x v="191"/>
    <x v="191"/>
    <n v="5405.71"/>
    <m/>
    <m/>
    <m/>
    <n v="365.86"/>
    <n v="3706.23"/>
    <n v="1333.62"/>
    <m/>
    <m/>
    <n v="6270.63"/>
    <x v="4"/>
    <x v="2"/>
    <x v="2"/>
    <x v="149"/>
    <x v="153"/>
    <x v="153"/>
    <x v="17"/>
    <x v="1"/>
    <x v="122"/>
    <m/>
    <m/>
    <m/>
    <n v="1"/>
    <n v="3"/>
    <n v="4"/>
    <m/>
    <m/>
    <x v="169"/>
    <m/>
    <m/>
    <m/>
    <n v="365.86"/>
    <n v="1235.4100000000001"/>
    <n v="333.40499999999997"/>
    <m/>
    <m/>
    <x v="159"/>
    <x v="1"/>
    <m/>
    <m/>
    <n v="14"/>
    <n v="20"/>
    <n v="46"/>
    <m/>
    <m/>
  </r>
  <r>
    <x v="2"/>
    <x v="192"/>
    <x v="192"/>
    <n v="5258.34"/>
    <n v="945.17"/>
    <n v="899.03"/>
    <n v="411.82"/>
    <n v="916.42"/>
    <m/>
    <n v="1335.53"/>
    <m/>
    <n v="750.37"/>
    <n v="6099.66"/>
    <x v="146"/>
    <x v="155"/>
    <x v="146"/>
    <x v="150"/>
    <x v="3"/>
    <x v="154"/>
    <x v="17"/>
    <x v="77"/>
    <x v="122"/>
    <n v="1"/>
    <n v="1"/>
    <n v="1"/>
    <n v="1"/>
    <m/>
    <n v="2"/>
    <m/>
    <n v="2"/>
    <x v="170"/>
    <n v="945.17"/>
    <n v="899.03"/>
    <n v="411.82"/>
    <n v="916.42"/>
    <m/>
    <n v="667.76499999999999"/>
    <m/>
    <n v="375.185"/>
    <x v="156"/>
    <x v="58"/>
    <n v="24"/>
    <n v="4"/>
    <n v="24"/>
    <m/>
    <n v="28"/>
    <m/>
    <n v="8"/>
  </r>
  <r>
    <x v="2"/>
    <x v="193"/>
    <x v="193"/>
    <n v="5176.57"/>
    <n v="5176.57"/>
    <m/>
    <m/>
    <m/>
    <m/>
    <m/>
    <m/>
    <m/>
    <n v="6004.82"/>
    <x v="147"/>
    <x v="2"/>
    <x v="2"/>
    <x v="4"/>
    <x v="3"/>
    <x v="17"/>
    <x v="17"/>
    <x v="1"/>
    <x v="49"/>
    <n v="11"/>
    <m/>
    <m/>
    <m/>
    <m/>
    <m/>
    <m/>
    <m/>
    <x v="171"/>
    <n v="470.59727272727275"/>
    <m/>
    <m/>
    <m/>
    <m/>
    <m/>
    <m/>
    <m/>
    <x v="160"/>
    <x v="111"/>
    <m/>
    <m/>
    <m/>
    <m/>
    <m/>
    <m/>
    <m/>
  </r>
  <r>
    <x v="0"/>
    <x v="194"/>
    <x v="194"/>
    <n v="4468.84"/>
    <m/>
    <m/>
    <m/>
    <m/>
    <m/>
    <n v="4468.84"/>
    <m/>
    <m/>
    <n v="5183.8500000000004"/>
    <x v="4"/>
    <x v="2"/>
    <x v="2"/>
    <x v="4"/>
    <x v="3"/>
    <x v="155"/>
    <x v="17"/>
    <x v="1"/>
    <x v="110"/>
    <m/>
    <m/>
    <m/>
    <m/>
    <m/>
    <n v="2"/>
    <m/>
    <m/>
    <x v="172"/>
    <m/>
    <m/>
    <m/>
    <m/>
    <m/>
    <n v="2234.42"/>
    <m/>
    <m/>
    <x v="1"/>
    <x v="1"/>
    <m/>
    <m/>
    <m/>
    <m/>
    <m/>
    <m/>
    <m/>
  </r>
  <r>
    <x v="1"/>
    <x v="195"/>
    <x v="195"/>
    <n v="4250.66"/>
    <n v="4250.66"/>
    <m/>
    <m/>
    <m/>
    <m/>
    <m/>
    <m/>
    <m/>
    <n v="4930.76"/>
    <x v="148"/>
    <x v="2"/>
    <x v="2"/>
    <x v="4"/>
    <x v="3"/>
    <x v="17"/>
    <x v="17"/>
    <x v="1"/>
    <x v="126"/>
    <n v="16"/>
    <m/>
    <m/>
    <m/>
    <m/>
    <m/>
    <m/>
    <m/>
    <x v="173"/>
    <n v="265.66624999999999"/>
    <m/>
    <m/>
    <m/>
    <m/>
    <m/>
    <m/>
    <m/>
    <x v="161"/>
    <x v="56"/>
    <m/>
    <m/>
    <m/>
    <m/>
    <m/>
    <m/>
    <m/>
  </r>
  <r>
    <x v="1"/>
    <x v="196"/>
    <x v="196"/>
    <n v="3957"/>
    <n v="344.52"/>
    <n v="424.2"/>
    <n v="709.1"/>
    <n v="65.16"/>
    <n v="956.32"/>
    <n v="569.88"/>
    <n v="887.82"/>
    <m/>
    <n v="4590.12"/>
    <x v="149"/>
    <x v="156"/>
    <x v="147"/>
    <x v="151"/>
    <x v="154"/>
    <x v="156"/>
    <x v="143"/>
    <x v="1"/>
    <x v="17"/>
    <m/>
    <m/>
    <m/>
    <m/>
    <m/>
    <m/>
    <m/>
    <m/>
    <x v="17"/>
    <s v="X"/>
    <s v="X"/>
    <s v="X"/>
    <s v="X"/>
    <s v="X"/>
    <s v="X"/>
    <s v="X"/>
    <m/>
    <x v="162"/>
    <x v="112"/>
    <n v="84"/>
    <n v="134"/>
    <n v="12"/>
    <n v="184"/>
    <n v="110"/>
    <n v="138"/>
    <m/>
  </r>
  <r>
    <x v="1"/>
    <x v="197"/>
    <x v="197"/>
    <n v="3860.83"/>
    <m/>
    <n v="387.96"/>
    <n v="919.9"/>
    <n v="1207.03"/>
    <n v="1208.76"/>
    <n v="137.18"/>
    <m/>
    <m/>
    <n v="4478.55"/>
    <x v="4"/>
    <x v="157"/>
    <x v="148"/>
    <x v="152"/>
    <x v="155"/>
    <x v="157"/>
    <x v="17"/>
    <x v="1"/>
    <x v="17"/>
    <m/>
    <m/>
    <m/>
    <m/>
    <m/>
    <m/>
    <m/>
    <m/>
    <x v="17"/>
    <m/>
    <s v="X"/>
    <s v="X"/>
    <s v="X"/>
    <s v="X"/>
    <s v="X"/>
    <m/>
    <m/>
    <x v="163"/>
    <x v="1"/>
    <n v="4"/>
    <n v="10"/>
    <n v="26"/>
    <n v="34"/>
    <n v="4"/>
    <m/>
    <m/>
  </r>
  <r>
    <x v="2"/>
    <x v="198"/>
    <x v="198"/>
    <n v="3833.45"/>
    <m/>
    <n v="390.62"/>
    <n v="1851.59"/>
    <m/>
    <n v="1591.24"/>
    <m/>
    <m/>
    <m/>
    <n v="4446.8"/>
    <x v="4"/>
    <x v="158"/>
    <x v="149"/>
    <x v="4"/>
    <x v="156"/>
    <x v="17"/>
    <x v="17"/>
    <x v="1"/>
    <x v="17"/>
    <m/>
    <m/>
    <m/>
    <m/>
    <m/>
    <m/>
    <m/>
    <m/>
    <x v="17"/>
    <m/>
    <s v="X"/>
    <s v="X"/>
    <m/>
    <s v="X"/>
    <m/>
    <m/>
    <m/>
    <x v="164"/>
    <x v="1"/>
    <m/>
    <n v="208"/>
    <m/>
    <n v="72"/>
    <m/>
    <m/>
    <m/>
  </r>
  <r>
    <x v="1"/>
    <x v="199"/>
    <x v="199"/>
    <n v="3732.54"/>
    <n v="3840.81"/>
    <m/>
    <n v="3024.45"/>
    <n v="218"/>
    <n v="2087.88"/>
    <m/>
    <m/>
    <n v="-5438.6"/>
    <n v="4329.74"/>
    <x v="150"/>
    <x v="2"/>
    <x v="150"/>
    <x v="153"/>
    <x v="157"/>
    <x v="17"/>
    <x v="17"/>
    <x v="78"/>
    <x v="17"/>
    <m/>
    <m/>
    <m/>
    <m/>
    <m/>
    <m/>
    <m/>
    <m/>
    <x v="17"/>
    <s v="X"/>
    <m/>
    <s v="X"/>
    <s v="X"/>
    <s v="X"/>
    <s v="X"/>
    <m/>
    <s v="X"/>
    <x v="152"/>
    <x v="103"/>
    <m/>
    <n v="110"/>
    <n v="8"/>
    <n v="72"/>
    <m/>
    <m/>
    <n v="-166"/>
  </r>
  <r>
    <x v="1"/>
    <x v="200"/>
    <x v="200"/>
    <n v="3609.17"/>
    <m/>
    <m/>
    <m/>
    <m/>
    <n v="3141.5"/>
    <n v="200.13"/>
    <n v="267.54000000000002"/>
    <m/>
    <n v="4186.6400000000003"/>
    <x v="4"/>
    <x v="2"/>
    <x v="2"/>
    <x v="4"/>
    <x v="158"/>
    <x v="158"/>
    <x v="144"/>
    <x v="1"/>
    <x v="127"/>
    <m/>
    <m/>
    <m/>
    <m/>
    <n v="3"/>
    <n v="1"/>
    <n v="1"/>
    <m/>
    <x v="174"/>
    <m/>
    <m/>
    <m/>
    <m/>
    <n v="1047.1666666666667"/>
    <n v="200.13"/>
    <n v="267.54000000000002"/>
    <m/>
    <x v="145"/>
    <x v="1"/>
    <m/>
    <m/>
    <m/>
    <n v="64"/>
    <m/>
    <m/>
    <m/>
  </r>
  <r>
    <x v="1"/>
    <x v="201"/>
    <x v="201"/>
    <n v="3498.56"/>
    <m/>
    <m/>
    <m/>
    <n v="3498.56"/>
    <m/>
    <m/>
    <m/>
    <m/>
    <n v="4058.33"/>
    <x v="4"/>
    <x v="2"/>
    <x v="2"/>
    <x v="154"/>
    <x v="3"/>
    <x v="17"/>
    <x v="17"/>
    <x v="1"/>
    <x v="128"/>
    <m/>
    <m/>
    <m/>
    <n v="19"/>
    <m/>
    <m/>
    <m/>
    <m/>
    <x v="175"/>
    <m/>
    <m/>
    <m/>
    <n v="184.13473684210527"/>
    <m/>
    <m/>
    <m/>
    <m/>
    <x v="157"/>
    <x v="1"/>
    <m/>
    <m/>
    <n v="38"/>
    <m/>
    <m/>
    <m/>
    <m/>
  </r>
  <r>
    <x v="0"/>
    <x v="202"/>
    <x v="202"/>
    <n v="3455.96"/>
    <m/>
    <m/>
    <m/>
    <m/>
    <n v="229.61"/>
    <n v="1863.61"/>
    <n v="3455.96"/>
    <m/>
    <n v="4008.91"/>
    <x v="4"/>
    <x v="2"/>
    <x v="2"/>
    <x v="4"/>
    <x v="3"/>
    <x v="17"/>
    <x v="145"/>
    <x v="1"/>
    <x v="129"/>
    <m/>
    <m/>
    <m/>
    <m/>
    <m/>
    <m/>
    <n v="15"/>
    <m/>
    <x v="176"/>
    <m/>
    <m/>
    <m/>
    <m/>
    <m/>
    <m/>
    <n v="230.39733333333334"/>
    <m/>
    <x v="1"/>
    <x v="1"/>
    <m/>
    <m/>
    <m/>
    <m/>
    <m/>
    <m/>
    <m/>
  </r>
  <r>
    <x v="2"/>
    <x v="203"/>
    <x v="203"/>
    <n v="3362.42"/>
    <n v="1937.5"/>
    <m/>
    <m/>
    <m/>
    <m/>
    <n v="1424.92"/>
    <m/>
    <m/>
    <n v="3900.41"/>
    <x v="151"/>
    <x v="2"/>
    <x v="2"/>
    <x v="4"/>
    <x v="3"/>
    <x v="159"/>
    <x v="17"/>
    <x v="1"/>
    <x v="17"/>
    <m/>
    <m/>
    <m/>
    <m/>
    <m/>
    <m/>
    <m/>
    <m/>
    <x v="17"/>
    <s v="X"/>
    <m/>
    <m/>
    <m/>
    <m/>
    <s v="X"/>
    <m/>
    <m/>
    <x v="163"/>
    <x v="101"/>
    <m/>
    <m/>
    <m/>
    <m/>
    <n v="28"/>
    <m/>
    <m/>
  </r>
  <r>
    <x v="0"/>
    <x v="204"/>
    <x v="204"/>
    <n v="3152.3"/>
    <n v="1635.83"/>
    <n v="348.44"/>
    <n v="95.75"/>
    <n v="388.86"/>
    <n v="284.55"/>
    <m/>
    <n v="398.87"/>
    <m/>
    <n v="3656.67"/>
    <x v="152"/>
    <x v="159"/>
    <x v="151"/>
    <x v="155"/>
    <x v="159"/>
    <x v="17"/>
    <x v="146"/>
    <x v="1"/>
    <x v="17"/>
    <m/>
    <m/>
    <m/>
    <m/>
    <m/>
    <m/>
    <m/>
    <m/>
    <x v="17"/>
    <s v="X"/>
    <s v="X"/>
    <s v="X"/>
    <s v="X"/>
    <s v="X"/>
    <m/>
    <s v="X"/>
    <m/>
    <x v="165"/>
    <x v="79"/>
    <n v="34"/>
    <n v="4"/>
    <n v="4"/>
    <n v="18"/>
    <m/>
    <n v="6"/>
    <m/>
  </r>
  <r>
    <x v="1"/>
    <x v="205"/>
    <x v="205"/>
    <n v="2967.26"/>
    <n v="607.37"/>
    <n v="201.22"/>
    <m/>
    <n v="1799.66"/>
    <m/>
    <m/>
    <n v="359.01"/>
    <m/>
    <n v="3442.03"/>
    <x v="153"/>
    <x v="160"/>
    <x v="2"/>
    <x v="156"/>
    <x v="3"/>
    <x v="17"/>
    <x v="147"/>
    <x v="1"/>
    <x v="49"/>
    <n v="2"/>
    <n v="1"/>
    <m/>
    <n v="7"/>
    <m/>
    <m/>
    <n v="1"/>
    <m/>
    <x v="177"/>
    <n v="303.685"/>
    <n v="201.22"/>
    <m/>
    <n v="257.09428571428572"/>
    <m/>
    <m/>
    <n v="359.01"/>
    <m/>
    <x v="166"/>
    <x v="1"/>
    <m/>
    <m/>
    <n v="14"/>
    <m/>
    <m/>
    <n v="10"/>
    <m/>
  </r>
  <r>
    <x v="1"/>
    <x v="206"/>
    <x v="206"/>
    <n v="2953"/>
    <m/>
    <m/>
    <n v="1867.02"/>
    <m/>
    <n v="1035.3"/>
    <n v="50.68"/>
    <m/>
    <m/>
    <n v="3425.48"/>
    <x v="4"/>
    <x v="2"/>
    <x v="152"/>
    <x v="4"/>
    <x v="160"/>
    <x v="160"/>
    <x v="17"/>
    <x v="1"/>
    <x v="17"/>
    <m/>
    <m/>
    <m/>
    <m/>
    <m/>
    <m/>
    <m/>
    <m/>
    <x v="17"/>
    <m/>
    <m/>
    <s v="X"/>
    <m/>
    <s v="X"/>
    <s v="X"/>
    <m/>
    <m/>
    <x v="167"/>
    <x v="1"/>
    <m/>
    <n v="74"/>
    <m/>
    <n v="20"/>
    <n v="2"/>
    <m/>
    <m/>
  </r>
  <r>
    <x v="2"/>
    <x v="207"/>
    <x v="207"/>
    <n v="2849.18"/>
    <m/>
    <m/>
    <m/>
    <m/>
    <m/>
    <n v="2849.18"/>
    <m/>
    <m/>
    <n v="3305.05"/>
    <x v="4"/>
    <x v="2"/>
    <x v="2"/>
    <x v="4"/>
    <x v="3"/>
    <x v="161"/>
    <x v="17"/>
    <x v="1"/>
    <x v="127"/>
    <m/>
    <m/>
    <m/>
    <m/>
    <m/>
    <n v="5"/>
    <m/>
    <m/>
    <x v="178"/>
    <m/>
    <m/>
    <m/>
    <m/>
    <m/>
    <n v="569.83600000000001"/>
    <m/>
    <m/>
    <x v="136"/>
    <x v="1"/>
    <m/>
    <m/>
    <m/>
    <m/>
    <n v="76"/>
    <m/>
    <m/>
  </r>
  <r>
    <x v="0"/>
    <x v="208"/>
    <x v="208"/>
    <n v="2486.8000000000002"/>
    <n v="140.52000000000001"/>
    <n v="144.16"/>
    <n v="1396.96"/>
    <m/>
    <n v="369.73"/>
    <n v="103.29"/>
    <n v="332.14"/>
    <m/>
    <n v="2884.68"/>
    <x v="154"/>
    <x v="161"/>
    <x v="153"/>
    <x v="4"/>
    <x v="161"/>
    <x v="162"/>
    <x v="148"/>
    <x v="1"/>
    <x v="17"/>
    <m/>
    <m/>
    <m/>
    <m/>
    <m/>
    <m/>
    <m/>
    <m/>
    <x v="17"/>
    <s v="X"/>
    <s v="X"/>
    <s v="X"/>
    <m/>
    <s v="X"/>
    <s v="X"/>
    <s v="X"/>
    <m/>
    <x v="121"/>
    <x v="57"/>
    <n v="20"/>
    <n v="256"/>
    <m/>
    <n v="44"/>
    <n v="10"/>
    <n v="68"/>
    <m/>
  </r>
  <r>
    <x v="1"/>
    <x v="209"/>
    <x v="209"/>
    <n v="2455.63"/>
    <m/>
    <m/>
    <m/>
    <m/>
    <n v="3833.27"/>
    <m/>
    <n v="-1377.64"/>
    <m/>
    <n v="2608.87"/>
    <x v="4"/>
    <x v="2"/>
    <x v="2"/>
    <x v="4"/>
    <x v="162"/>
    <x v="17"/>
    <x v="149"/>
    <x v="1"/>
    <x v="81"/>
    <m/>
    <m/>
    <m/>
    <m/>
    <n v="4"/>
    <m/>
    <m/>
    <m/>
    <x v="179"/>
    <m/>
    <m/>
    <m/>
    <m/>
    <n v="958.3175"/>
    <m/>
    <s v="X"/>
    <m/>
    <x v="168"/>
    <x v="1"/>
    <m/>
    <m/>
    <m/>
    <n v="68"/>
    <m/>
    <n v="-11"/>
    <m/>
  </r>
  <r>
    <x v="1"/>
    <x v="210"/>
    <x v="210"/>
    <n v="2410.48"/>
    <m/>
    <m/>
    <m/>
    <m/>
    <n v="262.95"/>
    <n v="2147.5300000000002"/>
    <m/>
    <m/>
    <n v="2796.15"/>
    <x v="4"/>
    <x v="2"/>
    <x v="2"/>
    <x v="4"/>
    <x v="163"/>
    <x v="163"/>
    <x v="17"/>
    <x v="1"/>
    <x v="122"/>
    <m/>
    <m/>
    <m/>
    <m/>
    <n v="1"/>
    <n v="7"/>
    <m/>
    <m/>
    <x v="180"/>
    <m/>
    <m/>
    <m/>
    <m/>
    <n v="262.95"/>
    <n v="306.79000000000002"/>
    <m/>
    <m/>
    <x v="169"/>
    <x v="1"/>
    <m/>
    <m/>
    <m/>
    <n v="2"/>
    <n v="52"/>
    <m/>
    <m/>
  </r>
  <r>
    <x v="2"/>
    <x v="211"/>
    <x v="211"/>
    <n v="1837.62"/>
    <m/>
    <m/>
    <m/>
    <m/>
    <m/>
    <n v="1837.62"/>
    <m/>
    <m/>
    <n v="2131.64"/>
    <x v="4"/>
    <x v="2"/>
    <x v="2"/>
    <x v="4"/>
    <x v="3"/>
    <x v="164"/>
    <x v="17"/>
    <x v="1"/>
    <x v="110"/>
    <m/>
    <m/>
    <m/>
    <m/>
    <m/>
    <n v="2"/>
    <m/>
    <m/>
    <x v="181"/>
    <m/>
    <m/>
    <m/>
    <m/>
    <m/>
    <n v="918.81"/>
    <m/>
    <m/>
    <x v="170"/>
    <x v="1"/>
    <m/>
    <m/>
    <m/>
    <m/>
    <n v="52"/>
    <m/>
    <m/>
  </r>
  <r>
    <x v="1"/>
    <x v="212"/>
    <x v="212"/>
    <n v="1591.62"/>
    <n v="80.010000000000005"/>
    <n v="152.16"/>
    <m/>
    <m/>
    <n v="576.29999999999995"/>
    <n v="783.15"/>
    <m/>
    <m/>
    <n v="1846.28"/>
    <x v="155"/>
    <x v="162"/>
    <x v="2"/>
    <x v="4"/>
    <x v="164"/>
    <x v="165"/>
    <x v="17"/>
    <x v="1"/>
    <x v="17"/>
    <m/>
    <m/>
    <m/>
    <m/>
    <m/>
    <m/>
    <m/>
    <m/>
    <x v="17"/>
    <s v="X"/>
    <s v="X"/>
    <m/>
    <m/>
    <s v="X"/>
    <s v="X"/>
    <m/>
    <m/>
    <x v="171"/>
    <x v="113"/>
    <n v="18"/>
    <m/>
    <m/>
    <n v="196"/>
    <n v="308"/>
    <m/>
    <m/>
  </r>
  <r>
    <x v="1"/>
    <x v="213"/>
    <x v="213"/>
    <n v="1305.3399999999999"/>
    <n v="920.95"/>
    <m/>
    <m/>
    <n v="361.48"/>
    <n v="113.28"/>
    <m/>
    <n v="-90.37"/>
    <m/>
    <n v="1403.66"/>
    <x v="156"/>
    <x v="2"/>
    <x v="2"/>
    <x v="157"/>
    <x v="165"/>
    <x v="17"/>
    <x v="150"/>
    <x v="1"/>
    <x v="110"/>
    <n v="2"/>
    <m/>
    <m/>
    <m/>
    <m/>
    <m/>
    <m/>
    <m/>
    <x v="182"/>
    <n v="460.47500000000002"/>
    <m/>
    <m/>
    <s v="X"/>
    <s v="X"/>
    <m/>
    <s v="X"/>
    <m/>
    <x v="172"/>
    <x v="46"/>
    <m/>
    <m/>
    <n v="8"/>
    <m/>
    <m/>
    <n v="-2"/>
    <m/>
  </r>
  <r>
    <x v="1"/>
    <x v="214"/>
    <x v="214"/>
    <n v="1155.27"/>
    <m/>
    <m/>
    <m/>
    <m/>
    <n v="236.58"/>
    <n v="142.19"/>
    <n v="776.5"/>
    <m/>
    <n v="1340.11"/>
    <x v="4"/>
    <x v="2"/>
    <x v="2"/>
    <x v="4"/>
    <x v="166"/>
    <x v="166"/>
    <x v="151"/>
    <x v="1"/>
    <x v="17"/>
    <m/>
    <m/>
    <m/>
    <m/>
    <m/>
    <m/>
    <m/>
    <m/>
    <x v="17"/>
    <m/>
    <m/>
    <m/>
    <m/>
    <s v="X"/>
    <s v="X"/>
    <s v="X"/>
    <m/>
    <x v="173"/>
    <x v="1"/>
    <m/>
    <m/>
    <m/>
    <n v="10"/>
    <n v="6"/>
    <n v="16"/>
    <m/>
  </r>
  <r>
    <x v="2"/>
    <x v="215"/>
    <x v="215"/>
    <n v="1038.0899999999999"/>
    <n v="676.26"/>
    <m/>
    <n v="256.19"/>
    <n v="90.52"/>
    <n v="15.12"/>
    <m/>
    <m/>
    <m/>
    <n v="1204.18"/>
    <x v="157"/>
    <x v="2"/>
    <x v="154"/>
    <x v="158"/>
    <x v="167"/>
    <x v="17"/>
    <x v="17"/>
    <x v="1"/>
    <x v="17"/>
    <m/>
    <m/>
    <m/>
    <m/>
    <m/>
    <m/>
    <m/>
    <m/>
    <x v="17"/>
    <s v="X"/>
    <m/>
    <s v="X"/>
    <s v="X"/>
    <s v="X"/>
    <m/>
    <m/>
    <m/>
    <x v="174"/>
    <x v="114"/>
    <m/>
    <n v="34"/>
    <n v="12"/>
    <n v="2"/>
    <m/>
    <m/>
    <m/>
  </r>
  <r>
    <x v="0"/>
    <x v="216"/>
    <x v="216"/>
    <n v="624.96"/>
    <m/>
    <m/>
    <m/>
    <m/>
    <m/>
    <n v="322.89"/>
    <n v="302.07"/>
    <m/>
    <n v="724.95"/>
    <x v="4"/>
    <x v="2"/>
    <x v="2"/>
    <x v="4"/>
    <x v="3"/>
    <x v="167"/>
    <x v="152"/>
    <x v="1"/>
    <x v="109"/>
    <m/>
    <m/>
    <m/>
    <m/>
    <m/>
    <n v="1"/>
    <n v="2"/>
    <m/>
    <x v="183"/>
    <m/>
    <m/>
    <m/>
    <m/>
    <m/>
    <n v="322.89"/>
    <n v="151.035"/>
    <m/>
    <x v="135"/>
    <x v="1"/>
    <m/>
    <m/>
    <m/>
    <m/>
    <n v="16"/>
    <m/>
    <m/>
  </r>
  <r>
    <x v="2"/>
    <x v="217"/>
    <x v="217"/>
    <n v="389.84"/>
    <n v="389.84"/>
    <m/>
    <m/>
    <m/>
    <m/>
    <m/>
    <m/>
    <m/>
    <n v="452.21"/>
    <x v="158"/>
    <x v="2"/>
    <x v="2"/>
    <x v="4"/>
    <x v="3"/>
    <x v="17"/>
    <x v="17"/>
    <x v="1"/>
    <x v="110"/>
    <n v="2"/>
    <m/>
    <m/>
    <m/>
    <m/>
    <m/>
    <m/>
    <m/>
    <x v="184"/>
    <n v="194.92"/>
    <m/>
    <m/>
    <m/>
    <m/>
    <m/>
    <m/>
    <m/>
    <x v="1"/>
    <x v="1"/>
    <m/>
    <m/>
    <m/>
    <m/>
    <m/>
    <m/>
    <m/>
  </r>
  <r>
    <x v="1"/>
    <x v="218"/>
    <x v="218"/>
    <n v="115.14"/>
    <m/>
    <m/>
    <m/>
    <m/>
    <m/>
    <n v="115.14"/>
    <m/>
    <m/>
    <n v="133.56"/>
    <x v="4"/>
    <x v="2"/>
    <x v="2"/>
    <x v="4"/>
    <x v="3"/>
    <x v="168"/>
    <x v="17"/>
    <x v="1"/>
    <x v="17"/>
    <m/>
    <m/>
    <m/>
    <m/>
    <m/>
    <m/>
    <m/>
    <m/>
    <x v="17"/>
    <m/>
    <m/>
    <m/>
    <m/>
    <m/>
    <s v="X"/>
    <m/>
    <m/>
    <x v="175"/>
    <x v="1"/>
    <m/>
    <m/>
    <m/>
    <m/>
    <n v="2"/>
    <m/>
    <m/>
  </r>
  <r>
    <x v="2"/>
    <x v="219"/>
    <x v="219"/>
    <n v="50.33"/>
    <n v="50.33"/>
    <m/>
    <m/>
    <m/>
    <m/>
    <m/>
    <m/>
    <m/>
    <n v="58.38"/>
    <x v="159"/>
    <x v="2"/>
    <x v="2"/>
    <x v="4"/>
    <x v="3"/>
    <x v="17"/>
    <x v="17"/>
    <x v="1"/>
    <x v="17"/>
    <m/>
    <m/>
    <m/>
    <m/>
    <m/>
    <m/>
    <m/>
    <m/>
    <x v="17"/>
    <s v="X"/>
    <m/>
    <m/>
    <m/>
    <m/>
    <m/>
    <m/>
    <m/>
    <x v="175"/>
    <x v="43"/>
    <m/>
    <m/>
    <m/>
    <m/>
    <m/>
    <m/>
    <m/>
  </r>
  <r>
    <x v="1"/>
    <x v="220"/>
    <x v="220"/>
    <n v="-9254.99"/>
    <n v="-9254.99"/>
    <m/>
    <m/>
    <m/>
    <m/>
    <m/>
    <m/>
    <m/>
    <n v="-9254.99"/>
    <x v="160"/>
    <x v="2"/>
    <x v="2"/>
    <x v="4"/>
    <x v="3"/>
    <x v="17"/>
    <x v="17"/>
    <x v="1"/>
    <x v="130"/>
    <n v="-1"/>
    <m/>
    <m/>
    <m/>
    <m/>
    <m/>
    <m/>
    <m/>
    <x v="185"/>
    <n v="9254.99"/>
    <m/>
    <m/>
    <m/>
    <m/>
    <m/>
    <m/>
    <m/>
    <x v="1"/>
    <x v="1"/>
    <m/>
    <m/>
    <m/>
    <m/>
    <m/>
    <m/>
    <m/>
  </r>
  <r>
    <x v="1"/>
    <x v="221"/>
    <x v="221"/>
    <n v="-9414.15"/>
    <n v="2852.23"/>
    <m/>
    <m/>
    <m/>
    <n v="-12266.38"/>
    <m/>
    <m/>
    <m/>
    <n v="-10920.41"/>
    <x v="161"/>
    <x v="2"/>
    <x v="2"/>
    <x v="4"/>
    <x v="168"/>
    <x v="17"/>
    <x v="17"/>
    <x v="1"/>
    <x v="131"/>
    <n v="13"/>
    <m/>
    <m/>
    <m/>
    <m/>
    <m/>
    <m/>
    <m/>
    <x v="186"/>
    <n v="219.40230769230769"/>
    <m/>
    <m/>
    <m/>
    <s v="X"/>
    <m/>
    <m/>
    <m/>
    <x v="176"/>
    <x v="1"/>
    <m/>
    <m/>
    <m/>
    <n v="-308"/>
    <m/>
    <m/>
    <m/>
  </r>
  <r>
    <x v="1"/>
    <x v="222"/>
    <x v="222"/>
    <n v="-57774.18"/>
    <m/>
    <m/>
    <m/>
    <m/>
    <m/>
    <n v="48543.8"/>
    <n v="-106317.98"/>
    <m/>
    <n v="-67018.039999999994"/>
    <x v="4"/>
    <x v="2"/>
    <x v="2"/>
    <x v="4"/>
    <x v="3"/>
    <x v="169"/>
    <x v="153"/>
    <x v="1"/>
    <x v="17"/>
    <m/>
    <m/>
    <m/>
    <m/>
    <m/>
    <n v="249"/>
    <n v="-249"/>
    <m/>
    <x v="17"/>
    <m/>
    <m/>
    <m/>
    <m/>
    <m/>
    <n v="194.95502008032128"/>
    <n v="426.97983935742974"/>
    <m/>
    <x v="177"/>
    <x v="1"/>
    <m/>
    <m/>
    <m/>
    <m/>
    <n v="8"/>
    <n v="-1218"/>
    <m/>
  </r>
  <r>
    <x v="0"/>
    <x v="223"/>
    <x v="223"/>
    <n v="-1441891.92"/>
    <m/>
    <m/>
    <m/>
    <m/>
    <m/>
    <n v="-1420011.73"/>
    <n v="-21880.19"/>
    <m/>
    <n v="-1672594.63"/>
    <x v="4"/>
    <x v="2"/>
    <x v="2"/>
    <x v="4"/>
    <x v="3"/>
    <x v="170"/>
    <x v="154"/>
    <x v="1"/>
    <x v="132"/>
    <m/>
    <m/>
    <m/>
    <m/>
    <m/>
    <n v="-18425"/>
    <n v="-234"/>
    <m/>
    <x v="187"/>
    <m/>
    <m/>
    <m/>
    <m/>
    <m/>
    <n v="77.069836092265945"/>
    <n v="93.505085470085476"/>
    <m/>
    <x v="1"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53D65-4237-3045-B6CF-DFAC69C7E8C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B198" firstHeaderRow="0" firstDataRow="1" firstDataCol="1"/>
  <pivotFields count="48">
    <pivotField axis="axisRow" showAll="0">
      <items count="4">
        <item x="2"/>
        <item x="0"/>
        <item x="1"/>
        <item t="default"/>
      </items>
    </pivotField>
    <pivotField showAll="0">
      <items count="225">
        <item x="144"/>
        <item x="23"/>
        <item x="159"/>
        <item x="105"/>
        <item x="188"/>
        <item x="97"/>
        <item x="52"/>
        <item x="32"/>
        <item x="186"/>
        <item x="141"/>
        <item x="47"/>
        <item x="100"/>
        <item x="80"/>
        <item x="101"/>
        <item x="161"/>
        <item x="162"/>
        <item x="173"/>
        <item x="56"/>
        <item x="51"/>
        <item x="123"/>
        <item x="218"/>
        <item x="152"/>
        <item x="203"/>
        <item x="16"/>
        <item x="25"/>
        <item x="111"/>
        <item x="19"/>
        <item x="1"/>
        <item x="22"/>
        <item x="74"/>
        <item x="10"/>
        <item x="180"/>
        <item x="37"/>
        <item x="194"/>
        <item x="28"/>
        <item x="115"/>
        <item x="182"/>
        <item x="193"/>
        <item x="53"/>
        <item x="98"/>
        <item x="71"/>
        <item x="146"/>
        <item x="108"/>
        <item x="166"/>
        <item x="189"/>
        <item x="140"/>
        <item x="21"/>
        <item x="158"/>
        <item x="82"/>
        <item x="70"/>
        <item x="204"/>
        <item x="68"/>
        <item x="62"/>
        <item x="187"/>
        <item x="126"/>
        <item x="192"/>
        <item x="30"/>
        <item x="3"/>
        <item x="160"/>
        <item x="15"/>
        <item x="26"/>
        <item x="214"/>
        <item x="175"/>
        <item x="220"/>
        <item x="89"/>
        <item x="149"/>
        <item x="61"/>
        <item x="121"/>
        <item x="143"/>
        <item x="88"/>
        <item x="211"/>
        <item x="155"/>
        <item x="91"/>
        <item x="84"/>
        <item x="125"/>
        <item x="20"/>
        <item x="60"/>
        <item x="154"/>
        <item x="136"/>
        <item x="124"/>
        <item x="165"/>
        <item x="198"/>
        <item x="35"/>
        <item x="147"/>
        <item x="170"/>
        <item x="197"/>
        <item x="210"/>
        <item x="206"/>
        <item x="209"/>
        <item x="138"/>
        <item x="151"/>
        <item x="174"/>
        <item x="216"/>
        <item x="11"/>
        <item x="87"/>
        <item x="54"/>
        <item x="184"/>
        <item x="222"/>
        <item x="78"/>
        <item x="122"/>
        <item x="212"/>
        <item x="17"/>
        <item x="215"/>
        <item x="142"/>
        <item x="33"/>
        <item x="95"/>
        <item x="59"/>
        <item x="42"/>
        <item x="96"/>
        <item x="196"/>
        <item x="66"/>
        <item x="99"/>
        <item x="191"/>
        <item x="102"/>
        <item x="45"/>
        <item x="38"/>
        <item x="8"/>
        <item x="185"/>
        <item x="69"/>
        <item x="202"/>
        <item x="31"/>
        <item x="90"/>
        <item x="176"/>
        <item x="168"/>
        <item x="107"/>
        <item x="221"/>
        <item x="119"/>
        <item x="14"/>
        <item x="112"/>
        <item x="5"/>
        <item x="57"/>
        <item x="128"/>
        <item x="117"/>
        <item x="178"/>
        <item x="39"/>
        <item x="120"/>
        <item x="41"/>
        <item x="13"/>
        <item x="130"/>
        <item x="135"/>
        <item x="34"/>
        <item x="50"/>
        <item x="129"/>
        <item x="190"/>
        <item x="86"/>
        <item x="213"/>
        <item x="85"/>
        <item x="9"/>
        <item x="36"/>
        <item x="156"/>
        <item x="181"/>
        <item x="169"/>
        <item x="64"/>
        <item x="75"/>
        <item x="153"/>
        <item x="171"/>
        <item x="179"/>
        <item x="157"/>
        <item x="134"/>
        <item x="145"/>
        <item x="18"/>
        <item x="114"/>
        <item x="93"/>
        <item x="92"/>
        <item x="72"/>
        <item x="58"/>
        <item x="46"/>
        <item x="127"/>
        <item x="201"/>
        <item x="7"/>
        <item x="104"/>
        <item x="79"/>
        <item x="94"/>
        <item x="223"/>
        <item x="43"/>
        <item x="44"/>
        <item x="6"/>
        <item x="205"/>
        <item x="24"/>
        <item x="113"/>
        <item x="49"/>
        <item x="77"/>
        <item x="133"/>
        <item x="29"/>
        <item x="217"/>
        <item x="132"/>
        <item x="131"/>
        <item x="2"/>
        <item x="116"/>
        <item x="219"/>
        <item x="106"/>
        <item x="139"/>
        <item x="40"/>
        <item x="183"/>
        <item x="137"/>
        <item x="172"/>
        <item x="207"/>
        <item x="81"/>
        <item x="27"/>
        <item x="12"/>
        <item x="148"/>
        <item x="55"/>
        <item x="177"/>
        <item x="163"/>
        <item x="83"/>
        <item x="48"/>
        <item x="65"/>
        <item x="164"/>
        <item x="76"/>
        <item x="195"/>
        <item x="118"/>
        <item x="167"/>
        <item x="110"/>
        <item x="208"/>
        <item x="63"/>
        <item x="150"/>
        <item x="199"/>
        <item x="103"/>
        <item x="73"/>
        <item x="0"/>
        <item x="109"/>
        <item x="67"/>
        <item x="4"/>
        <item x="200"/>
        <item t="default"/>
      </items>
    </pivotField>
    <pivotField showAll="0">
      <items count="225">
        <item x="188"/>
        <item x="82"/>
        <item x="185"/>
        <item x="108"/>
        <item x="186"/>
        <item x="203"/>
        <item x="51"/>
        <item x="105"/>
        <item x="97"/>
        <item x="32"/>
        <item x="120"/>
        <item x="47"/>
        <item x="80"/>
        <item x="162"/>
        <item x="52"/>
        <item x="170"/>
        <item x="212"/>
        <item x="101"/>
        <item x="56"/>
        <item x="141"/>
        <item x="173"/>
        <item x="152"/>
        <item x="144"/>
        <item x="161"/>
        <item x="19"/>
        <item x="25"/>
        <item x="111"/>
        <item x="16"/>
        <item x="156"/>
        <item x="74"/>
        <item x="204"/>
        <item x="140"/>
        <item x="115"/>
        <item x="193"/>
        <item x="146"/>
        <item x="37"/>
        <item x="175"/>
        <item x="182"/>
        <item x="10"/>
        <item x="71"/>
        <item x="189"/>
        <item x="166"/>
        <item x="98"/>
        <item x="70"/>
        <item x="68"/>
        <item x="62"/>
        <item x="21"/>
        <item x="53"/>
        <item x="194"/>
        <item x="28"/>
        <item x="155"/>
        <item x="3"/>
        <item x="117"/>
        <item x="124"/>
        <item x="90"/>
        <item x="192"/>
        <item x="187"/>
        <item x="30"/>
        <item x="126"/>
        <item x="15"/>
        <item x="106"/>
        <item x="160"/>
        <item x="26"/>
        <item x="220"/>
        <item x="89"/>
        <item x="24"/>
        <item x="23"/>
        <item x="149"/>
        <item x="61"/>
        <item x="142"/>
        <item x="214"/>
        <item x="154"/>
        <item x="121"/>
        <item x="18"/>
        <item x="88"/>
        <item x="100"/>
        <item x="91"/>
        <item x="60"/>
        <item x="20"/>
        <item x="125"/>
        <item x="84"/>
        <item x="143"/>
        <item x="206"/>
        <item x="35"/>
        <item x="216"/>
        <item x="178"/>
        <item x="222"/>
        <item x="138"/>
        <item x="174"/>
        <item x="197"/>
        <item x="210"/>
        <item x="209"/>
        <item x="151"/>
        <item x="87"/>
        <item x="147"/>
        <item x="59"/>
        <item x="11"/>
        <item x="93"/>
        <item x="78"/>
        <item x="180"/>
        <item x="215"/>
        <item x="17"/>
        <item x="22"/>
        <item x="66"/>
        <item x="96"/>
        <item x="95"/>
        <item x="191"/>
        <item x="33"/>
        <item x="99"/>
        <item x="42"/>
        <item x="38"/>
        <item x="196"/>
        <item x="45"/>
        <item x="102"/>
        <item x="50"/>
        <item x="41"/>
        <item x="57"/>
        <item x="136"/>
        <item x="36"/>
        <item x="54"/>
        <item x="112"/>
        <item x="118"/>
        <item x="69"/>
        <item x="202"/>
        <item x="158"/>
        <item x="31"/>
        <item x="168"/>
        <item x="5"/>
        <item x="107"/>
        <item x="176"/>
        <item x="119"/>
        <item x="221"/>
        <item x="198"/>
        <item x="14"/>
        <item x="1"/>
        <item x="159"/>
        <item x="113"/>
        <item x="145"/>
        <item x="49"/>
        <item x="39"/>
        <item x="164"/>
        <item x="165"/>
        <item x="135"/>
        <item x="34"/>
        <item x="86"/>
        <item x="13"/>
        <item x="172"/>
        <item x="85"/>
        <item x="213"/>
        <item x="129"/>
        <item x="130"/>
        <item x="9"/>
        <item x="181"/>
        <item x="122"/>
        <item x="64"/>
        <item x="75"/>
        <item x="184"/>
        <item x="169"/>
        <item x="134"/>
        <item x="153"/>
        <item x="171"/>
        <item x="157"/>
        <item x="114"/>
        <item x="179"/>
        <item x="127"/>
        <item x="2"/>
        <item x="58"/>
        <item x="8"/>
        <item x="218"/>
        <item x="223"/>
        <item x="43"/>
        <item x="205"/>
        <item x="201"/>
        <item x="7"/>
        <item x="92"/>
        <item x="46"/>
        <item x="104"/>
        <item x="94"/>
        <item x="79"/>
        <item x="6"/>
        <item x="44"/>
        <item x="190"/>
        <item x="77"/>
        <item x="29"/>
        <item x="217"/>
        <item x="131"/>
        <item x="132"/>
        <item x="128"/>
        <item x="55"/>
        <item x="133"/>
        <item x="12"/>
        <item x="123"/>
        <item x="139"/>
        <item x="163"/>
        <item x="183"/>
        <item x="137"/>
        <item x="207"/>
        <item x="116"/>
        <item x="40"/>
        <item x="81"/>
        <item x="83"/>
        <item x="211"/>
        <item x="27"/>
        <item x="148"/>
        <item x="177"/>
        <item x="76"/>
        <item x="65"/>
        <item x="48"/>
        <item x="167"/>
        <item x="110"/>
        <item x="195"/>
        <item x="63"/>
        <item x="208"/>
        <item x="103"/>
        <item x="73"/>
        <item x="150"/>
        <item x="219"/>
        <item x="199"/>
        <item x="0"/>
        <item x="72"/>
        <item x="67"/>
        <item x="109"/>
        <item x="4"/>
        <item x="200"/>
        <item t="default"/>
      </items>
    </pivotField>
    <pivotField dataField="1" numFmtId="4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4" showAll="0"/>
    <pivotField showAll="0">
      <items count="163">
        <item x="160"/>
        <item x="104"/>
        <item x="159"/>
        <item x="132"/>
        <item x="155"/>
        <item x="87"/>
        <item x="154"/>
        <item x="101"/>
        <item x="127"/>
        <item x="143"/>
        <item x="111"/>
        <item x="131"/>
        <item x="64"/>
        <item x="128"/>
        <item x="71"/>
        <item x="149"/>
        <item x="140"/>
        <item x="126"/>
        <item x="158"/>
        <item x="125"/>
        <item x="129"/>
        <item x="69"/>
        <item x="153"/>
        <item x="157"/>
        <item x="139"/>
        <item x="84"/>
        <item x="107"/>
        <item x="156"/>
        <item x="144"/>
        <item x="85"/>
        <item x="112"/>
        <item x="135"/>
        <item x="146"/>
        <item x="109"/>
        <item x="137"/>
        <item x="67"/>
        <item x="121"/>
        <item x="42"/>
        <item x="63"/>
        <item x="117"/>
        <item x="134"/>
        <item x="152"/>
        <item x="17"/>
        <item x="81"/>
        <item x="151"/>
        <item x="105"/>
        <item x="74"/>
        <item x="124"/>
        <item x="102"/>
        <item x="70"/>
        <item x="118"/>
        <item x="161"/>
        <item x="82"/>
        <item x="113"/>
        <item x="103"/>
        <item x="76"/>
        <item x="100"/>
        <item x="99"/>
        <item x="123"/>
        <item x="150"/>
        <item x="88"/>
        <item x="115"/>
        <item x="148"/>
        <item x="142"/>
        <item x="114"/>
        <item x="93"/>
        <item x="89"/>
        <item x="119"/>
        <item x="145"/>
        <item x="66"/>
        <item x="147"/>
        <item x="80"/>
        <item x="138"/>
        <item x="95"/>
        <item x="78"/>
        <item x="98"/>
        <item x="120"/>
        <item x="91"/>
        <item x="110"/>
        <item x="97"/>
        <item x="94"/>
        <item x="141"/>
        <item x="133"/>
        <item x="55"/>
        <item x="136"/>
        <item x="40"/>
        <item x="90"/>
        <item x="92"/>
        <item x="106"/>
        <item x="50"/>
        <item x="116"/>
        <item x="86"/>
        <item x="58"/>
        <item x="62"/>
        <item x="83"/>
        <item x="59"/>
        <item x="56"/>
        <item x="57"/>
        <item x="28"/>
        <item x="30"/>
        <item x="24"/>
        <item x="72"/>
        <item x="65"/>
        <item x="19"/>
        <item x="130"/>
        <item x="49"/>
        <item x="54"/>
        <item x="41"/>
        <item x="122"/>
        <item x="51"/>
        <item x="96"/>
        <item x="39"/>
        <item x="31"/>
        <item x="61"/>
        <item x="73"/>
        <item x="77"/>
        <item x="53"/>
        <item x="108"/>
        <item x="12"/>
        <item x="2"/>
        <item x="45"/>
        <item x="79"/>
        <item x="46"/>
        <item x="68"/>
        <item x="26"/>
        <item x="13"/>
        <item x="34"/>
        <item x="21"/>
        <item x="38"/>
        <item x="29"/>
        <item x="25"/>
        <item x="27"/>
        <item x="37"/>
        <item x="43"/>
        <item x="23"/>
        <item x="44"/>
        <item x="48"/>
        <item x="36"/>
        <item x="14"/>
        <item x="18"/>
        <item x="47"/>
        <item x="75"/>
        <item x="16"/>
        <item x="22"/>
        <item x="33"/>
        <item x="60"/>
        <item x="11"/>
        <item x="32"/>
        <item x="52"/>
        <item x="10"/>
        <item x="35"/>
        <item x="9"/>
        <item x="20"/>
        <item x="6"/>
        <item x="7"/>
        <item x="15"/>
        <item x="8"/>
        <item x="5"/>
        <item x="1"/>
        <item x="3"/>
        <item x="0"/>
        <item x="4"/>
        <item t="default"/>
      </items>
    </pivotField>
    <pivotField showAll="0">
      <items count="164">
        <item x="31"/>
        <item x="138"/>
        <item x="132"/>
        <item x="150"/>
        <item x="139"/>
        <item x="161"/>
        <item x="57"/>
        <item x="162"/>
        <item x="160"/>
        <item x="140"/>
        <item x="47"/>
        <item x="114"/>
        <item x="146"/>
        <item x="73"/>
        <item x="141"/>
        <item x="147"/>
        <item x="159"/>
        <item x="157"/>
        <item x="158"/>
        <item x="76"/>
        <item x="156"/>
        <item x="148"/>
        <item x="116"/>
        <item x="75"/>
        <item x="152"/>
        <item x="107"/>
        <item x="89"/>
        <item x="151"/>
        <item x="119"/>
        <item x="145"/>
        <item x="122"/>
        <item x="155"/>
        <item x="128"/>
        <item x="144"/>
        <item x="120"/>
        <item x="87"/>
        <item x="88"/>
        <item x="124"/>
        <item x="149"/>
        <item x="133"/>
        <item x="112"/>
        <item x="84"/>
        <item x="108"/>
        <item x="127"/>
        <item x="126"/>
        <item x="58"/>
        <item x="55"/>
        <item x="129"/>
        <item x="143"/>
        <item x="85"/>
        <item x="72"/>
        <item x="77"/>
        <item x="17"/>
        <item x="137"/>
        <item x="104"/>
        <item x="100"/>
        <item x="125"/>
        <item x="102"/>
        <item x="136"/>
        <item x="78"/>
        <item x="20"/>
        <item x="111"/>
        <item x="109"/>
        <item x="154"/>
        <item x="101"/>
        <item x="121"/>
        <item x="97"/>
        <item x="118"/>
        <item x="32"/>
        <item x="130"/>
        <item x="68"/>
        <item x="50"/>
        <item x="96"/>
        <item x="117"/>
        <item x="83"/>
        <item x="65"/>
        <item x="80"/>
        <item x="131"/>
        <item x="153"/>
        <item x="110"/>
        <item x="99"/>
        <item x="93"/>
        <item x="103"/>
        <item x="105"/>
        <item x="113"/>
        <item x="91"/>
        <item x="51"/>
        <item x="66"/>
        <item x="74"/>
        <item x="54"/>
        <item x="98"/>
        <item x="4"/>
        <item x="63"/>
        <item x="106"/>
        <item x="135"/>
        <item x="94"/>
        <item x="69"/>
        <item x="45"/>
        <item x="56"/>
        <item x="142"/>
        <item x="22"/>
        <item x="115"/>
        <item x="123"/>
        <item x="81"/>
        <item x="60"/>
        <item x="79"/>
        <item x="36"/>
        <item x="64"/>
        <item x="21"/>
        <item x="62"/>
        <item x="40"/>
        <item x="70"/>
        <item x="39"/>
        <item x="61"/>
        <item x="59"/>
        <item x="90"/>
        <item x="37"/>
        <item x="38"/>
        <item x="134"/>
        <item x="82"/>
        <item x="12"/>
        <item x="30"/>
        <item x="67"/>
        <item x="95"/>
        <item x="52"/>
        <item x="44"/>
        <item x="53"/>
        <item x="49"/>
        <item x="33"/>
        <item x="42"/>
        <item x="13"/>
        <item x="26"/>
        <item x="48"/>
        <item x="27"/>
        <item x="46"/>
        <item x="43"/>
        <item x="86"/>
        <item x="41"/>
        <item x="34"/>
        <item x="19"/>
        <item x="92"/>
        <item x="35"/>
        <item x="71"/>
        <item x="28"/>
        <item x="24"/>
        <item x="25"/>
        <item x="23"/>
        <item x="10"/>
        <item x="18"/>
        <item x="14"/>
        <item x="11"/>
        <item x="16"/>
        <item x="15"/>
        <item x="9"/>
        <item x="29"/>
        <item x="8"/>
        <item x="7"/>
        <item x="6"/>
        <item x="5"/>
        <item x="3"/>
        <item x="1"/>
        <item x="0"/>
        <item x="2"/>
        <item t="default"/>
      </items>
    </pivotField>
    <pivotField showAll="0">
      <items count="156">
        <item x="42"/>
        <item x="141"/>
        <item x="132"/>
        <item x="131"/>
        <item x="151"/>
        <item x="50"/>
        <item x="107"/>
        <item x="117"/>
        <item x="140"/>
        <item x="126"/>
        <item x="143"/>
        <item x="144"/>
        <item x="114"/>
        <item x="154"/>
        <item x="62"/>
        <item x="142"/>
        <item x="146"/>
        <item x="121"/>
        <item x="138"/>
        <item x="147"/>
        <item x="112"/>
        <item x="108"/>
        <item x="139"/>
        <item x="129"/>
        <item x="148"/>
        <item x="128"/>
        <item x="82"/>
        <item x="101"/>
        <item x="111"/>
        <item x="135"/>
        <item x="137"/>
        <item x="153"/>
        <item x="145"/>
        <item x="133"/>
        <item x="77"/>
        <item x="45"/>
        <item x="120"/>
        <item x="123"/>
        <item x="88"/>
        <item x="118"/>
        <item x="149"/>
        <item x="152"/>
        <item x="66"/>
        <item x="85"/>
        <item x="115"/>
        <item x="93"/>
        <item x="136"/>
        <item x="39"/>
        <item x="116"/>
        <item x="122"/>
        <item x="78"/>
        <item x="150"/>
        <item x="106"/>
        <item x="102"/>
        <item x="109"/>
        <item x="124"/>
        <item x="96"/>
        <item x="53"/>
        <item x="98"/>
        <item x="70"/>
        <item x="113"/>
        <item x="103"/>
        <item x="119"/>
        <item x="97"/>
        <item x="130"/>
        <item x="105"/>
        <item x="110"/>
        <item x="87"/>
        <item x="127"/>
        <item x="94"/>
        <item x="86"/>
        <item x="55"/>
        <item x="58"/>
        <item x="60"/>
        <item x="89"/>
        <item x="71"/>
        <item x="91"/>
        <item x="92"/>
        <item x="79"/>
        <item x="75"/>
        <item x="100"/>
        <item x="64"/>
        <item x="80"/>
        <item x="63"/>
        <item x="51"/>
        <item x="99"/>
        <item x="90"/>
        <item x="52"/>
        <item x="134"/>
        <item x="24"/>
        <item x="73"/>
        <item x="95"/>
        <item x="72"/>
        <item x="125"/>
        <item x="26"/>
        <item x="84"/>
        <item x="37"/>
        <item x="104"/>
        <item x="56"/>
        <item x="25"/>
        <item x="59"/>
        <item x="57"/>
        <item x="11"/>
        <item x="49"/>
        <item x="43"/>
        <item x="36"/>
        <item x="32"/>
        <item x="18"/>
        <item x="83"/>
        <item x="48"/>
        <item x="68"/>
        <item x="47"/>
        <item x="54"/>
        <item x="38"/>
        <item x="34"/>
        <item x="35"/>
        <item x="44"/>
        <item x="33"/>
        <item x="81"/>
        <item x="30"/>
        <item x="40"/>
        <item x="29"/>
        <item x="31"/>
        <item x="46"/>
        <item x="74"/>
        <item x="69"/>
        <item x="65"/>
        <item x="28"/>
        <item x="19"/>
        <item x="76"/>
        <item x="21"/>
        <item x="16"/>
        <item x="20"/>
        <item x="13"/>
        <item x="17"/>
        <item x="41"/>
        <item x="10"/>
        <item x="23"/>
        <item x="27"/>
        <item x="67"/>
        <item x="4"/>
        <item x="61"/>
        <item x="22"/>
        <item x="15"/>
        <item x="8"/>
        <item x="9"/>
        <item x="12"/>
        <item x="14"/>
        <item x="7"/>
        <item x="6"/>
        <item x="5"/>
        <item x="3"/>
        <item x="1"/>
        <item x="0"/>
        <item x="2"/>
        <item t="default"/>
      </items>
    </pivotField>
    <pivotField showAll="0">
      <items count="160">
        <item x="20"/>
        <item x="76"/>
        <item x="123"/>
        <item x="117"/>
        <item x="151"/>
        <item x="95"/>
        <item x="158"/>
        <item x="135"/>
        <item x="143"/>
        <item x="132"/>
        <item x="153"/>
        <item x="126"/>
        <item x="139"/>
        <item x="144"/>
        <item x="148"/>
        <item x="157"/>
        <item x="149"/>
        <item x="146"/>
        <item x="155"/>
        <item x="88"/>
        <item x="147"/>
        <item x="72"/>
        <item x="90"/>
        <item x="136"/>
        <item x="150"/>
        <item x="130"/>
        <item x="141"/>
        <item x="17"/>
        <item x="140"/>
        <item x="66"/>
        <item x="106"/>
        <item x="152"/>
        <item x="128"/>
        <item x="86"/>
        <item x="82"/>
        <item x="87"/>
        <item x="134"/>
        <item x="156"/>
        <item x="71"/>
        <item x="138"/>
        <item x="129"/>
        <item x="137"/>
        <item x="142"/>
        <item x="92"/>
        <item x="110"/>
        <item x="107"/>
        <item x="100"/>
        <item x="69"/>
        <item x="121"/>
        <item x="80"/>
        <item x="133"/>
        <item x="114"/>
        <item x="70"/>
        <item x="91"/>
        <item x="122"/>
        <item x="154"/>
        <item x="13"/>
        <item x="125"/>
        <item x="103"/>
        <item x="131"/>
        <item x="104"/>
        <item x="74"/>
        <item x="109"/>
        <item x="112"/>
        <item x="97"/>
        <item x="124"/>
        <item x="50"/>
        <item x="101"/>
        <item x="99"/>
        <item x="94"/>
        <item x="77"/>
        <item x="145"/>
        <item x="119"/>
        <item x="111"/>
        <item x="120"/>
        <item x="105"/>
        <item x="51"/>
        <item x="118"/>
        <item x="68"/>
        <item x="85"/>
        <item x="93"/>
        <item x="98"/>
        <item x="127"/>
        <item x="58"/>
        <item x="102"/>
        <item x="115"/>
        <item x="55"/>
        <item x="83"/>
        <item x="64"/>
        <item x="48"/>
        <item x="116"/>
        <item x="57"/>
        <item x="79"/>
        <item x="78"/>
        <item x="62"/>
        <item x="56"/>
        <item x="108"/>
        <item x="60"/>
        <item x="54"/>
        <item x="96"/>
        <item x="49"/>
        <item x="52"/>
        <item x="59"/>
        <item x="31"/>
        <item x="61"/>
        <item x="113"/>
        <item x="53"/>
        <item x="73"/>
        <item x="45"/>
        <item x="65"/>
        <item x="27"/>
        <item x="75"/>
        <item x="47"/>
        <item x="67"/>
        <item x="42"/>
        <item x="84"/>
        <item x="37"/>
        <item x="63"/>
        <item x="40"/>
        <item x="81"/>
        <item x="89"/>
        <item x="39"/>
        <item x="41"/>
        <item x="24"/>
        <item x="35"/>
        <item x="36"/>
        <item x="43"/>
        <item x="29"/>
        <item x="44"/>
        <item x="25"/>
        <item x="46"/>
        <item x="3"/>
        <item x="34"/>
        <item x="38"/>
        <item x="12"/>
        <item x="26"/>
        <item x="15"/>
        <item x="28"/>
        <item x="23"/>
        <item x="18"/>
        <item x="14"/>
        <item x="32"/>
        <item x="21"/>
        <item x="33"/>
        <item x="19"/>
        <item x="10"/>
        <item x="16"/>
        <item x="11"/>
        <item x="9"/>
        <item x="30"/>
        <item x="8"/>
        <item x="7"/>
        <item x="22"/>
        <item x="5"/>
        <item x="6"/>
        <item x="1"/>
        <item x="0"/>
        <item x="2"/>
        <item x="4"/>
        <item t="default"/>
      </items>
    </pivotField>
    <pivotField showAll="0">
      <items count="170">
        <item x="29"/>
        <item x="56"/>
        <item x="168"/>
        <item x="46"/>
        <item x="107"/>
        <item x="167"/>
        <item x="147"/>
        <item x="141"/>
        <item x="115"/>
        <item x="165"/>
        <item x="123"/>
        <item x="151"/>
        <item x="166"/>
        <item x="163"/>
        <item x="159"/>
        <item x="149"/>
        <item x="101"/>
        <item x="117"/>
        <item x="138"/>
        <item x="90"/>
        <item x="161"/>
        <item x="86"/>
        <item x="95"/>
        <item x="148"/>
        <item x="108"/>
        <item x="75"/>
        <item x="150"/>
        <item x="89"/>
        <item x="32"/>
        <item x="164"/>
        <item x="88"/>
        <item x="92"/>
        <item x="136"/>
        <item x="98"/>
        <item x="116"/>
        <item x="154"/>
        <item x="160"/>
        <item x="128"/>
        <item x="145"/>
        <item x="130"/>
        <item x="103"/>
        <item x="155"/>
        <item x="114"/>
        <item x="16"/>
        <item x="142"/>
        <item x="144"/>
        <item x="156"/>
        <item x="72"/>
        <item x="134"/>
        <item x="140"/>
        <item x="106"/>
        <item x="8"/>
        <item x="135"/>
        <item x="157"/>
        <item x="129"/>
        <item x="80"/>
        <item x="146"/>
        <item x="120"/>
        <item x="109"/>
        <item x="143"/>
        <item x="60"/>
        <item x="66"/>
        <item x="139"/>
        <item x="126"/>
        <item x="158"/>
        <item x="102"/>
        <item x="162"/>
        <item x="111"/>
        <item x="84"/>
        <item x="62"/>
        <item x="153"/>
        <item x="91"/>
        <item x="133"/>
        <item x="124"/>
        <item x="110"/>
        <item x="105"/>
        <item x="112"/>
        <item x="137"/>
        <item x="47"/>
        <item x="121"/>
        <item x="82"/>
        <item x="152"/>
        <item x="36"/>
        <item x="79"/>
        <item x="100"/>
        <item x="97"/>
        <item x="15"/>
        <item x="94"/>
        <item x="93"/>
        <item x="58"/>
        <item x="104"/>
        <item x="65"/>
        <item x="67"/>
        <item x="70"/>
        <item x="48"/>
        <item x="83"/>
        <item x="78"/>
        <item x="122"/>
        <item x="125"/>
        <item x="113"/>
        <item x="54"/>
        <item x="119"/>
        <item x="38"/>
        <item x="127"/>
        <item x="74"/>
        <item x="132"/>
        <item x="71"/>
        <item x="49"/>
        <item x="96"/>
        <item x="85"/>
        <item x="45"/>
        <item x="43"/>
        <item x="131"/>
        <item x="57"/>
        <item x="59"/>
        <item x="81"/>
        <item x="64"/>
        <item x="68"/>
        <item x="55"/>
        <item x="44"/>
        <item x="51"/>
        <item x="41"/>
        <item x="87"/>
        <item x="53"/>
        <item x="63"/>
        <item x="40"/>
        <item x="28"/>
        <item x="26"/>
        <item x="76"/>
        <item x="52"/>
        <item x="118"/>
        <item x="34"/>
        <item x="99"/>
        <item x="42"/>
        <item x="73"/>
        <item x="77"/>
        <item x="61"/>
        <item x="37"/>
        <item x="35"/>
        <item x="39"/>
        <item x="33"/>
        <item x="27"/>
        <item x="21"/>
        <item x="50"/>
        <item x="23"/>
        <item x="69"/>
        <item x="13"/>
        <item x="14"/>
        <item x="17"/>
        <item x="25"/>
        <item x="24"/>
        <item x="20"/>
        <item x="30"/>
        <item x="12"/>
        <item x="19"/>
        <item x="11"/>
        <item x="10"/>
        <item x="22"/>
        <item x="9"/>
        <item x="18"/>
        <item x="31"/>
        <item x="4"/>
        <item x="7"/>
        <item x="5"/>
        <item x="6"/>
        <item x="0"/>
        <item x="1"/>
        <item x="2"/>
        <item x="3"/>
        <item t="default"/>
      </items>
    </pivotField>
    <pivotField showAll="0">
      <items count="172">
        <item x="2"/>
        <item x="170"/>
        <item x="3"/>
        <item x="129"/>
        <item x="88"/>
        <item x="24"/>
        <item x="77"/>
        <item x="160"/>
        <item x="119"/>
        <item x="162"/>
        <item x="117"/>
        <item x="168"/>
        <item x="157"/>
        <item x="166"/>
        <item x="158"/>
        <item x="34"/>
        <item x="75"/>
        <item x="115"/>
        <item x="167"/>
        <item x="98"/>
        <item x="91"/>
        <item x="94"/>
        <item x="156"/>
        <item x="132"/>
        <item x="143"/>
        <item x="84"/>
        <item x="80"/>
        <item x="19"/>
        <item x="165"/>
        <item x="89"/>
        <item x="109"/>
        <item x="149"/>
        <item x="146"/>
        <item x="110"/>
        <item x="121"/>
        <item x="153"/>
        <item x="154"/>
        <item x="145"/>
        <item x="159"/>
        <item x="128"/>
        <item x="114"/>
        <item x="164"/>
        <item x="137"/>
        <item x="148"/>
        <item x="18"/>
        <item x="163"/>
        <item x="116"/>
        <item x="74"/>
        <item x="122"/>
        <item x="131"/>
        <item x="87"/>
        <item x="130"/>
        <item x="161"/>
        <item x="113"/>
        <item x="120"/>
        <item x="108"/>
        <item x="125"/>
        <item x="138"/>
        <item x="151"/>
        <item x="147"/>
        <item x="103"/>
        <item x="134"/>
        <item x="93"/>
        <item x="69"/>
        <item x="150"/>
        <item x="54"/>
        <item x="76"/>
        <item x="152"/>
        <item x="72"/>
        <item x="100"/>
        <item x="155"/>
        <item x="32"/>
        <item x="107"/>
        <item x="126"/>
        <item x="105"/>
        <item x="133"/>
        <item x="63"/>
        <item x="81"/>
        <item x="95"/>
        <item x="135"/>
        <item x="142"/>
        <item x="86"/>
        <item x="64"/>
        <item x="60"/>
        <item x="118"/>
        <item x="140"/>
        <item x="141"/>
        <item x="83"/>
        <item x="82"/>
        <item x="112"/>
        <item x="96"/>
        <item x="144"/>
        <item x="101"/>
        <item x="73"/>
        <item x="56"/>
        <item x="104"/>
        <item x="68"/>
        <item x="65"/>
        <item x="127"/>
        <item x="123"/>
        <item x="40"/>
        <item x="102"/>
        <item x="106"/>
        <item x="85"/>
        <item x="57"/>
        <item x="44"/>
        <item x="78"/>
        <item x="20"/>
        <item x="92"/>
        <item x="139"/>
        <item x="70"/>
        <item x="52"/>
        <item x="71"/>
        <item x="49"/>
        <item x="136"/>
        <item x="47"/>
        <item x="46"/>
        <item x="43"/>
        <item x="59"/>
        <item x="67"/>
        <item x="124"/>
        <item x="50"/>
        <item x="42"/>
        <item x="97"/>
        <item x="48"/>
        <item x="55"/>
        <item x="53"/>
        <item x="66"/>
        <item x="39"/>
        <item x="111"/>
        <item x="29"/>
        <item x="62"/>
        <item x="30"/>
        <item x="36"/>
        <item x="45"/>
        <item x="99"/>
        <item x="61"/>
        <item x="26"/>
        <item x="37"/>
        <item x="35"/>
        <item x="21"/>
        <item x="90"/>
        <item x="169"/>
        <item x="28"/>
        <item x="58"/>
        <item x="79"/>
        <item x="16"/>
        <item x="51"/>
        <item x="27"/>
        <item x="25"/>
        <item x="11"/>
        <item x="38"/>
        <item x="41"/>
        <item x="13"/>
        <item x="22"/>
        <item x="15"/>
        <item x="14"/>
        <item x="23"/>
        <item x="4"/>
        <item x="12"/>
        <item x="31"/>
        <item x="1"/>
        <item x="7"/>
        <item x="8"/>
        <item x="6"/>
        <item x="10"/>
        <item x="5"/>
        <item x="9"/>
        <item x="33"/>
        <item x="0"/>
        <item x="17"/>
        <item t="default"/>
      </items>
    </pivotField>
    <pivotField showAll="0">
      <items count="156">
        <item x="33"/>
        <item x="1"/>
        <item x="153"/>
        <item x="154"/>
        <item x="149"/>
        <item x="99"/>
        <item x="150"/>
        <item x="113"/>
        <item x="107"/>
        <item x="118"/>
        <item x="87"/>
        <item x="91"/>
        <item x="77"/>
        <item x="117"/>
        <item x="75"/>
        <item x="95"/>
        <item x="131"/>
        <item x="140"/>
        <item x="144"/>
        <item x="132"/>
        <item x="152"/>
        <item x="148"/>
        <item x="147"/>
        <item x="146"/>
        <item x="89"/>
        <item x="70"/>
        <item x="142"/>
        <item x="110"/>
        <item x="137"/>
        <item x="151"/>
        <item x="126"/>
        <item x="104"/>
        <item x="143"/>
        <item x="141"/>
        <item x="134"/>
        <item x="135"/>
        <item x="76"/>
        <item x="121"/>
        <item x="128"/>
        <item x="127"/>
        <item x="115"/>
        <item x="84"/>
        <item x="116"/>
        <item x="103"/>
        <item x="136"/>
        <item x="114"/>
        <item x="109"/>
        <item x="133"/>
        <item x="119"/>
        <item x="72"/>
        <item x="82"/>
        <item x="90"/>
        <item x="122"/>
        <item x="108"/>
        <item x="92"/>
        <item x="74"/>
        <item x="111"/>
        <item x="52"/>
        <item x="129"/>
        <item x="125"/>
        <item x="145"/>
        <item x="139"/>
        <item x="53"/>
        <item x="112"/>
        <item x="86"/>
        <item x="96"/>
        <item x="124"/>
        <item x="94"/>
        <item x="55"/>
        <item x="98"/>
        <item x="50"/>
        <item x="101"/>
        <item x="100"/>
        <item x="97"/>
        <item x="61"/>
        <item x="93"/>
        <item x="105"/>
        <item x="138"/>
        <item x="71"/>
        <item x="81"/>
        <item x="120"/>
        <item x="123"/>
        <item x="79"/>
        <item x="106"/>
        <item x="54"/>
        <item x="65"/>
        <item x="80"/>
        <item x="68"/>
        <item x="102"/>
        <item x="85"/>
        <item x="45"/>
        <item x="49"/>
        <item x="66"/>
        <item x="69"/>
        <item x="31"/>
        <item x="64"/>
        <item x="56"/>
        <item x="130"/>
        <item x="46"/>
        <item x="62"/>
        <item x="59"/>
        <item x="44"/>
        <item x="18"/>
        <item x="58"/>
        <item x="22"/>
        <item x="41"/>
        <item x="83"/>
        <item x="67"/>
        <item x="39"/>
        <item x="21"/>
        <item x="88"/>
        <item x="48"/>
        <item x="23"/>
        <item x="24"/>
        <item x="78"/>
        <item x="38"/>
        <item x="32"/>
        <item x="30"/>
        <item x="73"/>
        <item x="47"/>
        <item x="42"/>
        <item x="36"/>
        <item x="60"/>
        <item x="57"/>
        <item x="43"/>
        <item x="63"/>
        <item x="34"/>
        <item x="35"/>
        <item x="40"/>
        <item x="27"/>
        <item x="29"/>
        <item x="28"/>
        <item x="51"/>
        <item x="12"/>
        <item x="26"/>
        <item x="25"/>
        <item x="16"/>
        <item x="13"/>
        <item x="37"/>
        <item x="6"/>
        <item x="11"/>
        <item x="15"/>
        <item x="20"/>
        <item x="8"/>
        <item x="9"/>
        <item x="7"/>
        <item x="14"/>
        <item x="19"/>
        <item x="5"/>
        <item x="2"/>
        <item x="10"/>
        <item x="3"/>
        <item x="0"/>
        <item x="4"/>
        <item x="17"/>
        <item t="default"/>
      </items>
    </pivotField>
    <pivotField showAll="0">
      <items count="80">
        <item x="0"/>
        <item x="25"/>
        <item x="78"/>
        <item x="37"/>
        <item x="65"/>
        <item x="74"/>
        <item x="46"/>
        <item x="73"/>
        <item x="68"/>
        <item x="63"/>
        <item x="77"/>
        <item x="26"/>
        <item x="55"/>
        <item x="8"/>
        <item x="39"/>
        <item x="72"/>
        <item x="52"/>
        <item x="47"/>
        <item x="64"/>
        <item x="60"/>
        <item x="45"/>
        <item x="19"/>
        <item x="70"/>
        <item x="58"/>
        <item x="75"/>
        <item x="71"/>
        <item x="54"/>
        <item x="66"/>
        <item x="57"/>
        <item x="40"/>
        <item x="42"/>
        <item x="51"/>
        <item x="49"/>
        <item x="48"/>
        <item x="76"/>
        <item x="50"/>
        <item x="69"/>
        <item x="36"/>
        <item x="27"/>
        <item x="59"/>
        <item x="35"/>
        <item x="62"/>
        <item x="41"/>
        <item x="33"/>
        <item x="53"/>
        <item x="29"/>
        <item x="30"/>
        <item x="61"/>
        <item x="67"/>
        <item x="38"/>
        <item x="20"/>
        <item x="44"/>
        <item x="28"/>
        <item x="16"/>
        <item x="24"/>
        <item x="43"/>
        <item x="21"/>
        <item x="17"/>
        <item x="34"/>
        <item x="11"/>
        <item x="56"/>
        <item x="22"/>
        <item x="23"/>
        <item x="31"/>
        <item x="15"/>
        <item x="14"/>
        <item x="13"/>
        <item x="9"/>
        <item x="18"/>
        <item x="12"/>
        <item x="7"/>
        <item x="32"/>
        <item x="10"/>
        <item x="6"/>
        <item x="4"/>
        <item x="5"/>
        <item x="2"/>
        <item x="3"/>
        <item x="1"/>
        <item t="default"/>
      </items>
    </pivotField>
    <pivotField dataField="1" showAll="0">
      <items count="134">
        <item x="132"/>
        <item x="23"/>
        <item x="130"/>
        <item x="110"/>
        <item x="109"/>
        <item x="81"/>
        <item x="127"/>
        <item x="116"/>
        <item x="122"/>
        <item x="93"/>
        <item x="49"/>
        <item x="125"/>
        <item x="131"/>
        <item x="75"/>
        <item x="129"/>
        <item x="126"/>
        <item x="95"/>
        <item x="128"/>
        <item x="82"/>
        <item x="60"/>
        <item x="52"/>
        <item x="121"/>
        <item x="114"/>
        <item x="102"/>
        <item x="124"/>
        <item x="71"/>
        <item x="58"/>
        <item x="120"/>
        <item x="101"/>
        <item x="56"/>
        <item x="44"/>
        <item x="118"/>
        <item x="115"/>
        <item x="119"/>
        <item x="108"/>
        <item x="106"/>
        <item x="123"/>
        <item x="97"/>
        <item x="94"/>
        <item x="112"/>
        <item x="105"/>
        <item x="117"/>
        <item x="70"/>
        <item x="111"/>
        <item x="113"/>
        <item x="74"/>
        <item x="103"/>
        <item x="104"/>
        <item x="62"/>
        <item x="89"/>
        <item x="107"/>
        <item x="59"/>
        <item x="83"/>
        <item x="91"/>
        <item x="80"/>
        <item x="76"/>
        <item x="32"/>
        <item x="85"/>
        <item x="98"/>
        <item x="68"/>
        <item x="40"/>
        <item x="96"/>
        <item x="90"/>
        <item x="55"/>
        <item x="77"/>
        <item x="87"/>
        <item x="99"/>
        <item x="88"/>
        <item x="29"/>
        <item x="100"/>
        <item x="63"/>
        <item x="21"/>
        <item x="84"/>
        <item x="46"/>
        <item x="61"/>
        <item x="69"/>
        <item x="66"/>
        <item x="86"/>
        <item x="79"/>
        <item x="47"/>
        <item x="12"/>
        <item x="48"/>
        <item x="33"/>
        <item x="57"/>
        <item x="64"/>
        <item x="45"/>
        <item x="31"/>
        <item x="34"/>
        <item x="36"/>
        <item x="41"/>
        <item x="67"/>
        <item x="72"/>
        <item x="35"/>
        <item x="78"/>
        <item x="50"/>
        <item x="73"/>
        <item x="92"/>
        <item x="42"/>
        <item x="51"/>
        <item x="43"/>
        <item x="24"/>
        <item x="53"/>
        <item x="22"/>
        <item x="38"/>
        <item x="19"/>
        <item x="39"/>
        <item x="54"/>
        <item x="65"/>
        <item x="28"/>
        <item x="30"/>
        <item x="25"/>
        <item x="13"/>
        <item x="20"/>
        <item x="16"/>
        <item x="14"/>
        <item x="37"/>
        <item x="26"/>
        <item x="27"/>
        <item x="7"/>
        <item x="11"/>
        <item x="3"/>
        <item x="15"/>
        <item x="18"/>
        <item x="6"/>
        <item x="10"/>
        <item x="8"/>
        <item x="5"/>
        <item x="9"/>
        <item x="1"/>
        <item x="2"/>
        <item x="4"/>
        <item x="0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189">
        <item x="23"/>
        <item x="186"/>
        <item x="187"/>
        <item x="9"/>
        <item x="102"/>
        <item x="4"/>
        <item x="10"/>
        <item x="67"/>
        <item x="18"/>
        <item x="2"/>
        <item x="0"/>
        <item x="150"/>
        <item x="15"/>
        <item x="162"/>
        <item x="54"/>
        <item x="37"/>
        <item x="8"/>
        <item x="84"/>
        <item x="159"/>
        <item x="175"/>
        <item x="156"/>
        <item x="111"/>
        <item x="77"/>
        <item x="27"/>
        <item x="53"/>
        <item x="184"/>
        <item x="165"/>
        <item x="110"/>
        <item x="183"/>
        <item x="1"/>
        <item x="134"/>
        <item x="76"/>
        <item x="94"/>
        <item x="100"/>
        <item x="131"/>
        <item x="163"/>
        <item x="5"/>
        <item x="176"/>
        <item x="97"/>
        <item x="157"/>
        <item x="129"/>
        <item x="26"/>
        <item x="164"/>
        <item x="93"/>
        <item x="39"/>
        <item x="109"/>
        <item x="70"/>
        <item x="145"/>
        <item x="155"/>
        <item x="125"/>
        <item x="173"/>
        <item x="123"/>
        <item x="177"/>
        <item x="72"/>
        <item x="38"/>
        <item x="106"/>
        <item x="91"/>
        <item x="96"/>
        <item x="90"/>
        <item x="152"/>
        <item x="142"/>
        <item x="51"/>
        <item x="117"/>
        <item x="160"/>
        <item x="149"/>
        <item x="43"/>
        <item x="124"/>
        <item x="135"/>
        <item x="180"/>
        <item x="122"/>
        <item x="147"/>
        <item x="85"/>
        <item x="139"/>
        <item x="112"/>
        <item x="108"/>
        <item x="144"/>
        <item x="30"/>
        <item x="99"/>
        <item x="11"/>
        <item x="95"/>
        <item x="113"/>
        <item x="132"/>
        <item x="63"/>
        <item x="28"/>
        <item x="146"/>
        <item x="20"/>
        <item x="81"/>
        <item x="143"/>
        <item x="25"/>
        <item x="153"/>
        <item x="119"/>
        <item x="66"/>
        <item x="151"/>
        <item x="140"/>
        <item x="133"/>
        <item x="79"/>
        <item x="16"/>
        <item x="118"/>
        <item x="50"/>
        <item x="6"/>
        <item x="73"/>
        <item x="42"/>
        <item x="69"/>
        <item x="14"/>
        <item x="138"/>
        <item x="101"/>
        <item x="83"/>
        <item x="57"/>
        <item x="68"/>
        <item x="114"/>
        <item x="154"/>
        <item x="92"/>
        <item x="120"/>
        <item x="171"/>
        <item x="166"/>
        <item x="61"/>
        <item x="121"/>
        <item x="127"/>
        <item x="126"/>
        <item x="98"/>
        <item x="64"/>
        <item x="13"/>
        <item x="178"/>
        <item x="41"/>
        <item x="136"/>
        <item x="19"/>
        <item x="22"/>
        <item x="45"/>
        <item x="179"/>
        <item x="89"/>
        <item x="86"/>
        <item x="48"/>
        <item x="182"/>
        <item x="170"/>
        <item x="71"/>
        <item x="161"/>
        <item x="107"/>
        <item x="104"/>
        <item x="169"/>
        <item x="82"/>
        <item x="47"/>
        <item x="174"/>
        <item x="137"/>
        <item x="24"/>
        <item x="115"/>
        <item x="35"/>
        <item x="46"/>
        <item x="36"/>
        <item x="55"/>
        <item x="7"/>
        <item x="34"/>
        <item x="181"/>
        <item x="116"/>
        <item x="78"/>
        <item x="33"/>
        <item x="31"/>
        <item x="59"/>
        <item x="62"/>
        <item x="74"/>
        <item x="3"/>
        <item x="158"/>
        <item x="148"/>
        <item x="40"/>
        <item x="29"/>
        <item x="105"/>
        <item x="75"/>
        <item x="172"/>
        <item x="21"/>
        <item x="141"/>
        <item x="168"/>
        <item x="167"/>
        <item x="88"/>
        <item x="58"/>
        <item x="56"/>
        <item x="32"/>
        <item x="12"/>
        <item x="44"/>
        <item x="65"/>
        <item x="103"/>
        <item x="60"/>
        <item x="80"/>
        <item x="52"/>
        <item x="128"/>
        <item x="185"/>
        <item x="130"/>
        <item x="49"/>
        <item x="87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79">
        <item x="177"/>
        <item x="176"/>
        <item x="175"/>
        <item x="172"/>
        <item x="111"/>
        <item x="155"/>
        <item x="135"/>
        <item x="115"/>
        <item x="166"/>
        <item x="51"/>
        <item x="173"/>
        <item x="157"/>
        <item x="91"/>
        <item x="76"/>
        <item x="96"/>
        <item x="170"/>
        <item x="169"/>
        <item x="168"/>
        <item x="149"/>
        <item x="145"/>
        <item x="151"/>
        <item x="65"/>
        <item x="143"/>
        <item x="136"/>
        <item x="163"/>
        <item x="159"/>
        <item x="137"/>
        <item x="75"/>
        <item x="167"/>
        <item x="174"/>
        <item x="133"/>
        <item x="11"/>
        <item x="156"/>
        <item x="55"/>
        <item x="154"/>
        <item x="152"/>
        <item x="124"/>
        <item x="132"/>
        <item x="146"/>
        <item x="148"/>
        <item x="92"/>
        <item x="139"/>
        <item x="147"/>
        <item x="158"/>
        <item x="150"/>
        <item x="122"/>
        <item x="165"/>
        <item x="118"/>
        <item x="127"/>
        <item x="125"/>
        <item x="90"/>
        <item x="164"/>
        <item x="78"/>
        <item x="161"/>
        <item x="153"/>
        <item x="102"/>
        <item x="105"/>
        <item x="93"/>
        <item x="160"/>
        <item x="77"/>
        <item x="121"/>
        <item x="126"/>
        <item x="82"/>
        <item x="103"/>
        <item x="99"/>
        <item x="128"/>
        <item x="104"/>
        <item x="95"/>
        <item x="50"/>
        <item x="112"/>
        <item x="171"/>
        <item x="129"/>
        <item x="134"/>
        <item x="41"/>
        <item x="131"/>
        <item x="140"/>
        <item x="100"/>
        <item x="162"/>
        <item x="109"/>
        <item x="94"/>
        <item x="114"/>
        <item x="79"/>
        <item x="85"/>
        <item x="17"/>
        <item x="117"/>
        <item x="113"/>
        <item x="142"/>
        <item x="73"/>
        <item x="69"/>
        <item x="64"/>
        <item x="61"/>
        <item x="101"/>
        <item x="130"/>
        <item x="107"/>
        <item x="72"/>
        <item x="38"/>
        <item x="60"/>
        <item x="120"/>
        <item x="68"/>
        <item x="144"/>
        <item x="52"/>
        <item x="123"/>
        <item x="106"/>
        <item x="81"/>
        <item x="43"/>
        <item x="138"/>
        <item x="86"/>
        <item x="119"/>
        <item x="40"/>
        <item x="71"/>
        <item x="32"/>
        <item x="116"/>
        <item x="67"/>
        <item x="29"/>
        <item x="108"/>
        <item x="83"/>
        <item x="97"/>
        <item x="58"/>
        <item x="70"/>
        <item x="141"/>
        <item x="89"/>
        <item x="48"/>
        <item x="74"/>
        <item x="45"/>
        <item x="18"/>
        <item x="14"/>
        <item x="59"/>
        <item x="98"/>
        <item x="63"/>
        <item x="53"/>
        <item x="42"/>
        <item x="28"/>
        <item x="54"/>
        <item x="66"/>
        <item x="84"/>
        <item x="24"/>
        <item x="30"/>
        <item x="46"/>
        <item x="39"/>
        <item x="88"/>
        <item x="37"/>
        <item x="36"/>
        <item x="110"/>
        <item x="87"/>
        <item x="57"/>
        <item x="62"/>
        <item x="15"/>
        <item x="23"/>
        <item x="47"/>
        <item x="49"/>
        <item x="34"/>
        <item x="80"/>
        <item x="56"/>
        <item x="8"/>
        <item x="22"/>
        <item x="44"/>
        <item x="26"/>
        <item x="12"/>
        <item x="16"/>
        <item x="7"/>
        <item x="25"/>
        <item x="19"/>
        <item x="33"/>
        <item x="13"/>
        <item x="3"/>
        <item x="35"/>
        <item x="20"/>
        <item x="27"/>
        <item x="10"/>
        <item x="6"/>
        <item x="21"/>
        <item x="31"/>
        <item x="5"/>
        <item x="9"/>
        <item x="4"/>
        <item x="2"/>
        <item x="0"/>
        <item x="1"/>
        <item t="default"/>
      </items>
    </pivotField>
    <pivotField dataField="1" showAll="0">
      <items count="116">
        <item x="43"/>
        <item x="46"/>
        <item x="102"/>
        <item x="63"/>
        <item x="57"/>
        <item x="60"/>
        <item x="64"/>
        <item x="100"/>
        <item x="105"/>
        <item x="108"/>
        <item x="78"/>
        <item x="58"/>
        <item x="74"/>
        <item x="87"/>
        <item x="94"/>
        <item x="76"/>
        <item x="113"/>
        <item x="9"/>
        <item x="85"/>
        <item x="101"/>
        <item x="93"/>
        <item x="114"/>
        <item x="38"/>
        <item x="42"/>
        <item x="91"/>
        <item x="66"/>
        <item x="54"/>
        <item x="95"/>
        <item x="88"/>
        <item x="84"/>
        <item x="34"/>
        <item x="68"/>
        <item x="97"/>
        <item x="89"/>
        <item x="103"/>
        <item x="36"/>
        <item x="39"/>
        <item x="112"/>
        <item x="109"/>
        <item x="107"/>
        <item x="70"/>
        <item x="50"/>
        <item x="96"/>
        <item x="61"/>
        <item x="15"/>
        <item x="71"/>
        <item x="79"/>
        <item x="69"/>
        <item x="75"/>
        <item x="44"/>
        <item x="110"/>
        <item x="27"/>
        <item x="80"/>
        <item x="77"/>
        <item x="106"/>
        <item x="99"/>
        <item x="65"/>
        <item x="21"/>
        <item x="56"/>
        <item x="82"/>
        <item x="90"/>
        <item x="25"/>
        <item x="111"/>
        <item x="72"/>
        <item x="53"/>
        <item x="35"/>
        <item x="59"/>
        <item x="62"/>
        <item x="81"/>
        <item x="16"/>
        <item x="104"/>
        <item x="51"/>
        <item x="37"/>
        <item x="49"/>
        <item x="12"/>
        <item x="98"/>
        <item x="45"/>
        <item x="92"/>
        <item x="13"/>
        <item x="83"/>
        <item x="52"/>
        <item x="20"/>
        <item x="26"/>
        <item x="73"/>
        <item x="40"/>
        <item x="23"/>
        <item x="17"/>
        <item x="55"/>
        <item x="33"/>
        <item x="10"/>
        <item x="11"/>
        <item x="41"/>
        <item x="22"/>
        <item x="48"/>
        <item x="86"/>
        <item x="19"/>
        <item x="6"/>
        <item x="7"/>
        <item x="30"/>
        <item x="14"/>
        <item x="29"/>
        <item x="32"/>
        <item x="31"/>
        <item x="28"/>
        <item x="5"/>
        <item x="3"/>
        <item x="24"/>
        <item x="2"/>
        <item x="47"/>
        <item x="67"/>
        <item x="8"/>
        <item x="18"/>
        <item x="4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30"/>
  </rowFields>
  <rowItems count="194">
    <i>
      <x/>
    </i>
    <i r="1">
      <x v="17"/>
    </i>
    <i r="1">
      <x v="18"/>
    </i>
    <i r="1">
      <x v="25"/>
    </i>
    <i r="1">
      <x v="32"/>
    </i>
    <i r="1">
      <x v="40"/>
    </i>
    <i r="1">
      <x v="45"/>
    </i>
    <i r="1">
      <x v="48"/>
    </i>
    <i r="1">
      <x v="57"/>
    </i>
    <i r="1">
      <x v="60"/>
    </i>
    <i r="1">
      <x v="61"/>
    </i>
    <i r="1">
      <x v="66"/>
    </i>
    <i r="1">
      <x v="67"/>
    </i>
    <i r="1">
      <x v="75"/>
    </i>
    <i r="1">
      <x v="79"/>
    </i>
    <i r="1">
      <x v="81"/>
    </i>
    <i r="1">
      <x v="87"/>
    </i>
    <i r="1">
      <x v="92"/>
    </i>
    <i r="1">
      <x v="97"/>
    </i>
    <i r="1">
      <x v="105"/>
    </i>
    <i r="1">
      <x v="108"/>
    </i>
    <i r="1">
      <x v="109"/>
    </i>
    <i r="1">
      <x v="110"/>
    </i>
    <i r="1">
      <x v="111"/>
    </i>
    <i r="1">
      <x v="113"/>
    </i>
    <i r="1">
      <x v="114"/>
    </i>
    <i r="1">
      <x v="120"/>
    </i>
    <i r="1">
      <x v="122"/>
    </i>
    <i r="1">
      <x v="126"/>
    </i>
    <i r="1">
      <x v="127"/>
    </i>
    <i r="1">
      <x v="130"/>
    </i>
    <i r="1">
      <x v="133"/>
    </i>
    <i r="1">
      <x v="137"/>
    </i>
    <i r="1">
      <x v="140"/>
    </i>
    <i r="1">
      <x v="142"/>
    </i>
    <i r="1">
      <x v="144"/>
    </i>
    <i r="1">
      <x v="145"/>
    </i>
    <i r="1">
      <x v="150"/>
    </i>
    <i r="1">
      <x v="151"/>
    </i>
    <i r="1">
      <x v="152"/>
    </i>
    <i r="1">
      <x v="184"/>
    </i>
    <i r="1">
      <x v="187"/>
    </i>
    <i>
      <x v="1"/>
    </i>
    <i r="1">
      <x v="2"/>
    </i>
    <i r="1">
      <x v="10"/>
    </i>
    <i r="1">
      <x v="14"/>
    </i>
    <i r="1">
      <x v="15"/>
    </i>
    <i r="1">
      <x v="16"/>
    </i>
    <i r="1">
      <x v="22"/>
    </i>
    <i r="1">
      <x v="28"/>
    </i>
    <i r="1">
      <x v="30"/>
    </i>
    <i r="1">
      <x v="33"/>
    </i>
    <i r="1">
      <x v="34"/>
    </i>
    <i r="1">
      <x v="37"/>
    </i>
    <i r="1">
      <x v="38"/>
    </i>
    <i r="1">
      <x v="39"/>
    </i>
    <i r="1">
      <x v="42"/>
    </i>
    <i r="1">
      <x v="43"/>
    </i>
    <i r="1">
      <x v="47"/>
    </i>
    <i r="1">
      <x v="49"/>
    </i>
    <i r="1">
      <x v="51"/>
    </i>
    <i r="1">
      <x v="53"/>
    </i>
    <i r="1">
      <x v="56"/>
    </i>
    <i r="1">
      <x v="58"/>
    </i>
    <i r="1">
      <x v="69"/>
    </i>
    <i r="1">
      <x v="72"/>
    </i>
    <i r="1">
      <x v="73"/>
    </i>
    <i r="1">
      <x v="76"/>
    </i>
    <i r="1">
      <x v="78"/>
    </i>
    <i r="1">
      <x v="84"/>
    </i>
    <i r="1">
      <x v="88"/>
    </i>
    <i r="1">
      <x v="89"/>
    </i>
    <i r="1">
      <x v="93"/>
    </i>
    <i r="1">
      <x v="96"/>
    </i>
    <i r="1">
      <x v="104"/>
    </i>
    <i r="1">
      <x v="112"/>
    </i>
    <i r="1">
      <x v="117"/>
    </i>
    <i r="1">
      <x v="118"/>
    </i>
    <i r="1">
      <x v="124"/>
    </i>
    <i r="1">
      <x v="129"/>
    </i>
    <i r="1">
      <x v="135"/>
    </i>
    <i r="1">
      <x v="139"/>
    </i>
    <i r="1">
      <x v="147"/>
    </i>
    <i r="1">
      <x v="153"/>
    </i>
    <i r="1">
      <x v="155"/>
    </i>
    <i r="1">
      <x v="160"/>
    </i>
    <i r="1">
      <x v="163"/>
    </i>
    <i r="1">
      <x v="164"/>
    </i>
    <i r="1">
      <x v="165"/>
    </i>
    <i r="1">
      <x v="166"/>
    </i>
    <i r="1">
      <x v="168"/>
    </i>
    <i r="1">
      <x v="171"/>
    </i>
    <i r="1">
      <x v="175"/>
    </i>
    <i r="1">
      <x v="178"/>
    </i>
    <i r="1">
      <x v="181"/>
    </i>
    <i r="1">
      <x v="182"/>
    </i>
    <i r="1">
      <x v="187"/>
    </i>
    <i>
      <x v="2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9"/>
    </i>
    <i r="1">
      <x v="20"/>
    </i>
    <i r="1">
      <x v="21"/>
    </i>
    <i r="1">
      <x v="23"/>
    </i>
    <i r="1">
      <x v="24"/>
    </i>
    <i r="1">
      <x v="26"/>
    </i>
    <i r="1">
      <x v="27"/>
    </i>
    <i r="1">
      <x v="29"/>
    </i>
    <i r="1">
      <x v="31"/>
    </i>
    <i r="1">
      <x v="35"/>
    </i>
    <i r="1">
      <x v="36"/>
    </i>
    <i r="1">
      <x v="41"/>
    </i>
    <i r="1">
      <x v="44"/>
    </i>
    <i r="1">
      <x v="46"/>
    </i>
    <i r="1">
      <x v="50"/>
    </i>
    <i r="1">
      <x v="52"/>
    </i>
    <i r="1">
      <x v="54"/>
    </i>
    <i r="1">
      <x v="55"/>
    </i>
    <i r="1">
      <x v="59"/>
    </i>
    <i r="1">
      <x v="62"/>
    </i>
    <i r="1">
      <x v="63"/>
    </i>
    <i r="1">
      <x v="64"/>
    </i>
    <i r="1">
      <x v="65"/>
    </i>
    <i r="1">
      <x v="68"/>
    </i>
    <i r="1">
      <x v="70"/>
    </i>
    <i r="1">
      <x v="71"/>
    </i>
    <i r="1">
      <x v="74"/>
    </i>
    <i r="1">
      <x v="77"/>
    </i>
    <i r="1">
      <x v="80"/>
    </i>
    <i r="1">
      <x v="82"/>
    </i>
    <i r="1">
      <x v="83"/>
    </i>
    <i r="1">
      <x v="85"/>
    </i>
    <i r="1">
      <x v="86"/>
    </i>
    <i r="1">
      <x v="90"/>
    </i>
    <i r="1">
      <x v="91"/>
    </i>
    <i r="1">
      <x v="94"/>
    </i>
    <i r="1">
      <x v="95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6"/>
    </i>
    <i r="1">
      <x v="107"/>
    </i>
    <i r="1">
      <x v="115"/>
    </i>
    <i r="1">
      <x v="116"/>
    </i>
    <i r="1">
      <x v="119"/>
    </i>
    <i r="1">
      <x v="121"/>
    </i>
    <i r="1">
      <x v="123"/>
    </i>
    <i r="1">
      <x v="125"/>
    </i>
    <i r="1">
      <x v="128"/>
    </i>
    <i r="1">
      <x v="131"/>
    </i>
    <i r="1">
      <x v="132"/>
    </i>
    <i r="1">
      <x v="134"/>
    </i>
    <i r="1">
      <x v="136"/>
    </i>
    <i r="1">
      <x v="138"/>
    </i>
    <i r="1">
      <x v="141"/>
    </i>
    <i r="1">
      <x v="143"/>
    </i>
    <i r="1">
      <x v="146"/>
    </i>
    <i r="1">
      <x v="148"/>
    </i>
    <i r="1">
      <x v="149"/>
    </i>
    <i r="1">
      <x v="154"/>
    </i>
    <i r="1">
      <x v="156"/>
    </i>
    <i r="1">
      <x v="157"/>
    </i>
    <i r="1">
      <x v="158"/>
    </i>
    <i r="1">
      <x v="159"/>
    </i>
    <i r="1">
      <x v="161"/>
    </i>
    <i r="1">
      <x v="162"/>
    </i>
    <i r="1">
      <x v="167"/>
    </i>
    <i r="1">
      <x v="169"/>
    </i>
    <i r="1">
      <x v="170"/>
    </i>
    <i r="1">
      <x v="172"/>
    </i>
    <i r="1">
      <x v="173"/>
    </i>
    <i r="1">
      <x v="174"/>
    </i>
    <i r="1">
      <x v="176"/>
    </i>
    <i r="1">
      <x v="177"/>
    </i>
    <i r="1">
      <x v="179"/>
    </i>
    <i r="1">
      <x v="180"/>
    </i>
    <i r="1">
      <x v="183"/>
    </i>
    <i r="1">
      <x v="185"/>
    </i>
    <i r="1">
      <x v="186"/>
    </i>
    <i r="1">
      <x v="187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dataFields count="27">
    <dataField name="Suma de AGO4" fld="47" baseField="0" baseItem="0"/>
    <dataField name="Suma de JUL4" fld="46" baseField="0" baseItem="0"/>
    <dataField name="Suma de JUN4" fld="45" baseField="0" baseItem="0"/>
    <dataField name="Suma de MAY4" fld="44" baseField="0" baseItem="0"/>
    <dataField name="Suma de ABR4" fld="43" baseField="0" baseItem="0"/>
    <dataField name="Suma de MAR4" fld="42" baseField="0" baseItem="0"/>
    <dataField name="Suma de FEB4" fld="41" baseField="0" baseItem="0"/>
    <dataField name="Suma de ENE4" fld="40" baseField="0" baseItem="0"/>
    <dataField name="Suma de   - Kilogramos" fld="39" baseField="0" baseItem="0"/>
    <dataField name="Suma de ENE2" fld="22" baseField="0" baseItem="0"/>
    <dataField name="Suma de FEB2" fld="23" baseField="0" baseItem="0"/>
    <dataField name="Suma de MAR2" fld="24" baseField="0" baseItem="0"/>
    <dataField name="Suma de ABR2" fld="25" baseField="0" baseItem="0"/>
    <dataField name="Suma de MAY2" fld="26" baseField="0" baseItem="0"/>
    <dataField name="Suma de JUN2" fld="27" baseField="0" baseItem="0"/>
    <dataField name="Suma de JUL2" fld="28" baseField="0" baseItem="0"/>
    <dataField name="Suma de AGO2" fld="29" baseField="0" baseItem="0"/>
    <dataField name="Suma de   - Guías_x000a_vendidas" fld="21" baseField="0" baseItem="0"/>
    <dataField name="Suma de   - Subtotal_x000a_Despues del_x000a_Descuento" fld="3" baseField="0" baseItem="0"/>
    <dataField name="Suma de ENE" fld="4" baseField="0" baseItem="0"/>
    <dataField name="Suma de FEB" fld="5" baseField="0" baseItem="0"/>
    <dataField name="Suma de MAR" fld="6" baseField="0" baseItem="0"/>
    <dataField name="Suma de ABR" fld="7" baseField="0" baseItem="0"/>
    <dataField name="Suma de MAY" fld="8" baseField="0" baseItem="0"/>
    <dataField name="Suma de JUN" fld="9" baseField="0" baseItem="0"/>
    <dataField name="Suma de JUL" fld="10" baseField="0" baseItem="0"/>
    <dataField name="Suma de AGO" fld="11" baseField="0" baseItem="0"/>
  </dataFields>
  <formats count="18">
    <format dxfId="19">
      <pivotArea field="0" type="button" dataOnly="0" labelOnly="1" outline="0" axis="axisRow" fieldPosition="0"/>
    </format>
    <format dxfId="18">
      <pivotArea field="0" type="button" dataOnly="0" labelOnly="1" outline="0" axis="axisRow" fieldPosition="0"/>
    </format>
    <format dxfId="17">
      <pivotArea field="0" type="button" dataOnly="0" labelOnly="1" outline="0" axis="axisRow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9"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14">
      <pivotArea dataOnly="0" labelOnly="1" outline="0" fieldPosition="0">
        <references count="1">
          <reference field="4294967294" count="9"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13">
      <pivotArea dataOnly="0" labelOnly="1" outline="0" fieldPosition="0">
        <references count="1">
          <reference field="4294967294" count="9"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9"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9">
      <pivotArea dataOnly="0" labelOnly="1" outline="0" fieldPosition="0">
        <references count="1">
          <reference field="4294967294" count="18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8">
      <pivotArea dataOnly="0" labelOnly="1" outline="0" fieldPosition="0">
        <references count="1">
          <reference field="4294967294" count="18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7">
      <pivotArea dataOnly="0" labelOnly="1" outline="0" fieldPosition="0">
        <references count="1">
          <reference field="4294967294" count="18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6">
      <pivotArea outline="0" collapsedLevelsAreSubtotals="1" fieldPosition="0">
        <references count="1">
          <reference field="4294967294" count="9" selected="0"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5">
      <pivotArea outline="0" collapsedLevelsAreSubtotals="1" fieldPosition="0">
        <references count="1">
          <reference field="4294967294" count="9" selected="0"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4">
      <pivotArea outline="0" collapsedLevelsAreSubtotals="1" fieldPosition="0">
        <references count="1">
          <reference field="4294967294" count="9" selected="0"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">
      <pivotArea outline="0" collapsedLevelsAreSubtotals="1" fieldPosition="0">
        <references count="1">
          <reference field="4294967294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">
      <pivotArea dataOnly="0" labelOnly="1" fieldPosition="0">
        <references count="2">
          <reference field="0" count="1" selected="0">
            <x v="0"/>
          </reference>
          <reference field="30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ntro_de_beneficio" xr10:uid="{D8CB735D-8AA4-8D47-A56B-EF252A3C8C7F}" sourceName="Centro de beneficio">
  <pivotTables>
    <pivotTable tabId="5" name="TablaDinámica2"/>
  </pivotTables>
  <data>
    <tabular pivotCacheId="1515010966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beneficio" xr10:uid="{9CA6D61A-BBC8-584E-AF6D-E929019B8540}" cache="SegmentaciónDeDatos_Centro_de_beneficio" caption="Centro de beneficio" rowHeight="230716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E0FB02-1829-494F-96FE-3EED54D864F7}">
  <we:reference id="wa200000018" version="24.0.0.0" store="es-MX" storeType="OMEX"/>
  <we:alternateReferences>
    <we:reference id="wa200000018" version="24.0.0.0" store="wa20000001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C0BE-AF84-4FA3-98B5-88D2B4E385AF}">
  <sheetPr codeName="SAPBEXqueries"/>
  <dimension ref="A1:FC2278"/>
  <sheetViews>
    <sheetView topLeftCell="A4" zoomScale="106" workbookViewId="0">
      <selection activeCell="I242" sqref="I242"/>
    </sheetView>
  </sheetViews>
  <sheetFormatPr baseColWidth="10" defaultColWidth="11.5" defaultRowHeight="15" x14ac:dyDescent="0.2"/>
  <cols>
    <col min="1" max="1" width="17.83203125" customWidth="1"/>
    <col min="2" max="2" width="18.5" customWidth="1"/>
    <col min="3" max="3" width="33.5" customWidth="1"/>
    <col min="4" max="4" width="16.1640625" style="14" customWidth="1"/>
    <col min="5" max="5" width="16.33203125" customWidth="1"/>
    <col min="6" max="9" width="15.1640625" bestFit="1" customWidth="1"/>
    <col min="10" max="12" width="14.1640625" bestFit="1" customWidth="1"/>
    <col min="13" max="13" width="17.33203125" style="14" hidden="1" customWidth="1"/>
    <col min="14" max="18" width="15.1640625" hidden="1" customWidth="1"/>
    <col min="19" max="19" width="14.1640625" hidden="1" customWidth="1"/>
    <col min="20" max="20" width="15.1640625" hidden="1" customWidth="1"/>
    <col min="21" max="21" width="14.1640625" hidden="1" customWidth="1"/>
    <col min="22" max="25" width="14.1640625" customWidth="1"/>
    <col min="26" max="26" width="14.83203125" style="14" bestFit="1" customWidth="1"/>
    <col min="27" max="27" width="12.5" bestFit="1" customWidth="1"/>
    <col min="28" max="34" width="11.5" bestFit="1" customWidth="1"/>
    <col min="35" max="35" width="15.83203125" style="14" bestFit="1" customWidth="1"/>
    <col min="36" max="38" width="9.33203125" bestFit="1" customWidth="1"/>
    <col min="39" max="39" width="10.5" bestFit="1" customWidth="1"/>
    <col min="40" max="41" width="9.33203125" bestFit="1" customWidth="1"/>
    <col min="42" max="42" width="9.83203125" bestFit="1" customWidth="1"/>
    <col min="43" max="43" width="9" bestFit="1" customWidth="1"/>
    <col min="44" max="44" width="14.1640625" style="14" bestFit="1" customWidth="1"/>
    <col min="45" max="47" width="12.5" bestFit="1" customWidth="1"/>
    <col min="48" max="48" width="14.1640625" bestFit="1" customWidth="1"/>
    <col min="49" max="52" width="12.5" bestFit="1" customWidth="1"/>
  </cols>
  <sheetData>
    <row r="1" spans="1:159" x14ac:dyDescent="0.2">
      <c r="A1" s="64" t="s">
        <v>714</v>
      </c>
      <c r="D1" s="65"/>
      <c r="Z1" s="65"/>
      <c r="AI1" s="65"/>
      <c r="AR1" s="65"/>
    </row>
    <row r="2" spans="1:159" x14ac:dyDescent="0.2">
      <c r="A2" s="61" t="s">
        <v>712</v>
      </c>
      <c r="D2" s="65"/>
      <c r="Z2" s="65"/>
      <c r="AI2" s="65"/>
      <c r="AR2" s="65"/>
    </row>
    <row r="3" spans="1:159" x14ac:dyDescent="0.2">
      <c r="A3" s="62" t="s">
        <v>711</v>
      </c>
      <c r="D3" s="65"/>
      <c r="Z3" s="65"/>
      <c r="AI3" s="65"/>
      <c r="AR3" s="65"/>
    </row>
    <row r="4" spans="1:159" x14ac:dyDescent="0.2">
      <c r="A4" s="63" t="s">
        <v>713</v>
      </c>
      <c r="D4" s="65"/>
      <c r="Z4" s="65"/>
      <c r="AI4" s="65"/>
      <c r="AR4" s="65"/>
    </row>
    <row r="5" spans="1:159" x14ac:dyDescent="0.2">
      <c r="D5" s="65"/>
      <c r="Z5" s="65"/>
      <c r="AI5" s="65"/>
      <c r="AR5" s="65"/>
    </row>
    <row r="6" spans="1:159" x14ac:dyDescent="0.2">
      <c r="D6" s="65"/>
      <c r="Z6" s="65"/>
      <c r="AI6" s="65"/>
      <c r="AR6" s="65"/>
    </row>
    <row r="7" spans="1:159" x14ac:dyDescent="0.2">
      <c r="D7" s="65"/>
      <c r="E7">
        <v>1</v>
      </c>
      <c r="F7">
        <v>2</v>
      </c>
      <c r="G7">
        <v>3</v>
      </c>
      <c r="H7">
        <v>4</v>
      </c>
      <c r="I7">
        <v>5</v>
      </c>
      <c r="J7">
        <v>6</v>
      </c>
      <c r="K7">
        <v>7</v>
      </c>
      <c r="L7">
        <v>8</v>
      </c>
      <c r="V7">
        <v>9</v>
      </c>
      <c r="W7">
        <v>10</v>
      </c>
      <c r="X7">
        <v>11</v>
      </c>
      <c r="Y7">
        <v>12</v>
      </c>
      <c r="Z7" s="65"/>
      <c r="AI7" s="65"/>
      <c r="AR7" s="65"/>
    </row>
    <row r="8" spans="1:159" s="10" customFormat="1" ht="45" x14ac:dyDescent="0.2">
      <c r="A8" s="8" t="s">
        <v>0</v>
      </c>
      <c r="B8" s="8" t="s">
        <v>1</v>
      </c>
      <c r="C8" s="8" t="s">
        <v>2</v>
      </c>
      <c r="D8" s="15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15" t="s">
        <v>12</v>
      </c>
      <c r="N8" s="9" t="s">
        <v>13</v>
      </c>
      <c r="O8" s="9" t="s">
        <v>14</v>
      </c>
      <c r="P8" s="9" t="s">
        <v>15</v>
      </c>
      <c r="Q8" s="9" t="s">
        <v>16</v>
      </c>
      <c r="R8" s="9" t="s">
        <v>17</v>
      </c>
      <c r="S8" s="9" t="s">
        <v>18</v>
      </c>
      <c r="T8" s="9" t="s">
        <v>19</v>
      </c>
      <c r="U8" s="9" t="s">
        <v>20</v>
      </c>
      <c r="V8" s="9" t="s">
        <v>21</v>
      </c>
      <c r="W8" s="9" t="s">
        <v>22</v>
      </c>
      <c r="X8" s="9" t="s">
        <v>23</v>
      </c>
      <c r="Y8" s="9" t="s">
        <v>24</v>
      </c>
      <c r="Z8" s="15" t="s">
        <v>25</v>
      </c>
      <c r="AA8" s="9" t="s">
        <v>4</v>
      </c>
      <c r="AB8" s="9" t="s">
        <v>5</v>
      </c>
      <c r="AC8" s="9" t="s">
        <v>6</v>
      </c>
      <c r="AD8" s="9" t="s">
        <v>7</v>
      </c>
      <c r="AE8" s="9" t="s">
        <v>8</v>
      </c>
      <c r="AF8" s="9" t="s">
        <v>9</v>
      </c>
      <c r="AG8" s="9" t="s">
        <v>10</v>
      </c>
      <c r="AH8" s="9" t="s">
        <v>11</v>
      </c>
      <c r="AI8" s="15" t="s">
        <v>26</v>
      </c>
      <c r="AJ8" s="9" t="s">
        <v>4</v>
      </c>
      <c r="AK8" s="9" t="s">
        <v>5</v>
      </c>
      <c r="AL8" s="9" t="s">
        <v>6</v>
      </c>
      <c r="AM8" s="9" t="s">
        <v>7</v>
      </c>
      <c r="AN8" s="9" t="s">
        <v>8</v>
      </c>
      <c r="AO8" s="9" t="s">
        <v>9</v>
      </c>
      <c r="AP8" s="9" t="s">
        <v>10</v>
      </c>
      <c r="AQ8" s="9" t="s">
        <v>11</v>
      </c>
      <c r="AR8" s="15" t="s">
        <v>27</v>
      </c>
      <c r="AS8" s="9" t="s">
        <v>4</v>
      </c>
      <c r="AT8" s="9" t="s">
        <v>5</v>
      </c>
      <c r="AU8" s="9" t="s">
        <v>6</v>
      </c>
      <c r="AV8" s="9" t="s">
        <v>7</v>
      </c>
      <c r="AW8" s="9" t="s">
        <v>8</v>
      </c>
      <c r="AX8" s="9" t="s">
        <v>9</v>
      </c>
      <c r="AY8" s="9" t="s">
        <v>10</v>
      </c>
      <c r="AZ8" s="9" t="s">
        <v>11</v>
      </c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  <c r="EQ8" s="68"/>
      <c r="ER8" s="68"/>
      <c r="ES8" s="68"/>
      <c r="ET8" s="68"/>
      <c r="EU8" s="68"/>
      <c r="EV8" s="68"/>
      <c r="EW8" s="68"/>
      <c r="EX8" s="68"/>
      <c r="EY8" s="68"/>
      <c r="EZ8" s="68"/>
      <c r="FA8" s="68"/>
      <c r="FB8" s="68"/>
      <c r="FC8" s="67"/>
    </row>
    <row r="9" spans="1:159" x14ac:dyDescent="0.2">
      <c r="A9" s="6" t="s">
        <v>28</v>
      </c>
      <c r="B9" s="1" t="s">
        <v>29</v>
      </c>
      <c r="C9" s="1" t="s">
        <v>30</v>
      </c>
      <c r="D9" s="12">
        <v>6068.51</v>
      </c>
      <c r="E9" s="7">
        <v>5494.98</v>
      </c>
      <c r="F9" s="7">
        <v>3968.31</v>
      </c>
      <c r="G9" s="7">
        <v>3437.3</v>
      </c>
      <c r="H9" s="7">
        <v>5717.04</v>
      </c>
      <c r="I9" s="7">
        <v>3896.3</v>
      </c>
      <c r="J9" s="7">
        <v>4572.24</v>
      </c>
      <c r="K9" s="7">
        <v>4784.7700000000004</v>
      </c>
      <c r="L9" s="2">
        <v>6068.51</v>
      </c>
      <c r="M9" s="12">
        <v>7039.47</v>
      </c>
      <c r="N9" s="3"/>
      <c r="O9" s="3"/>
      <c r="P9" s="3"/>
      <c r="Q9" s="3"/>
      <c r="R9" s="3"/>
      <c r="S9" s="3"/>
      <c r="T9" s="3"/>
      <c r="U9" s="2">
        <v>7039.47</v>
      </c>
      <c r="V9" s="2"/>
      <c r="W9" s="2"/>
      <c r="X9" s="2"/>
      <c r="Y9" s="2"/>
      <c r="Z9" s="13">
        <v>25</v>
      </c>
      <c r="AA9" s="3"/>
      <c r="AB9" s="3"/>
      <c r="AC9" s="3"/>
      <c r="AD9" s="3"/>
      <c r="AE9" s="3"/>
      <c r="AF9" s="3"/>
      <c r="AG9" s="3"/>
      <c r="AH9" s="4">
        <v>25</v>
      </c>
      <c r="AI9" s="12">
        <v>242.74039999999999</v>
      </c>
      <c r="AJ9" s="3"/>
      <c r="AK9" s="3"/>
      <c r="AL9" s="3"/>
      <c r="AM9" s="3"/>
      <c r="AN9" s="3"/>
      <c r="AO9" s="3"/>
      <c r="AP9" s="3"/>
      <c r="AQ9" s="2">
        <v>242.74039999999999</v>
      </c>
      <c r="AR9" s="13">
        <v>14</v>
      </c>
      <c r="AS9" s="3"/>
      <c r="AT9" s="3"/>
      <c r="AU9" s="3"/>
      <c r="AV9" s="3"/>
      <c r="AW9" s="3"/>
      <c r="AX9" s="3"/>
      <c r="AY9" s="3"/>
      <c r="AZ9" s="4">
        <v>14</v>
      </c>
    </row>
    <row r="10" spans="1:159" s="29" customFormat="1" x14ac:dyDescent="0.2">
      <c r="A10" s="6" t="s">
        <v>28</v>
      </c>
      <c r="B10" s="1" t="s">
        <v>31</v>
      </c>
      <c r="C10" s="1" t="s">
        <v>32</v>
      </c>
      <c r="D10" s="12">
        <v>21287.41</v>
      </c>
      <c r="E10" s="2">
        <v>2285.44</v>
      </c>
      <c r="F10" s="2">
        <v>379.98</v>
      </c>
      <c r="G10" s="2">
        <v>298.8</v>
      </c>
      <c r="H10" s="2">
        <v>1079.6300000000001</v>
      </c>
      <c r="I10" s="2">
        <v>765.69</v>
      </c>
      <c r="J10" s="2">
        <v>10526.31</v>
      </c>
      <c r="K10" s="2">
        <v>1209.72</v>
      </c>
      <c r="L10" s="2">
        <v>9560</v>
      </c>
      <c r="M10" s="12">
        <v>24693.4</v>
      </c>
      <c r="N10" s="3"/>
      <c r="O10" s="3"/>
      <c r="P10" s="3"/>
      <c r="Q10" s="3"/>
      <c r="R10" s="3"/>
      <c r="S10" s="2">
        <v>12200.52</v>
      </c>
      <c r="T10" s="2">
        <v>1403.28</v>
      </c>
      <c r="U10" s="2">
        <v>11089.6</v>
      </c>
      <c r="V10" s="2"/>
      <c r="W10" s="2"/>
      <c r="X10" s="2"/>
      <c r="Y10" s="2"/>
      <c r="Z10" s="13">
        <v>100</v>
      </c>
      <c r="AA10" s="3"/>
      <c r="AB10" s="3"/>
      <c r="AC10" s="3"/>
      <c r="AD10" s="3"/>
      <c r="AE10" s="3"/>
      <c r="AF10" s="4">
        <v>50</v>
      </c>
      <c r="AG10" s="5"/>
      <c r="AH10" s="4">
        <v>50</v>
      </c>
      <c r="AI10" s="12">
        <v>212.8741</v>
      </c>
      <c r="AJ10" s="3"/>
      <c r="AK10" s="3"/>
      <c r="AL10" s="3"/>
      <c r="AM10" s="3"/>
      <c r="AN10" s="3"/>
      <c r="AO10" s="2">
        <v>210.35380000000001</v>
      </c>
      <c r="AP10" s="5" t="s">
        <v>33</v>
      </c>
      <c r="AQ10" s="2">
        <v>191.2</v>
      </c>
      <c r="AR10" s="13">
        <v>412</v>
      </c>
      <c r="AS10" s="3"/>
      <c r="AT10" s="3"/>
      <c r="AU10" s="3"/>
      <c r="AV10" s="3"/>
      <c r="AW10" s="3"/>
      <c r="AX10" s="4">
        <v>160</v>
      </c>
      <c r="AY10" s="4">
        <v>252</v>
      </c>
      <c r="AZ10" s="3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</row>
    <row r="11" spans="1:159" s="41" customFormat="1" x14ac:dyDescent="0.2">
      <c r="A11" s="55" t="s">
        <v>28</v>
      </c>
      <c r="B11" s="33" t="s">
        <v>34</v>
      </c>
      <c r="C11" s="33" t="s">
        <v>35</v>
      </c>
      <c r="D11" s="34">
        <v>245.07</v>
      </c>
      <c r="E11" s="36">
        <v>2216.44</v>
      </c>
      <c r="F11" s="36">
        <v>6895.71</v>
      </c>
      <c r="G11" s="35"/>
      <c r="H11" s="36">
        <v>5346.54</v>
      </c>
      <c r="I11" s="36">
        <v>1553.55</v>
      </c>
      <c r="J11" s="35"/>
      <c r="K11" s="36">
        <v>245.07</v>
      </c>
      <c r="L11" s="35"/>
      <c r="M11" s="34">
        <v>284.27999999999997</v>
      </c>
      <c r="N11" s="35"/>
      <c r="O11" s="35"/>
      <c r="P11" s="35"/>
      <c r="Q11" s="35"/>
      <c r="R11" s="35"/>
      <c r="S11" s="35"/>
      <c r="T11" s="36">
        <v>284.27999999999997</v>
      </c>
      <c r="U11" s="35"/>
      <c r="V11" s="35"/>
      <c r="W11" s="35"/>
      <c r="X11" s="35"/>
      <c r="Y11" s="35"/>
      <c r="Z11" s="39">
        <v>1</v>
      </c>
      <c r="AA11" s="35"/>
      <c r="AB11" s="35"/>
      <c r="AC11" s="35"/>
      <c r="AD11" s="35"/>
      <c r="AE11" s="35"/>
      <c r="AF11" s="35"/>
      <c r="AG11" s="40">
        <v>1</v>
      </c>
      <c r="AH11" s="35"/>
      <c r="AI11" s="34">
        <v>245.07</v>
      </c>
      <c r="AJ11" s="35"/>
      <c r="AK11" s="35"/>
      <c r="AL11" s="35"/>
      <c r="AM11" s="35"/>
      <c r="AN11" s="35"/>
      <c r="AO11" s="35"/>
      <c r="AP11" s="36">
        <v>245.07</v>
      </c>
      <c r="AQ11" s="35"/>
      <c r="AR11" s="39">
        <v>12</v>
      </c>
      <c r="AS11" s="35"/>
      <c r="AT11" s="35"/>
      <c r="AU11" s="35"/>
      <c r="AV11" s="35"/>
      <c r="AW11" s="35"/>
      <c r="AX11" s="35"/>
      <c r="AY11" s="40">
        <v>12</v>
      </c>
      <c r="AZ11" s="35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</row>
    <row r="12" spans="1:159" s="41" customFormat="1" ht="29.25" customHeight="1" x14ac:dyDescent="0.2">
      <c r="A12" s="55" t="s">
        <v>28</v>
      </c>
      <c r="B12" s="33" t="s">
        <v>36</v>
      </c>
      <c r="C12" s="33" t="s">
        <v>37</v>
      </c>
      <c r="D12" s="34">
        <v>18516.189999999999</v>
      </c>
      <c r="E12" s="35"/>
      <c r="F12" s="36">
        <v>153.18</v>
      </c>
      <c r="G12" s="36">
        <v>37.93</v>
      </c>
      <c r="H12" s="36">
        <v>374.71</v>
      </c>
      <c r="I12" s="35"/>
      <c r="J12" s="36">
        <v>18516.189999999999</v>
      </c>
      <c r="K12" s="35"/>
      <c r="L12" s="35"/>
      <c r="M12" s="34">
        <v>21478.78</v>
      </c>
      <c r="N12" s="35"/>
      <c r="O12" s="35"/>
      <c r="P12" s="35"/>
      <c r="Q12" s="35"/>
      <c r="R12" s="35"/>
      <c r="S12" s="36">
        <v>21478.78</v>
      </c>
      <c r="T12" s="35"/>
      <c r="U12" s="35"/>
      <c r="V12" s="35"/>
      <c r="W12" s="35"/>
      <c r="X12" s="35"/>
      <c r="Y12" s="35"/>
      <c r="Z12" s="39">
        <v>50</v>
      </c>
      <c r="AA12" s="35"/>
      <c r="AB12" s="35"/>
      <c r="AC12" s="35"/>
      <c r="AD12" s="35"/>
      <c r="AE12" s="35"/>
      <c r="AF12" s="40">
        <v>50</v>
      </c>
      <c r="AG12" s="35"/>
      <c r="AH12" s="35"/>
      <c r="AI12" s="34">
        <v>370.32380000000001</v>
      </c>
      <c r="AJ12" s="35"/>
      <c r="AK12" s="35"/>
      <c r="AL12" s="35"/>
      <c r="AM12" s="35"/>
      <c r="AN12" s="35"/>
      <c r="AO12" s="36">
        <v>370.32380000000001</v>
      </c>
      <c r="AP12" s="35"/>
      <c r="AQ12" s="35"/>
      <c r="AR12" s="39">
        <v>62</v>
      </c>
      <c r="AS12" s="35"/>
      <c r="AT12" s="35"/>
      <c r="AU12" s="35"/>
      <c r="AV12" s="35"/>
      <c r="AW12" s="35"/>
      <c r="AX12" s="40">
        <v>62</v>
      </c>
      <c r="AY12" s="35"/>
      <c r="AZ12" s="35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</row>
    <row r="13" spans="1:159" x14ac:dyDescent="0.2">
      <c r="A13" s="6" t="s">
        <v>38</v>
      </c>
      <c r="B13" s="1" t="s">
        <v>39</v>
      </c>
      <c r="C13" s="1" t="s">
        <v>40</v>
      </c>
      <c r="D13" s="12">
        <v>37079.85</v>
      </c>
      <c r="E13" s="2">
        <v>8525.11</v>
      </c>
      <c r="F13" s="2">
        <v>10803.460000000001</v>
      </c>
      <c r="G13" s="2">
        <v>8935.0600000000013</v>
      </c>
      <c r="H13" s="2">
        <v>19470.34</v>
      </c>
      <c r="I13" s="2">
        <v>8913.18</v>
      </c>
      <c r="J13" s="2">
        <v>8801.91</v>
      </c>
      <c r="K13" s="2">
        <v>10233.650000000001</v>
      </c>
      <c r="L13" s="2">
        <v>8525.11</v>
      </c>
      <c r="M13" s="12">
        <v>43012.639999999999</v>
      </c>
      <c r="N13" s="2">
        <v>9889.1299999999992</v>
      </c>
      <c r="O13" s="2">
        <v>3643.2</v>
      </c>
      <c r="P13" s="2">
        <v>2575.56</v>
      </c>
      <c r="Q13" s="2">
        <v>3078.68</v>
      </c>
      <c r="R13" s="2">
        <v>369.81</v>
      </c>
      <c r="S13" s="2">
        <v>10633.35</v>
      </c>
      <c r="T13" s="2">
        <v>5736.91</v>
      </c>
      <c r="U13" s="2">
        <v>7086</v>
      </c>
      <c r="V13" s="2"/>
      <c r="W13" s="2"/>
      <c r="X13" s="2"/>
      <c r="Y13" s="2"/>
      <c r="Z13" s="13">
        <v>55</v>
      </c>
      <c r="AA13" s="3"/>
      <c r="AB13" s="3"/>
      <c r="AC13" s="3"/>
      <c r="AD13" s="3"/>
      <c r="AE13" s="3"/>
      <c r="AF13" s="4">
        <v>26</v>
      </c>
      <c r="AG13" s="4">
        <v>12</v>
      </c>
      <c r="AH13" s="4">
        <v>17</v>
      </c>
      <c r="AI13" s="12">
        <v>674.17909090909086</v>
      </c>
      <c r="AJ13" s="5" t="s">
        <v>33</v>
      </c>
      <c r="AK13" s="5" t="s">
        <v>33</v>
      </c>
      <c r="AL13" s="5" t="s">
        <v>33</v>
      </c>
      <c r="AM13" s="5" t="s">
        <v>33</v>
      </c>
      <c r="AN13" s="5" t="s">
        <v>33</v>
      </c>
      <c r="AO13" s="2">
        <v>352.56461538461537</v>
      </c>
      <c r="AP13" s="2">
        <v>412.13416666666666</v>
      </c>
      <c r="AQ13" s="2">
        <v>359.3305882352941</v>
      </c>
      <c r="AR13" s="13">
        <v>760</v>
      </c>
      <c r="AS13" s="4">
        <v>232</v>
      </c>
      <c r="AT13" s="4">
        <v>126</v>
      </c>
      <c r="AU13" s="4">
        <v>68</v>
      </c>
      <c r="AV13" s="4">
        <v>82</v>
      </c>
      <c r="AW13" s="4">
        <v>20</v>
      </c>
      <c r="AX13" s="4">
        <v>116</v>
      </c>
      <c r="AY13" s="4">
        <v>52</v>
      </c>
      <c r="AZ13" s="4">
        <v>64</v>
      </c>
    </row>
    <row r="14" spans="1:159" s="29" customFormat="1" x14ac:dyDescent="0.2">
      <c r="A14" s="53" t="s">
        <v>38</v>
      </c>
      <c r="B14" s="23" t="s">
        <v>41</v>
      </c>
      <c r="C14" s="23" t="s">
        <v>42</v>
      </c>
      <c r="D14" s="24">
        <v>179867.77</v>
      </c>
      <c r="E14" s="25">
        <v>174835.19</v>
      </c>
      <c r="F14" s="25">
        <v>175189.71</v>
      </c>
      <c r="G14" s="25">
        <v>184684.75999999998</v>
      </c>
      <c r="H14" s="26"/>
      <c r="I14" s="26"/>
      <c r="J14" s="26"/>
      <c r="K14" s="26"/>
      <c r="L14" s="26"/>
      <c r="M14" s="24">
        <v>208646.61</v>
      </c>
      <c r="N14" s="26"/>
      <c r="O14" s="26"/>
      <c r="P14" s="25">
        <v>208646.61</v>
      </c>
      <c r="Q14" s="26"/>
      <c r="R14" s="26"/>
      <c r="S14" s="26"/>
      <c r="T14" s="26"/>
      <c r="U14" s="26"/>
      <c r="V14" s="26"/>
      <c r="W14" s="26"/>
      <c r="X14" s="26"/>
      <c r="Y14" s="26"/>
      <c r="Z14" s="27">
        <v>1072</v>
      </c>
      <c r="AA14" s="26"/>
      <c r="AB14" s="26"/>
      <c r="AC14" s="28">
        <v>1072</v>
      </c>
      <c r="AD14" s="26"/>
      <c r="AE14" s="26"/>
      <c r="AF14" s="26"/>
      <c r="AG14" s="26"/>
      <c r="AH14" s="26"/>
      <c r="AI14" s="24">
        <v>167.787098880597</v>
      </c>
      <c r="AJ14" s="26"/>
      <c r="AK14" s="26"/>
      <c r="AL14" s="25">
        <v>167.787098880597</v>
      </c>
      <c r="AM14" s="26"/>
      <c r="AN14" s="26"/>
      <c r="AO14" s="26"/>
      <c r="AP14" s="26"/>
      <c r="AQ14" s="26"/>
      <c r="AR14" s="27">
        <v>3053</v>
      </c>
      <c r="AS14" s="26"/>
      <c r="AT14" s="26"/>
      <c r="AU14" s="28">
        <v>3053</v>
      </c>
      <c r="AV14" s="26"/>
      <c r="AW14" s="26"/>
      <c r="AX14" s="26"/>
      <c r="AY14" s="26"/>
      <c r="AZ14" s="26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</row>
    <row r="15" spans="1:159" x14ac:dyDescent="0.2">
      <c r="A15" s="54" t="s">
        <v>38</v>
      </c>
      <c r="B15" s="43" t="s">
        <v>43</v>
      </c>
      <c r="C15" s="43" t="s">
        <v>44</v>
      </c>
      <c r="D15" s="44">
        <v>107548.34</v>
      </c>
      <c r="E15" s="45">
        <v>216672.62</v>
      </c>
      <c r="F15" s="45">
        <v>2751.56</v>
      </c>
      <c r="G15" s="46"/>
      <c r="H15" s="46"/>
      <c r="I15" s="45">
        <v>-31847.58</v>
      </c>
      <c r="J15" s="46"/>
      <c r="K15" s="46"/>
      <c r="L15" s="46"/>
      <c r="M15" s="44">
        <v>124756.07</v>
      </c>
      <c r="N15" s="45">
        <v>158507.46</v>
      </c>
      <c r="O15" s="45">
        <v>3191.81</v>
      </c>
      <c r="P15" s="46"/>
      <c r="Q15" s="46"/>
      <c r="R15" s="45">
        <v>-36943.199999999997</v>
      </c>
      <c r="S15" s="46"/>
      <c r="T15" s="46"/>
      <c r="U15" s="46"/>
      <c r="V15" s="46"/>
      <c r="W15" s="46"/>
      <c r="X15" s="46"/>
      <c r="Y15" s="46"/>
      <c r="Z15" s="49"/>
      <c r="AA15" s="51">
        <v>372</v>
      </c>
      <c r="AB15" s="46"/>
      <c r="AC15" s="46"/>
      <c r="AD15" s="46"/>
      <c r="AE15" s="51">
        <v>-372</v>
      </c>
      <c r="AF15" s="46"/>
      <c r="AG15" s="46"/>
      <c r="AH15" s="46"/>
      <c r="AI15" s="49" t="s">
        <v>33</v>
      </c>
      <c r="AJ15" s="45">
        <v>367.32354838709676</v>
      </c>
      <c r="AK15" s="47" t="s">
        <v>33</v>
      </c>
      <c r="AL15" s="46"/>
      <c r="AM15" s="46"/>
      <c r="AN15" s="45">
        <v>85.611774193548385</v>
      </c>
      <c r="AO15" s="46"/>
      <c r="AP15" s="46"/>
      <c r="AQ15" s="46"/>
      <c r="AR15" s="50">
        <v>12764</v>
      </c>
      <c r="AS15" s="51">
        <v>12496</v>
      </c>
      <c r="AT15" s="51">
        <v>262</v>
      </c>
      <c r="AU15" s="46"/>
      <c r="AV15" s="46"/>
      <c r="AW15" s="51">
        <v>6</v>
      </c>
      <c r="AX15" s="46"/>
      <c r="AY15" s="46"/>
      <c r="AZ15" s="46"/>
    </row>
    <row r="16" spans="1:159" s="29" customFormat="1" x14ac:dyDescent="0.2">
      <c r="A16" s="53" t="s">
        <v>38</v>
      </c>
      <c r="B16" s="23" t="s">
        <v>45</v>
      </c>
      <c r="C16" s="23" t="s">
        <v>46</v>
      </c>
      <c r="D16" s="24">
        <v>665757.42000000004</v>
      </c>
      <c r="E16" s="25">
        <v>1988969.6300000001</v>
      </c>
      <c r="F16" s="25">
        <v>1338227.01</v>
      </c>
      <c r="G16" s="25">
        <v>-154119.47999999998</v>
      </c>
      <c r="H16" s="25">
        <v>12846.07</v>
      </c>
      <c r="I16" s="25">
        <v>14304.07</v>
      </c>
      <c r="J16" s="25">
        <v>12846.07</v>
      </c>
      <c r="K16" s="25">
        <v>12846.07</v>
      </c>
      <c r="L16" s="25">
        <v>12846.07</v>
      </c>
      <c r="M16" s="24">
        <v>772278.6</v>
      </c>
      <c r="N16" s="25">
        <v>14901.44</v>
      </c>
      <c r="O16" s="25">
        <v>-520.25</v>
      </c>
      <c r="P16" s="25">
        <v>867244.96</v>
      </c>
      <c r="Q16" s="25">
        <v>-109347.55</v>
      </c>
      <c r="R16" s="26"/>
      <c r="S16" s="26"/>
      <c r="T16" s="26"/>
      <c r="U16" s="26"/>
      <c r="V16" s="26"/>
      <c r="W16" s="26"/>
      <c r="X16" s="26"/>
      <c r="Y16" s="26"/>
      <c r="Z16" s="27">
        <v>9239</v>
      </c>
      <c r="AA16" s="28">
        <v>98</v>
      </c>
      <c r="AB16" s="28">
        <v>-12</v>
      </c>
      <c r="AC16" s="28">
        <v>9153</v>
      </c>
      <c r="AD16" s="26"/>
      <c r="AE16" s="26"/>
      <c r="AF16" s="26"/>
      <c r="AG16" s="26"/>
      <c r="AH16" s="26"/>
      <c r="AI16" s="24">
        <v>72.059467474834946</v>
      </c>
      <c r="AJ16" s="25">
        <v>131.08234693877552</v>
      </c>
      <c r="AK16" s="25">
        <v>37.374166666666667</v>
      </c>
      <c r="AL16" s="25">
        <v>81.680866382606794</v>
      </c>
      <c r="AM16" s="31" t="s">
        <v>33</v>
      </c>
      <c r="AN16" s="26"/>
      <c r="AO16" s="26"/>
      <c r="AP16" s="26"/>
      <c r="AQ16" s="26"/>
      <c r="AR16" s="27">
        <v>63073</v>
      </c>
      <c r="AS16" s="28">
        <v>90</v>
      </c>
      <c r="AT16" s="28">
        <v>-7</v>
      </c>
      <c r="AU16" s="28">
        <v>93438</v>
      </c>
      <c r="AV16" s="28">
        <v>-30448</v>
      </c>
      <c r="AW16" s="26"/>
      <c r="AX16" s="26"/>
      <c r="AY16" s="26"/>
      <c r="AZ16" s="2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</row>
    <row r="17" spans="1:158" x14ac:dyDescent="0.2">
      <c r="A17" s="6" t="s">
        <v>47</v>
      </c>
      <c r="B17" s="1" t="s">
        <v>48</v>
      </c>
      <c r="C17" s="1" t="s">
        <v>49</v>
      </c>
      <c r="D17" s="12">
        <v>21794.27</v>
      </c>
      <c r="E17" s="2">
        <v>2632.97</v>
      </c>
      <c r="F17" s="2">
        <v>3235.16</v>
      </c>
      <c r="G17" s="2">
        <v>2219.79</v>
      </c>
      <c r="H17" s="2">
        <v>4455.2</v>
      </c>
      <c r="I17" s="2">
        <v>3816.51</v>
      </c>
      <c r="J17" s="2">
        <v>3093.43</v>
      </c>
      <c r="K17" s="2">
        <v>2341.21</v>
      </c>
      <c r="L17" s="3"/>
      <c r="M17" s="12">
        <v>25281.360000000001</v>
      </c>
      <c r="N17" s="2">
        <v>3054.25</v>
      </c>
      <c r="O17" s="2">
        <v>3752.79</v>
      </c>
      <c r="P17" s="2">
        <v>2574.96</v>
      </c>
      <c r="Q17" s="2">
        <v>5168.03</v>
      </c>
      <c r="R17" s="2">
        <v>4427.1499999999996</v>
      </c>
      <c r="S17" s="2">
        <v>3588.38</v>
      </c>
      <c r="T17" s="2">
        <v>2715.8</v>
      </c>
      <c r="U17" s="3"/>
      <c r="V17" s="3"/>
      <c r="W17" s="3"/>
      <c r="X17" s="3"/>
      <c r="Y17" s="3"/>
      <c r="Z17" s="13">
        <v>67</v>
      </c>
      <c r="AA17" s="4">
        <v>9</v>
      </c>
      <c r="AB17" s="4">
        <v>9</v>
      </c>
      <c r="AC17" s="4">
        <v>5</v>
      </c>
      <c r="AD17" s="4">
        <v>16</v>
      </c>
      <c r="AE17" s="4">
        <v>11</v>
      </c>
      <c r="AF17" s="4">
        <v>9</v>
      </c>
      <c r="AG17" s="4">
        <v>8</v>
      </c>
      <c r="AH17" s="3"/>
      <c r="AI17" s="12">
        <v>325.28761194029852</v>
      </c>
      <c r="AJ17" s="2">
        <v>292.55222222222221</v>
      </c>
      <c r="AK17" s="2">
        <v>359.46222222222224</v>
      </c>
      <c r="AL17" s="2">
        <v>443.95800000000003</v>
      </c>
      <c r="AM17" s="2">
        <v>278.45</v>
      </c>
      <c r="AN17" s="2">
        <v>346.95545454545453</v>
      </c>
      <c r="AO17" s="2">
        <v>343.71444444444444</v>
      </c>
      <c r="AP17" s="2">
        <v>292.65125</v>
      </c>
      <c r="AQ17" s="3"/>
      <c r="AR17" s="13">
        <v>262</v>
      </c>
      <c r="AS17" s="4">
        <v>36</v>
      </c>
      <c r="AT17" s="4">
        <v>50</v>
      </c>
      <c r="AU17" s="4">
        <v>42</v>
      </c>
      <c r="AV17" s="4">
        <v>26</v>
      </c>
      <c r="AW17" s="4">
        <v>50</v>
      </c>
      <c r="AX17" s="4">
        <v>40</v>
      </c>
      <c r="AY17" s="4">
        <v>18</v>
      </c>
      <c r="AZ17" s="3"/>
    </row>
    <row r="18" spans="1:158" x14ac:dyDescent="0.2">
      <c r="A18" s="6" t="s">
        <v>47</v>
      </c>
      <c r="B18" s="1" t="s">
        <v>50</v>
      </c>
      <c r="C18" s="1" t="s">
        <v>51</v>
      </c>
      <c r="D18" s="12">
        <v>437576.72</v>
      </c>
      <c r="E18" s="3"/>
      <c r="F18" s="2">
        <v>14616.96</v>
      </c>
      <c r="G18" s="2">
        <v>58065.41</v>
      </c>
      <c r="H18" s="2">
        <v>93629.01</v>
      </c>
      <c r="I18" s="2">
        <v>58986.53</v>
      </c>
      <c r="J18" s="2">
        <v>112711.4</v>
      </c>
      <c r="K18" s="2">
        <v>26317.86</v>
      </c>
      <c r="L18" s="2">
        <v>73249.55</v>
      </c>
      <c r="M18" s="12">
        <v>507589</v>
      </c>
      <c r="N18" s="3"/>
      <c r="O18" s="2">
        <v>16955.669999999998</v>
      </c>
      <c r="P18" s="2">
        <v>67355.88</v>
      </c>
      <c r="Q18" s="2">
        <v>108609.66</v>
      </c>
      <c r="R18" s="2">
        <v>68424.37</v>
      </c>
      <c r="S18" s="2">
        <v>130745.22</v>
      </c>
      <c r="T18" s="2">
        <v>30528.720000000001</v>
      </c>
      <c r="U18" s="2">
        <v>84969.48</v>
      </c>
      <c r="V18" s="2"/>
      <c r="W18" s="2"/>
      <c r="X18" s="2"/>
      <c r="Y18" s="2"/>
      <c r="Z18" s="13">
        <v>725</v>
      </c>
      <c r="AA18" s="3"/>
      <c r="AB18" s="3"/>
      <c r="AC18" s="4">
        <v>105</v>
      </c>
      <c r="AD18" s="4">
        <v>190</v>
      </c>
      <c r="AE18" s="4">
        <v>100</v>
      </c>
      <c r="AF18" s="4">
        <v>230</v>
      </c>
      <c r="AG18" s="3"/>
      <c r="AH18" s="4">
        <v>100</v>
      </c>
      <c r="AI18" s="12">
        <v>603.55409655172411</v>
      </c>
      <c r="AJ18" s="3"/>
      <c r="AK18" s="5" t="s">
        <v>33</v>
      </c>
      <c r="AL18" s="2">
        <v>553.00390476190478</v>
      </c>
      <c r="AM18" s="2">
        <v>492.78426315789471</v>
      </c>
      <c r="AN18" s="2">
        <v>589.86530000000005</v>
      </c>
      <c r="AO18" s="2">
        <v>490.04956521739132</v>
      </c>
      <c r="AP18" s="5" t="s">
        <v>33</v>
      </c>
      <c r="AQ18" s="2">
        <v>732.49549999999999</v>
      </c>
      <c r="AR18" s="13">
        <v>45658</v>
      </c>
      <c r="AS18" s="3"/>
      <c r="AT18" s="4">
        <v>1536</v>
      </c>
      <c r="AU18" s="4">
        <v>4262</v>
      </c>
      <c r="AV18" s="4">
        <v>7110</v>
      </c>
      <c r="AW18" s="4">
        <v>7674</v>
      </c>
      <c r="AX18" s="4">
        <v>13454</v>
      </c>
      <c r="AY18" s="4">
        <v>2150</v>
      </c>
      <c r="AZ18" s="4">
        <v>9472</v>
      </c>
    </row>
    <row r="19" spans="1:158" x14ac:dyDescent="0.2">
      <c r="A19" s="6" t="s">
        <v>47</v>
      </c>
      <c r="B19" s="1" t="s">
        <v>52</v>
      </c>
      <c r="C19" s="1" t="s">
        <v>53</v>
      </c>
      <c r="D19" s="12">
        <v>5675.27</v>
      </c>
      <c r="E19" s="3"/>
      <c r="F19" s="3"/>
      <c r="G19" s="2">
        <v>1434.93</v>
      </c>
      <c r="H19" s="3"/>
      <c r="I19" s="3"/>
      <c r="J19" s="2">
        <v>4240.34</v>
      </c>
      <c r="K19" s="3"/>
      <c r="L19" s="3"/>
      <c r="M19" s="12">
        <v>6583.31</v>
      </c>
      <c r="N19" s="3"/>
      <c r="O19" s="3"/>
      <c r="P19" s="2">
        <v>1664.52</v>
      </c>
      <c r="Q19" s="3"/>
      <c r="R19" s="3"/>
      <c r="S19" s="2">
        <v>4918.79</v>
      </c>
      <c r="T19" s="3"/>
      <c r="U19" s="3"/>
      <c r="V19" s="3"/>
      <c r="W19" s="3"/>
      <c r="X19" s="3"/>
      <c r="Y19" s="3"/>
      <c r="Z19" s="13">
        <v>12</v>
      </c>
      <c r="AA19" s="3"/>
      <c r="AB19" s="3"/>
      <c r="AC19" s="4">
        <v>3</v>
      </c>
      <c r="AD19" s="3"/>
      <c r="AE19" s="3"/>
      <c r="AF19" s="4">
        <v>9</v>
      </c>
      <c r="AG19" s="3"/>
      <c r="AH19" s="3"/>
      <c r="AI19" s="12">
        <v>472.93916666666667</v>
      </c>
      <c r="AJ19" s="3"/>
      <c r="AK19" s="3"/>
      <c r="AL19" s="2">
        <v>478.31</v>
      </c>
      <c r="AM19" s="3"/>
      <c r="AN19" s="3"/>
      <c r="AO19" s="2">
        <v>471.14888888888891</v>
      </c>
      <c r="AP19" s="3"/>
      <c r="AQ19" s="3"/>
      <c r="AR19" s="13">
        <v>114</v>
      </c>
      <c r="AS19" s="3"/>
      <c r="AT19" s="3"/>
      <c r="AU19" s="4">
        <v>24</v>
      </c>
      <c r="AV19" s="3"/>
      <c r="AW19" s="3"/>
      <c r="AX19" s="4">
        <v>90</v>
      </c>
      <c r="AY19" s="3"/>
      <c r="AZ19" s="3"/>
    </row>
    <row r="20" spans="1:158" x14ac:dyDescent="0.2">
      <c r="A20" s="6" t="s">
        <v>47</v>
      </c>
      <c r="B20" s="1" t="s">
        <v>54</v>
      </c>
      <c r="C20" s="1" t="s">
        <v>55</v>
      </c>
      <c r="D20" s="12">
        <v>23384.31</v>
      </c>
      <c r="E20" s="2">
        <v>3971.57</v>
      </c>
      <c r="F20" s="2">
        <v>895.41</v>
      </c>
      <c r="G20" s="3"/>
      <c r="H20" s="2">
        <v>-1605.74</v>
      </c>
      <c r="I20" s="2">
        <v>9426.9500000000007</v>
      </c>
      <c r="J20" s="2">
        <v>10554.88</v>
      </c>
      <c r="K20" s="2">
        <v>141.24</v>
      </c>
      <c r="L20" s="3"/>
      <c r="M20" s="12">
        <v>27125.8</v>
      </c>
      <c r="N20" s="2">
        <v>4607.0200000000004</v>
      </c>
      <c r="O20" s="2">
        <v>1038.68</v>
      </c>
      <c r="P20" s="3"/>
      <c r="Q20" s="2">
        <v>-1862.66</v>
      </c>
      <c r="R20" s="2">
        <v>10935.26</v>
      </c>
      <c r="S20" s="2">
        <v>12243.66</v>
      </c>
      <c r="T20" s="2">
        <v>163.84</v>
      </c>
      <c r="U20" s="3"/>
      <c r="V20" s="3"/>
      <c r="W20" s="3"/>
      <c r="X20" s="3"/>
      <c r="Y20" s="3"/>
      <c r="Z20" s="13">
        <v>100</v>
      </c>
      <c r="AA20" s="4">
        <v>20</v>
      </c>
      <c r="AB20" s="3"/>
      <c r="AC20" s="3"/>
      <c r="AD20" s="3"/>
      <c r="AE20" s="4">
        <v>40</v>
      </c>
      <c r="AF20" s="4">
        <v>40</v>
      </c>
      <c r="AG20" s="3"/>
      <c r="AH20" s="3"/>
      <c r="AI20" s="12">
        <v>233.84309999999999</v>
      </c>
      <c r="AJ20" s="2">
        <v>198.57849999999999</v>
      </c>
      <c r="AK20" s="5" t="s">
        <v>33</v>
      </c>
      <c r="AL20" s="3"/>
      <c r="AM20" s="5" t="s">
        <v>33</v>
      </c>
      <c r="AN20" s="2">
        <v>235.67375000000001</v>
      </c>
      <c r="AO20" s="2">
        <v>263.87200000000001</v>
      </c>
      <c r="AP20" s="5" t="s">
        <v>33</v>
      </c>
      <c r="AQ20" s="3"/>
      <c r="AR20" s="13">
        <v>230</v>
      </c>
      <c r="AS20" s="3"/>
      <c r="AT20" s="4">
        <v>14</v>
      </c>
      <c r="AU20" s="3"/>
      <c r="AV20" s="4">
        <v>-50</v>
      </c>
      <c r="AW20" s="4">
        <v>62</v>
      </c>
      <c r="AX20" s="4">
        <v>200</v>
      </c>
      <c r="AY20" s="4">
        <v>4</v>
      </c>
      <c r="AZ20" s="3"/>
    </row>
    <row r="21" spans="1:158" s="29" customFormat="1" x14ac:dyDescent="0.2">
      <c r="A21" s="6" t="s">
        <v>47</v>
      </c>
      <c r="B21" s="1" t="s">
        <v>56</v>
      </c>
      <c r="C21" s="1" t="s">
        <v>57</v>
      </c>
      <c r="D21" s="12">
        <v>167018.69</v>
      </c>
      <c r="E21" s="2">
        <v>16214.58</v>
      </c>
      <c r="F21" s="2">
        <v>35966.11</v>
      </c>
      <c r="G21" s="2">
        <v>22165.79</v>
      </c>
      <c r="H21" s="2">
        <v>21962.28</v>
      </c>
      <c r="I21" s="2">
        <v>15513.6</v>
      </c>
      <c r="J21" s="2">
        <v>38367.480000000003</v>
      </c>
      <c r="K21" s="2">
        <v>16828.849999999999</v>
      </c>
      <c r="L21" s="3"/>
      <c r="M21" s="12">
        <v>193741.68</v>
      </c>
      <c r="N21" s="2">
        <v>18808.91</v>
      </c>
      <c r="O21" s="2">
        <v>41720.68</v>
      </c>
      <c r="P21" s="2">
        <v>25712.32</v>
      </c>
      <c r="Q21" s="2">
        <v>25476.25</v>
      </c>
      <c r="R21" s="2">
        <v>17995.78</v>
      </c>
      <c r="S21" s="2">
        <v>44506.27</v>
      </c>
      <c r="T21" s="2">
        <v>19521.47</v>
      </c>
      <c r="U21" s="3"/>
      <c r="V21" s="3"/>
      <c r="W21" s="3"/>
      <c r="X21" s="3"/>
      <c r="Y21" s="3"/>
      <c r="Z21" s="13">
        <v>275</v>
      </c>
      <c r="AA21" s="4">
        <v>37</v>
      </c>
      <c r="AB21" s="4">
        <v>43</v>
      </c>
      <c r="AC21" s="4">
        <v>22</v>
      </c>
      <c r="AD21" s="4">
        <v>38</v>
      </c>
      <c r="AE21" s="4">
        <v>36</v>
      </c>
      <c r="AF21" s="4">
        <v>70</v>
      </c>
      <c r="AG21" s="4">
        <v>29</v>
      </c>
      <c r="AH21" s="3"/>
      <c r="AI21" s="12">
        <v>607.34069090909088</v>
      </c>
      <c r="AJ21" s="2">
        <v>438.23189189189191</v>
      </c>
      <c r="AK21" s="2">
        <v>836.42116279069762</v>
      </c>
      <c r="AL21" s="2">
        <v>1007.5359090909091</v>
      </c>
      <c r="AM21" s="2">
        <v>577.95473684210526</v>
      </c>
      <c r="AN21" s="2">
        <v>430.93333333333334</v>
      </c>
      <c r="AO21" s="2">
        <v>548.10685714285717</v>
      </c>
      <c r="AP21" s="2">
        <v>580.30517241379312</v>
      </c>
      <c r="AQ21" s="3"/>
      <c r="AR21" s="13">
        <v>4064</v>
      </c>
      <c r="AS21" s="4">
        <v>616</v>
      </c>
      <c r="AT21" s="4">
        <v>604</v>
      </c>
      <c r="AU21" s="4">
        <v>720</v>
      </c>
      <c r="AV21" s="4">
        <v>498</v>
      </c>
      <c r="AW21" s="4">
        <v>526</v>
      </c>
      <c r="AX21" s="4">
        <v>750</v>
      </c>
      <c r="AY21" s="4">
        <v>350</v>
      </c>
      <c r="AZ21" s="3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</row>
    <row r="22" spans="1:158" s="41" customFormat="1" x14ac:dyDescent="0.2">
      <c r="A22" s="6" t="s">
        <v>47</v>
      </c>
      <c r="B22" s="1" t="s">
        <v>58</v>
      </c>
      <c r="C22" s="1" t="s">
        <v>59</v>
      </c>
      <c r="D22" s="12">
        <v>53607.54</v>
      </c>
      <c r="E22" s="3"/>
      <c r="F22" s="2">
        <v>1160.24</v>
      </c>
      <c r="G22" s="2">
        <v>24181.56</v>
      </c>
      <c r="H22" s="2">
        <v>1559.84</v>
      </c>
      <c r="I22" s="2">
        <v>20804.490000000002</v>
      </c>
      <c r="J22" s="2">
        <v>807.83</v>
      </c>
      <c r="K22" s="2">
        <v>3760.63</v>
      </c>
      <c r="L22" s="2">
        <v>1332.95</v>
      </c>
      <c r="M22" s="12">
        <v>62184.74</v>
      </c>
      <c r="N22" s="3"/>
      <c r="O22" s="2">
        <v>1345.88</v>
      </c>
      <c r="P22" s="2">
        <v>28050.63</v>
      </c>
      <c r="Q22" s="2">
        <v>1809.41</v>
      </c>
      <c r="R22" s="2">
        <v>24133.19</v>
      </c>
      <c r="S22" s="2">
        <v>937.08</v>
      </c>
      <c r="T22" s="2">
        <v>4362.33</v>
      </c>
      <c r="U22" s="2">
        <v>1546.22</v>
      </c>
      <c r="V22" s="2"/>
      <c r="W22" s="2"/>
      <c r="X22" s="2"/>
      <c r="Y22" s="2"/>
      <c r="Z22" s="13">
        <v>115</v>
      </c>
      <c r="AA22" s="3"/>
      <c r="AB22" s="3"/>
      <c r="AC22" s="4">
        <v>60</v>
      </c>
      <c r="AD22" s="3"/>
      <c r="AE22" s="4">
        <v>50</v>
      </c>
      <c r="AF22" s="3"/>
      <c r="AG22" s="4">
        <v>5</v>
      </c>
      <c r="AH22" s="3"/>
      <c r="AI22" s="12">
        <v>466.15252173913041</v>
      </c>
      <c r="AJ22" s="3"/>
      <c r="AK22" s="5" t="s">
        <v>33</v>
      </c>
      <c r="AL22" s="2">
        <v>403.02600000000001</v>
      </c>
      <c r="AM22" s="5" t="s">
        <v>33</v>
      </c>
      <c r="AN22" s="2">
        <v>416.08980000000003</v>
      </c>
      <c r="AO22" s="5" t="s">
        <v>33</v>
      </c>
      <c r="AP22" s="2">
        <v>752.12599999999998</v>
      </c>
      <c r="AQ22" s="5" t="s">
        <v>33</v>
      </c>
      <c r="AR22" s="13">
        <v>3446</v>
      </c>
      <c r="AS22" s="3"/>
      <c r="AT22" s="4">
        <v>164</v>
      </c>
      <c r="AU22" s="4">
        <v>1080</v>
      </c>
      <c r="AV22" s="4">
        <v>228</v>
      </c>
      <c r="AW22" s="4">
        <v>1440</v>
      </c>
      <c r="AX22" s="4">
        <v>130</v>
      </c>
      <c r="AY22" s="4">
        <v>286</v>
      </c>
      <c r="AZ22" s="4">
        <v>118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</row>
    <row r="23" spans="1:158" s="52" customFormat="1" x14ac:dyDescent="0.2">
      <c r="A23" s="53" t="s">
        <v>47</v>
      </c>
      <c r="B23" s="23" t="s">
        <v>60</v>
      </c>
      <c r="C23" s="23" t="s">
        <v>61</v>
      </c>
      <c r="D23" s="24">
        <v>16260.92</v>
      </c>
      <c r="E23" s="25">
        <v>3290.87</v>
      </c>
      <c r="F23" s="25">
        <v>5147.62</v>
      </c>
      <c r="G23" s="25">
        <v>6137.01</v>
      </c>
      <c r="H23" s="25">
        <v>1685.42</v>
      </c>
      <c r="I23" s="26"/>
      <c r="J23" s="26"/>
      <c r="K23" s="26"/>
      <c r="L23" s="26"/>
      <c r="M23" s="24">
        <v>17754.78</v>
      </c>
      <c r="N23" s="25">
        <v>3462.03</v>
      </c>
      <c r="O23" s="25">
        <v>5609.44</v>
      </c>
      <c r="P23" s="25">
        <v>6728.23</v>
      </c>
      <c r="Q23" s="25">
        <v>1955.08</v>
      </c>
      <c r="R23" s="26"/>
      <c r="S23" s="26"/>
      <c r="T23" s="26"/>
      <c r="U23" s="26"/>
      <c r="V23" s="26"/>
      <c r="W23" s="26"/>
      <c r="X23" s="26"/>
      <c r="Y23" s="26"/>
      <c r="Z23" s="27">
        <v>52</v>
      </c>
      <c r="AA23" s="28">
        <v>8</v>
      </c>
      <c r="AB23" s="28">
        <v>17</v>
      </c>
      <c r="AC23" s="28">
        <v>20</v>
      </c>
      <c r="AD23" s="28">
        <v>7</v>
      </c>
      <c r="AE23" s="26"/>
      <c r="AF23" s="26"/>
      <c r="AG23" s="26"/>
      <c r="AH23" s="26"/>
      <c r="AI23" s="24">
        <v>312.70999999999998</v>
      </c>
      <c r="AJ23" s="25">
        <v>411.35874999999999</v>
      </c>
      <c r="AK23" s="25">
        <v>302.80117647058825</v>
      </c>
      <c r="AL23" s="25">
        <v>306.85050000000001</v>
      </c>
      <c r="AM23" s="25">
        <v>240.7742857142857</v>
      </c>
      <c r="AN23" s="26"/>
      <c r="AO23" s="26"/>
      <c r="AP23" s="26"/>
      <c r="AQ23" s="26"/>
      <c r="AR23" s="27">
        <v>98</v>
      </c>
      <c r="AS23" s="28">
        <v>15</v>
      </c>
      <c r="AT23" s="28">
        <v>29</v>
      </c>
      <c r="AU23" s="28">
        <v>54</v>
      </c>
      <c r="AV23" s="26"/>
      <c r="AW23" s="26"/>
      <c r="AX23" s="26"/>
      <c r="AY23" s="26"/>
      <c r="AZ23" s="26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</row>
    <row r="24" spans="1:158" x14ac:dyDescent="0.2">
      <c r="A24" s="55" t="s">
        <v>47</v>
      </c>
      <c r="B24" s="33" t="s">
        <v>62</v>
      </c>
      <c r="C24" s="33" t="s">
        <v>63</v>
      </c>
      <c r="D24" s="34">
        <v>276.91000000000003</v>
      </c>
      <c r="E24" s="35"/>
      <c r="F24" s="36">
        <v>276.91000000000003</v>
      </c>
      <c r="G24" s="35"/>
      <c r="H24" s="35"/>
      <c r="I24" s="35"/>
      <c r="J24" s="35"/>
      <c r="K24" s="35"/>
      <c r="L24" s="35"/>
      <c r="M24" s="34">
        <v>321.22000000000003</v>
      </c>
      <c r="N24" s="35"/>
      <c r="O24" s="36">
        <v>321.22000000000003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9">
        <v>1</v>
      </c>
      <c r="AA24" s="35"/>
      <c r="AB24" s="40">
        <v>1</v>
      </c>
      <c r="AC24" s="35"/>
      <c r="AD24" s="35"/>
      <c r="AE24" s="35"/>
      <c r="AF24" s="35"/>
      <c r="AG24" s="35"/>
      <c r="AH24" s="35"/>
      <c r="AI24" s="34">
        <v>276.91000000000003</v>
      </c>
      <c r="AJ24" s="35"/>
      <c r="AK24" s="36">
        <v>276.91000000000003</v>
      </c>
      <c r="AL24" s="35"/>
      <c r="AM24" s="35"/>
      <c r="AN24" s="35"/>
      <c r="AO24" s="35"/>
      <c r="AP24" s="35"/>
      <c r="AQ24" s="35"/>
      <c r="AR24" s="39">
        <v>2</v>
      </c>
      <c r="AS24" s="35"/>
      <c r="AT24" s="40">
        <v>2</v>
      </c>
      <c r="AU24" s="35"/>
      <c r="AV24" s="35"/>
      <c r="AW24" s="35"/>
      <c r="AX24" s="35"/>
      <c r="AY24" s="35"/>
      <c r="AZ24" s="35"/>
    </row>
    <row r="25" spans="1:158" x14ac:dyDescent="0.2">
      <c r="A25" s="55" t="s">
        <v>47</v>
      </c>
      <c r="B25" s="33" t="s">
        <v>64</v>
      </c>
      <c r="C25" s="33" t="s">
        <v>65</v>
      </c>
      <c r="D25" s="34">
        <v>349.02</v>
      </c>
      <c r="E25" s="36">
        <v>349.02</v>
      </c>
      <c r="F25" s="35"/>
      <c r="G25" s="35"/>
      <c r="H25" s="35"/>
      <c r="I25" s="35"/>
      <c r="J25" s="35"/>
      <c r="K25" s="35"/>
      <c r="L25" s="35"/>
      <c r="M25" s="34">
        <v>404.86</v>
      </c>
      <c r="N25" s="36">
        <v>404.86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9">
        <v>1</v>
      </c>
      <c r="AA25" s="40">
        <v>1</v>
      </c>
      <c r="AB25" s="35"/>
      <c r="AC25" s="35"/>
      <c r="AD25" s="35"/>
      <c r="AE25" s="35"/>
      <c r="AF25" s="35"/>
      <c r="AG25" s="35"/>
      <c r="AH25" s="35"/>
      <c r="AI25" s="34">
        <v>349.02</v>
      </c>
      <c r="AJ25" s="36">
        <v>349.02</v>
      </c>
      <c r="AK25" s="35"/>
      <c r="AL25" s="35"/>
      <c r="AM25" s="35"/>
      <c r="AN25" s="35"/>
      <c r="AO25" s="35"/>
      <c r="AP25" s="35"/>
      <c r="AQ25" s="35"/>
      <c r="AR25" s="39">
        <v>4</v>
      </c>
      <c r="AS25" s="40">
        <v>4</v>
      </c>
      <c r="AT25" s="35"/>
      <c r="AU25" s="35"/>
      <c r="AV25" s="35"/>
      <c r="AW25" s="35"/>
      <c r="AX25" s="35"/>
      <c r="AY25" s="35"/>
      <c r="AZ25" s="35"/>
    </row>
    <row r="26" spans="1:158" x14ac:dyDescent="0.2">
      <c r="A26" s="6" t="s">
        <v>47</v>
      </c>
      <c r="B26" s="1" t="s">
        <v>66</v>
      </c>
      <c r="C26" s="1" t="s">
        <v>67</v>
      </c>
      <c r="D26" s="12">
        <v>30573.53</v>
      </c>
      <c r="E26" s="3"/>
      <c r="F26" s="2">
        <v>9418.98</v>
      </c>
      <c r="G26" s="2">
        <v>8075.6</v>
      </c>
      <c r="H26" s="2">
        <v>14229.84</v>
      </c>
      <c r="I26" s="2">
        <v>-1150.8900000000001</v>
      </c>
      <c r="J26" s="3"/>
      <c r="K26" s="3"/>
      <c r="L26" s="3"/>
      <c r="M26" s="12">
        <v>35465.300000000003</v>
      </c>
      <c r="N26" s="3"/>
      <c r="O26" s="2">
        <v>10926.02</v>
      </c>
      <c r="P26" s="2">
        <v>9367.7000000000007</v>
      </c>
      <c r="Q26" s="2">
        <v>16506.62</v>
      </c>
      <c r="R26" s="2">
        <v>-1335.04</v>
      </c>
      <c r="S26" s="3"/>
      <c r="T26" s="3"/>
      <c r="U26" s="3"/>
      <c r="V26" s="3"/>
      <c r="W26" s="3"/>
      <c r="X26" s="3"/>
      <c r="Y26" s="3"/>
      <c r="Z26" s="13">
        <v>40</v>
      </c>
      <c r="AA26" s="3"/>
      <c r="AB26" s="4">
        <v>10</v>
      </c>
      <c r="AC26" s="4">
        <v>10</v>
      </c>
      <c r="AD26" s="4">
        <v>20</v>
      </c>
      <c r="AE26" s="3"/>
      <c r="AF26" s="3"/>
      <c r="AG26" s="3"/>
      <c r="AH26" s="3"/>
      <c r="AI26" s="12">
        <v>764.33825000000002</v>
      </c>
      <c r="AJ26" s="3"/>
      <c r="AK26" s="2">
        <v>941.89800000000002</v>
      </c>
      <c r="AL26" s="2">
        <v>807.56</v>
      </c>
      <c r="AM26" s="2">
        <v>711.49199999999996</v>
      </c>
      <c r="AN26" s="5" t="s">
        <v>33</v>
      </c>
      <c r="AO26" s="3"/>
      <c r="AP26" s="3"/>
      <c r="AQ26" s="3"/>
      <c r="AR26" s="13">
        <v>2722</v>
      </c>
      <c r="AS26" s="3"/>
      <c r="AT26" s="4">
        <v>1052</v>
      </c>
      <c r="AU26" s="4">
        <v>784</v>
      </c>
      <c r="AV26" s="4">
        <v>1226</v>
      </c>
      <c r="AW26" s="4">
        <v>-340</v>
      </c>
      <c r="AX26" s="3"/>
      <c r="AY26" s="3"/>
      <c r="AZ26" s="3"/>
    </row>
    <row r="27" spans="1:158" x14ac:dyDescent="0.2">
      <c r="A27" s="6" t="s">
        <v>47</v>
      </c>
      <c r="B27" s="1" t="s">
        <v>68</v>
      </c>
      <c r="C27" s="1" t="s">
        <v>69</v>
      </c>
      <c r="D27" s="12">
        <v>3362.42</v>
      </c>
      <c r="E27" s="2">
        <v>1937.5</v>
      </c>
      <c r="F27" s="3"/>
      <c r="G27" s="3"/>
      <c r="H27" s="3"/>
      <c r="I27" s="3"/>
      <c r="J27" s="2">
        <v>1424.92</v>
      </c>
      <c r="K27" s="3"/>
      <c r="L27" s="3"/>
      <c r="M27" s="12">
        <v>3900.41</v>
      </c>
      <c r="N27" s="2">
        <v>2247.5</v>
      </c>
      <c r="O27" s="3"/>
      <c r="P27" s="3"/>
      <c r="Q27" s="3"/>
      <c r="R27" s="3"/>
      <c r="S27" s="2">
        <v>1652.91</v>
      </c>
      <c r="T27" s="3"/>
      <c r="U27" s="3"/>
      <c r="V27" s="3"/>
      <c r="W27" s="3"/>
      <c r="X27" s="3"/>
      <c r="Y27" s="3"/>
      <c r="Z27" s="17"/>
      <c r="AA27" s="3"/>
      <c r="AB27" s="3"/>
      <c r="AC27" s="3"/>
      <c r="AD27" s="3"/>
      <c r="AE27" s="3"/>
      <c r="AF27" s="3"/>
      <c r="AG27" s="3"/>
      <c r="AH27" s="3"/>
      <c r="AI27" s="16" t="s">
        <v>33</v>
      </c>
      <c r="AJ27" s="5" t="s">
        <v>33</v>
      </c>
      <c r="AK27" s="3"/>
      <c r="AL27" s="3"/>
      <c r="AM27" s="3"/>
      <c r="AN27" s="3"/>
      <c r="AO27" s="5" t="s">
        <v>33</v>
      </c>
      <c r="AP27" s="3"/>
      <c r="AQ27" s="3"/>
      <c r="AR27" s="13">
        <v>78</v>
      </c>
      <c r="AS27" s="4">
        <v>50</v>
      </c>
      <c r="AT27" s="3"/>
      <c r="AU27" s="3"/>
      <c r="AV27" s="3"/>
      <c r="AW27" s="3"/>
      <c r="AX27" s="4">
        <v>28</v>
      </c>
      <c r="AY27" s="3"/>
      <c r="AZ27" s="3"/>
    </row>
    <row r="28" spans="1:158" x14ac:dyDescent="0.2">
      <c r="A28" s="53" t="s">
        <v>47</v>
      </c>
      <c r="B28" s="23" t="s">
        <v>70</v>
      </c>
      <c r="C28" s="23" t="s">
        <v>71</v>
      </c>
      <c r="D28" s="24">
        <v>636659.68000000005</v>
      </c>
      <c r="E28" s="25">
        <v>137782.41</v>
      </c>
      <c r="F28" s="25">
        <v>108067.26</v>
      </c>
      <c r="G28" s="25">
        <v>103963.26</v>
      </c>
      <c r="H28" s="25">
        <v>89899.19</v>
      </c>
      <c r="I28" s="25">
        <v>61181.7</v>
      </c>
      <c r="J28" s="25">
        <v>49220.06</v>
      </c>
      <c r="K28" s="25">
        <v>47578.59</v>
      </c>
      <c r="L28" s="25">
        <v>38967.21</v>
      </c>
      <c r="M28" s="24">
        <v>738525.22</v>
      </c>
      <c r="N28" s="25">
        <v>159827.59</v>
      </c>
      <c r="O28" s="25">
        <v>125358.02</v>
      </c>
      <c r="P28" s="25">
        <v>120597.38</v>
      </c>
      <c r="Q28" s="25">
        <v>104283.06</v>
      </c>
      <c r="R28" s="25">
        <v>70970.77</v>
      </c>
      <c r="S28" s="25">
        <v>57095.27</v>
      </c>
      <c r="T28" s="25">
        <v>55191.16</v>
      </c>
      <c r="U28" s="25">
        <v>45201.97</v>
      </c>
      <c r="V28" s="25"/>
      <c r="W28" s="25"/>
      <c r="X28" s="25"/>
      <c r="Y28" s="25"/>
      <c r="Z28" s="27">
        <v>3244</v>
      </c>
      <c r="AA28" s="28">
        <v>627</v>
      </c>
      <c r="AB28" s="28">
        <v>571</v>
      </c>
      <c r="AC28" s="28">
        <v>471</v>
      </c>
      <c r="AD28" s="28">
        <v>488</v>
      </c>
      <c r="AE28" s="28">
        <v>359</v>
      </c>
      <c r="AF28" s="28">
        <v>269</v>
      </c>
      <c r="AG28" s="28">
        <v>228</v>
      </c>
      <c r="AH28" s="28">
        <v>231</v>
      </c>
      <c r="AI28" s="24">
        <v>196.257607891492</v>
      </c>
      <c r="AJ28" s="25">
        <v>219.74866028708135</v>
      </c>
      <c r="AK28" s="25">
        <v>189.25964973730299</v>
      </c>
      <c r="AL28" s="25">
        <v>220.72878980891721</v>
      </c>
      <c r="AM28" s="25">
        <v>184.21965163934425</v>
      </c>
      <c r="AN28" s="25">
        <v>170.42256267409471</v>
      </c>
      <c r="AO28" s="25">
        <v>182.97420074349441</v>
      </c>
      <c r="AP28" s="25">
        <v>208.67802631578948</v>
      </c>
      <c r="AQ28" s="25">
        <v>168.68922077922079</v>
      </c>
      <c r="AR28" s="27">
        <v>2996</v>
      </c>
      <c r="AS28" s="28">
        <v>1078</v>
      </c>
      <c r="AT28" s="28">
        <v>360</v>
      </c>
      <c r="AU28" s="28">
        <v>680</v>
      </c>
      <c r="AV28" s="28">
        <v>342</v>
      </c>
      <c r="AW28" s="28">
        <v>156</v>
      </c>
      <c r="AX28" s="28">
        <v>120</v>
      </c>
      <c r="AY28" s="28">
        <v>186</v>
      </c>
      <c r="AZ28" s="28">
        <v>74</v>
      </c>
    </row>
    <row r="29" spans="1:158" s="52" customFormat="1" x14ac:dyDescent="0.2">
      <c r="A29" s="6" t="s">
        <v>47</v>
      </c>
      <c r="B29" s="1" t="s">
        <v>72</v>
      </c>
      <c r="C29" s="1" t="s">
        <v>73</v>
      </c>
      <c r="D29" s="12">
        <v>88021.04</v>
      </c>
      <c r="E29" s="2">
        <v>21955.63</v>
      </c>
      <c r="F29" s="2">
        <v>7756.19</v>
      </c>
      <c r="G29" s="2">
        <v>6818.36</v>
      </c>
      <c r="H29" s="2">
        <v>23282.49</v>
      </c>
      <c r="I29" s="2">
        <v>2722.04</v>
      </c>
      <c r="J29" s="2">
        <v>4022.46</v>
      </c>
      <c r="K29" s="2">
        <v>21463.87</v>
      </c>
      <c r="L29" s="3"/>
      <c r="M29" s="12">
        <v>102104.41</v>
      </c>
      <c r="N29" s="2">
        <v>25468.53</v>
      </c>
      <c r="O29" s="2">
        <v>8997.18</v>
      </c>
      <c r="P29" s="2">
        <v>7909.3</v>
      </c>
      <c r="Q29" s="2">
        <v>27007.69</v>
      </c>
      <c r="R29" s="2">
        <v>3157.57</v>
      </c>
      <c r="S29" s="2">
        <v>4666.05</v>
      </c>
      <c r="T29" s="2">
        <v>24898.09</v>
      </c>
      <c r="U29" s="3"/>
      <c r="V29" s="3"/>
      <c r="W29" s="3"/>
      <c r="X29" s="3"/>
      <c r="Y29" s="3"/>
      <c r="Z29" s="13">
        <v>201</v>
      </c>
      <c r="AA29" s="4">
        <v>52</v>
      </c>
      <c r="AB29" s="4">
        <v>20</v>
      </c>
      <c r="AC29" s="4">
        <v>17</v>
      </c>
      <c r="AD29" s="4">
        <v>44</v>
      </c>
      <c r="AE29" s="4">
        <v>8</v>
      </c>
      <c r="AF29" s="4">
        <v>11</v>
      </c>
      <c r="AG29" s="4">
        <v>49</v>
      </c>
      <c r="AH29" s="3"/>
      <c r="AI29" s="12">
        <v>437.91562189054724</v>
      </c>
      <c r="AJ29" s="2">
        <v>422.22365384615387</v>
      </c>
      <c r="AK29" s="2">
        <v>387.80950000000001</v>
      </c>
      <c r="AL29" s="2">
        <v>401.08</v>
      </c>
      <c r="AM29" s="2">
        <v>529.14750000000004</v>
      </c>
      <c r="AN29" s="2">
        <v>340.255</v>
      </c>
      <c r="AO29" s="2">
        <v>365.67818181818183</v>
      </c>
      <c r="AP29" s="2">
        <v>438.03816326530614</v>
      </c>
      <c r="AQ29" s="3"/>
      <c r="AR29" s="13">
        <v>5078</v>
      </c>
      <c r="AS29" s="4">
        <v>1368</v>
      </c>
      <c r="AT29" s="4">
        <v>380</v>
      </c>
      <c r="AU29" s="4">
        <v>350</v>
      </c>
      <c r="AV29" s="4">
        <v>1520</v>
      </c>
      <c r="AW29" s="4">
        <v>96</v>
      </c>
      <c r="AX29" s="4">
        <v>188</v>
      </c>
      <c r="AY29" s="4">
        <v>1176</v>
      </c>
      <c r="AZ29" s="3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</row>
    <row r="30" spans="1:158" x14ac:dyDescent="0.2">
      <c r="A30" s="55" t="s">
        <v>47</v>
      </c>
      <c r="B30" s="33" t="s">
        <v>74</v>
      </c>
      <c r="C30" s="33" t="s">
        <v>75</v>
      </c>
      <c r="D30" s="34">
        <v>546.70000000000005</v>
      </c>
      <c r="E30" s="35"/>
      <c r="F30" s="36">
        <v>102.06</v>
      </c>
      <c r="G30" s="35"/>
      <c r="H30" s="36">
        <v>204.77</v>
      </c>
      <c r="I30" s="36">
        <v>102.72</v>
      </c>
      <c r="J30" s="35"/>
      <c r="K30" s="36">
        <v>137.15</v>
      </c>
      <c r="L30" s="35"/>
      <c r="M30" s="34">
        <v>634.16999999999996</v>
      </c>
      <c r="N30" s="35"/>
      <c r="O30" s="36">
        <v>118.39</v>
      </c>
      <c r="P30" s="35"/>
      <c r="Q30" s="36">
        <v>237.53</v>
      </c>
      <c r="R30" s="36">
        <v>119.16</v>
      </c>
      <c r="S30" s="35"/>
      <c r="T30" s="36">
        <v>159.09</v>
      </c>
      <c r="U30" s="35"/>
      <c r="V30" s="35"/>
      <c r="W30" s="35"/>
      <c r="X30" s="35"/>
      <c r="Y30" s="35"/>
      <c r="Z30" s="42"/>
      <c r="AA30" s="35"/>
      <c r="AB30" s="35"/>
      <c r="AC30" s="35"/>
      <c r="AD30" s="35"/>
      <c r="AE30" s="35"/>
      <c r="AF30" s="35"/>
      <c r="AG30" s="35"/>
      <c r="AH30" s="35"/>
      <c r="AI30" s="37" t="s">
        <v>33</v>
      </c>
      <c r="AJ30" s="35"/>
      <c r="AK30" s="38" t="s">
        <v>33</v>
      </c>
      <c r="AL30" s="35"/>
      <c r="AM30" s="38" t="s">
        <v>33</v>
      </c>
      <c r="AN30" s="38" t="s">
        <v>33</v>
      </c>
      <c r="AO30" s="35"/>
      <c r="AP30" s="38" t="s">
        <v>33</v>
      </c>
      <c r="AQ30" s="35"/>
      <c r="AR30" s="39">
        <v>32</v>
      </c>
      <c r="AS30" s="35"/>
      <c r="AT30" s="40">
        <v>6</v>
      </c>
      <c r="AU30" s="35"/>
      <c r="AV30" s="40">
        <v>12</v>
      </c>
      <c r="AW30" s="40">
        <v>6</v>
      </c>
      <c r="AX30" s="35"/>
      <c r="AY30" s="40">
        <v>8</v>
      </c>
      <c r="AZ30" s="35"/>
    </row>
    <row r="31" spans="1:158" x14ac:dyDescent="0.2">
      <c r="A31" s="6" t="s">
        <v>47</v>
      </c>
      <c r="B31" s="1" t="s">
        <v>76</v>
      </c>
      <c r="C31" s="1" t="s">
        <v>77</v>
      </c>
      <c r="D31" s="12">
        <v>273273.49</v>
      </c>
      <c r="E31" s="2">
        <v>75201.240000000005</v>
      </c>
      <c r="F31" s="2">
        <v>27351.7</v>
      </c>
      <c r="G31" s="2">
        <v>25822.99</v>
      </c>
      <c r="H31" s="2">
        <v>35089.03</v>
      </c>
      <c r="I31" s="2">
        <v>27074.97</v>
      </c>
      <c r="J31" s="2">
        <v>35512.61</v>
      </c>
      <c r="K31" s="2">
        <v>47220.95</v>
      </c>
      <c r="L31" s="3"/>
      <c r="M31" s="12">
        <v>316997.21000000002</v>
      </c>
      <c r="N31" s="2">
        <v>87233.44</v>
      </c>
      <c r="O31" s="2">
        <v>31727.95</v>
      </c>
      <c r="P31" s="2">
        <v>29954.66</v>
      </c>
      <c r="Q31" s="2">
        <v>40703.269999999997</v>
      </c>
      <c r="R31" s="2">
        <v>31406.97</v>
      </c>
      <c r="S31" s="2">
        <v>41194.620000000003</v>
      </c>
      <c r="T31" s="2">
        <v>54776.3</v>
      </c>
      <c r="U31" s="3"/>
      <c r="V31" s="3"/>
      <c r="W31" s="3"/>
      <c r="X31" s="3"/>
      <c r="Y31" s="3"/>
      <c r="Z31" s="13">
        <v>354</v>
      </c>
      <c r="AA31" s="4">
        <v>80</v>
      </c>
      <c r="AB31" s="4">
        <v>44</v>
      </c>
      <c r="AC31" s="4">
        <v>47</v>
      </c>
      <c r="AD31" s="4">
        <v>54</v>
      </c>
      <c r="AE31" s="4">
        <v>46</v>
      </c>
      <c r="AF31" s="4">
        <v>36</v>
      </c>
      <c r="AG31" s="4">
        <v>47</v>
      </c>
      <c r="AH31" s="3"/>
      <c r="AI31" s="12">
        <v>771.95901129943502</v>
      </c>
      <c r="AJ31" s="2">
        <v>940.01549999999997</v>
      </c>
      <c r="AK31" s="2">
        <v>621.62954545454545</v>
      </c>
      <c r="AL31" s="2">
        <v>549.42531914893618</v>
      </c>
      <c r="AM31" s="2">
        <v>649.7968518518519</v>
      </c>
      <c r="AN31" s="2">
        <v>588.58630434782606</v>
      </c>
      <c r="AO31" s="2">
        <v>986.46138888888891</v>
      </c>
      <c r="AP31" s="2">
        <v>1004.7010638297872</v>
      </c>
      <c r="AQ31" s="3"/>
      <c r="AR31" s="13">
        <v>12375.6</v>
      </c>
      <c r="AS31" s="4">
        <v>3495.8</v>
      </c>
      <c r="AT31" s="4">
        <v>1203.8</v>
      </c>
      <c r="AU31" s="4">
        <v>1629.4</v>
      </c>
      <c r="AV31" s="4">
        <v>1455.8</v>
      </c>
      <c r="AW31" s="4">
        <v>1166.5999999999999</v>
      </c>
      <c r="AX31" s="4">
        <v>1854.4</v>
      </c>
      <c r="AY31" s="4">
        <v>1569.8</v>
      </c>
      <c r="AZ31" s="3"/>
    </row>
    <row r="32" spans="1:158" x14ac:dyDescent="0.2">
      <c r="A32" s="53" t="s">
        <v>47</v>
      </c>
      <c r="B32" s="23" t="s">
        <v>78</v>
      </c>
      <c r="C32" s="23" t="s">
        <v>79</v>
      </c>
      <c r="D32" s="24">
        <v>102898.57</v>
      </c>
      <c r="E32" s="25">
        <v>18667.939999999999</v>
      </c>
      <c r="F32" s="25">
        <v>14264.81</v>
      </c>
      <c r="G32" s="25">
        <v>11311.5</v>
      </c>
      <c r="H32" s="25">
        <v>19095.580000000002</v>
      </c>
      <c r="I32" s="25">
        <v>14703.56</v>
      </c>
      <c r="J32" s="25">
        <v>16903.8</v>
      </c>
      <c r="K32" s="25">
        <v>1722.13</v>
      </c>
      <c r="L32" s="25">
        <v>6229.25</v>
      </c>
      <c r="M32" s="24">
        <v>119362.33</v>
      </c>
      <c r="N32" s="25">
        <v>21654.799999999999</v>
      </c>
      <c r="O32" s="25">
        <v>16547.18</v>
      </c>
      <c r="P32" s="25">
        <v>13121.34</v>
      </c>
      <c r="Q32" s="25">
        <v>22150.87</v>
      </c>
      <c r="R32" s="25">
        <v>17056.13</v>
      </c>
      <c r="S32" s="25">
        <v>19608.41</v>
      </c>
      <c r="T32" s="25">
        <v>1997.67</v>
      </c>
      <c r="U32" s="25">
        <v>7225.93</v>
      </c>
      <c r="V32" s="25"/>
      <c r="W32" s="25"/>
      <c r="X32" s="25"/>
      <c r="Y32" s="25"/>
      <c r="Z32" s="27">
        <v>619</v>
      </c>
      <c r="AA32" s="28">
        <v>103</v>
      </c>
      <c r="AB32" s="28">
        <v>88</v>
      </c>
      <c r="AC32" s="28">
        <v>72</v>
      </c>
      <c r="AD32" s="28">
        <v>110</v>
      </c>
      <c r="AE32" s="28">
        <v>91</v>
      </c>
      <c r="AF32" s="28">
        <v>112</v>
      </c>
      <c r="AG32" s="28">
        <v>6</v>
      </c>
      <c r="AH32" s="28">
        <v>37</v>
      </c>
      <c r="AI32" s="24">
        <v>166.23355411954765</v>
      </c>
      <c r="AJ32" s="25">
        <v>181.24213592233011</v>
      </c>
      <c r="AK32" s="25">
        <v>162.10011363636363</v>
      </c>
      <c r="AL32" s="25">
        <v>157.10416666666666</v>
      </c>
      <c r="AM32" s="25">
        <v>173.59618181818183</v>
      </c>
      <c r="AN32" s="25">
        <v>161.57758241758242</v>
      </c>
      <c r="AO32" s="25">
        <v>150.9267857142857</v>
      </c>
      <c r="AP32" s="25">
        <v>287.02166666666665</v>
      </c>
      <c r="AQ32" s="25">
        <v>168.3581081081081</v>
      </c>
      <c r="AR32" s="27">
        <v>334</v>
      </c>
      <c r="AS32" s="28">
        <v>62</v>
      </c>
      <c r="AT32" s="28">
        <v>94</v>
      </c>
      <c r="AU32" s="28">
        <v>8</v>
      </c>
      <c r="AV32" s="28">
        <v>74</v>
      </c>
      <c r="AW32" s="28">
        <v>54</v>
      </c>
      <c r="AX32" s="28">
        <v>18</v>
      </c>
      <c r="AY32" s="26"/>
      <c r="AZ32" s="28">
        <v>24</v>
      </c>
    </row>
    <row r="33" spans="1:158" x14ac:dyDescent="0.2">
      <c r="A33" s="54" t="s">
        <v>47</v>
      </c>
      <c r="B33" s="43" t="s">
        <v>80</v>
      </c>
      <c r="C33" s="43" t="s">
        <v>81</v>
      </c>
      <c r="D33" s="44">
        <v>5176.57</v>
      </c>
      <c r="E33" s="45">
        <v>5176.57</v>
      </c>
      <c r="F33" s="46"/>
      <c r="G33" s="46"/>
      <c r="H33" s="46"/>
      <c r="I33" s="46"/>
      <c r="J33" s="46"/>
      <c r="K33" s="46"/>
      <c r="L33" s="46"/>
      <c r="M33" s="44">
        <v>6004.82</v>
      </c>
      <c r="N33" s="45">
        <v>6004.82</v>
      </c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50">
        <v>11</v>
      </c>
      <c r="AA33" s="51">
        <v>11</v>
      </c>
      <c r="AB33" s="46"/>
      <c r="AC33" s="46"/>
      <c r="AD33" s="46"/>
      <c r="AE33" s="46"/>
      <c r="AF33" s="46"/>
      <c r="AG33" s="46"/>
      <c r="AH33" s="46"/>
      <c r="AI33" s="44">
        <v>470.59727272727275</v>
      </c>
      <c r="AJ33" s="45">
        <v>470.59727272727275</v>
      </c>
      <c r="AK33" s="46"/>
      <c r="AL33" s="46"/>
      <c r="AM33" s="46"/>
      <c r="AN33" s="46"/>
      <c r="AO33" s="46"/>
      <c r="AP33" s="46"/>
      <c r="AQ33" s="46"/>
      <c r="AR33" s="50">
        <v>383.2</v>
      </c>
      <c r="AS33" s="51">
        <v>383.2</v>
      </c>
      <c r="AT33" s="46"/>
      <c r="AU33" s="46"/>
      <c r="AV33" s="46"/>
      <c r="AW33" s="46"/>
      <c r="AX33" s="46"/>
      <c r="AY33" s="46"/>
      <c r="AZ33" s="46"/>
    </row>
    <row r="34" spans="1:158" s="52" customFormat="1" x14ac:dyDescent="0.2">
      <c r="A34" s="6" t="s">
        <v>47</v>
      </c>
      <c r="B34" s="1" t="s">
        <v>82</v>
      </c>
      <c r="C34" s="1" t="s">
        <v>83</v>
      </c>
      <c r="D34" s="12">
        <v>145530.18</v>
      </c>
      <c r="E34" s="3"/>
      <c r="F34" s="2">
        <v>227.65</v>
      </c>
      <c r="G34" s="2">
        <v>60435.05</v>
      </c>
      <c r="H34" s="2">
        <v>10422.56</v>
      </c>
      <c r="I34" s="3"/>
      <c r="J34" s="2">
        <v>69835.710000000006</v>
      </c>
      <c r="K34" s="2">
        <v>4609.21</v>
      </c>
      <c r="L34" s="3"/>
      <c r="M34" s="12">
        <v>168815</v>
      </c>
      <c r="N34" s="3"/>
      <c r="O34" s="2">
        <v>264.07</v>
      </c>
      <c r="P34" s="2">
        <v>70104.66</v>
      </c>
      <c r="Q34" s="2">
        <v>12090.17</v>
      </c>
      <c r="R34" s="3"/>
      <c r="S34" s="2">
        <v>81009.42</v>
      </c>
      <c r="T34" s="2">
        <v>5346.68</v>
      </c>
      <c r="U34" s="3"/>
      <c r="V34" s="3"/>
      <c r="W34" s="3"/>
      <c r="X34" s="3"/>
      <c r="Y34" s="3"/>
      <c r="Z34" s="13">
        <v>499</v>
      </c>
      <c r="AA34" s="3"/>
      <c r="AB34" s="4">
        <v>1</v>
      </c>
      <c r="AC34" s="4">
        <v>215</v>
      </c>
      <c r="AD34" s="4">
        <v>36</v>
      </c>
      <c r="AE34" s="3"/>
      <c r="AF34" s="4">
        <v>229</v>
      </c>
      <c r="AG34" s="4">
        <v>18</v>
      </c>
      <c r="AH34" s="3"/>
      <c r="AI34" s="12">
        <v>291.64364729458919</v>
      </c>
      <c r="AJ34" s="3"/>
      <c r="AK34" s="2">
        <v>227.65</v>
      </c>
      <c r="AL34" s="2">
        <v>281.09325581395348</v>
      </c>
      <c r="AM34" s="2">
        <v>289.51555555555558</v>
      </c>
      <c r="AN34" s="3"/>
      <c r="AO34" s="2">
        <v>304.95943231441049</v>
      </c>
      <c r="AP34" s="2">
        <v>256.0672222222222</v>
      </c>
      <c r="AQ34" s="3"/>
      <c r="AR34" s="13">
        <v>3750</v>
      </c>
      <c r="AS34" s="3"/>
      <c r="AT34" s="3"/>
      <c r="AU34" s="4">
        <v>1382</v>
      </c>
      <c r="AV34" s="4">
        <v>178</v>
      </c>
      <c r="AW34" s="3"/>
      <c r="AX34" s="4">
        <v>2138</v>
      </c>
      <c r="AY34" s="4">
        <v>52</v>
      </c>
      <c r="AZ34" s="3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</row>
    <row r="35" spans="1:158" s="41" customFormat="1" x14ac:dyDescent="0.2">
      <c r="A35" s="6" t="s">
        <v>47</v>
      </c>
      <c r="B35" s="1" t="s">
        <v>84</v>
      </c>
      <c r="C35" s="1" t="s">
        <v>85</v>
      </c>
      <c r="D35" s="12">
        <v>5258.34</v>
      </c>
      <c r="E35" s="2">
        <v>945.17</v>
      </c>
      <c r="F35" s="2">
        <v>899.03</v>
      </c>
      <c r="G35" s="2">
        <v>411.82</v>
      </c>
      <c r="H35" s="2">
        <v>916.42</v>
      </c>
      <c r="I35" s="3"/>
      <c r="J35" s="2">
        <v>1335.53</v>
      </c>
      <c r="K35" s="3"/>
      <c r="L35" s="2">
        <v>750.37</v>
      </c>
      <c r="M35" s="12">
        <v>6099.66</v>
      </c>
      <c r="N35" s="2">
        <v>1096.3900000000001</v>
      </c>
      <c r="O35" s="2">
        <v>1042.8699999999999</v>
      </c>
      <c r="P35" s="2">
        <v>477.71</v>
      </c>
      <c r="Q35" s="2">
        <v>1063.05</v>
      </c>
      <c r="R35" s="3"/>
      <c r="S35" s="2">
        <v>1549.21</v>
      </c>
      <c r="T35" s="3"/>
      <c r="U35" s="2">
        <v>870.43</v>
      </c>
      <c r="V35" s="2"/>
      <c r="W35" s="2"/>
      <c r="X35" s="2"/>
      <c r="Y35" s="2"/>
      <c r="Z35" s="13">
        <v>8</v>
      </c>
      <c r="AA35" s="4">
        <v>1</v>
      </c>
      <c r="AB35" s="4">
        <v>1</v>
      </c>
      <c r="AC35" s="4">
        <v>1</v>
      </c>
      <c r="AD35" s="4">
        <v>1</v>
      </c>
      <c r="AE35" s="3"/>
      <c r="AF35" s="4">
        <v>2</v>
      </c>
      <c r="AG35" s="3"/>
      <c r="AH35" s="4">
        <v>2</v>
      </c>
      <c r="AI35" s="12">
        <v>657.29250000000002</v>
      </c>
      <c r="AJ35" s="2">
        <v>945.17</v>
      </c>
      <c r="AK35" s="2">
        <v>899.03</v>
      </c>
      <c r="AL35" s="2">
        <v>411.82</v>
      </c>
      <c r="AM35" s="2">
        <v>916.42</v>
      </c>
      <c r="AN35" s="3"/>
      <c r="AO35" s="2">
        <v>667.76499999999999</v>
      </c>
      <c r="AP35" s="3"/>
      <c r="AQ35" s="2">
        <v>375.185</v>
      </c>
      <c r="AR35" s="13">
        <v>114</v>
      </c>
      <c r="AS35" s="4">
        <v>26</v>
      </c>
      <c r="AT35" s="4">
        <v>24</v>
      </c>
      <c r="AU35" s="4">
        <v>4</v>
      </c>
      <c r="AV35" s="4">
        <v>24</v>
      </c>
      <c r="AW35" s="3"/>
      <c r="AX35" s="4">
        <v>28</v>
      </c>
      <c r="AY35" s="3"/>
      <c r="AZ35" s="4">
        <v>8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</row>
    <row r="36" spans="1:158" x14ac:dyDescent="0.2">
      <c r="A36" s="53" t="s">
        <v>47</v>
      </c>
      <c r="B36" s="23" t="s">
        <v>86</v>
      </c>
      <c r="C36" s="23" t="s">
        <v>87</v>
      </c>
      <c r="D36" s="24">
        <v>4057546.75</v>
      </c>
      <c r="E36" s="25">
        <v>1649928.83</v>
      </c>
      <c r="F36" s="25">
        <v>1226464.05</v>
      </c>
      <c r="G36" s="25">
        <v>1181153.8700000001</v>
      </c>
      <c r="H36" s="26"/>
      <c r="I36" s="26"/>
      <c r="J36" s="26"/>
      <c r="K36" s="26"/>
      <c r="L36" s="26"/>
      <c r="M36" s="24">
        <v>4706754.2300000004</v>
      </c>
      <c r="N36" s="25">
        <v>1913917.4399999999</v>
      </c>
      <c r="O36" s="25">
        <v>1422698.3</v>
      </c>
      <c r="P36" s="25">
        <v>1370138.49</v>
      </c>
      <c r="Q36" s="26"/>
      <c r="R36" s="26"/>
      <c r="S36" s="26"/>
      <c r="T36" s="26"/>
      <c r="U36" s="26"/>
      <c r="V36" s="26"/>
      <c r="W36" s="26"/>
      <c r="X36" s="26"/>
      <c r="Y36" s="26"/>
      <c r="Z36" s="27">
        <v>7703</v>
      </c>
      <c r="AA36" s="28">
        <v>3704</v>
      </c>
      <c r="AB36" s="28">
        <v>2057</v>
      </c>
      <c r="AC36" s="28">
        <v>1942</v>
      </c>
      <c r="AD36" s="26"/>
      <c r="AE36" s="26"/>
      <c r="AF36" s="26"/>
      <c r="AG36" s="26"/>
      <c r="AH36" s="26"/>
      <c r="AI36" s="24">
        <v>526.74889653381797</v>
      </c>
      <c r="AJ36" s="25">
        <v>445.44514848812094</v>
      </c>
      <c r="AK36" s="25">
        <v>596.23920758385998</v>
      </c>
      <c r="AL36" s="25">
        <v>608.21517507723991</v>
      </c>
      <c r="AM36" s="26"/>
      <c r="AN36" s="26"/>
      <c r="AO36" s="26"/>
      <c r="AP36" s="26"/>
      <c r="AQ36" s="26"/>
      <c r="AR36" s="27">
        <v>338698</v>
      </c>
      <c r="AS36" s="28">
        <v>125986</v>
      </c>
      <c r="AT36" s="28">
        <v>113856</v>
      </c>
      <c r="AU36" s="28">
        <v>98856</v>
      </c>
      <c r="AV36" s="26"/>
      <c r="AW36" s="26"/>
      <c r="AX36" s="26"/>
      <c r="AY36" s="26"/>
      <c r="AZ36" s="26"/>
    </row>
    <row r="37" spans="1:158" s="41" customFormat="1" x14ac:dyDescent="0.2">
      <c r="A37" s="54" t="s">
        <v>47</v>
      </c>
      <c r="B37" s="43" t="s">
        <v>88</v>
      </c>
      <c r="C37" s="43" t="s">
        <v>89</v>
      </c>
      <c r="D37" s="44">
        <v>1837.62</v>
      </c>
      <c r="E37" s="46"/>
      <c r="F37" s="46"/>
      <c r="G37" s="46"/>
      <c r="H37" s="46"/>
      <c r="I37" s="46"/>
      <c r="J37" s="45">
        <v>1837.62</v>
      </c>
      <c r="K37" s="46"/>
      <c r="L37" s="46"/>
      <c r="M37" s="44">
        <v>2131.64</v>
      </c>
      <c r="N37" s="46"/>
      <c r="O37" s="46"/>
      <c r="P37" s="46"/>
      <c r="Q37" s="46"/>
      <c r="R37" s="46"/>
      <c r="S37" s="45">
        <v>2131.64</v>
      </c>
      <c r="T37" s="46"/>
      <c r="U37" s="46"/>
      <c r="V37" s="46"/>
      <c r="W37" s="46"/>
      <c r="X37" s="46"/>
      <c r="Y37" s="46"/>
      <c r="Z37" s="50">
        <v>2</v>
      </c>
      <c r="AA37" s="46"/>
      <c r="AB37" s="46"/>
      <c r="AC37" s="46"/>
      <c r="AD37" s="46"/>
      <c r="AE37" s="46"/>
      <c r="AF37" s="51">
        <v>2</v>
      </c>
      <c r="AG37" s="46"/>
      <c r="AH37" s="46"/>
      <c r="AI37" s="44">
        <v>918.81</v>
      </c>
      <c r="AJ37" s="46"/>
      <c r="AK37" s="46"/>
      <c r="AL37" s="46"/>
      <c r="AM37" s="46"/>
      <c r="AN37" s="46"/>
      <c r="AO37" s="45">
        <v>918.81</v>
      </c>
      <c r="AP37" s="46"/>
      <c r="AQ37" s="46"/>
      <c r="AR37" s="50">
        <v>52</v>
      </c>
      <c r="AS37" s="46"/>
      <c r="AT37" s="46"/>
      <c r="AU37" s="46"/>
      <c r="AV37" s="46"/>
      <c r="AW37" s="46"/>
      <c r="AX37" s="51">
        <v>52</v>
      </c>
      <c r="AY37" s="46"/>
      <c r="AZ37" s="46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</row>
    <row r="38" spans="1:158" x14ac:dyDescent="0.2">
      <c r="A38" s="6" t="s">
        <v>47</v>
      </c>
      <c r="B38" s="1" t="s">
        <v>90</v>
      </c>
      <c r="C38" s="1" t="s">
        <v>91</v>
      </c>
      <c r="D38" s="12">
        <v>17666.560000000001</v>
      </c>
      <c r="E38" s="2">
        <v>354.29</v>
      </c>
      <c r="F38" s="2">
        <v>1891.46</v>
      </c>
      <c r="G38" s="2">
        <v>2662.5</v>
      </c>
      <c r="H38" s="2">
        <v>3832.02</v>
      </c>
      <c r="I38" s="2">
        <v>3780.87</v>
      </c>
      <c r="J38" s="2">
        <v>3799.77</v>
      </c>
      <c r="K38" s="2">
        <v>1345.65</v>
      </c>
      <c r="L38" s="3"/>
      <c r="M38" s="12">
        <v>20493.22</v>
      </c>
      <c r="N38" s="2">
        <v>410.98</v>
      </c>
      <c r="O38" s="2">
        <v>2194.1</v>
      </c>
      <c r="P38" s="2">
        <v>3088.5</v>
      </c>
      <c r="Q38" s="2">
        <v>4445.1400000000003</v>
      </c>
      <c r="R38" s="2">
        <v>4385.8100000000004</v>
      </c>
      <c r="S38" s="2">
        <v>4407.74</v>
      </c>
      <c r="T38" s="2">
        <v>1560.95</v>
      </c>
      <c r="U38" s="3"/>
      <c r="V38" s="3"/>
      <c r="W38" s="3"/>
      <c r="X38" s="3"/>
      <c r="Y38" s="3"/>
      <c r="Z38" s="13">
        <v>61</v>
      </c>
      <c r="AA38" s="4">
        <v>2</v>
      </c>
      <c r="AB38" s="4">
        <v>6</v>
      </c>
      <c r="AC38" s="4">
        <v>9</v>
      </c>
      <c r="AD38" s="4">
        <v>13</v>
      </c>
      <c r="AE38" s="4">
        <v>14</v>
      </c>
      <c r="AF38" s="4">
        <v>12</v>
      </c>
      <c r="AG38" s="4">
        <v>5</v>
      </c>
      <c r="AH38" s="3"/>
      <c r="AI38" s="12">
        <v>289.61573770491805</v>
      </c>
      <c r="AJ38" s="2">
        <v>177.14500000000001</v>
      </c>
      <c r="AK38" s="2">
        <v>315.24333333333334</v>
      </c>
      <c r="AL38" s="2">
        <v>295.83333333333331</v>
      </c>
      <c r="AM38" s="2">
        <v>294.77076923076925</v>
      </c>
      <c r="AN38" s="2">
        <v>270.06214285714287</v>
      </c>
      <c r="AO38" s="2">
        <v>316.64749999999998</v>
      </c>
      <c r="AP38" s="2">
        <v>269.13</v>
      </c>
      <c r="AQ38" s="3"/>
      <c r="AR38" s="13">
        <v>612</v>
      </c>
      <c r="AS38" s="3"/>
      <c r="AT38" s="4">
        <v>92</v>
      </c>
      <c r="AU38" s="4">
        <v>126</v>
      </c>
      <c r="AV38" s="4">
        <v>190</v>
      </c>
      <c r="AW38" s="4">
        <v>50</v>
      </c>
      <c r="AX38" s="4">
        <v>148</v>
      </c>
      <c r="AY38" s="4">
        <v>6</v>
      </c>
      <c r="AZ38" s="3"/>
    </row>
    <row r="39" spans="1:158" s="41" customFormat="1" x14ac:dyDescent="0.2">
      <c r="A39" s="6" t="s">
        <v>47</v>
      </c>
      <c r="B39" s="1" t="s">
        <v>92</v>
      </c>
      <c r="C39" s="1" t="s">
        <v>93</v>
      </c>
      <c r="D39" s="12">
        <v>65191.14</v>
      </c>
      <c r="E39" s="2">
        <v>24417.62</v>
      </c>
      <c r="F39" s="2">
        <v>13766.65</v>
      </c>
      <c r="G39" s="2">
        <v>10415.620000000001</v>
      </c>
      <c r="H39" s="2">
        <v>11995.83</v>
      </c>
      <c r="I39" s="2">
        <v>4595.42</v>
      </c>
      <c r="J39" s="3"/>
      <c r="K39" s="3"/>
      <c r="L39" s="3"/>
      <c r="M39" s="12">
        <v>75621.710000000006</v>
      </c>
      <c r="N39" s="2">
        <v>28324.43</v>
      </c>
      <c r="O39" s="2">
        <v>15969.31</v>
      </c>
      <c r="P39" s="2">
        <v>12082.12</v>
      </c>
      <c r="Q39" s="2">
        <v>13915.16</v>
      </c>
      <c r="R39" s="2">
        <v>5330.69</v>
      </c>
      <c r="S39" s="3"/>
      <c r="T39" s="3"/>
      <c r="U39" s="3"/>
      <c r="V39" s="3"/>
      <c r="W39" s="3"/>
      <c r="X39" s="3"/>
      <c r="Y39" s="3"/>
      <c r="Z39" s="13">
        <v>368</v>
      </c>
      <c r="AA39" s="4">
        <v>132</v>
      </c>
      <c r="AB39" s="4">
        <v>86</v>
      </c>
      <c r="AC39" s="4">
        <v>55</v>
      </c>
      <c r="AD39" s="4">
        <v>70</v>
      </c>
      <c r="AE39" s="4">
        <v>25</v>
      </c>
      <c r="AF39" s="3"/>
      <c r="AG39" s="3"/>
      <c r="AH39" s="3"/>
      <c r="AI39" s="12">
        <v>177.14983695652174</v>
      </c>
      <c r="AJ39" s="2">
        <v>184.98196969696971</v>
      </c>
      <c r="AK39" s="2">
        <v>160.07732558139534</v>
      </c>
      <c r="AL39" s="2">
        <v>189.37490909090909</v>
      </c>
      <c r="AM39" s="2">
        <v>171.369</v>
      </c>
      <c r="AN39" s="2">
        <v>183.8168</v>
      </c>
      <c r="AO39" s="3"/>
      <c r="AP39" s="3"/>
      <c r="AQ39" s="3"/>
      <c r="AR39" s="13">
        <v>420</v>
      </c>
      <c r="AS39" s="4">
        <v>182</v>
      </c>
      <c r="AT39" s="4">
        <v>30</v>
      </c>
      <c r="AU39" s="4">
        <v>94</v>
      </c>
      <c r="AV39" s="4">
        <v>72</v>
      </c>
      <c r="AW39" s="4">
        <v>42</v>
      </c>
      <c r="AX39" s="3"/>
      <c r="AY39" s="3"/>
      <c r="AZ39" s="3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</row>
    <row r="40" spans="1:158" x14ac:dyDescent="0.2">
      <c r="A40" s="6" t="s">
        <v>47</v>
      </c>
      <c r="B40" s="1" t="s">
        <v>94</v>
      </c>
      <c r="C40" s="1" t="s">
        <v>95</v>
      </c>
      <c r="D40" s="12">
        <v>26264.58</v>
      </c>
      <c r="E40" s="2">
        <v>6658.41</v>
      </c>
      <c r="F40" s="2">
        <v>4465.04</v>
      </c>
      <c r="G40" s="2">
        <v>5678.23</v>
      </c>
      <c r="H40" s="2">
        <v>5410.14</v>
      </c>
      <c r="I40" s="2">
        <v>356.3</v>
      </c>
      <c r="J40" s="3"/>
      <c r="K40" s="2">
        <v>3696.46</v>
      </c>
      <c r="L40" s="3"/>
      <c r="M40" s="12">
        <v>30460.560000000001</v>
      </c>
      <c r="N40" s="2">
        <v>7723.76</v>
      </c>
      <c r="O40" s="2">
        <v>5179.45</v>
      </c>
      <c r="P40" s="2">
        <v>6586.75</v>
      </c>
      <c r="Q40" s="2">
        <v>6275.77</v>
      </c>
      <c r="R40" s="2">
        <v>406.94</v>
      </c>
      <c r="S40" s="3"/>
      <c r="T40" s="2">
        <v>4287.8900000000003</v>
      </c>
      <c r="U40" s="3"/>
      <c r="V40" s="3"/>
      <c r="W40" s="3"/>
      <c r="X40" s="3"/>
      <c r="Y40" s="3"/>
      <c r="Z40" s="13">
        <v>88</v>
      </c>
      <c r="AA40" s="4">
        <v>25</v>
      </c>
      <c r="AB40" s="4">
        <v>15</v>
      </c>
      <c r="AC40" s="4">
        <v>19</v>
      </c>
      <c r="AD40" s="4">
        <v>16</v>
      </c>
      <c r="AE40" s="3"/>
      <c r="AF40" s="3"/>
      <c r="AG40" s="4">
        <v>13</v>
      </c>
      <c r="AH40" s="3"/>
      <c r="AI40" s="12">
        <v>298.46113636363634</v>
      </c>
      <c r="AJ40" s="2">
        <v>266.33640000000003</v>
      </c>
      <c r="AK40" s="2">
        <v>297.66933333333333</v>
      </c>
      <c r="AL40" s="2">
        <v>298.8542105263158</v>
      </c>
      <c r="AM40" s="2">
        <v>338.13375000000002</v>
      </c>
      <c r="AN40" s="5" t="s">
        <v>33</v>
      </c>
      <c r="AO40" s="3"/>
      <c r="AP40" s="2">
        <v>284.34307692307692</v>
      </c>
      <c r="AQ40" s="3"/>
      <c r="AR40" s="13">
        <v>253</v>
      </c>
      <c r="AS40" s="4">
        <v>74</v>
      </c>
      <c r="AT40" s="4">
        <v>48</v>
      </c>
      <c r="AU40" s="4">
        <v>30</v>
      </c>
      <c r="AV40" s="4">
        <v>90</v>
      </c>
      <c r="AW40" s="4">
        <v>11</v>
      </c>
      <c r="AX40" s="3"/>
      <c r="AY40" s="3"/>
      <c r="AZ40" s="3"/>
    </row>
    <row r="41" spans="1:158" x14ac:dyDescent="0.2">
      <c r="A41" s="6" t="s">
        <v>47</v>
      </c>
      <c r="B41" s="1" t="s">
        <v>96</v>
      </c>
      <c r="C41" s="1" t="s">
        <v>97</v>
      </c>
      <c r="D41" s="12">
        <v>30571.919999999998</v>
      </c>
      <c r="E41" s="3"/>
      <c r="F41" s="2">
        <v>641</v>
      </c>
      <c r="G41" s="2">
        <v>1133.53</v>
      </c>
      <c r="H41" s="3"/>
      <c r="I41" s="2">
        <v>501.52</v>
      </c>
      <c r="J41" s="2">
        <v>26542.3</v>
      </c>
      <c r="K41" s="2">
        <v>841.45</v>
      </c>
      <c r="L41" s="2">
        <v>912.12</v>
      </c>
      <c r="M41" s="12">
        <v>35463.42</v>
      </c>
      <c r="N41" s="3"/>
      <c r="O41" s="2">
        <v>743.56</v>
      </c>
      <c r="P41" s="2">
        <v>1314.89</v>
      </c>
      <c r="Q41" s="3"/>
      <c r="R41" s="2">
        <v>581.76</v>
      </c>
      <c r="S41" s="2">
        <v>30789.07</v>
      </c>
      <c r="T41" s="2">
        <v>976.08</v>
      </c>
      <c r="U41" s="2">
        <v>1058.06</v>
      </c>
      <c r="V41" s="2"/>
      <c r="W41" s="2"/>
      <c r="X41" s="2"/>
      <c r="Y41" s="2"/>
      <c r="Z41" s="13">
        <v>30</v>
      </c>
      <c r="AA41" s="3"/>
      <c r="AB41" s="3"/>
      <c r="AC41" s="3"/>
      <c r="AD41" s="3"/>
      <c r="AE41" s="3"/>
      <c r="AF41" s="4">
        <v>30</v>
      </c>
      <c r="AG41" s="3"/>
      <c r="AH41" s="3"/>
      <c r="AI41" s="12">
        <v>1019.064</v>
      </c>
      <c r="AJ41" s="3"/>
      <c r="AK41" s="5" t="s">
        <v>33</v>
      </c>
      <c r="AL41" s="5" t="s">
        <v>33</v>
      </c>
      <c r="AM41" s="3"/>
      <c r="AN41" s="5" t="s">
        <v>33</v>
      </c>
      <c r="AO41" s="2">
        <v>884.74333333333334</v>
      </c>
      <c r="AP41" s="5" t="s">
        <v>33</v>
      </c>
      <c r="AQ41" s="5" t="s">
        <v>33</v>
      </c>
      <c r="AR41" s="13">
        <v>3842</v>
      </c>
      <c r="AS41" s="3"/>
      <c r="AT41" s="4">
        <v>8</v>
      </c>
      <c r="AU41" s="4">
        <v>82</v>
      </c>
      <c r="AV41" s="3"/>
      <c r="AW41" s="4">
        <v>16</v>
      </c>
      <c r="AX41" s="4">
        <v>3500</v>
      </c>
      <c r="AY41" s="4">
        <v>98</v>
      </c>
      <c r="AZ41" s="4">
        <v>138</v>
      </c>
    </row>
    <row r="42" spans="1:158" s="29" customFormat="1" x14ac:dyDescent="0.2">
      <c r="A42" s="6" t="s">
        <v>47</v>
      </c>
      <c r="B42" s="1" t="s">
        <v>98</v>
      </c>
      <c r="C42" s="1" t="s">
        <v>99</v>
      </c>
      <c r="D42" s="12">
        <v>14432.99</v>
      </c>
      <c r="E42" s="3"/>
      <c r="F42" s="3"/>
      <c r="G42" s="2">
        <v>5981</v>
      </c>
      <c r="H42" s="2">
        <v>865.71</v>
      </c>
      <c r="I42" s="2">
        <v>364.38</v>
      </c>
      <c r="J42" s="2">
        <v>6725.7</v>
      </c>
      <c r="K42" s="2">
        <v>241.1</v>
      </c>
      <c r="L42" s="2">
        <v>255.1</v>
      </c>
      <c r="M42" s="12">
        <v>16742.27</v>
      </c>
      <c r="N42" s="3"/>
      <c r="O42" s="3"/>
      <c r="P42" s="2">
        <v>6937.96</v>
      </c>
      <c r="Q42" s="2">
        <v>1004.22</v>
      </c>
      <c r="R42" s="2">
        <v>422.68</v>
      </c>
      <c r="S42" s="2">
        <v>7801.81</v>
      </c>
      <c r="T42" s="2">
        <v>279.68</v>
      </c>
      <c r="U42" s="2">
        <v>295.92</v>
      </c>
      <c r="V42" s="2"/>
      <c r="W42" s="2"/>
      <c r="X42" s="2"/>
      <c r="Y42" s="2"/>
      <c r="Z42" s="13">
        <v>40</v>
      </c>
      <c r="AA42" s="3"/>
      <c r="AB42" s="3"/>
      <c r="AC42" s="4">
        <v>20</v>
      </c>
      <c r="AD42" s="5"/>
      <c r="AE42" s="3"/>
      <c r="AF42" s="4">
        <v>20</v>
      </c>
      <c r="AG42" s="3"/>
      <c r="AH42" s="3"/>
      <c r="AI42" s="12">
        <v>360.82474999999999</v>
      </c>
      <c r="AJ42" s="3"/>
      <c r="AK42" s="3"/>
      <c r="AL42" s="2">
        <v>299.05</v>
      </c>
      <c r="AM42" s="5" t="s">
        <v>33</v>
      </c>
      <c r="AN42" s="5" t="s">
        <v>33</v>
      </c>
      <c r="AO42" s="2">
        <v>336.28500000000003</v>
      </c>
      <c r="AP42" s="5" t="s">
        <v>33</v>
      </c>
      <c r="AQ42" s="5" t="s">
        <v>33</v>
      </c>
      <c r="AR42" s="13">
        <v>746</v>
      </c>
      <c r="AS42" s="3"/>
      <c r="AT42" s="3"/>
      <c r="AU42" s="4">
        <v>200</v>
      </c>
      <c r="AV42" s="4">
        <v>60</v>
      </c>
      <c r="AW42" s="4">
        <v>20</v>
      </c>
      <c r="AX42" s="4">
        <v>420</v>
      </c>
      <c r="AY42" s="4">
        <v>18</v>
      </c>
      <c r="AZ42" s="4">
        <v>28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</row>
    <row r="43" spans="1:158" x14ac:dyDescent="0.2">
      <c r="A43" s="54" t="s">
        <v>47</v>
      </c>
      <c r="B43" s="43" t="s">
        <v>100</v>
      </c>
      <c r="C43" s="43" t="s">
        <v>101</v>
      </c>
      <c r="D43" s="44">
        <v>3833.45</v>
      </c>
      <c r="E43" s="46"/>
      <c r="F43" s="45">
        <v>390.62</v>
      </c>
      <c r="G43" s="45">
        <v>1851.59</v>
      </c>
      <c r="H43" s="46"/>
      <c r="I43" s="45">
        <v>1591.24</v>
      </c>
      <c r="J43" s="46"/>
      <c r="K43" s="46"/>
      <c r="L43" s="46"/>
      <c r="M43" s="44">
        <v>4446.8</v>
      </c>
      <c r="N43" s="46"/>
      <c r="O43" s="45">
        <v>453.12</v>
      </c>
      <c r="P43" s="45">
        <v>2147.84</v>
      </c>
      <c r="Q43" s="46"/>
      <c r="R43" s="45">
        <v>1845.84</v>
      </c>
      <c r="S43" s="46"/>
      <c r="T43" s="46"/>
      <c r="U43" s="46"/>
      <c r="V43" s="46"/>
      <c r="W43" s="46"/>
      <c r="X43" s="46"/>
      <c r="Y43" s="46"/>
      <c r="Z43" s="48"/>
      <c r="AA43" s="46"/>
      <c r="AB43" s="46"/>
      <c r="AC43" s="46"/>
      <c r="AD43" s="46"/>
      <c r="AE43" s="46"/>
      <c r="AF43" s="46"/>
      <c r="AG43" s="46"/>
      <c r="AH43" s="46"/>
      <c r="AI43" s="49" t="s">
        <v>33</v>
      </c>
      <c r="AJ43" s="46"/>
      <c r="AK43" s="47" t="s">
        <v>33</v>
      </c>
      <c r="AL43" s="47" t="s">
        <v>33</v>
      </c>
      <c r="AM43" s="46"/>
      <c r="AN43" s="47" t="s">
        <v>33</v>
      </c>
      <c r="AO43" s="46"/>
      <c r="AP43" s="46"/>
      <c r="AQ43" s="46"/>
      <c r="AR43" s="50">
        <v>280</v>
      </c>
      <c r="AS43" s="46"/>
      <c r="AT43" s="46"/>
      <c r="AU43" s="51">
        <v>208</v>
      </c>
      <c r="AV43" s="46"/>
      <c r="AW43" s="51">
        <v>72</v>
      </c>
      <c r="AX43" s="46"/>
      <c r="AY43" s="46"/>
      <c r="AZ43" s="46"/>
    </row>
    <row r="44" spans="1:158" x14ac:dyDescent="0.2">
      <c r="A44" s="6" t="s">
        <v>47</v>
      </c>
      <c r="B44" s="1" t="s">
        <v>102</v>
      </c>
      <c r="C44" s="1" t="s">
        <v>103</v>
      </c>
      <c r="D44" s="12">
        <v>20736.650000000001</v>
      </c>
      <c r="E44" s="2">
        <v>4858.21</v>
      </c>
      <c r="F44" s="2">
        <v>2373.0300000000002</v>
      </c>
      <c r="G44" s="2">
        <v>2474.35</v>
      </c>
      <c r="H44" s="2">
        <v>3612.02</v>
      </c>
      <c r="I44" s="2">
        <v>3029.58</v>
      </c>
      <c r="J44" s="2">
        <v>1697</v>
      </c>
      <c r="K44" s="2">
        <v>2692.46</v>
      </c>
      <c r="L44" s="3"/>
      <c r="M44" s="12">
        <v>24054.5</v>
      </c>
      <c r="N44" s="2">
        <v>5635.52</v>
      </c>
      <c r="O44" s="2">
        <v>2752.71</v>
      </c>
      <c r="P44" s="2">
        <v>2870.25</v>
      </c>
      <c r="Q44" s="2">
        <v>4189.9399999999996</v>
      </c>
      <c r="R44" s="2">
        <v>3514.31</v>
      </c>
      <c r="S44" s="2">
        <v>1968.52</v>
      </c>
      <c r="T44" s="2">
        <v>3123.25</v>
      </c>
      <c r="U44" s="3"/>
      <c r="V44" s="3"/>
      <c r="W44" s="3"/>
      <c r="X44" s="3"/>
      <c r="Y44" s="3"/>
      <c r="Z44" s="13">
        <v>69</v>
      </c>
      <c r="AA44" s="4">
        <v>15</v>
      </c>
      <c r="AB44" s="4">
        <v>9</v>
      </c>
      <c r="AC44" s="4">
        <v>8</v>
      </c>
      <c r="AD44" s="4">
        <v>12</v>
      </c>
      <c r="AE44" s="4">
        <v>10</v>
      </c>
      <c r="AF44" s="4">
        <v>6</v>
      </c>
      <c r="AG44" s="4">
        <v>9</v>
      </c>
      <c r="AH44" s="3"/>
      <c r="AI44" s="12">
        <v>300.53115942028984</v>
      </c>
      <c r="AJ44" s="2">
        <v>323.88066666666668</v>
      </c>
      <c r="AK44" s="2">
        <v>263.67</v>
      </c>
      <c r="AL44" s="2">
        <v>309.29374999999999</v>
      </c>
      <c r="AM44" s="2">
        <v>301.00166666666667</v>
      </c>
      <c r="AN44" s="2">
        <v>302.95800000000003</v>
      </c>
      <c r="AO44" s="2">
        <v>282.83333333333331</v>
      </c>
      <c r="AP44" s="2">
        <v>299.16222222222223</v>
      </c>
      <c r="AQ44" s="3"/>
      <c r="AR44" s="13">
        <v>254</v>
      </c>
      <c r="AS44" s="4">
        <v>72</v>
      </c>
      <c r="AT44" s="4">
        <v>16</v>
      </c>
      <c r="AU44" s="4">
        <v>38</v>
      </c>
      <c r="AV44" s="4">
        <v>44</v>
      </c>
      <c r="AW44" s="4">
        <v>34</v>
      </c>
      <c r="AX44" s="4">
        <v>16</v>
      </c>
      <c r="AY44" s="4">
        <v>34</v>
      </c>
      <c r="AZ44" s="3"/>
    </row>
    <row r="45" spans="1:158" x14ac:dyDescent="0.2">
      <c r="A45" s="6" t="s">
        <v>47</v>
      </c>
      <c r="B45" s="1" t="s">
        <v>104</v>
      </c>
      <c r="C45" s="1" t="s">
        <v>105</v>
      </c>
      <c r="D45" s="12">
        <v>11639.65</v>
      </c>
      <c r="E45" s="2">
        <v>79.02</v>
      </c>
      <c r="F45" s="3"/>
      <c r="G45" s="2">
        <v>5066.3999999999996</v>
      </c>
      <c r="H45" s="2">
        <v>285.49</v>
      </c>
      <c r="I45" s="2">
        <v>71.19</v>
      </c>
      <c r="J45" s="3"/>
      <c r="K45" s="3"/>
      <c r="L45" s="2">
        <v>6137.55</v>
      </c>
      <c r="M45" s="12">
        <v>13501.99</v>
      </c>
      <c r="N45" s="2">
        <v>91.66</v>
      </c>
      <c r="O45" s="3"/>
      <c r="P45" s="2">
        <v>5877.02</v>
      </c>
      <c r="Q45" s="2">
        <v>331.17</v>
      </c>
      <c r="R45" s="2">
        <v>82.58</v>
      </c>
      <c r="S45" s="3"/>
      <c r="T45" s="3"/>
      <c r="U45" s="2">
        <v>7119.56</v>
      </c>
      <c r="V45" s="2"/>
      <c r="W45" s="2"/>
      <c r="X45" s="2"/>
      <c r="Y45" s="2"/>
      <c r="Z45" s="13">
        <v>25</v>
      </c>
      <c r="AA45" s="3"/>
      <c r="AB45" s="3"/>
      <c r="AC45" s="4">
        <v>10</v>
      </c>
      <c r="AD45" s="3"/>
      <c r="AE45" s="3"/>
      <c r="AF45" s="3"/>
      <c r="AG45" s="3"/>
      <c r="AH45" s="4">
        <v>15</v>
      </c>
      <c r="AI45" s="12">
        <v>465.58600000000001</v>
      </c>
      <c r="AJ45" s="5" t="s">
        <v>33</v>
      </c>
      <c r="AK45" s="3"/>
      <c r="AL45" s="2">
        <v>506.64</v>
      </c>
      <c r="AM45" s="5" t="s">
        <v>33</v>
      </c>
      <c r="AN45" s="5" t="s">
        <v>33</v>
      </c>
      <c r="AO45" s="3"/>
      <c r="AP45" s="3"/>
      <c r="AQ45" s="2">
        <v>409.17</v>
      </c>
      <c r="AR45" s="13">
        <v>1266</v>
      </c>
      <c r="AS45" s="4">
        <v>18</v>
      </c>
      <c r="AT45" s="3"/>
      <c r="AU45" s="4">
        <v>600</v>
      </c>
      <c r="AV45" s="4">
        <v>34</v>
      </c>
      <c r="AW45" s="4">
        <v>14</v>
      </c>
      <c r="AX45" s="3"/>
      <c r="AY45" s="3"/>
      <c r="AZ45" s="4">
        <v>600</v>
      </c>
    </row>
    <row r="46" spans="1:158" x14ac:dyDescent="0.2">
      <c r="A46" s="6" t="s">
        <v>47</v>
      </c>
      <c r="B46" s="1" t="s">
        <v>106</v>
      </c>
      <c r="C46" s="1" t="s">
        <v>107</v>
      </c>
      <c r="D46" s="12">
        <v>31213.82</v>
      </c>
      <c r="E46" s="2">
        <v>5709.17</v>
      </c>
      <c r="F46" s="2">
        <v>7112.24</v>
      </c>
      <c r="G46" s="2">
        <v>8572.2099999999991</v>
      </c>
      <c r="H46" s="2">
        <v>2468.6999999999998</v>
      </c>
      <c r="I46" s="2">
        <v>2061.96</v>
      </c>
      <c r="J46" s="2">
        <v>1195.72</v>
      </c>
      <c r="K46" s="2">
        <v>1867.84</v>
      </c>
      <c r="L46" s="2">
        <v>2225.98</v>
      </c>
      <c r="M46" s="12">
        <v>36208.03</v>
      </c>
      <c r="N46" s="2">
        <v>6622.64</v>
      </c>
      <c r="O46" s="2">
        <v>8250.2000000000007</v>
      </c>
      <c r="P46" s="2">
        <v>9943.76</v>
      </c>
      <c r="Q46" s="2">
        <v>2863.69</v>
      </c>
      <c r="R46" s="2">
        <v>2391.87</v>
      </c>
      <c r="S46" s="2">
        <v>1387.04</v>
      </c>
      <c r="T46" s="2">
        <v>2166.69</v>
      </c>
      <c r="U46" s="2">
        <v>2582.14</v>
      </c>
      <c r="V46" s="2"/>
      <c r="W46" s="2"/>
      <c r="X46" s="2"/>
      <c r="Y46" s="2"/>
      <c r="Z46" s="13">
        <v>70</v>
      </c>
      <c r="AA46" s="4">
        <v>14</v>
      </c>
      <c r="AB46" s="4">
        <v>13</v>
      </c>
      <c r="AC46" s="4">
        <v>19</v>
      </c>
      <c r="AD46" s="4">
        <v>5</v>
      </c>
      <c r="AE46" s="4">
        <v>6</v>
      </c>
      <c r="AF46" s="4">
        <v>3</v>
      </c>
      <c r="AG46" s="4">
        <v>5</v>
      </c>
      <c r="AH46" s="4">
        <v>5</v>
      </c>
      <c r="AI46" s="12">
        <v>445.91171428571431</v>
      </c>
      <c r="AJ46" s="2">
        <v>407.79785714285714</v>
      </c>
      <c r="AK46" s="2">
        <v>547.09538461538466</v>
      </c>
      <c r="AL46" s="2">
        <v>451.16894736842107</v>
      </c>
      <c r="AM46" s="2">
        <v>493.74</v>
      </c>
      <c r="AN46" s="2">
        <v>343.66</v>
      </c>
      <c r="AO46" s="2">
        <v>398.57333333333332</v>
      </c>
      <c r="AP46" s="2">
        <v>373.56799999999998</v>
      </c>
      <c r="AQ46" s="2">
        <v>445.19600000000003</v>
      </c>
      <c r="AR46" s="13">
        <v>1458</v>
      </c>
      <c r="AS46" s="4">
        <v>358</v>
      </c>
      <c r="AT46" s="4">
        <v>438</v>
      </c>
      <c r="AU46" s="4">
        <v>316</v>
      </c>
      <c r="AV46" s="4">
        <v>108</v>
      </c>
      <c r="AW46" s="4">
        <v>38</v>
      </c>
      <c r="AX46" s="4">
        <v>38</v>
      </c>
      <c r="AY46" s="4">
        <v>64</v>
      </c>
      <c r="AZ46" s="4">
        <v>98</v>
      </c>
    </row>
    <row r="47" spans="1:158" x14ac:dyDescent="0.2">
      <c r="A47" s="6" t="s">
        <v>47</v>
      </c>
      <c r="B47" s="1" t="s">
        <v>108</v>
      </c>
      <c r="C47" s="1" t="s">
        <v>109</v>
      </c>
      <c r="D47" s="12">
        <v>1038.0899999999999</v>
      </c>
      <c r="E47" s="2">
        <v>676.26</v>
      </c>
      <c r="F47" s="3"/>
      <c r="G47" s="2">
        <v>256.19</v>
      </c>
      <c r="H47" s="2">
        <v>90.52</v>
      </c>
      <c r="I47" s="2">
        <v>15.12</v>
      </c>
      <c r="J47" s="3"/>
      <c r="K47" s="3"/>
      <c r="L47" s="3"/>
      <c r="M47" s="12">
        <v>1204.18</v>
      </c>
      <c r="N47" s="2">
        <v>784.46</v>
      </c>
      <c r="O47" s="3"/>
      <c r="P47" s="2">
        <v>297.18</v>
      </c>
      <c r="Q47" s="2">
        <v>105</v>
      </c>
      <c r="R47" s="2">
        <v>17.54</v>
      </c>
      <c r="S47" s="3"/>
      <c r="T47" s="3"/>
      <c r="U47" s="3"/>
      <c r="V47" s="3"/>
      <c r="W47" s="3"/>
      <c r="X47" s="3"/>
      <c r="Y47" s="3"/>
      <c r="Z47" s="17"/>
      <c r="AA47" s="3"/>
      <c r="AB47" s="3"/>
      <c r="AC47" s="3"/>
      <c r="AD47" s="3"/>
      <c r="AE47" s="3"/>
      <c r="AF47" s="3"/>
      <c r="AG47" s="3"/>
      <c r="AH47" s="3"/>
      <c r="AI47" s="16" t="s">
        <v>33</v>
      </c>
      <c r="AJ47" s="5" t="s">
        <v>33</v>
      </c>
      <c r="AK47" s="3"/>
      <c r="AL47" s="5" t="s">
        <v>33</v>
      </c>
      <c r="AM47" s="5" t="s">
        <v>33</v>
      </c>
      <c r="AN47" s="5" t="s">
        <v>33</v>
      </c>
      <c r="AO47" s="3"/>
      <c r="AP47" s="3"/>
      <c r="AQ47" s="3"/>
      <c r="AR47" s="13">
        <v>104</v>
      </c>
      <c r="AS47" s="4">
        <v>56</v>
      </c>
      <c r="AT47" s="3"/>
      <c r="AU47" s="4">
        <v>34</v>
      </c>
      <c r="AV47" s="4">
        <v>12</v>
      </c>
      <c r="AW47" s="4">
        <v>2</v>
      </c>
      <c r="AX47" s="3"/>
      <c r="AY47" s="3"/>
      <c r="AZ47" s="3"/>
    </row>
    <row r="48" spans="1:158" s="29" customFormat="1" x14ac:dyDescent="0.2">
      <c r="A48" s="54" t="s">
        <v>47</v>
      </c>
      <c r="B48" s="43" t="s">
        <v>110</v>
      </c>
      <c r="C48" s="43" t="s">
        <v>111</v>
      </c>
      <c r="D48" s="44">
        <v>23167.21</v>
      </c>
      <c r="E48" s="45">
        <v>9748.41</v>
      </c>
      <c r="F48" s="45">
        <v>13418.8</v>
      </c>
      <c r="G48" s="46"/>
      <c r="H48" s="46"/>
      <c r="I48" s="46"/>
      <c r="J48" s="46"/>
      <c r="K48" s="46"/>
      <c r="L48" s="46"/>
      <c r="M48" s="44">
        <v>26873.96</v>
      </c>
      <c r="N48" s="45">
        <v>11308.15</v>
      </c>
      <c r="O48" s="45">
        <v>15565.81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50">
        <v>2</v>
      </c>
      <c r="AA48" s="51">
        <v>2</v>
      </c>
      <c r="AB48" s="46"/>
      <c r="AC48" s="46"/>
      <c r="AD48" s="46"/>
      <c r="AE48" s="46"/>
      <c r="AF48" s="46"/>
      <c r="AG48" s="46"/>
      <c r="AH48" s="46"/>
      <c r="AI48" s="44">
        <v>11583.605</v>
      </c>
      <c r="AJ48" s="45">
        <v>4874.2049999999999</v>
      </c>
      <c r="AK48" s="47" t="s">
        <v>33</v>
      </c>
      <c r="AL48" s="46"/>
      <c r="AM48" s="46"/>
      <c r="AN48" s="46"/>
      <c r="AO48" s="46"/>
      <c r="AP48" s="46"/>
      <c r="AQ48" s="46"/>
      <c r="AR48" s="50">
        <v>1774</v>
      </c>
      <c r="AS48" s="51">
        <v>1024</v>
      </c>
      <c r="AT48" s="51">
        <v>750</v>
      </c>
      <c r="AU48" s="46"/>
      <c r="AV48" s="46"/>
      <c r="AW48" s="46"/>
      <c r="AX48" s="46"/>
      <c r="AY48" s="46"/>
      <c r="AZ48" s="46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</row>
    <row r="49" spans="1:158" x14ac:dyDescent="0.2">
      <c r="A49" s="55" t="s">
        <v>47</v>
      </c>
      <c r="B49" s="33" t="s">
        <v>112</v>
      </c>
      <c r="C49" s="33" t="s">
        <v>113</v>
      </c>
      <c r="D49" s="34">
        <v>317.64</v>
      </c>
      <c r="E49" s="35"/>
      <c r="F49" s="35"/>
      <c r="G49" s="35"/>
      <c r="H49" s="36">
        <v>317.64</v>
      </c>
      <c r="I49" s="35"/>
      <c r="J49" s="35"/>
      <c r="K49" s="35"/>
      <c r="L49" s="35"/>
      <c r="M49" s="34">
        <v>368.46</v>
      </c>
      <c r="N49" s="35"/>
      <c r="O49" s="35"/>
      <c r="P49" s="35"/>
      <c r="Q49" s="36">
        <v>368.46</v>
      </c>
      <c r="R49" s="35"/>
      <c r="S49" s="35"/>
      <c r="T49" s="35"/>
      <c r="U49" s="35"/>
      <c r="V49" s="35"/>
      <c r="W49" s="35"/>
      <c r="X49" s="35"/>
      <c r="Y49" s="35"/>
      <c r="Z49" s="42"/>
      <c r="AA49" s="35"/>
      <c r="AB49" s="35"/>
      <c r="AC49" s="35"/>
      <c r="AD49" s="35"/>
      <c r="AE49" s="35"/>
      <c r="AF49" s="35"/>
      <c r="AG49" s="35"/>
      <c r="AH49" s="35"/>
      <c r="AI49" s="37" t="s">
        <v>33</v>
      </c>
      <c r="AJ49" s="35"/>
      <c r="AK49" s="35"/>
      <c r="AL49" s="35"/>
      <c r="AM49" s="38" t="s">
        <v>33</v>
      </c>
      <c r="AN49" s="35"/>
      <c r="AO49" s="35"/>
      <c r="AP49" s="35"/>
      <c r="AQ49" s="35"/>
      <c r="AR49" s="39">
        <v>12</v>
      </c>
      <c r="AS49" s="35"/>
      <c r="AT49" s="35"/>
      <c r="AU49" s="35"/>
      <c r="AV49" s="40">
        <v>12</v>
      </c>
      <c r="AW49" s="35"/>
      <c r="AX49" s="35"/>
      <c r="AY49" s="35"/>
      <c r="AZ49" s="35"/>
    </row>
    <row r="50" spans="1:158" x14ac:dyDescent="0.2">
      <c r="A50" s="6" t="s">
        <v>47</v>
      </c>
      <c r="B50" s="1" t="s">
        <v>114</v>
      </c>
      <c r="C50" s="1" t="s">
        <v>115</v>
      </c>
      <c r="D50" s="12">
        <v>52412.73</v>
      </c>
      <c r="E50" s="3"/>
      <c r="F50" s="2">
        <v>731.61</v>
      </c>
      <c r="G50" s="3"/>
      <c r="H50" s="2">
        <v>24942</v>
      </c>
      <c r="I50" s="2">
        <v>552.96</v>
      </c>
      <c r="J50" s="2">
        <v>483.84</v>
      </c>
      <c r="K50" s="2">
        <v>25564.080000000002</v>
      </c>
      <c r="L50" s="2">
        <v>138.24</v>
      </c>
      <c r="M50" s="12">
        <v>60798.76</v>
      </c>
      <c r="N50" s="3"/>
      <c r="O50" s="2">
        <v>848.67</v>
      </c>
      <c r="P50" s="3"/>
      <c r="Q50" s="2">
        <v>28932.720000000001</v>
      </c>
      <c r="R50" s="2">
        <v>641.42999999999995</v>
      </c>
      <c r="S50" s="2">
        <v>561.25</v>
      </c>
      <c r="T50" s="2">
        <v>29654.33</v>
      </c>
      <c r="U50" s="2">
        <v>160.36000000000001</v>
      </c>
      <c r="V50" s="2"/>
      <c r="W50" s="2"/>
      <c r="X50" s="2"/>
      <c r="Y50" s="2"/>
      <c r="Z50" s="13">
        <v>240</v>
      </c>
      <c r="AA50" s="3"/>
      <c r="AB50" s="3"/>
      <c r="AC50" s="3"/>
      <c r="AD50" s="4">
        <v>120</v>
      </c>
      <c r="AE50" s="3"/>
      <c r="AF50" s="3"/>
      <c r="AG50" s="4">
        <v>120</v>
      </c>
      <c r="AH50" s="3"/>
      <c r="AI50" s="12">
        <v>218.38637499999999</v>
      </c>
      <c r="AJ50" s="3"/>
      <c r="AK50" s="5" t="s">
        <v>33</v>
      </c>
      <c r="AL50" s="3"/>
      <c r="AM50" s="2">
        <v>207.85</v>
      </c>
      <c r="AN50" s="5" t="s">
        <v>33</v>
      </c>
      <c r="AO50" s="5" t="s">
        <v>33</v>
      </c>
      <c r="AP50" s="2">
        <v>213.03399999999999</v>
      </c>
      <c r="AQ50" s="5" t="s">
        <v>33</v>
      </c>
      <c r="AR50" s="13">
        <v>44</v>
      </c>
      <c r="AS50" s="3"/>
      <c r="AT50" s="4">
        <v>18</v>
      </c>
      <c r="AU50" s="3"/>
      <c r="AV50" s="3"/>
      <c r="AW50" s="4">
        <v>8</v>
      </c>
      <c r="AX50" s="4">
        <v>7</v>
      </c>
      <c r="AY50" s="4">
        <v>9</v>
      </c>
      <c r="AZ50" s="4">
        <v>2</v>
      </c>
    </row>
    <row r="51" spans="1:158" s="29" customFormat="1" x14ac:dyDescent="0.2">
      <c r="A51" s="55" t="s">
        <v>47</v>
      </c>
      <c r="B51" s="33" t="s">
        <v>116</v>
      </c>
      <c r="C51" s="33" t="s">
        <v>117</v>
      </c>
      <c r="D51" s="34">
        <v>1049.68</v>
      </c>
      <c r="E51" s="36">
        <v>239.87</v>
      </c>
      <c r="F51" s="36">
        <v>262.76</v>
      </c>
      <c r="G51" s="36">
        <v>179.41</v>
      </c>
      <c r="H51" s="35"/>
      <c r="I51" s="36">
        <v>367.64</v>
      </c>
      <c r="J51" s="35"/>
      <c r="K51" s="35"/>
      <c r="L51" s="35"/>
      <c r="M51" s="34">
        <v>1217.6300000000001</v>
      </c>
      <c r="N51" s="36">
        <v>278.25</v>
      </c>
      <c r="O51" s="36">
        <v>304.8</v>
      </c>
      <c r="P51" s="36">
        <v>208.12</v>
      </c>
      <c r="Q51" s="35"/>
      <c r="R51" s="36">
        <v>426.46</v>
      </c>
      <c r="S51" s="35"/>
      <c r="T51" s="35"/>
      <c r="U51" s="35"/>
      <c r="V51" s="35"/>
      <c r="W51" s="35"/>
      <c r="X51" s="35"/>
      <c r="Y51" s="35"/>
      <c r="Z51" s="42"/>
      <c r="AA51" s="35"/>
      <c r="AB51" s="35"/>
      <c r="AC51" s="35"/>
      <c r="AD51" s="35"/>
      <c r="AE51" s="35"/>
      <c r="AF51" s="35"/>
      <c r="AG51" s="35"/>
      <c r="AH51" s="35"/>
      <c r="AI51" s="37" t="s">
        <v>33</v>
      </c>
      <c r="AJ51" s="38" t="s">
        <v>33</v>
      </c>
      <c r="AK51" s="38" t="s">
        <v>33</v>
      </c>
      <c r="AL51" s="38" t="s">
        <v>33</v>
      </c>
      <c r="AM51" s="35"/>
      <c r="AN51" s="38" t="s">
        <v>33</v>
      </c>
      <c r="AO51" s="35"/>
      <c r="AP51" s="35"/>
      <c r="AQ51" s="35"/>
      <c r="AR51" s="39">
        <v>150</v>
      </c>
      <c r="AS51" s="40">
        <v>60</v>
      </c>
      <c r="AT51" s="40">
        <v>12</v>
      </c>
      <c r="AU51" s="40">
        <v>26</v>
      </c>
      <c r="AV51" s="35"/>
      <c r="AW51" s="40">
        <v>52</v>
      </c>
      <c r="AX51" s="35"/>
      <c r="AY51" s="35"/>
      <c r="AZ51" s="35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</row>
    <row r="52" spans="1:158" x14ac:dyDescent="0.2">
      <c r="A52" s="6" t="s">
        <v>47</v>
      </c>
      <c r="B52" s="1" t="s">
        <v>118</v>
      </c>
      <c r="C52" s="1" t="s">
        <v>119</v>
      </c>
      <c r="D52" s="12">
        <v>98064.51</v>
      </c>
      <c r="E52" s="2">
        <v>11385.95</v>
      </c>
      <c r="F52" s="2">
        <v>15567.26</v>
      </c>
      <c r="G52" s="2">
        <v>20227.59</v>
      </c>
      <c r="H52" s="2">
        <v>14546.29</v>
      </c>
      <c r="I52" s="2">
        <v>3635.35</v>
      </c>
      <c r="J52" s="2">
        <v>10450.25</v>
      </c>
      <c r="K52" s="2">
        <v>12504.31</v>
      </c>
      <c r="L52" s="2">
        <v>9747.51</v>
      </c>
      <c r="M52" s="12">
        <v>113754.83</v>
      </c>
      <c r="N52" s="2">
        <v>13207.7</v>
      </c>
      <c r="O52" s="2">
        <v>18058.02</v>
      </c>
      <c r="P52" s="2">
        <v>23464</v>
      </c>
      <c r="Q52" s="2">
        <v>16873.7</v>
      </c>
      <c r="R52" s="2">
        <v>4217.01</v>
      </c>
      <c r="S52" s="2">
        <v>12122.29</v>
      </c>
      <c r="T52" s="2">
        <v>14505</v>
      </c>
      <c r="U52" s="2">
        <v>11307.11</v>
      </c>
      <c r="V52" s="2"/>
      <c r="W52" s="2"/>
      <c r="X52" s="2"/>
      <c r="Y52" s="2"/>
      <c r="Z52" s="13">
        <v>185</v>
      </c>
      <c r="AA52" s="4">
        <v>23</v>
      </c>
      <c r="AB52" s="4">
        <v>30</v>
      </c>
      <c r="AC52" s="4">
        <v>41</v>
      </c>
      <c r="AD52" s="4">
        <v>29</v>
      </c>
      <c r="AE52" s="4">
        <v>9</v>
      </c>
      <c r="AF52" s="4">
        <v>15</v>
      </c>
      <c r="AG52" s="4">
        <v>23</v>
      </c>
      <c r="AH52" s="4">
        <v>15</v>
      </c>
      <c r="AI52" s="12">
        <v>530.07843243243246</v>
      </c>
      <c r="AJ52" s="2">
        <v>495.0413043478261</v>
      </c>
      <c r="AK52" s="2">
        <v>518.9086666666667</v>
      </c>
      <c r="AL52" s="2">
        <v>493.3558536585366</v>
      </c>
      <c r="AM52" s="2">
        <v>501.59620689655173</v>
      </c>
      <c r="AN52" s="2">
        <v>403.92777777777781</v>
      </c>
      <c r="AO52" s="2">
        <v>696.68333333333328</v>
      </c>
      <c r="AP52" s="2">
        <v>543.66565217391303</v>
      </c>
      <c r="AQ52" s="2">
        <v>649.83399999999995</v>
      </c>
      <c r="AR52" s="13">
        <v>9180</v>
      </c>
      <c r="AS52" s="4">
        <v>1124</v>
      </c>
      <c r="AT52" s="4">
        <v>1368</v>
      </c>
      <c r="AU52" s="4">
        <v>1884</v>
      </c>
      <c r="AV52" s="4">
        <v>1300</v>
      </c>
      <c r="AW52" s="4">
        <v>244</v>
      </c>
      <c r="AX52" s="4">
        <v>1136</v>
      </c>
      <c r="AY52" s="4">
        <v>1168</v>
      </c>
      <c r="AZ52" s="4">
        <v>956</v>
      </c>
    </row>
    <row r="53" spans="1:158" s="41" customFormat="1" x14ac:dyDescent="0.2">
      <c r="A53" s="55" t="s">
        <v>47</v>
      </c>
      <c r="B53" s="33" t="s">
        <v>120</v>
      </c>
      <c r="C53" s="33" t="s">
        <v>121</v>
      </c>
      <c r="D53" s="34">
        <v>370.47</v>
      </c>
      <c r="E53" s="36">
        <v>38.840000000000003</v>
      </c>
      <c r="F53" s="35"/>
      <c r="G53" s="36">
        <v>124.08</v>
      </c>
      <c r="H53" s="35"/>
      <c r="I53" s="36">
        <v>114.04</v>
      </c>
      <c r="J53" s="35"/>
      <c r="K53" s="36">
        <v>93.51</v>
      </c>
      <c r="L53" s="35"/>
      <c r="M53" s="34">
        <v>429.74</v>
      </c>
      <c r="N53" s="36">
        <v>45.05</v>
      </c>
      <c r="O53" s="35"/>
      <c r="P53" s="36">
        <v>143.93</v>
      </c>
      <c r="Q53" s="35"/>
      <c r="R53" s="36">
        <v>132.29</v>
      </c>
      <c r="S53" s="35"/>
      <c r="T53" s="36">
        <v>108.47</v>
      </c>
      <c r="U53" s="35"/>
      <c r="V53" s="35"/>
      <c r="W53" s="35"/>
      <c r="X53" s="35"/>
      <c r="Y53" s="35"/>
      <c r="Z53" s="42"/>
      <c r="AA53" s="35"/>
      <c r="AB53" s="35"/>
      <c r="AC53" s="35"/>
      <c r="AD53" s="35"/>
      <c r="AE53" s="35"/>
      <c r="AF53" s="35"/>
      <c r="AG53" s="35"/>
      <c r="AH53" s="35"/>
      <c r="AI53" s="37" t="s">
        <v>33</v>
      </c>
      <c r="AJ53" s="38" t="s">
        <v>33</v>
      </c>
      <c r="AK53" s="35"/>
      <c r="AL53" s="38" t="s">
        <v>33</v>
      </c>
      <c r="AM53" s="35"/>
      <c r="AN53" s="38" t="s">
        <v>33</v>
      </c>
      <c r="AO53" s="35"/>
      <c r="AP53" s="38" t="s">
        <v>33</v>
      </c>
      <c r="AQ53" s="35"/>
      <c r="AR53" s="39">
        <v>72</v>
      </c>
      <c r="AS53" s="40">
        <v>8</v>
      </c>
      <c r="AT53" s="35"/>
      <c r="AU53" s="40">
        <v>24</v>
      </c>
      <c r="AV53" s="35"/>
      <c r="AW53" s="40">
        <v>22</v>
      </c>
      <c r="AX53" s="35"/>
      <c r="AY53" s="40">
        <v>18</v>
      </c>
      <c r="AZ53" s="35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</row>
    <row r="54" spans="1:158" s="29" customFormat="1" x14ac:dyDescent="0.2">
      <c r="A54" s="6" t="s">
        <v>47</v>
      </c>
      <c r="B54" s="1" t="s">
        <v>122</v>
      </c>
      <c r="C54" s="1" t="s">
        <v>123</v>
      </c>
      <c r="D54" s="12">
        <v>9725.15</v>
      </c>
      <c r="E54" s="2">
        <v>1009.34</v>
      </c>
      <c r="F54" s="2">
        <v>250.45</v>
      </c>
      <c r="G54" s="2">
        <v>2227.83</v>
      </c>
      <c r="H54" s="2">
        <v>1038.21</v>
      </c>
      <c r="I54" s="2">
        <v>1533.21</v>
      </c>
      <c r="J54" s="2">
        <v>1087.5999999999999</v>
      </c>
      <c r="K54" s="2">
        <v>734.45</v>
      </c>
      <c r="L54" s="2">
        <v>1844.06</v>
      </c>
      <c r="M54" s="12">
        <v>11281.16</v>
      </c>
      <c r="N54" s="2">
        <v>1170.83</v>
      </c>
      <c r="O54" s="2">
        <v>290.52</v>
      </c>
      <c r="P54" s="2">
        <v>2584.2800000000002</v>
      </c>
      <c r="Q54" s="2">
        <v>1204.32</v>
      </c>
      <c r="R54" s="2">
        <v>1778.52</v>
      </c>
      <c r="S54" s="2">
        <v>1261.6199999999999</v>
      </c>
      <c r="T54" s="2">
        <v>851.96</v>
      </c>
      <c r="U54" s="2">
        <v>2139.11</v>
      </c>
      <c r="V54" s="2"/>
      <c r="W54" s="2"/>
      <c r="X54" s="2"/>
      <c r="Y54" s="2"/>
      <c r="Z54" s="13">
        <v>54</v>
      </c>
      <c r="AA54" s="4">
        <v>6</v>
      </c>
      <c r="AB54" s="4">
        <v>2</v>
      </c>
      <c r="AC54" s="4">
        <v>10</v>
      </c>
      <c r="AD54" s="4">
        <v>5</v>
      </c>
      <c r="AE54" s="4">
        <v>6</v>
      </c>
      <c r="AF54" s="4">
        <v>6</v>
      </c>
      <c r="AG54" s="4">
        <v>6</v>
      </c>
      <c r="AH54" s="4">
        <v>13</v>
      </c>
      <c r="AI54" s="12">
        <v>180.09537037037038</v>
      </c>
      <c r="AJ54" s="2">
        <v>168.22333333333333</v>
      </c>
      <c r="AK54" s="2">
        <v>125.22499999999999</v>
      </c>
      <c r="AL54" s="2">
        <v>222.78299999999999</v>
      </c>
      <c r="AM54" s="2">
        <v>207.642</v>
      </c>
      <c r="AN54" s="2">
        <v>255.535</v>
      </c>
      <c r="AO54" s="2">
        <v>181.26666666666668</v>
      </c>
      <c r="AP54" s="2">
        <v>122.40833333333333</v>
      </c>
      <c r="AQ54" s="2">
        <v>141.85076923076923</v>
      </c>
      <c r="AR54" s="13">
        <v>172</v>
      </c>
      <c r="AS54" s="4">
        <v>2</v>
      </c>
      <c r="AT54" s="3"/>
      <c r="AU54" s="4">
        <v>38</v>
      </c>
      <c r="AV54" s="4">
        <v>18</v>
      </c>
      <c r="AW54" s="4">
        <v>52</v>
      </c>
      <c r="AX54" s="4">
        <v>30</v>
      </c>
      <c r="AY54" s="4">
        <v>18</v>
      </c>
      <c r="AZ54" s="4">
        <v>14</v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</row>
    <row r="55" spans="1:158" x14ac:dyDescent="0.2">
      <c r="A55" s="6" t="s">
        <v>47</v>
      </c>
      <c r="B55" s="1" t="s">
        <v>124</v>
      </c>
      <c r="C55" s="1" t="s">
        <v>125</v>
      </c>
      <c r="D55" s="12">
        <v>39186.230000000003</v>
      </c>
      <c r="E55" s="3"/>
      <c r="F55" s="2">
        <v>9014.25</v>
      </c>
      <c r="G55" s="2">
        <v>7631.71</v>
      </c>
      <c r="H55" s="2">
        <v>7593.19</v>
      </c>
      <c r="I55" s="2">
        <v>861.12</v>
      </c>
      <c r="J55" s="2">
        <v>8665.75</v>
      </c>
      <c r="K55" s="2">
        <v>183.04</v>
      </c>
      <c r="L55" s="2">
        <v>5237.17</v>
      </c>
      <c r="M55" s="12">
        <v>45456.03</v>
      </c>
      <c r="N55" s="3"/>
      <c r="O55" s="2">
        <v>10456.530000000001</v>
      </c>
      <c r="P55" s="2">
        <v>8852.7800000000007</v>
      </c>
      <c r="Q55" s="2">
        <v>8808.1</v>
      </c>
      <c r="R55" s="2">
        <v>998.9</v>
      </c>
      <c r="S55" s="2">
        <v>10052.27</v>
      </c>
      <c r="T55" s="2">
        <v>212.33</v>
      </c>
      <c r="U55" s="2">
        <v>6075.12</v>
      </c>
      <c r="V55" s="2"/>
      <c r="W55" s="2"/>
      <c r="X55" s="2"/>
      <c r="Y55" s="2"/>
      <c r="Z55" s="13">
        <v>58</v>
      </c>
      <c r="AA55" s="3"/>
      <c r="AB55" s="4">
        <v>15</v>
      </c>
      <c r="AC55" s="4">
        <v>12</v>
      </c>
      <c r="AD55" s="4">
        <v>11</v>
      </c>
      <c r="AE55" s="3"/>
      <c r="AF55" s="4">
        <v>15</v>
      </c>
      <c r="AG55" s="3"/>
      <c r="AH55" s="4">
        <v>5</v>
      </c>
      <c r="AI55" s="12">
        <v>675.62465517241378</v>
      </c>
      <c r="AJ55" s="3"/>
      <c r="AK55" s="2">
        <v>600.95000000000005</v>
      </c>
      <c r="AL55" s="2">
        <v>635.9758333333333</v>
      </c>
      <c r="AM55" s="2">
        <v>690.29</v>
      </c>
      <c r="AN55" s="5" t="s">
        <v>33</v>
      </c>
      <c r="AO55" s="2">
        <v>577.7166666666667</v>
      </c>
      <c r="AP55" s="5" t="s">
        <v>33</v>
      </c>
      <c r="AQ55" s="2">
        <v>1047.434</v>
      </c>
      <c r="AR55" s="13">
        <v>3995</v>
      </c>
      <c r="AS55" s="3"/>
      <c r="AT55" s="4">
        <v>990</v>
      </c>
      <c r="AU55" s="4">
        <v>449</v>
      </c>
      <c r="AV55" s="4">
        <v>846</v>
      </c>
      <c r="AW55" s="4">
        <v>72</v>
      </c>
      <c r="AX55" s="4">
        <v>890</v>
      </c>
      <c r="AY55" s="4">
        <v>32</v>
      </c>
      <c r="AZ55" s="4">
        <v>716</v>
      </c>
    </row>
    <row r="56" spans="1:158" s="41" customFormat="1" x14ac:dyDescent="0.2">
      <c r="A56" s="53" t="s">
        <v>47</v>
      </c>
      <c r="B56" s="23" t="s">
        <v>126</v>
      </c>
      <c r="C56" s="23" t="s">
        <v>127</v>
      </c>
      <c r="D56" s="24">
        <v>152954.35999999999</v>
      </c>
      <c r="E56" s="25">
        <v>48799.06</v>
      </c>
      <c r="F56" s="25">
        <v>31624.84</v>
      </c>
      <c r="G56" s="25">
        <v>37543.17</v>
      </c>
      <c r="H56" s="25">
        <v>34987.29</v>
      </c>
      <c r="I56" s="26"/>
      <c r="J56" s="26"/>
      <c r="K56" s="26"/>
      <c r="L56" s="26"/>
      <c r="M56" s="24">
        <v>173519.21</v>
      </c>
      <c r="N56" s="25">
        <v>55692.74</v>
      </c>
      <c r="O56" s="25">
        <v>35899.01</v>
      </c>
      <c r="P56" s="25">
        <v>42517.51</v>
      </c>
      <c r="Q56" s="25">
        <v>39409.949999999997</v>
      </c>
      <c r="R56" s="26"/>
      <c r="S56" s="26"/>
      <c r="T56" s="26"/>
      <c r="U56" s="26"/>
      <c r="V56" s="26"/>
      <c r="W56" s="26"/>
      <c r="X56" s="26"/>
      <c r="Y56" s="26"/>
      <c r="Z56" s="27">
        <v>546</v>
      </c>
      <c r="AA56" s="28">
        <v>175</v>
      </c>
      <c r="AB56" s="28">
        <v>125</v>
      </c>
      <c r="AC56" s="28">
        <v>134</v>
      </c>
      <c r="AD56" s="28">
        <v>112</v>
      </c>
      <c r="AE56" s="26"/>
      <c r="AF56" s="26"/>
      <c r="AG56" s="26"/>
      <c r="AH56" s="26"/>
      <c r="AI56" s="24">
        <v>280.13619047619051</v>
      </c>
      <c r="AJ56" s="25">
        <v>278.85177142857145</v>
      </c>
      <c r="AK56" s="25">
        <v>252.99871999999999</v>
      </c>
      <c r="AL56" s="25">
        <v>280.17291044776118</v>
      </c>
      <c r="AM56" s="25">
        <v>312.38651785714285</v>
      </c>
      <c r="AN56" s="26"/>
      <c r="AO56" s="26"/>
      <c r="AP56" s="26"/>
      <c r="AQ56" s="26"/>
      <c r="AR56" s="27">
        <v>2005</v>
      </c>
      <c r="AS56" s="28">
        <v>779</v>
      </c>
      <c r="AT56" s="28">
        <v>279</v>
      </c>
      <c r="AU56" s="28">
        <v>554</v>
      </c>
      <c r="AV56" s="28">
        <v>393</v>
      </c>
      <c r="AW56" s="26"/>
      <c r="AX56" s="26"/>
      <c r="AY56" s="26"/>
      <c r="AZ56" s="2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</row>
    <row r="57" spans="1:158" x14ac:dyDescent="0.2">
      <c r="A57" s="6" t="s">
        <v>47</v>
      </c>
      <c r="B57" s="1" t="s">
        <v>128</v>
      </c>
      <c r="C57" s="1" t="s">
        <v>129</v>
      </c>
      <c r="D57" s="12">
        <v>28988.17</v>
      </c>
      <c r="E57" s="2">
        <v>2664.32</v>
      </c>
      <c r="F57" s="2">
        <v>7500.62</v>
      </c>
      <c r="G57" s="2">
        <v>13084.45</v>
      </c>
      <c r="H57" s="2">
        <v>5738.78</v>
      </c>
      <c r="I57" s="3"/>
      <c r="J57" s="3"/>
      <c r="K57" s="3"/>
      <c r="L57" s="3"/>
      <c r="M57" s="12">
        <v>31673.3</v>
      </c>
      <c r="N57" s="2">
        <v>2949.07</v>
      </c>
      <c r="O57" s="2">
        <v>7886.79</v>
      </c>
      <c r="P57" s="2">
        <v>14396.77</v>
      </c>
      <c r="Q57" s="2">
        <v>6440.67</v>
      </c>
      <c r="R57" s="3"/>
      <c r="S57" s="3"/>
      <c r="T57" s="3"/>
      <c r="U57" s="3"/>
      <c r="V57" s="3"/>
      <c r="W57" s="3"/>
      <c r="X57" s="3"/>
      <c r="Y57" s="3"/>
      <c r="Z57" s="13">
        <v>76</v>
      </c>
      <c r="AA57" s="4">
        <v>9</v>
      </c>
      <c r="AB57" s="4">
        <v>22</v>
      </c>
      <c r="AC57" s="4">
        <v>28</v>
      </c>
      <c r="AD57" s="4">
        <v>17</v>
      </c>
      <c r="AE57" s="3"/>
      <c r="AF57" s="3"/>
      <c r="AG57" s="3"/>
      <c r="AH57" s="3"/>
      <c r="AI57" s="12">
        <v>381.42328947368424</v>
      </c>
      <c r="AJ57" s="2">
        <v>296.03555555555556</v>
      </c>
      <c r="AK57" s="2">
        <v>340.93727272727273</v>
      </c>
      <c r="AL57" s="2">
        <v>467.3017857142857</v>
      </c>
      <c r="AM57" s="2">
        <v>337.57529411764705</v>
      </c>
      <c r="AN57" s="3"/>
      <c r="AO57" s="3"/>
      <c r="AP57" s="3"/>
      <c r="AQ57" s="3"/>
      <c r="AR57" s="13">
        <v>538</v>
      </c>
      <c r="AS57" s="4">
        <v>2</v>
      </c>
      <c r="AT57" s="4">
        <v>49</v>
      </c>
      <c r="AU57" s="4">
        <v>427</v>
      </c>
      <c r="AV57" s="4">
        <v>60</v>
      </c>
      <c r="AW57" s="3"/>
      <c r="AX57" s="3"/>
      <c r="AY57" s="3"/>
      <c r="AZ57" s="3"/>
    </row>
    <row r="58" spans="1:158" s="41" customFormat="1" x14ac:dyDescent="0.2">
      <c r="A58" s="6" t="s">
        <v>47</v>
      </c>
      <c r="B58" s="1" t="s">
        <v>130</v>
      </c>
      <c r="C58" s="1" t="s">
        <v>131</v>
      </c>
      <c r="D58" s="12">
        <v>33920.120000000003</v>
      </c>
      <c r="E58" s="3"/>
      <c r="F58" s="3"/>
      <c r="G58" s="2">
        <v>11060.89</v>
      </c>
      <c r="H58" s="2">
        <v>8960.34</v>
      </c>
      <c r="I58" s="2">
        <v>1328.15</v>
      </c>
      <c r="J58" s="2">
        <v>11819.84</v>
      </c>
      <c r="K58" s="2">
        <v>-443.69</v>
      </c>
      <c r="L58" s="2">
        <v>1194.5899999999999</v>
      </c>
      <c r="M58" s="12">
        <v>38599.89</v>
      </c>
      <c r="N58" s="3"/>
      <c r="O58" s="3"/>
      <c r="P58" s="2">
        <v>12423.55</v>
      </c>
      <c r="Q58" s="2">
        <v>10362.11</v>
      </c>
      <c r="R58" s="2">
        <v>1379.89</v>
      </c>
      <c r="S58" s="2">
        <v>13621.85</v>
      </c>
      <c r="T58" s="2">
        <v>-561.51</v>
      </c>
      <c r="U58" s="2">
        <v>1374</v>
      </c>
      <c r="V58" s="2"/>
      <c r="W58" s="2"/>
      <c r="X58" s="2"/>
      <c r="Y58" s="2"/>
      <c r="Z58" s="13">
        <v>135</v>
      </c>
      <c r="AA58" s="3"/>
      <c r="AB58" s="3"/>
      <c r="AC58" s="4">
        <v>40</v>
      </c>
      <c r="AD58" s="4">
        <v>45</v>
      </c>
      <c r="AE58" s="3"/>
      <c r="AF58" s="4">
        <v>50</v>
      </c>
      <c r="AG58" s="3"/>
      <c r="AH58" s="3"/>
      <c r="AI58" s="12">
        <v>251.26014814814815</v>
      </c>
      <c r="AJ58" s="3"/>
      <c r="AK58" s="3"/>
      <c r="AL58" s="2">
        <v>276.52224999999999</v>
      </c>
      <c r="AM58" s="2">
        <v>199.11866666666668</v>
      </c>
      <c r="AN58" s="5" t="s">
        <v>33</v>
      </c>
      <c r="AO58" s="2">
        <v>236.39680000000001</v>
      </c>
      <c r="AP58" s="5" t="s">
        <v>33</v>
      </c>
      <c r="AQ58" s="5" t="s">
        <v>33</v>
      </c>
      <c r="AR58" s="13">
        <v>352.1</v>
      </c>
      <c r="AS58" s="3"/>
      <c r="AT58" s="3"/>
      <c r="AU58" s="4">
        <v>59.9</v>
      </c>
      <c r="AV58" s="4">
        <v>93.1</v>
      </c>
      <c r="AW58" s="4">
        <v>36.6</v>
      </c>
      <c r="AX58" s="4">
        <v>60.5</v>
      </c>
      <c r="AY58" s="4">
        <v>-12</v>
      </c>
      <c r="AZ58" s="4">
        <v>114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</row>
    <row r="59" spans="1:158" x14ac:dyDescent="0.2">
      <c r="A59" s="6" t="s">
        <v>47</v>
      </c>
      <c r="B59" s="1" t="s">
        <v>132</v>
      </c>
      <c r="C59" s="1" t="s">
        <v>133</v>
      </c>
      <c r="D59" s="12">
        <v>275366.63</v>
      </c>
      <c r="E59" s="3"/>
      <c r="F59" s="2">
        <v>4576.53</v>
      </c>
      <c r="G59" s="2">
        <v>42395.13</v>
      </c>
      <c r="H59" s="2">
        <v>47314.76</v>
      </c>
      <c r="I59" s="2">
        <v>40551.370000000003</v>
      </c>
      <c r="J59" s="2">
        <v>46492.12</v>
      </c>
      <c r="K59" s="2">
        <v>46488.17</v>
      </c>
      <c r="L59" s="2">
        <v>47548.55</v>
      </c>
      <c r="M59" s="12">
        <v>319425.28999999998</v>
      </c>
      <c r="N59" s="3"/>
      <c r="O59" s="2">
        <v>5308.77</v>
      </c>
      <c r="P59" s="2">
        <v>49178.35</v>
      </c>
      <c r="Q59" s="2">
        <v>54885.120000000003</v>
      </c>
      <c r="R59" s="2">
        <v>47039.59</v>
      </c>
      <c r="S59" s="2">
        <v>53930.86</v>
      </c>
      <c r="T59" s="2">
        <v>53926.28</v>
      </c>
      <c r="U59" s="2">
        <v>55156.32</v>
      </c>
      <c r="V59" s="2"/>
      <c r="W59" s="2"/>
      <c r="X59" s="2"/>
      <c r="Y59" s="2"/>
      <c r="Z59" s="13">
        <v>300</v>
      </c>
      <c r="AA59" s="3"/>
      <c r="AB59" s="3"/>
      <c r="AC59" s="4">
        <v>50</v>
      </c>
      <c r="AD59" s="4">
        <v>50</v>
      </c>
      <c r="AE59" s="4">
        <v>50</v>
      </c>
      <c r="AF59" s="4">
        <v>50</v>
      </c>
      <c r="AG59" s="4">
        <v>50</v>
      </c>
      <c r="AH59" s="4">
        <v>50</v>
      </c>
      <c r="AI59" s="12">
        <v>917.8887666666667</v>
      </c>
      <c r="AJ59" s="3"/>
      <c r="AK59" s="5" t="s">
        <v>33</v>
      </c>
      <c r="AL59" s="2">
        <v>847.90260000000001</v>
      </c>
      <c r="AM59" s="2">
        <v>946.29520000000002</v>
      </c>
      <c r="AN59" s="2">
        <v>811.02739999999994</v>
      </c>
      <c r="AO59" s="2">
        <v>929.8424</v>
      </c>
      <c r="AP59" s="2">
        <v>929.76340000000005</v>
      </c>
      <c r="AQ59" s="2">
        <v>950.971</v>
      </c>
      <c r="AR59" s="13">
        <v>28742</v>
      </c>
      <c r="AS59" s="3"/>
      <c r="AT59" s="4">
        <v>390</v>
      </c>
      <c r="AU59" s="4">
        <v>4822</v>
      </c>
      <c r="AV59" s="4">
        <v>3480</v>
      </c>
      <c r="AW59" s="4">
        <v>4292</v>
      </c>
      <c r="AX59" s="4">
        <v>5216</v>
      </c>
      <c r="AY59" s="4">
        <v>5270</v>
      </c>
      <c r="AZ59" s="4">
        <v>5272</v>
      </c>
    </row>
    <row r="60" spans="1:158" x14ac:dyDescent="0.2">
      <c r="A60" s="6" t="s">
        <v>47</v>
      </c>
      <c r="B60" s="1" t="s">
        <v>134</v>
      </c>
      <c r="C60" s="1" t="s">
        <v>135</v>
      </c>
      <c r="D60" s="12">
        <v>17393.48</v>
      </c>
      <c r="E60" s="3"/>
      <c r="F60" s="2">
        <v>17128.52</v>
      </c>
      <c r="G60" s="3"/>
      <c r="H60" s="2">
        <v>214.2</v>
      </c>
      <c r="I60" s="3"/>
      <c r="J60" s="3"/>
      <c r="K60" s="3"/>
      <c r="L60" s="2">
        <v>50.76</v>
      </c>
      <c r="M60" s="12">
        <v>20176.43</v>
      </c>
      <c r="N60" s="3"/>
      <c r="O60" s="2">
        <v>19869.080000000002</v>
      </c>
      <c r="P60" s="3"/>
      <c r="Q60" s="2">
        <v>248.47</v>
      </c>
      <c r="R60" s="3"/>
      <c r="S60" s="3"/>
      <c r="T60" s="3"/>
      <c r="U60" s="2">
        <v>58.88</v>
      </c>
      <c r="V60" s="2"/>
      <c r="W60" s="2"/>
      <c r="X60" s="2"/>
      <c r="Y60" s="2"/>
      <c r="Z60" s="13">
        <v>50</v>
      </c>
      <c r="AA60" s="3"/>
      <c r="AB60" s="4">
        <v>50</v>
      </c>
      <c r="AC60" s="3"/>
      <c r="AD60" s="3"/>
      <c r="AE60" s="3"/>
      <c r="AF60" s="3"/>
      <c r="AG60" s="3"/>
      <c r="AH60" s="3"/>
      <c r="AI60" s="12">
        <v>347.86959999999999</v>
      </c>
      <c r="AJ60" s="3"/>
      <c r="AK60" s="2">
        <v>342.57040000000001</v>
      </c>
      <c r="AL60" s="3"/>
      <c r="AM60" s="5" t="s">
        <v>33</v>
      </c>
      <c r="AN60" s="3"/>
      <c r="AO60" s="3"/>
      <c r="AP60" s="3"/>
      <c r="AQ60" s="5" t="s">
        <v>33</v>
      </c>
      <c r="AR60" s="13">
        <v>16</v>
      </c>
      <c r="AS60" s="3"/>
      <c r="AT60" s="4">
        <v>10</v>
      </c>
      <c r="AU60" s="3"/>
      <c r="AV60" s="4">
        <v>4</v>
      </c>
      <c r="AW60" s="3"/>
      <c r="AX60" s="3"/>
      <c r="AY60" s="3"/>
      <c r="AZ60" s="4">
        <v>2</v>
      </c>
    </row>
    <row r="61" spans="1:158" x14ac:dyDescent="0.2">
      <c r="A61" s="53" t="s">
        <v>47</v>
      </c>
      <c r="B61" s="23" t="s">
        <v>136</v>
      </c>
      <c r="C61" s="23" t="s">
        <v>137</v>
      </c>
      <c r="D61" s="24">
        <v>246371.18</v>
      </c>
      <c r="E61" s="25">
        <v>97430.95</v>
      </c>
      <c r="F61" s="25">
        <v>110567.65</v>
      </c>
      <c r="G61" s="25">
        <v>38372.58</v>
      </c>
      <c r="H61" s="26"/>
      <c r="I61" s="26"/>
      <c r="J61" s="26"/>
      <c r="K61" s="26"/>
      <c r="L61" s="26"/>
      <c r="M61" s="24">
        <v>285790.58</v>
      </c>
      <c r="N61" s="25">
        <v>113019.91</v>
      </c>
      <c r="O61" s="25">
        <v>128258.47</v>
      </c>
      <c r="P61" s="25">
        <v>44512.2</v>
      </c>
      <c r="Q61" s="26"/>
      <c r="R61" s="26"/>
      <c r="S61" s="26"/>
      <c r="T61" s="26"/>
      <c r="U61" s="26"/>
      <c r="V61" s="26"/>
      <c r="W61" s="26"/>
      <c r="X61" s="26"/>
      <c r="Y61" s="26"/>
      <c r="Z61" s="27">
        <v>634</v>
      </c>
      <c r="AA61" s="28">
        <v>358</v>
      </c>
      <c r="AB61" s="28">
        <v>260</v>
      </c>
      <c r="AC61" s="28">
        <v>16</v>
      </c>
      <c r="AD61" s="26"/>
      <c r="AE61" s="26"/>
      <c r="AF61" s="26"/>
      <c r="AG61" s="26"/>
      <c r="AH61" s="26"/>
      <c r="AI61" s="24">
        <v>388.59807570977915</v>
      </c>
      <c r="AJ61" s="25">
        <v>272.15349162011171</v>
      </c>
      <c r="AK61" s="25">
        <v>425.26019230769231</v>
      </c>
      <c r="AL61" s="25">
        <v>2398.2862500000001</v>
      </c>
      <c r="AM61" s="26"/>
      <c r="AN61" s="26"/>
      <c r="AO61" s="26"/>
      <c r="AP61" s="26"/>
      <c r="AQ61" s="26"/>
      <c r="AR61" s="27">
        <v>14732</v>
      </c>
      <c r="AS61" s="28">
        <v>3930</v>
      </c>
      <c r="AT61" s="28">
        <v>6898</v>
      </c>
      <c r="AU61" s="28">
        <v>3904</v>
      </c>
      <c r="AV61" s="26"/>
      <c r="AW61" s="26"/>
      <c r="AX61" s="26"/>
      <c r="AY61" s="26"/>
      <c r="AZ61" s="26"/>
    </row>
    <row r="62" spans="1:158" s="41" customFormat="1" x14ac:dyDescent="0.2">
      <c r="A62" s="6" t="s">
        <v>47</v>
      </c>
      <c r="B62" s="1" t="s">
        <v>138</v>
      </c>
      <c r="C62" s="1" t="s">
        <v>139</v>
      </c>
      <c r="D62" s="12">
        <v>11274.73</v>
      </c>
      <c r="E62" s="2">
        <v>7131.33</v>
      </c>
      <c r="F62" s="2">
        <v>2773.82</v>
      </c>
      <c r="G62" s="2">
        <v>-430.65</v>
      </c>
      <c r="H62" s="3"/>
      <c r="I62" s="3"/>
      <c r="J62" s="2">
        <v>679.13</v>
      </c>
      <c r="K62" s="2">
        <v>1121.0999999999999</v>
      </c>
      <c r="L62" s="3"/>
      <c r="M62" s="12">
        <v>13078.69</v>
      </c>
      <c r="N62" s="2">
        <v>8272.34</v>
      </c>
      <c r="O62" s="2">
        <v>3217.63</v>
      </c>
      <c r="P62" s="2">
        <v>-499.55</v>
      </c>
      <c r="Q62" s="3"/>
      <c r="R62" s="3"/>
      <c r="S62" s="2">
        <v>787.79</v>
      </c>
      <c r="T62" s="2">
        <v>1300.48</v>
      </c>
      <c r="U62" s="3"/>
      <c r="V62" s="3"/>
      <c r="W62" s="3"/>
      <c r="X62" s="3"/>
      <c r="Y62" s="3"/>
      <c r="Z62" s="13">
        <v>44</v>
      </c>
      <c r="AA62" s="4">
        <v>26</v>
      </c>
      <c r="AB62" s="4">
        <v>10</v>
      </c>
      <c r="AC62" s="3"/>
      <c r="AD62" s="3"/>
      <c r="AE62" s="3"/>
      <c r="AF62" s="4">
        <v>3</v>
      </c>
      <c r="AG62" s="4">
        <v>5</v>
      </c>
      <c r="AH62" s="3"/>
      <c r="AI62" s="12">
        <v>256.24386363636364</v>
      </c>
      <c r="AJ62" s="2">
        <v>274.28192307692308</v>
      </c>
      <c r="AK62" s="2">
        <v>277.38200000000001</v>
      </c>
      <c r="AL62" s="5" t="s">
        <v>33</v>
      </c>
      <c r="AM62" s="3"/>
      <c r="AN62" s="3"/>
      <c r="AO62" s="2">
        <v>226.37666666666667</v>
      </c>
      <c r="AP62" s="2">
        <v>224.22</v>
      </c>
      <c r="AQ62" s="3"/>
      <c r="AR62" s="13">
        <v>74</v>
      </c>
      <c r="AS62" s="4">
        <v>88</v>
      </c>
      <c r="AT62" s="4">
        <v>16</v>
      </c>
      <c r="AU62" s="4">
        <v>-30</v>
      </c>
      <c r="AV62" s="3"/>
      <c r="AW62" s="3"/>
      <c r="AX62" s="3"/>
      <c r="AY62" s="3"/>
      <c r="AZ62" s="3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</row>
    <row r="63" spans="1:158" s="29" customFormat="1" x14ac:dyDescent="0.2">
      <c r="A63" s="6" t="s">
        <v>47</v>
      </c>
      <c r="B63" s="1" t="s">
        <v>140</v>
      </c>
      <c r="C63" s="1" t="s">
        <v>141</v>
      </c>
      <c r="D63" s="12">
        <v>17225.07</v>
      </c>
      <c r="E63" s="3"/>
      <c r="F63" s="2">
        <v>9500.4500000000007</v>
      </c>
      <c r="G63" s="3"/>
      <c r="H63" s="3"/>
      <c r="I63" s="2">
        <v>1942.28</v>
      </c>
      <c r="J63" s="2">
        <v>5782.34</v>
      </c>
      <c r="K63" s="3"/>
      <c r="L63" s="3"/>
      <c r="M63" s="12">
        <v>19981.07</v>
      </c>
      <c r="N63" s="3"/>
      <c r="O63" s="2">
        <v>11020.52</v>
      </c>
      <c r="P63" s="3"/>
      <c r="Q63" s="3"/>
      <c r="R63" s="2">
        <v>2253.04</v>
      </c>
      <c r="S63" s="2">
        <v>6707.51</v>
      </c>
      <c r="T63" s="3"/>
      <c r="U63" s="3"/>
      <c r="V63" s="3"/>
      <c r="W63" s="3"/>
      <c r="X63" s="3"/>
      <c r="Y63" s="3"/>
      <c r="Z63" s="13">
        <v>55</v>
      </c>
      <c r="AA63" s="3"/>
      <c r="AB63" s="4">
        <v>35</v>
      </c>
      <c r="AC63" s="3"/>
      <c r="AD63" s="3"/>
      <c r="AE63" s="3"/>
      <c r="AF63" s="4">
        <v>20</v>
      </c>
      <c r="AG63" s="3"/>
      <c r="AH63" s="3"/>
      <c r="AI63" s="12">
        <v>313.18309090909094</v>
      </c>
      <c r="AJ63" s="3"/>
      <c r="AK63" s="2">
        <v>271.44142857142856</v>
      </c>
      <c r="AL63" s="3"/>
      <c r="AM63" s="3"/>
      <c r="AN63" s="5" t="s">
        <v>33</v>
      </c>
      <c r="AO63" s="2">
        <v>289.11700000000002</v>
      </c>
      <c r="AP63" s="3"/>
      <c r="AQ63" s="3"/>
      <c r="AR63" s="13">
        <v>76</v>
      </c>
      <c r="AS63" s="3"/>
      <c r="AT63" s="3"/>
      <c r="AU63" s="3"/>
      <c r="AV63" s="3"/>
      <c r="AW63" s="4">
        <v>76</v>
      </c>
      <c r="AX63" s="3"/>
      <c r="AY63" s="3"/>
      <c r="AZ63" s="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</row>
    <row r="64" spans="1:158" s="29" customFormat="1" x14ac:dyDescent="0.2">
      <c r="A64" s="53" t="s">
        <v>47</v>
      </c>
      <c r="B64" s="23" t="s">
        <v>142</v>
      </c>
      <c r="C64" s="23" t="s">
        <v>143</v>
      </c>
      <c r="D64" s="24">
        <v>41.57</v>
      </c>
      <c r="E64" s="26"/>
      <c r="F64" s="26"/>
      <c r="G64" s="26"/>
      <c r="H64" s="26"/>
      <c r="I64" s="26"/>
      <c r="J64" s="25">
        <v>41.57</v>
      </c>
      <c r="K64" s="26"/>
      <c r="L64" s="26"/>
      <c r="M64" s="24">
        <v>48.22</v>
      </c>
      <c r="N64" s="26"/>
      <c r="O64" s="26"/>
      <c r="P64" s="26"/>
      <c r="Q64" s="26"/>
      <c r="R64" s="26"/>
      <c r="S64" s="25">
        <v>48.22</v>
      </c>
      <c r="T64" s="26"/>
      <c r="U64" s="26"/>
      <c r="V64" s="26"/>
      <c r="W64" s="26"/>
      <c r="X64" s="26"/>
      <c r="Y64" s="26"/>
      <c r="Z64" s="32"/>
      <c r="AA64" s="26"/>
      <c r="AB64" s="26"/>
      <c r="AC64" s="26"/>
      <c r="AD64" s="26"/>
      <c r="AE64" s="26"/>
      <c r="AF64" s="26"/>
      <c r="AG64" s="26"/>
      <c r="AH64" s="26"/>
      <c r="AI64" s="30" t="s">
        <v>33</v>
      </c>
      <c r="AJ64" s="26"/>
      <c r="AK64" s="26"/>
      <c r="AL64" s="26"/>
      <c r="AM64" s="26"/>
      <c r="AN64" s="26"/>
      <c r="AO64" s="31" t="s">
        <v>33</v>
      </c>
      <c r="AP64" s="26"/>
      <c r="AQ64" s="26"/>
      <c r="AR64" s="27">
        <v>2</v>
      </c>
      <c r="AS64" s="26"/>
      <c r="AT64" s="26"/>
      <c r="AU64" s="26"/>
      <c r="AV64" s="26"/>
      <c r="AW64" s="26"/>
      <c r="AX64" s="28">
        <v>2</v>
      </c>
      <c r="AY64" s="26"/>
      <c r="AZ64" s="26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</row>
    <row r="65" spans="1:158" s="52" customFormat="1" x14ac:dyDescent="0.2">
      <c r="A65" s="6" t="s">
        <v>47</v>
      </c>
      <c r="B65" s="1" t="s">
        <v>144</v>
      </c>
      <c r="C65" s="1" t="s">
        <v>145</v>
      </c>
      <c r="D65" s="12">
        <v>63784.11</v>
      </c>
      <c r="E65" s="3"/>
      <c r="F65" s="2">
        <v>13598.78</v>
      </c>
      <c r="G65" s="2">
        <v>7890.42</v>
      </c>
      <c r="H65" s="2">
        <v>24597.26</v>
      </c>
      <c r="I65" s="2">
        <v>16988.07</v>
      </c>
      <c r="J65" s="2">
        <v>709.58</v>
      </c>
      <c r="K65" s="3"/>
      <c r="L65" s="3"/>
      <c r="M65" s="12">
        <v>73989.570000000007</v>
      </c>
      <c r="N65" s="3"/>
      <c r="O65" s="2">
        <v>15774.58</v>
      </c>
      <c r="P65" s="2">
        <v>9152.89</v>
      </c>
      <c r="Q65" s="2">
        <v>28532.83</v>
      </c>
      <c r="R65" s="2">
        <v>19706.16</v>
      </c>
      <c r="S65" s="2">
        <v>823.11</v>
      </c>
      <c r="T65" s="3"/>
      <c r="U65" s="3"/>
      <c r="V65" s="3"/>
      <c r="W65" s="3"/>
      <c r="X65" s="3"/>
      <c r="Y65" s="3"/>
      <c r="Z65" s="13">
        <v>99</v>
      </c>
      <c r="AA65" s="3"/>
      <c r="AB65" s="4">
        <v>16</v>
      </c>
      <c r="AC65" s="4">
        <v>15</v>
      </c>
      <c r="AD65" s="4">
        <v>40</v>
      </c>
      <c r="AE65" s="4">
        <v>28</v>
      </c>
      <c r="AF65" s="3"/>
      <c r="AG65" s="3"/>
      <c r="AH65" s="3"/>
      <c r="AI65" s="12">
        <v>644.28393939393936</v>
      </c>
      <c r="AJ65" s="3"/>
      <c r="AK65" s="2">
        <v>849.92375000000004</v>
      </c>
      <c r="AL65" s="2">
        <v>526.02800000000002</v>
      </c>
      <c r="AM65" s="2">
        <v>614.93150000000003</v>
      </c>
      <c r="AN65" s="2">
        <v>606.71678571428572</v>
      </c>
      <c r="AO65" s="5" t="s">
        <v>33</v>
      </c>
      <c r="AP65" s="3"/>
      <c r="AQ65" s="3"/>
      <c r="AR65" s="13">
        <v>5110</v>
      </c>
      <c r="AS65" s="3"/>
      <c r="AT65" s="4">
        <v>1532</v>
      </c>
      <c r="AU65" s="4">
        <v>482</v>
      </c>
      <c r="AV65" s="4">
        <v>1634</v>
      </c>
      <c r="AW65" s="4">
        <v>1386</v>
      </c>
      <c r="AX65" s="4">
        <v>76</v>
      </c>
      <c r="AY65" s="3"/>
      <c r="AZ65" s="3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</row>
    <row r="66" spans="1:158" x14ac:dyDescent="0.2">
      <c r="A66" s="55" t="s">
        <v>47</v>
      </c>
      <c r="B66" s="33" t="s">
        <v>146</v>
      </c>
      <c r="C66" s="33" t="s">
        <v>147</v>
      </c>
      <c r="D66" s="34">
        <v>63.06</v>
      </c>
      <c r="E66" s="35"/>
      <c r="F66" s="35"/>
      <c r="G66" s="35"/>
      <c r="H66" s="35"/>
      <c r="I66" s="36">
        <v>63.06</v>
      </c>
      <c r="J66" s="35"/>
      <c r="K66" s="35"/>
      <c r="L66" s="35"/>
      <c r="M66" s="34">
        <v>73.150000000000006</v>
      </c>
      <c r="N66" s="35"/>
      <c r="O66" s="35"/>
      <c r="P66" s="35"/>
      <c r="Q66" s="35"/>
      <c r="R66" s="36">
        <v>73.150000000000006</v>
      </c>
      <c r="S66" s="35"/>
      <c r="T66" s="35"/>
      <c r="U66" s="35"/>
      <c r="V66" s="35"/>
      <c r="W66" s="35"/>
      <c r="X66" s="35"/>
      <c r="Y66" s="35"/>
      <c r="Z66" s="42"/>
      <c r="AA66" s="35"/>
      <c r="AB66" s="35"/>
      <c r="AC66" s="35"/>
      <c r="AD66" s="35"/>
      <c r="AE66" s="35"/>
      <c r="AF66" s="35"/>
      <c r="AG66" s="35"/>
      <c r="AH66" s="35"/>
      <c r="AI66" s="37" t="s">
        <v>33</v>
      </c>
      <c r="AJ66" s="35"/>
      <c r="AK66" s="35"/>
      <c r="AL66" s="35"/>
      <c r="AM66" s="35"/>
      <c r="AN66" s="38" t="s">
        <v>33</v>
      </c>
      <c r="AO66" s="35"/>
      <c r="AP66" s="35"/>
      <c r="AQ66" s="35"/>
      <c r="AR66" s="39">
        <v>18</v>
      </c>
      <c r="AS66" s="35"/>
      <c r="AT66" s="35"/>
      <c r="AU66" s="35"/>
      <c r="AV66" s="35"/>
      <c r="AW66" s="40">
        <v>18</v>
      </c>
      <c r="AX66" s="35"/>
      <c r="AY66" s="35"/>
      <c r="AZ66" s="35"/>
    </row>
    <row r="67" spans="1:158" x14ac:dyDescent="0.2">
      <c r="A67" s="53" t="s">
        <v>47</v>
      </c>
      <c r="B67" s="23" t="s">
        <v>148</v>
      </c>
      <c r="C67" s="23" t="s">
        <v>149</v>
      </c>
      <c r="D67" s="24">
        <v>51256.65</v>
      </c>
      <c r="E67" s="26"/>
      <c r="F67" s="25">
        <v>11359.67</v>
      </c>
      <c r="G67" s="25">
        <v>20613.23</v>
      </c>
      <c r="H67" s="25">
        <v>19283.75</v>
      </c>
      <c r="I67" s="26"/>
      <c r="J67" s="26"/>
      <c r="K67" s="26"/>
      <c r="L67" s="26"/>
      <c r="M67" s="24">
        <v>56485.7</v>
      </c>
      <c r="N67" s="26"/>
      <c r="O67" s="25">
        <v>12719.7</v>
      </c>
      <c r="P67" s="25">
        <v>22261.95</v>
      </c>
      <c r="Q67" s="25">
        <v>21504.05</v>
      </c>
      <c r="R67" s="26"/>
      <c r="S67" s="26"/>
      <c r="T67" s="26"/>
      <c r="U67" s="26"/>
      <c r="V67" s="26"/>
      <c r="W67" s="26"/>
      <c r="X67" s="26"/>
      <c r="Y67" s="26"/>
      <c r="Z67" s="27">
        <v>161</v>
      </c>
      <c r="AA67" s="26"/>
      <c r="AB67" s="28">
        <v>37</v>
      </c>
      <c r="AC67" s="28">
        <v>65</v>
      </c>
      <c r="AD67" s="28">
        <v>59</v>
      </c>
      <c r="AE67" s="26"/>
      <c r="AF67" s="26"/>
      <c r="AG67" s="26"/>
      <c r="AH67" s="26"/>
      <c r="AI67" s="24">
        <v>318.3642857142857</v>
      </c>
      <c r="AJ67" s="26"/>
      <c r="AK67" s="25">
        <v>307.01810810810809</v>
      </c>
      <c r="AL67" s="25">
        <v>317.12661538461538</v>
      </c>
      <c r="AM67" s="25">
        <v>326.84322033898303</v>
      </c>
      <c r="AN67" s="26"/>
      <c r="AO67" s="26"/>
      <c r="AP67" s="26"/>
      <c r="AQ67" s="26"/>
      <c r="AR67" s="27">
        <v>412</v>
      </c>
      <c r="AS67" s="26"/>
      <c r="AT67" s="28">
        <v>127</v>
      </c>
      <c r="AU67" s="28">
        <v>41</v>
      </c>
      <c r="AV67" s="28">
        <v>244</v>
      </c>
      <c r="AW67" s="26"/>
      <c r="AX67" s="26"/>
      <c r="AY67" s="26"/>
      <c r="AZ67" s="26"/>
    </row>
    <row r="68" spans="1:158" s="29" customFormat="1" x14ac:dyDescent="0.2">
      <c r="A68" s="6" t="s">
        <v>47</v>
      </c>
      <c r="B68" s="1" t="s">
        <v>150</v>
      </c>
      <c r="C68" s="1" t="s">
        <v>151</v>
      </c>
      <c r="D68" s="12">
        <v>47999.32</v>
      </c>
      <c r="E68" s="2">
        <v>9765.6200000000008</v>
      </c>
      <c r="F68" s="2">
        <v>7276.14</v>
      </c>
      <c r="G68" s="2">
        <v>11307.9</v>
      </c>
      <c r="H68" s="2">
        <v>3329.02</v>
      </c>
      <c r="I68" s="2">
        <v>3723.33</v>
      </c>
      <c r="J68" s="2">
        <v>3920.35</v>
      </c>
      <c r="K68" s="2">
        <v>2644.09</v>
      </c>
      <c r="L68" s="2">
        <v>6032.87</v>
      </c>
      <c r="M68" s="12">
        <v>55679.199999999997</v>
      </c>
      <c r="N68" s="2">
        <v>11328.12</v>
      </c>
      <c r="O68" s="2">
        <v>8440.32</v>
      </c>
      <c r="P68" s="2">
        <v>13117.16</v>
      </c>
      <c r="Q68" s="2">
        <v>3861.66</v>
      </c>
      <c r="R68" s="2">
        <v>4319.0600000000004</v>
      </c>
      <c r="S68" s="2">
        <v>4547.6099999999997</v>
      </c>
      <c r="T68" s="2">
        <v>3067.14</v>
      </c>
      <c r="U68" s="2">
        <v>6998.13</v>
      </c>
      <c r="V68" s="2"/>
      <c r="W68" s="2"/>
      <c r="X68" s="2"/>
      <c r="Y68" s="2"/>
      <c r="Z68" s="13">
        <v>169</v>
      </c>
      <c r="AA68" s="4">
        <v>27</v>
      </c>
      <c r="AB68" s="4">
        <v>27</v>
      </c>
      <c r="AC68" s="4">
        <v>47</v>
      </c>
      <c r="AD68" s="4">
        <v>13</v>
      </c>
      <c r="AE68" s="4">
        <v>15</v>
      </c>
      <c r="AF68" s="4">
        <v>12</v>
      </c>
      <c r="AG68" s="4">
        <v>11</v>
      </c>
      <c r="AH68" s="4">
        <v>17</v>
      </c>
      <c r="AI68" s="12">
        <v>284.01964497041422</v>
      </c>
      <c r="AJ68" s="2">
        <v>361.68962962962962</v>
      </c>
      <c r="AK68" s="2">
        <v>269.48666666666668</v>
      </c>
      <c r="AL68" s="2">
        <v>240.5936170212766</v>
      </c>
      <c r="AM68" s="2">
        <v>256.07846153846157</v>
      </c>
      <c r="AN68" s="2">
        <v>248.22200000000001</v>
      </c>
      <c r="AO68" s="2">
        <v>326.69583333333333</v>
      </c>
      <c r="AP68" s="2">
        <v>240.37181818181818</v>
      </c>
      <c r="AQ68" s="2">
        <v>354.87470588235294</v>
      </c>
      <c r="AR68" s="13">
        <v>376</v>
      </c>
      <c r="AS68" s="4">
        <v>194</v>
      </c>
      <c r="AT68" s="4">
        <v>40</v>
      </c>
      <c r="AU68" s="4">
        <v>26</v>
      </c>
      <c r="AV68" s="4">
        <v>10</v>
      </c>
      <c r="AW68" s="4">
        <v>8</v>
      </c>
      <c r="AX68" s="4">
        <v>32</v>
      </c>
      <c r="AY68" s="4">
        <v>4</v>
      </c>
      <c r="AZ68" s="4">
        <v>62</v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</row>
    <row r="69" spans="1:158" s="14" customFormat="1" x14ac:dyDescent="0.2">
      <c r="A69" s="33" t="s">
        <v>47</v>
      </c>
      <c r="B69" s="33" t="s">
        <v>152</v>
      </c>
      <c r="C69" s="33" t="s">
        <v>153</v>
      </c>
      <c r="D69" s="34">
        <v>-6808.6</v>
      </c>
      <c r="E69" s="35"/>
      <c r="F69" s="35"/>
      <c r="G69" s="36">
        <v>-6808.6</v>
      </c>
      <c r="H69" s="35"/>
      <c r="I69" s="35"/>
      <c r="J69" s="35"/>
      <c r="K69" s="35"/>
      <c r="L69" s="35"/>
      <c r="M69" s="34">
        <v>-7897.98</v>
      </c>
      <c r="N69" s="35"/>
      <c r="O69" s="35"/>
      <c r="P69" s="36">
        <v>-7897.98</v>
      </c>
      <c r="Q69" s="35"/>
      <c r="R69" s="35"/>
      <c r="S69" s="35"/>
      <c r="T69" s="35"/>
      <c r="U69" s="35"/>
      <c r="V69" s="35"/>
      <c r="W69" s="35"/>
      <c r="X69" s="35"/>
      <c r="Y69" s="35"/>
      <c r="Z69" s="39">
        <v>-20</v>
      </c>
      <c r="AA69" s="35"/>
      <c r="AB69" s="35"/>
      <c r="AC69" s="40">
        <v>-20</v>
      </c>
      <c r="AD69" s="35"/>
      <c r="AE69" s="35"/>
      <c r="AF69" s="35"/>
      <c r="AG69" s="35"/>
      <c r="AH69" s="35"/>
      <c r="AI69" s="34">
        <v>340.43</v>
      </c>
      <c r="AJ69" s="35"/>
      <c r="AK69" s="35"/>
      <c r="AL69" s="36">
        <v>340.43</v>
      </c>
      <c r="AM69" s="35"/>
      <c r="AN69" s="35"/>
      <c r="AO69" s="35"/>
      <c r="AP69" s="35"/>
      <c r="AQ69" s="35"/>
      <c r="AR69" s="42"/>
      <c r="AS69" s="35"/>
      <c r="AT69" s="35"/>
      <c r="AU69" s="35"/>
      <c r="AV69" s="35"/>
      <c r="AW69" s="35"/>
      <c r="AX69" s="35"/>
      <c r="AY69" s="35"/>
      <c r="AZ69" s="3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</row>
    <row r="70" spans="1:158" x14ac:dyDescent="0.2">
      <c r="A70" s="1" t="s">
        <v>47</v>
      </c>
      <c r="B70" s="1" t="s">
        <v>154</v>
      </c>
      <c r="C70" s="1" t="s">
        <v>155</v>
      </c>
      <c r="D70" s="12">
        <v>154977.47</v>
      </c>
      <c r="E70" s="3"/>
      <c r="F70" s="2">
        <v>34022.43</v>
      </c>
      <c r="G70" s="2">
        <v>11631.82</v>
      </c>
      <c r="H70" s="2">
        <v>41804.769999999997</v>
      </c>
      <c r="I70" s="2">
        <v>15080.32</v>
      </c>
      <c r="J70" s="2">
        <v>17078.41</v>
      </c>
      <c r="K70" s="2">
        <v>15744.24</v>
      </c>
      <c r="L70" s="2">
        <v>19615.48</v>
      </c>
      <c r="M70" s="12">
        <v>179773.87</v>
      </c>
      <c r="N70" s="3"/>
      <c r="O70" s="2">
        <v>39466.019999999997</v>
      </c>
      <c r="P70" s="2">
        <v>13492.91</v>
      </c>
      <c r="Q70" s="2">
        <v>48493.53</v>
      </c>
      <c r="R70" s="2">
        <v>17493.169999999998</v>
      </c>
      <c r="S70" s="2">
        <v>19810.96</v>
      </c>
      <c r="T70" s="2">
        <v>18263.32</v>
      </c>
      <c r="U70" s="2">
        <v>22753.96</v>
      </c>
      <c r="V70" s="2"/>
      <c r="W70" s="2"/>
      <c r="X70" s="2"/>
      <c r="Y70" s="2"/>
      <c r="Z70" s="13">
        <v>225</v>
      </c>
      <c r="AA70" s="3"/>
      <c r="AB70" s="4">
        <v>50</v>
      </c>
      <c r="AC70" s="3"/>
      <c r="AD70" s="4">
        <v>75</v>
      </c>
      <c r="AE70" s="4">
        <v>25</v>
      </c>
      <c r="AF70" s="4">
        <v>25</v>
      </c>
      <c r="AG70" s="4">
        <v>25</v>
      </c>
      <c r="AH70" s="4">
        <v>25</v>
      </c>
      <c r="AI70" s="12">
        <v>688.78875555555555</v>
      </c>
      <c r="AJ70" s="3"/>
      <c r="AK70" s="2">
        <v>680.44860000000006</v>
      </c>
      <c r="AL70" s="5" t="s">
        <v>33</v>
      </c>
      <c r="AM70" s="2">
        <v>557.39693333333332</v>
      </c>
      <c r="AN70" s="2">
        <v>603.21280000000002</v>
      </c>
      <c r="AO70" s="2">
        <v>683.13639999999998</v>
      </c>
      <c r="AP70" s="2">
        <v>629.76959999999997</v>
      </c>
      <c r="AQ70" s="2">
        <v>784.61919999999998</v>
      </c>
      <c r="AR70" s="13">
        <v>14536</v>
      </c>
      <c r="AS70" s="3"/>
      <c r="AT70" s="4">
        <v>3610</v>
      </c>
      <c r="AU70" s="4">
        <v>260</v>
      </c>
      <c r="AV70" s="4">
        <v>3180</v>
      </c>
      <c r="AW70" s="4">
        <v>1692</v>
      </c>
      <c r="AX70" s="4">
        <v>1908</v>
      </c>
      <c r="AY70" s="4">
        <v>1776</v>
      </c>
      <c r="AZ70" s="4">
        <v>2110</v>
      </c>
    </row>
    <row r="71" spans="1:158" x14ac:dyDescent="0.2">
      <c r="A71" s="33" t="s">
        <v>47</v>
      </c>
      <c r="B71" s="33" t="s">
        <v>156</v>
      </c>
      <c r="C71" s="33" t="s">
        <v>157</v>
      </c>
      <c r="D71" s="34">
        <v>1309.21</v>
      </c>
      <c r="E71" s="36">
        <v>1309.21</v>
      </c>
      <c r="F71" s="35"/>
      <c r="G71" s="35"/>
      <c r="H71" s="35"/>
      <c r="I71" s="35"/>
      <c r="J71" s="35"/>
      <c r="K71" s="35"/>
      <c r="L71" s="35"/>
      <c r="M71" s="34">
        <v>1309.21</v>
      </c>
      <c r="N71" s="36">
        <v>1309.21</v>
      </c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9">
        <v>1</v>
      </c>
      <c r="AA71" s="40">
        <v>1</v>
      </c>
      <c r="AB71" s="35"/>
      <c r="AC71" s="35"/>
      <c r="AD71" s="35"/>
      <c r="AE71" s="35"/>
      <c r="AF71" s="35"/>
      <c r="AG71" s="35"/>
      <c r="AH71" s="35"/>
      <c r="AI71" s="34">
        <v>1309.21</v>
      </c>
      <c r="AJ71" s="36">
        <v>1309.21</v>
      </c>
      <c r="AK71" s="35"/>
      <c r="AL71" s="35"/>
      <c r="AM71" s="35"/>
      <c r="AN71" s="35"/>
      <c r="AO71" s="35"/>
      <c r="AP71" s="35"/>
      <c r="AQ71" s="35"/>
      <c r="AR71" s="39">
        <v>46.4</v>
      </c>
      <c r="AS71" s="40">
        <v>46.4</v>
      </c>
      <c r="AT71" s="35"/>
      <c r="AU71" s="35"/>
      <c r="AV71" s="35"/>
      <c r="AW71" s="35"/>
      <c r="AX71" s="35"/>
      <c r="AY71" s="35"/>
      <c r="AZ71" s="35"/>
    </row>
    <row r="72" spans="1:158" x14ac:dyDescent="0.2">
      <c r="A72" s="1" t="s">
        <v>47</v>
      </c>
      <c r="B72" s="1" t="s">
        <v>158</v>
      </c>
      <c r="C72" s="1" t="s">
        <v>159</v>
      </c>
      <c r="D72" s="12">
        <v>389.84</v>
      </c>
      <c r="E72" s="2">
        <v>389.84</v>
      </c>
      <c r="F72" s="3"/>
      <c r="G72" s="3"/>
      <c r="H72" s="3"/>
      <c r="I72" s="3"/>
      <c r="J72" s="3"/>
      <c r="K72" s="3"/>
      <c r="L72" s="3"/>
      <c r="M72" s="12">
        <v>452.21</v>
      </c>
      <c r="N72" s="2">
        <v>452.21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3">
        <v>2</v>
      </c>
      <c r="AA72" s="4">
        <v>2</v>
      </c>
      <c r="AB72" s="3"/>
      <c r="AC72" s="3"/>
      <c r="AD72" s="3"/>
      <c r="AE72" s="3"/>
      <c r="AF72" s="3"/>
      <c r="AG72" s="3"/>
      <c r="AH72" s="3"/>
      <c r="AI72" s="12">
        <v>194.92</v>
      </c>
      <c r="AJ72" s="2">
        <v>194.92</v>
      </c>
      <c r="AK72" s="3"/>
      <c r="AL72" s="3"/>
      <c r="AM72" s="3"/>
      <c r="AN72" s="3"/>
      <c r="AO72" s="3"/>
      <c r="AP72" s="3"/>
      <c r="AQ72" s="3"/>
      <c r="AR72" s="17"/>
      <c r="AS72" s="3"/>
      <c r="AT72" s="3"/>
      <c r="AU72" s="3"/>
      <c r="AV72" s="3"/>
      <c r="AW72" s="3"/>
      <c r="AX72" s="3"/>
      <c r="AY72" s="3"/>
      <c r="AZ72" s="3"/>
    </row>
    <row r="73" spans="1:158" s="52" customFormat="1" x14ac:dyDescent="0.2">
      <c r="A73" s="1" t="s">
        <v>47</v>
      </c>
      <c r="B73" s="1" t="s">
        <v>160</v>
      </c>
      <c r="C73" s="1" t="s">
        <v>161</v>
      </c>
      <c r="D73" s="12">
        <v>50.33</v>
      </c>
      <c r="E73" s="2">
        <v>50.33</v>
      </c>
      <c r="F73" s="3"/>
      <c r="G73" s="3"/>
      <c r="H73" s="3"/>
      <c r="I73" s="3"/>
      <c r="J73" s="3"/>
      <c r="K73" s="3"/>
      <c r="L73" s="3"/>
      <c r="M73" s="12">
        <v>58.38</v>
      </c>
      <c r="N73" s="2">
        <v>58.38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7"/>
      <c r="AA73" s="3"/>
      <c r="AB73" s="3"/>
      <c r="AC73" s="3"/>
      <c r="AD73" s="3"/>
      <c r="AE73" s="3"/>
      <c r="AF73" s="3"/>
      <c r="AG73" s="3"/>
      <c r="AH73" s="3"/>
      <c r="AI73" s="16" t="s">
        <v>33</v>
      </c>
      <c r="AJ73" s="5" t="s">
        <v>33</v>
      </c>
      <c r="AK73" s="3"/>
      <c r="AL73" s="3"/>
      <c r="AM73" s="3"/>
      <c r="AN73" s="3"/>
      <c r="AO73" s="3"/>
      <c r="AP73" s="3"/>
      <c r="AQ73" s="3"/>
      <c r="AR73" s="13">
        <v>2</v>
      </c>
      <c r="AS73" s="4">
        <v>2</v>
      </c>
      <c r="AT73" s="3"/>
      <c r="AU73" s="3"/>
      <c r="AV73" s="3"/>
      <c r="AW73" s="3"/>
      <c r="AX73" s="3"/>
      <c r="AY73" s="3"/>
      <c r="AZ73" s="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</row>
    <row r="74" spans="1:158" x14ac:dyDescent="0.2">
      <c r="A74" s="1" t="s">
        <v>47</v>
      </c>
      <c r="B74" s="1" t="s">
        <v>162</v>
      </c>
      <c r="C74" s="1" t="s">
        <v>163</v>
      </c>
      <c r="D74" s="12">
        <v>2849.18</v>
      </c>
      <c r="E74" s="3"/>
      <c r="F74" s="3"/>
      <c r="G74" s="3"/>
      <c r="H74" s="3"/>
      <c r="I74" s="3"/>
      <c r="J74" s="2">
        <v>2849.18</v>
      </c>
      <c r="K74" s="3"/>
      <c r="L74" s="3"/>
      <c r="M74" s="12">
        <v>3305.05</v>
      </c>
      <c r="N74" s="3"/>
      <c r="O74" s="3"/>
      <c r="P74" s="3"/>
      <c r="Q74" s="3"/>
      <c r="R74" s="3"/>
      <c r="S74" s="2">
        <v>3305.05</v>
      </c>
      <c r="T74" s="3"/>
      <c r="U74" s="3"/>
      <c r="V74" s="3"/>
      <c r="W74" s="3"/>
      <c r="X74" s="3"/>
      <c r="Y74" s="3"/>
      <c r="Z74" s="13">
        <v>5</v>
      </c>
      <c r="AA74" s="3"/>
      <c r="AB74" s="3"/>
      <c r="AC74" s="3"/>
      <c r="AD74" s="3"/>
      <c r="AE74" s="3"/>
      <c r="AF74" s="4">
        <v>5</v>
      </c>
      <c r="AG74" s="3"/>
      <c r="AH74" s="3"/>
      <c r="AI74" s="12">
        <v>569.83600000000001</v>
      </c>
      <c r="AJ74" s="3"/>
      <c r="AK74" s="3"/>
      <c r="AL74" s="3"/>
      <c r="AM74" s="3"/>
      <c r="AN74" s="3"/>
      <c r="AO74" s="2">
        <v>569.83600000000001</v>
      </c>
      <c r="AP74" s="3"/>
      <c r="AQ74" s="3"/>
      <c r="AR74" s="13">
        <v>76</v>
      </c>
      <c r="AS74" s="3"/>
      <c r="AT74" s="3"/>
      <c r="AU74" s="3"/>
      <c r="AV74" s="3"/>
      <c r="AW74" s="3"/>
      <c r="AX74" s="4">
        <v>76</v>
      </c>
      <c r="AY74" s="3"/>
      <c r="AZ74" s="3"/>
    </row>
    <row r="75" spans="1:158" x14ac:dyDescent="0.2">
      <c r="A75" s="33" t="s">
        <v>47</v>
      </c>
      <c r="B75" s="33" t="s">
        <v>164</v>
      </c>
      <c r="C75" s="33" t="s">
        <v>165</v>
      </c>
      <c r="D75" s="34">
        <v>642.70000000000005</v>
      </c>
      <c r="E75" s="36">
        <v>78.19</v>
      </c>
      <c r="F75" s="35"/>
      <c r="G75" s="35"/>
      <c r="H75" s="35"/>
      <c r="I75" s="35"/>
      <c r="J75" s="36">
        <v>180.82</v>
      </c>
      <c r="K75" s="35"/>
      <c r="L75" s="36">
        <v>383.69</v>
      </c>
      <c r="M75" s="34">
        <v>745.53</v>
      </c>
      <c r="N75" s="36">
        <v>90.7</v>
      </c>
      <c r="O75" s="35"/>
      <c r="P75" s="35"/>
      <c r="Q75" s="35"/>
      <c r="R75" s="35"/>
      <c r="S75" s="36">
        <v>209.75</v>
      </c>
      <c r="T75" s="35"/>
      <c r="U75" s="36">
        <v>445.08</v>
      </c>
      <c r="V75" s="36"/>
      <c r="W75" s="36"/>
      <c r="X75" s="36"/>
      <c r="Y75" s="36"/>
      <c r="Z75" s="42"/>
      <c r="AA75" s="35"/>
      <c r="AB75" s="35"/>
      <c r="AC75" s="35"/>
      <c r="AD75" s="35"/>
      <c r="AE75" s="35"/>
      <c r="AF75" s="35"/>
      <c r="AG75" s="35"/>
      <c r="AH75" s="35"/>
      <c r="AI75" s="37" t="s">
        <v>33</v>
      </c>
      <c r="AJ75" s="38" t="s">
        <v>33</v>
      </c>
      <c r="AK75" s="35"/>
      <c r="AL75" s="35"/>
      <c r="AM75" s="35"/>
      <c r="AN75" s="35"/>
      <c r="AO75" s="38" t="s">
        <v>33</v>
      </c>
      <c r="AP75" s="35"/>
      <c r="AQ75" s="38" t="s">
        <v>33</v>
      </c>
      <c r="AR75" s="39">
        <v>12</v>
      </c>
      <c r="AS75" s="40">
        <v>2</v>
      </c>
      <c r="AT75" s="35"/>
      <c r="AU75" s="35"/>
      <c r="AV75" s="35"/>
      <c r="AW75" s="35"/>
      <c r="AX75" s="40">
        <v>4</v>
      </c>
      <c r="AY75" s="35"/>
      <c r="AZ75" s="40">
        <v>6</v>
      </c>
    </row>
    <row r="76" spans="1:158" x14ac:dyDescent="0.2">
      <c r="A76" s="23" t="s">
        <v>47</v>
      </c>
      <c r="B76" s="23" t="s">
        <v>166</v>
      </c>
      <c r="C76" s="23" t="s">
        <v>167</v>
      </c>
      <c r="D76" s="24">
        <v>132331.98000000001</v>
      </c>
      <c r="E76" s="25">
        <v>34204.36</v>
      </c>
      <c r="F76" s="25">
        <v>26985.8</v>
      </c>
      <c r="G76" s="25">
        <v>34520.67</v>
      </c>
      <c r="H76" s="25">
        <v>35186.93</v>
      </c>
      <c r="I76" s="25">
        <v>1434.22</v>
      </c>
      <c r="J76" s="26"/>
      <c r="K76" s="26"/>
      <c r="L76" s="26"/>
      <c r="M76" s="24">
        <v>146027.15</v>
      </c>
      <c r="N76" s="25">
        <v>37689.11</v>
      </c>
      <c r="O76" s="25">
        <v>30114.21</v>
      </c>
      <c r="P76" s="25">
        <v>37969.07</v>
      </c>
      <c r="Q76" s="25">
        <v>38706.47</v>
      </c>
      <c r="R76" s="25">
        <v>1548.29</v>
      </c>
      <c r="S76" s="26"/>
      <c r="T76" s="26"/>
      <c r="U76" s="26"/>
      <c r="V76" s="26"/>
      <c r="W76" s="26"/>
      <c r="X76" s="26"/>
      <c r="Y76" s="26"/>
      <c r="Z76" s="27">
        <v>453</v>
      </c>
      <c r="AA76" s="28">
        <v>127</v>
      </c>
      <c r="AB76" s="28">
        <v>95</v>
      </c>
      <c r="AC76" s="28">
        <v>119</v>
      </c>
      <c r="AD76" s="28">
        <v>107</v>
      </c>
      <c r="AE76" s="28">
        <v>5</v>
      </c>
      <c r="AF76" s="26"/>
      <c r="AG76" s="26"/>
      <c r="AH76" s="26"/>
      <c r="AI76" s="24">
        <v>292.12357615894041</v>
      </c>
      <c r="AJ76" s="25">
        <v>269.32566929133856</v>
      </c>
      <c r="AK76" s="25">
        <v>284.06105263157895</v>
      </c>
      <c r="AL76" s="25">
        <v>290.08966386554624</v>
      </c>
      <c r="AM76" s="25">
        <v>328.84981308411216</v>
      </c>
      <c r="AN76" s="25">
        <v>286.84399999999999</v>
      </c>
      <c r="AO76" s="26"/>
      <c r="AP76" s="26"/>
      <c r="AQ76" s="26"/>
      <c r="AR76" s="27">
        <v>1386</v>
      </c>
      <c r="AS76" s="28">
        <v>197</v>
      </c>
      <c r="AT76" s="28">
        <v>429</v>
      </c>
      <c r="AU76" s="28">
        <v>391</v>
      </c>
      <c r="AV76" s="28">
        <v>369</v>
      </c>
      <c r="AW76" s="26"/>
      <c r="AX76" s="26"/>
      <c r="AY76" s="26"/>
      <c r="AZ76" s="26"/>
    </row>
    <row r="77" spans="1:158" x14ac:dyDescent="0.2">
      <c r="A77" s="23" t="s">
        <v>47</v>
      </c>
      <c r="B77" s="23" t="s">
        <v>168</v>
      </c>
      <c r="C77" s="23" t="s">
        <v>169</v>
      </c>
      <c r="D77" s="24">
        <v>2614.13</v>
      </c>
      <c r="E77" s="25">
        <v>164.4</v>
      </c>
      <c r="F77" s="25">
        <v>955.65</v>
      </c>
      <c r="G77" s="25">
        <v>885.9</v>
      </c>
      <c r="H77" s="25">
        <v>471.93</v>
      </c>
      <c r="I77" s="25">
        <v>136.25</v>
      </c>
      <c r="J77" s="26"/>
      <c r="K77" s="26"/>
      <c r="L77" s="26"/>
      <c r="M77" s="24">
        <v>3032.38</v>
      </c>
      <c r="N77" s="25">
        <v>190.7</v>
      </c>
      <c r="O77" s="25">
        <v>1108.55</v>
      </c>
      <c r="P77" s="25">
        <v>1027.6400000000001</v>
      </c>
      <c r="Q77" s="25">
        <v>547.44000000000005</v>
      </c>
      <c r="R77" s="25">
        <v>158.05000000000001</v>
      </c>
      <c r="S77" s="26"/>
      <c r="T77" s="26"/>
      <c r="U77" s="26"/>
      <c r="V77" s="26"/>
      <c r="W77" s="26"/>
      <c r="X77" s="26"/>
      <c r="Y77" s="26"/>
      <c r="Z77" s="27">
        <v>16</v>
      </c>
      <c r="AA77" s="28">
        <v>1</v>
      </c>
      <c r="AB77" s="28">
        <v>6</v>
      </c>
      <c r="AC77" s="28">
        <v>5</v>
      </c>
      <c r="AD77" s="28">
        <v>3</v>
      </c>
      <c r="AE77" s="28">
        <v>1</v>
      </c>
      <c r="AF77" s="26"/>
      <c r="AG77" s="26"/>
      <c r="AH77" s="26"/>
      <c r="AI77" s="24">
        <v>163.38312500000001</v>
      </c>
      <c r="AJ77" s="25">
        <v>164.4</v>
      </c>
      <c r="AK77" s="25">
        <v>159.27500000000001</v>
      </c>
      <c r="AL77" s="25">
        <v>177.18</v>
      </c>
      <c r="AM77" s="25">
        <v>157.31</v>
      </c>
      <c r="AN77" s="25">
        <v>136.25</v>
      </c>
      <c r="AO77" s="26"/>
      <c r="AP77" s="26"/>
      <c r="AQ77" s="26"/>
      <c r="AR77" s="32"/>
      <c r="AS77" s="26"/>
      <c r="AT77" s="26"/>
      <c r="AU77" s="26"/>
      <c r="AV77" s="26"/>
      <c r="AW77" s="26"/>
      <c r="AX77" s="26"/>
      <c r="AY77" s="26"/>
      <c r="AZ77" s="26"/>
    </row>
    <row r="78" spans="1:158" x14ac:dyDescent="0.2">
      <c r="A78" s="43" t="s">
        <v>47</v>
      </c>
      <c r="B78" s="43" t="s">
        <v>170</v>
      </c>
      <c r="C78" s="43" t="s">
        <v>171</v>
      </c>
      <c r="D78" s="44">
        <v>20331.95</v>
      </c>
      <c r="E78" s="45">
        <v>17566.919999999998</v>
      </c>
      <c r="F78" s="45">
        <v>2765.03</v>
      </c>
      <c r="G78" s="46"/>
      <c r="H78" s="46"/>
      <c r="I78" s="46"/>
      <c r="J78" s="46"/>
      <c r="K78" s="46"/>
      <c r="L78" s="46"/>
      <c r="M78" s="44">
        <v>23585.06</v>
      </c>
      <c r="N78" s="45">
        <v>20377.63</v>
      </c>
      <c r="O78" s="45">
        <v>3207.43</v>
      </c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50">
        <v>28</v>
      </c>
      <c r="AA78" s="51">
        <v>27</v>
      </c>
      <c r="AB78" s="51">
        <v>1</v>
      </c>
      <c r="AC78" s="46"/>
      <c r="AD78" s="46"/>
      <c r="AE78" s="46"/>
      <c r="AF78" s="46"/>
      <c r="AG78" s="46"/>
      <c r="AH78" s="46"/>
      <c r="AI78" s="44">
        <v>726.14107142857142</v>
      </c>
      <c r="AJ78" s="45">
        <v>650.62666666666667</v>
      </c>
      <c r="AK78" s="45">
        <v>2765.03</v>
      </c>
      <c r="AL78" s="46"/>
      <c r="AM78" s="46"/>
      <c r="AN78" s="46"/>
      <c r="AO78" s="46"/>
      <c r="AP78" s="46"/>
      <c r="AQ78" s="46"/>
      <c r="AR78" s="50">
        <v>1420.8</v>
      </c>
      <c r="AS78" s="51">
        <v>932.8</v>
      </c>
      <c r="AT78" s="51">
        <v>488</v>
      </c>
      <c r="AU78" s="46"/>
      <c r="AV78" s="46"/>
      <c r="AW78" s="46"/>
      <c r="AX78" s="46"/>
      <c r="AY78" s="46"/>
      <c r="AZ78" s="46"/>
    </row>
    <row r="79" spans="1:158" x14ac:dyDescent="0.2">
      <c r="A79" s="1" t="s">
        <v>47</v>
      </c>
      <c r="B79" s="1" t="s">
        <v>172</v>
      </c>
      <c r="C79" s="1" t="s">
        <v>173</v>
      </c>
      <c r="D79" s="12">
        <v>51258.86</v>
      </c>
      <c r="E79" s="2">
        <v>886.69</v>
      </c>
      <c r="F79" s="2">
        <v>16184.55</v>
      </c>
      <c r="G79" s="2">
        <v>17328.72</v>
      </c>
      <c r="H79" s="2">
        <v>845.12</v>
      </c>
      <c r="I79" s="2">
        <v>366.53</v>
      </c>
      <c r="J79" s="2">
        <v>14025.12</v>
      </c>
      <c r="K79" s="2">
        <v>404.41</v>
      </c>
      <c r="L79" s="2">
        <v>1217.72</v>
      </c>
      <c r="M79" s="12">
        <v>59460.29</v>
      </c>
      <c r="N79" s="2">
        <v>1028.56</v>
      </c>
      <c r="O79" s="2">
        <v>18774.080000000002</v>
      </c>
      <c r="P79" s="2">
        <v>20101.32</v>
      </c>
      <c r="Q79" s="2">
        <v>980.34</v>
      </c>
      <c r="R79" s="2">
        <v>425.17</v>
      </c>
      <c r="S79" s="2">
        <v>16269.14</v>
      </c>
      <c r="T79" s="2">
        <v>469.12</v>
      </c>
      <c r="U79" s="2">
        <v>1412.56</v>
      </c>
      <c r="V79" s="2"/>
      <c r="W79" s="2"/>
      <c r="X79" s="2"/>
      <c r="Y79" s="2"/>
      <c r="Z79" s="13">
        <v>160</v>
      </c>
      <c r="AA79" s="3"/>
      <c r="AB79" s="4">
        <v>50</v>
      </c>
      <c r="AC79" s="4">
        <v>60</v>
      </c>
      <c r="AD79" s="3"/>
      <c r="AE79" s="3"/>
      <c r="AF79" s="4">
        <v>50</v>
      </c>
      <c r="AG79" s="3"/>
      <c r="AH79" s="3"/>
      <c r="AI79" s="12">
        <v>320.36787500000003</v>
      </c>
      <c r="AJ79" s="5" t="s">
        <v>33</v>
      </c>
      <c r="AK79" s="2">
        <v>323.69099999999997</v>
      </c>
      <c r="AL79" s="2">
        <v>288.81200000000001</v>
      </c>
      <c r="AM79" s="5" t="s">
        <v>33</v>
      </c>
      <c r="AN79" s="5" t="s">
        <v>33</v>
      </c>
      <c r="AO79" s="2">
        <v>280.50240000000002</v>
      </c>
      <c r="AP79" s="5" t="s">
        <v>33</v>
      </c>
      <c r="AQ79" s="5" t="s">
        <v>33</v>
      </c>
      <c r="AR79" s="13">
        <v>182</v>
      </c>
      <c r="AS79" s="4">
        <v>32</v>
      </c>
      <c r="AT79" s="4">
        <v>20</v>
      </c>
      <c r="AU79" s="4">
        <v>24</v>
      </c>
      <c r="AV79" s="4">
        <v>20</v>
      </c>
      <c r="AW79" s="4">
        <v>10</v>
      </c>
      <c r="AX79" s="4">
        <v>16</v>
      </c>
      <c r="AY79" s="4">
        <v>12</v>
      </c>
      <c r="AZ79" s="4">
        <v>48</v>
      </c>
    </row>
    <row r="80" spans="1:158" x14ac:dyDescent="0.2">
      <c r="A80" s="1" t="s">
        <v>47</v>
      </c>
      <c r="B80" s="1" t="s">
        <v>174</v>
      </c>
      <c r="C80" s="1" t="s">
        <v>175</v>
      </c>
      <c r="D80" s="12">
        <v>40867.370000000003</v>
      </c>
      <c r="E80" s="3"/>
      <c r="F80" s="2">
        <v>5044.32</v>
      </c>
      <c r="G80" s="2">
        <v>6984.5</v>
      </c>
      <c r="H80" s="2">
        <v>14886.76</v>
      </c>
      <c r="I80" s="2">
        <v>13597.01</v>
      </c>
      <c r="J80" s="2">
        <v>354.78</v>
      </c>
      <c r="K80" s="3"/>
      <c r="L80" s="3"/>
      <c r="M80" s="12">
        <v>47363.92</v>
      </c>
      <c r="N80" s="3"/>
      <c r="O80" s="2">
        <v>5851.4</v>
      </c>
      <c r="P80" s="2">
        <v>8102.02</v>
      </c>
      <c r="Q80" s="2">
        <v>17268.64</v>
      </c>
      <c r="R80" s="2">
        <v>15730.32</v>
      </c>
      <c r="S80" s="2">
        <v>411.54</v>
      </c>
      <c r="T80" s="3"/>
      <c r="U80" s="3"/>
      <c r="V80" s="3"/>
      <c r="W80" s="3"/>
      <c r="X80" s="3"/>
      <c r="Y80" s="3"/>
      <c r="Z80" s="13">
        <v>95</v>
      </c>
      <c r="AA80" s="3"/>
      <c r="AB80" s="4">
        <v>10</v>
      </c>
      <c r="AC80" s="4">
        <v>10</v>
      </c>
      <c r="AD80" s="4">
        <v>40</v>
      </c>
      <c r="AE80" s="4">
        <v>35</v>
      </c>
      <c r="AF80" s="3"/>
      <c r="AG80" s="3"/>
      <c r="AH80" s="3"/>
      <c r="AI80" s="12">
        <v>430.18284210526315</v>
      </c>
      <c r="AJ80" s="3"/>
      <c r="AK80" s="2">
        <v>504.43200000000002</v>
      </c>
      <c r="AL80" s="2">
        <v>698.45</v>
      </c>
      <c r="AM80" s="2">
        <v>372.16899999999998</v>
      </c>
      <c r="AN80" s="2">
        <v>388.48599999999999</v>
      </c>
      <c r="AO80" s="5" t="s">
        <v>33</v>
      </c>
      <c r="AP80" s="3"/>
      <c r="AQ80" s="3"/>
      <c r="AR80" s="13">
        <v>2837.9</v>
      </c>
      <c r="AS80" s="3"/>
      <c r="AT80" s="4">
        <v>422</v>
      </c>
      <c r="AU80" s="4">
        <v>624</v>
      </c>
      <c r="AV80" s="4">
        <v>722</v>
      </c>
      <c r="AW80" s="4">
        <v>1037.9000000000001</v>
      </c>
      <c r="AX80" s="4">
        <v>32</v>
      </c>
      <c r="AY80" s="3"/>
      <c r="AZ80" s="3"/>
    </row>
    <row r="81" spans="1:158" s="41" customFormat="1" x14ac:dyDescent="0.2">
      <c r="A81" s="23" t="s">
        <v>47</v>
      </c>
      <c r="B81" s="23" t="s">
        <v>176</v>
      </c>
      <c r="C81" s="23" t="s">
        <v>177</v>
      </c>
      <c r="D81" s="24">
        <v>87133.28</v>
      </c>
      <c r="E81" s="26"/>
      <c r="F81" s="25">
        <v>4181.74</v>
      </c>
      <c r="G81" s="25">
        <v>24216.98</v>
      </c>
      <c r="H81" s="25">
        <v>4515.1000000000004</v>
      </c>
      <c r="I81" s="25">
        <v>23750.22</v>
      </c>
      <c r="J81" s="25">
        <v>1871.39</v>
      </c>
      <c r="K81" s="25">
        <v>1938.85</v>
      </c>
      <c r="L81" s="25">
        <v>26659</v>
      </c>
      <c r="M81" s="24">
        <v>101074.62</v>
      </c>
      <c r="N81" s="26"/>
      <c r="O81" s="25">
        <v>4850.82</v>
      </c>
      <c r="P81" s="25">
        <v>28091.7</v>
      </c>
      <c r="Q81" s="25">
        <v>5237.5200000000004</v>
      </c>
      <c r="R81" s="25">
        <v>27550.26</v>
      </c>
      <c r="S81" s="25">
        <v>2170.81</v>
      </c>
      <c r="T81" s="25">
        <v>2249.0700000000002</v>
      </c>
      <c r="U81" s="25">
        <v>30924.44</v>
      </c>
      <c r="V81" s="25"/>
      <c r="W81" s="25"/>
      <c r="X81" s="25"/>
      <c r="Y81" s="25"/>
      <c r="Z81" s="27">
        <v>150</v>
      </c>
      <c r="AA81" s="26"/>
      <c r="AB81" s="26"/>
      <c r="AC81" s="28">
        <v>50</v>
      </c>
      <c r="AD81" s="26"/>
      <c r="AE81" s="28">
        <v>50</v>
      </c>
      <c r="AF81" s="26"/>
      <c r="AG81" s="26"/>
      <c r="AH81" s="28">
        <v>50</v>
      </c>
      <c r="AI81" s="24">
        <v>580.88853333333338</v>
      </c>
      <c r="AJ81" s="26"/>
      <c r="AK81" s="31" t="s">
        <v>33</v>
      </c>
      <c r="AL81" s="25">
        <v>484.33960000000002</v>
      </c>
      <c r="AM81" s="31" t="s">
        <v>33</v>
      </c>
      <c r="AN81" s="25">
        <v>475.00439999999998</v>
      </c>
      <c r="AO81" s="31" t="s">
        <v>33</v>
      </c>
      <c r="AP81" s="31" t="s">
        <v>33</v>
      </c>
      <c r="AQ81" s="25">
        <v>533.17999999999995</v>
      </c>
      <c r="AR81" s="27">
        <v>6928</v>
      </c>
      <c r="AS81" s="26"/>
      <c r="AT81" s="28">
        <v>404</v>
      </c>
      <c r="AU81" s="28">
        <v>1208</v>
      </c>
      <c r="AV81" s="28">
        <v>302</v>
      </c>
      <c r="AW81" s="28">
        <v>2096</v>
      </c>
      <c r="AX81" s="28">
        <v>198</v>
      </c>
      <c r="AY81" s="28">
        <v>210</v>
      </c>
      <c r="AZ81" s="28">
        <v>2510</v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</row>
    <row r="82" spans="1:158" x14ac:dyDescent="0.2">
      <c r="A82" s="11"/>
      <c r="B82" s="11" t="s">
        <v>178</v>
      </c>
      <c r="C82" s="11"/>
      <c r="D82" s="12">
        <v>8154086.1100000003</v>
      </c>
      <c r="E82" s="12">
        <v>2258488.64</v>
      </c>
      <c r="F82" s="12">
        <v>1856931.28</v>
      </c>
      <c r="G82" s="12">
        <v>1881255.92</v>
      </c>
      <c r="H82" s="12">
        <v>677195.56</v>
      </c>
      <c r="I82" s="12">
        <v>394414.87</v>
      </c>
      <c r="J82" s="12">
        <v>522624.29</v>
      </c>
      <c r="K82" s="12">
        <v>311582.21999999997</v>
      </c>
      <c r="L82" s="12">
        <v>251593.33</v>
      </c>
      <c r="M82" s="12">
        <v>9440315.5999999996</v>
      </c>
      <c r="N82" s="12">
        <v>2616238.2599999998</v>
      </c>
      <c r="O82" s="12">
        <v>2150431.86</v>
      </c>
      <c r="P82" s="12">
        <v>2175921.0499999998</v>
      </c>
      <c r="Q82" s="12">
        <v>781147.87</v>
      </c>
      <c r="R82" s="12">
        <v>457196.47</v>
      </c>
      <c r="S82" s="12">
        <v>606154.99</v>
      </c>
      <c r="T82" s="12">
        <v>361388.53</v>
      </c>
      <c r="U82" s="12">
        <v>291836.57</v>
      </c>
      <c r="V82" s="12"/>
      <c r="W82" s="12"/>
      <c r="X82" s="12"/>
      <c r="Y82" s="12"/>
      <c r="Z82" s="13">
        <v>19421</v>
      </c>
      <c r="AA82" s="13">
        <v>5768</v>
      </c>
      <c r="AB82" s="13">
        <v>3927</v>
      </c>
      <c r="AC82" s="13">
        <v>3909</v>
      </c>
      <c r="AD82" s="13">
        <v>1996</v>
      </c>
      <c r="AE82" s="13">
        <v>1138</v>
      </c>
      <c r="AF82" s="13">
        <v>1367</v>
      </c>
      <c r="AG82" s="13">
        <v>743</v>
      </c>
      <c r="AH82" s="13">
        <v>573</v>
      </c>
      <c r="AI82" s="12">
        <v>419.85923021471604</v>
      </c>
      <c r="AJ82" s="12">
        <v>391.5548959778086</v>
      </c>
      <c r="AK82" s="12">
        <v>472.86256175197354</v>
      </c>
      <c r="AL82" s="12">
        <v>481.2627065745715</v>
      </c>
      <c r="AM82" s="12">
        <v>339.27633266533064</v>
      </c>
      <c r="AN82" s="12">
        <v>346.58600175746926</v>
      </c>
      <c r="AO82" s="12">
        <v>382.31476956839794</v>
      </c>
      <c r="AP82" s="12">
        <v>419.35695827725436</v>
      </c>
      <c r="AQ82" s="12">
        <v>439.08085514834204</v>
      </c>
      <c r="AR82" s="13">
        <v>526951</v>
      </c>
      <c r="AS82" s="13">
        <v>142785.20000000001</v>
      </c>
      <c r="AT82" s="13">
        <v>138022.79999999999</v>
      </c>
      <c r="AU82" s="13">
        <v>126945.3</v>
      </c>
      <c r="AV82" s="13">
        <v>26506.9</v>
      </c>
      <c r="AW82" s="13">
        <v>22718.1</v>
      </c>
      <c r="AX82" s="13">
        <v>32951.9</v>
      </c>
      <c r="AY82" s="13">
        <v>14648.8</v>
      </c>
      <c r="AZ82" s="13">
        <v>22372</v>
      </c>
    </row>
    <row r="83" spans="1:158" x14ac:dyDescent="0.2">
      <c r="A83" s="1" t="s">
        <v>28</v>
      </c>
      <c r="B83" s="1" t="s">
        <v>179</v>
      </c>
      <c r="C83" s="1" t="s">
        <v>180</v>
      </c>
      <c r="D83" s="12">
        <v>15785.49</v>
      </c>
      <c r="E83" s="2">
        <v>199.77</v>
      </c>
      <c r="F83" s="2">
        <v>3329</v>
      </c>
      <c r="G83" s="2">
        <v>1674.05</v>
      </c>
      <c r="H83" s="2">
        <v>2862.81</v>
      </c>
      <c r="I83" s="2">
        <v>2077.1999999999998</v>
      </c>
      <c r="J83" s="2">
        <v>1846.74</v>
      </c>
      <c r="K83" s="2">
        <v>1265.33</v>
      </c>
      <c r="L83" s="2">
        <v>2530.59</v>
      </c>
      <c r="M83" s="12">
        <v>18311.16</v>
      </c>
      <c r="N83" s="2">
        <v>231.73</v>
      </c>
      <c r="O83" s="2">
        <v>3861.64</v>
      </c>
      <c r="P83" s="2">
        <v>1941.9</v>
      </c>
      <c r="Q83" s="2">
        <v>3320.86</v>
      </c>
      <c r="R83" s="2">
        <v>2409.5500000000002</v>
      </c>
      <c r="S83" s="2">
        <v>2142.2199999999998</v>
      </c>
      <c r="T83" s="2">
        <v>1467.78</v>
      </c>
      <c r="U83" s="2">
        <v>2935.48</v>
      </c>
      <c r="V83" s="2"/>
      <c r="W83" s="2"/>
      <c r="X83" s="2"/>
      <c r="Y83" s="2"/>
      <c r="Z83" s="17"/>
      <c r="AA83" s="3"/>
      <c r="AB83" s="3"/>
      <c r="AC83" s="3"/>
      <c r="AD83" s="3"/>
      <c r="AE83" s="3"/>
      <c r="AF83" s="3"/>
      <c r="AG83" s="3"/>
      <c r="AH83" s="3"/>
      <c r="AI83" s="16" t="s">
        <v>33</v>
      </c>
      <c r="AJ83" s="5" t="s">
        <v>33</v>
      </c>
      <c r="AK83" s="5" t="s">
        <v>33</v>
      </c>
      <c r="AL83" s="5" t="s">
        <v>33</v>
      </c>
      <c r="AM83" s="5" t="s">
        <v>33</v>
      </c>
      <c r="AN83" s="5" t="s">
        <v>33</v>
      </c>
      <c r="AO83" s="5" t="s">
        <v>33</v>
      </c>
      <c r="AP83" s="5" t="s">
        <v>33</v>
      </c>
      <c r="AQ83" s="5" t="s">
        <v>33</v>
      </c>
      <c r="AR83" s="13">
        <v>2036</v>
      </c>
      <c r="AS83" s="4">
        <v>50</v>
      </c>
      <c r="AT83" s="4">
        <v>488</v>
      </c>
      <c r="AU83" s="4">
        <v>210</v>
      </c>
      <c r="AV83" s="4">
        <v>298</v>
      </c>
      <c r="AW83" s="4">
        <v>236</v>
      </c>
      <c r="AX83" s="4">
        <v>250</v>
      </c>
      <c r="AY83" s="4">
        <v>200</v>
      </c>
      <c r="AZ83" s="4">
        <v>304</v>
      </c>
    </row>
    <row r="84" spans="1:158" s="41" customFormat="1" x14ac:dyDescent="0.2">
      <c r="A84" s="1" t="s">
        <v>28</v>
      </c>
      <c r="B84" s="1" t="s">
        <v>181</v>
      </c>
      <c r="C84" s="1" t="s">
        <v>182</v>
      </c>
      <c r="D84" s="12">
        <v>46388.45</v>
      </c>
      <c r="E84" s="2">
        <v>113.28</v>
      </c>
      <c r="F84" s="2">
        <v>40827.760000000002</v>
      </c>
      <c r="G84" s="2">
        <v>2109.89</v>
      </c>
      <c r="H84" s="2">
        <v>2146.4299999999998</v>
      </c>
      <c r="I84" s="2">
        <v>598.38</v>
      </c>
      <c r="J84" s="2">
        <v>499.2</v>
      </c>
      <c r="K84" s="2">
        <v>93.51</v>
      </c>
      <c r="L84" s="3"/>
      <c r="M84" s="12">
        <v>53810.59</v>
      </c>
      <c r="N84" s="2">
        <v>131.4</v>
      </c>
      <c r="O84" s="2">
        <v>47360.2</v>
      </c>
      <c r="P84" s="2">
        <v>2447.4699999999998</v>
      </c>
      <c r="Q84" s="2">
        <v>2489.86</v>
      </c>
      <c r="R84" s="2">
        <v>694.12</v>
      </c>
      <c r="S84" s="2">
        <v>579.07000000000005</v>
      </c>
      <c r="T84" s="2">
        <v>108.47</v>
      </c>
      <c r="U84" s="3"/>
      <c r="V84" s="3"/>
      <c r="W84" s="3"/>
      <c r="X84" s="3"/>
      <c r="Y84" s="3"/>
      <c r="Z84" s="13">
        <v>200</v>
      </c>
      <c r="AA84" s="3"/>
      <c r="AB84" s="4">
        <v>200</v>
      </c>
      <c r="AC84" s="3"/>
      <c r="AD84" s="3"/>
      <c r="AE84" s="3"/>
      <c r="AF84" s="3"/>
      <c r="AG84" s="3"/>
      <c r="AH84" s="3"/>
      <c r="AI84" s="12">
        <v>231.94225</v>
      </c>
      <c r="AJ84" s="5" t="s">
        <v>33</v>
      </c>
      <c r="AK84" s="2">
        <v>204.1388</v>
      </c>
      <c r="AL84" s="5" t="s">
        <v>33</v>
      </c>
      <c r="AM84" s="5" t="s">
        <v>33</v>
      </c>
      <c r="AN84" s="5" t="s">
        <v>33</v>
      </c>
      <c r="AO84" s="5" t="s">
        <v>33</v>
      </c>
      <c r="AP84" s="5" t="s">
        <v>33</v>
      </c>
      <c r="AQ84" s="3"/>
      <c r="AR84" s="13">
        <v>880</v>
      </c>
      <c r="AS84" s="3"/>
      <c r="AT84" s="4">
        <v>172</v>
      </c>
      <c r="AU84" s="4">
        <v>244</v>
      </c>
      <c r="AV84" s="4">
        <v>258</v>
      </c>
      <c r="AW84" s="4">
        <v>92</v>
      </c>
      <c r="AX84" s="4">
        <v>96</v>
      </c>
      <c r="AY84" s="4">
        <v>18</v>
      </c>
      <c r="AZ84" s="3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</row>
    <row r="85" spans="1:158" s="41" customFormat="1" x14ac:dyDescent="0.2">
      <c r="A85" s="1" t="s">
        <v>28</v>
      </c>
      <c r="B85" s="1" t="s">
        <v>183</v>
      </c>
      <c r="C85" s="1" t="s">
        <v>184</v>
      </c>
      <c r="D85" s="12">
        <v>57454.22</v>
      </c>
      <c r="E85" s="2">
        <v>1866.7</v>
      </c>
      <c r="F85" s="2">
        <v>1948.02</v>
      </c>
      <c r="G85" s="2">
        <v>2934.39</v>
      </c>
      <c r="H85" s="2">
        <v>22919.93</v>
      </c>
      <c r="I85" s="2">
        <v>3611.79</v>
      </c>
      <c r="J85" s="2">
        <v>2759.8</v>
      </c>
      <c r="K85" s="2">
        <v>1531.59</v>
      </c>
      <c r="L85" s="2">
        <v>19882</v>
      </c>
      <c r="M85" s="12">
        <v>66646.89</v>
      </c>
      <c r="N85" s="2">
        <v>2165.37</v>
      </c>
      <c r="O85" s="2">
        <v>2259.6999999999998</v>
      </c>
      <c r="P85" s="2">
        <v>3403.89</v>
      </c>
      <c r="Q85" s="2">
        <v>26587.119999999999</v>
      </c>
      <c r="R85" s="2">
        <v>4189.68</v>
      </c>
      <c r="S85" s="2">
        <v>3201.37</v>
      </c>
      <c r="T85" s="2">
        <v>1776.64</v>
      </c>
      <c r="U85" s="2">
        <v>23063.119999999999</v>
      </c>
      <c r="V85" s="2"/>
      <c r="W85" s="2"/>
      <c r="X85" s="2"/>
      <c r="Y85" s="2"/>
      <c r="Z85" s="13">
        <v>200</v>
      </c>
      <c r="AA85" s="3"/>
      <c r="AB85" s="3"/>
      <c r="AC85" s="3"/>
      <c r="AD85" s="4">
        <v>100</v>
      </c>
      <c r="AE85" s="3"/>
      <c r="AF85" s="3"/>
      <c r="AG85" s="3"/>
      <c r="AH85" s="4">
        <v>100</v>
      </c>
      <c r="AI85" s="12">
        <v>287.27109999999999</v>
      </c>
      <c r="AJ85" s="5" t="s">
        <v>33</v>
      </c>
      <c r="AK85" s="5" t="s">
        <v>33</v>
      </c>
      <c r="AL85" s="5" t="s">
        <v>33</v>
      </c>
      <c r="AM85" s="2">
        <v>229.19929999999999</v>
      </c>
      <c r="AN85" s="5" t="s">
        <v>33</v>
      </c>
      <c r="AO85" s="5" t="s">
        <v>33</v>
      </c>
      <c r="AP85" s="5" t="s">
        <v>33</v>
      </c>
      <c r="AQ85" s="2">
        <v>198.82</v>
      </c>
      <c r="AR85" s="13">
        <v>2064</v>
      </c>
      <c r="AS85" s="4">
        <v>162</v>
      </c>
      <c r="AT85" s="4">
        <v>110</v>
      </c>
      <c r="AU85" s="4">
        <v>290</v>
      </c>
      <c r="AV85" s="4">
        <v>346</v>
      </c>
      <c r="AW85" s="4">
        <v>498</v>
      </c>
      <c r="AX85" s="4">
        <v>484</v>
      </c>
      <c r="AY85" s="4">
        <v>174</v>
      </c>
      <c r="AZ85" s="3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</row>
    <row r="86" spans="1:158" s="41" customFormat="1" x14ac:dyDescent="0.2">
      <c r="A86" s="43" t="s">
        <v>28</v>
      </c>
      <c r="B86" s="43" t="s">
        <v>185</v>
      </c>
      <c r="C86" s="43" t="s">
        <v>186</v>
      </c>
      <c r="D86" s="44">
        <v>332033.40000000002</v>
      </c>
      <c r="E86" s="45">
        <v>36235.61</v>
      </c>
      <c r="F86" s="45">
        <v>259859.20000000001</v>
      </c>
      <c r="G86" s="46"/>
      <c r="H86" s="45">
        <v>260284.79999999999</v>
      </c>
      <c r="I86" s="45">
        <v>-259859.20000000001</v>
      </c>
      <c r="J86" s="45">
        <v>4685.05</v>
      </c>
      <c r="K86" s="45">
        <v>30827.94</v>
      </c>
      <c r="L86" s="46"/>
      <c r="M86" s="44">
        <v>343513.18</v>
      </c>
      <c r="N86" s="45">
        <v>42033.31</v>
      </c>
      <c r="O86" s="45">
        <v>259859.20000000001</v>
      </c>
      <c r="P86" s="46"/>
      <c r="Q86" s="45">
        <v>260284.79999999999</v>
      </c>
      <c r="R86" s="45">
        <v>-259859.20000000001</v>
      </c>
      <c r="S86" s="45">
        <v>5434.66</v>
      </c>
      <c r="T86" s="45">
        <v>35760.410000000003</v>
      </c>
      <c r="U86" s="46"/>
      <c r="V86" s="46"/>
      <c r="W86" s="46"/>
      <c r="X86" s="46"/>
      <c r="Y86" s="46"/>
      <c r="Z86" s="50">
        <v>289</v>
      </c>
      <c r="AA86" s="51">
        <v>163</v>
      </c>
      <c r="AB86" s="46"/>
      <c r="AC86" s="46"/>
      <c r="AD86" s="46"/>
      <c r="AE86" s="46"/>
      <c r="AF86" s="51">
        <v>16</v>
      </c>
      <c r="AG86" s="51">
        <v>110</v>
      </c>
      <c r="AH86" s="46"/>
      <c r="AI86" s="44">
        <v>1148.9044982698963</v>
      </c>
      <c r="AJ86" s="45">
        <v>222.30435582822085</v>
      </c>
      <c r="AK86" s="47" t="s">
        <v>33</v>
      </c>
      <c r="AL86" s="46"/>
      <c r="AM86" s="47" t="s">
        <v>33</v>
      </c>
      <c r="AN86" s="47" t="s">
        <v>33</v>
      </c>
      <c r="AO86" s="45">
        <v>292.81562500000001</v>
      </c>
      <c r="AP86" s="45">
        <v>280.25400000000002</v>
      </c>
      <c r="AQ86" s="46"/>
      <c r="AR86" s="50">
        <v>2574</v>
      </c>
      <c r="AS86" s="51">
        <v>1198</v>
      </c>
      <c r="AT86" s="46"/>
      <c r="AU86" s="46"/>
      <c r="AV86" s="46"/>
      <c r="AW86" s="46"/>
      <c r="AX86" s="51">
        <v>204</v>
      </c>
      <c r="AY86" s="51">
        <v>1172</v>
      </c>
      <c r="AZ86" s="4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</row>
    <row r="87" spans="1:158" x14ac:dyDescent="0.2">
      <c r="A87" s="1" t="s">
        <v>28</v>
      </c>
      <c r="B87" s="1" t="s">
        <v>187</v>
      </c>
      <c r="C87" s="1" t="s">
        <v>188</v>
      </c>
      <c r="D87" s="12">
        <v>52540.19</v>
      </c>
      <c r="E87" s="2">
        <v>725.73</v>
      </c>
      <c r="F87" s="2">
        <v>1160.83</v>
      </c>
      <c r="G87" s="2">
        <v>1119.73</v>
      </c>
      <c r="H87" s="2">
        <v>558.63</v>
      </c>
      <c r="I87" s="2">
        <v>592.74</v>
      </c>
      <c r="J87" s="2">
        <v>48290.34</v>
      </c>
      <c r="K87" s="2">
        <v>92.19</v>
      </c>
      <c r="L87" s="3"/>
      <c r="M87" s="12">
        <v>60946.61</v>
      </c>
      <c r="N87" s="2">
        <v>841.84</v>
      </c>
      <c r="O87" s="2">
        <v>1346.56</v>
      </c>
      <c r="P87" s="2">
        <v>1298.8900000000001</v>
      </c>
      <c r="Q87" s="2">
        <v>648.01</v>
      </c>
      <c r="R87" s="2">
        <v>687.57</v>
      </c>
      <c r="S87" s="2">
        <v>56016.800000000003</v>
      </c>
      <c r="T87" s="2">
        <v>106.94</v>
      </c>
      <c r="U87" s="3"/>
      <c r="V87" s="3"/>
      <c r="W87" s="3"/>
      <c r="X87" s="3"/>
      <c r="Y87" s="3"/>
      <c r="Z87" s="13">
        <v>210</v>
      </c>
      <c r="AA87" s="4">
        <v>1</v>
      </c>
      <c r="AB87" s="4">
        <v>3</v>
      </c>
      <c r="AC87" s="4">
        <v>2</v>
      </c>
      <c r="AD87" s="4">
        <v>1</v>
      </c>
      <c r="AE87" s="4">
        <v>2</v>
      </c>
      <c r="AF87" s="4">
        <v>201</v>
      </c>
      <c r="AG87" s="3"/>
      <c r="AH87" s="3"/>
      <c r="AI87" s="12">
        <v>250.19138095238094</v>
      </c>
      <c r="AJ87" s="2">
        <v>725.73</v>
      </c>
      <c r="AK87" s="2">
        <v>386.94333333333333</v>
      </c>
      <c r="AL87" s="2">
        <v>559.86500000000001</v>
      </c>
      <c r="AM87" s="2">
        <v>558.63</v>
      </c>
      <c r="AN87" s="2">
        <v>296.37</v>
      </c>
      <c r="AO87" s="2">
        <v>240.25044776119404</v>
      </c>
      <c r="AP87" s="5" t="s">
        <v>33</v>
      </c>
      <c r="AQ87" s="3"/>
      <c r="AR87" s="13">
        <v>272</v>
      </c>
      <c r="AS87" s="4">
        <v>32</v>
      </c>
      <c r="AT87" s="4">
        <v>22</v>
      </c>
      <c r="AU87" s="4">
        <v>98</v>
      </c>
      <c r="AV87" s="4">
        <v>42</v>
      </c>
      <c r="AW87" s="4">
        <v>18</v>
      </c>
      <c r="AX87" s="4">
        <v>48</v>
      </c>
      <c r="AY87" s="4">
        <v>12</v>
      </c>
      <c r="AZ87" s="3"/>
    </row>
    <row r="88" spans="1:158" x14ac:dyDescent="0.2">
      <c r="A88" s="1" t="s">
        <v>28</v>
      </c>
      <c r="B88" s="1" t="s">
        <v>189</v>
      </c>
      <c r="C88" s="1" t="s">
        <v>190</v>
      </c>
      <c r="D88" s="12">
        <v>10671.62</v>
      </c>
      <c r="E88" s="2">
        <v>944.28</v>
      </c>
      <c r="F88" s="2">
        <v>1107.72</v>
      </c>
      <c r="G88" s="2">
        <v>1466.72</v>
      </c>
      <c r="H88" s="2">
        <v>1078.22</v>
      </c>
      <c r="I88" s="2">
        <v>2619.48</v>
      </c>
      <c r="J88" s="2">
        <v>1354.53</v>
      </c>
      <c r="K88" s="2">
        <v>2100.67</v>
      </c>
      <c r="L88" s="3"/>
      <c r="M88" s="12">
        <v>12379.09</v>
      </c>
      <c r="N88" s="2">
        <v>1095.3599999999999</v>
      </c>
      <c r="O88" s="2">
        <v>1284.96</v>
      </c>
      <c r="P88" s="2">
        <v>1701.4</v>
      </c>
      <c r="Q88" s="2">
        <v>1250.74</v>
      </c>
      <c r="R88" s="2">
        <v>3038.6</v>
      </c>
      <c r="S88" s="2">
        <v>1571.25</v>
      </c>
      <c r="T88" s="2">
        <v>2436.7800000000002</v>
      </c>
      <c r="U88" s="3"/>
      <c r="V88" s="3"/>
      <c r="W88" s="3"/>
      <c r="X88" s="3"/>
      <c r="Y88" s="3"/>
      <c r="Z88" s="13">
        <v>46</v>
      </c>
      <c r="AA88" s="4">
        <v>4</v>
      </c>
      <c r="AB88" s="4">
        <v>5</v>
      </c>
      <c r="AC88" s="4">
        <v>6</v>
      </c>
      <c r="AD88" s="4">
        <v>5</v>
      </c>
      <c r="AE88" s="4">
        <v>12</v>
      </c>
      <c r="AF88" s="4">
        <v>6</v>
      </c>
      <c r="AG88" s="4">
        <v>8</v>
      </c>
      <c r="AH88" s="3"/>
      <c r="AI88" s="12">
        <v>231.99173913043478</v>
      </c>
      <c r="AJ88" s="2">
        <v>236.07</v>
      </c>
      <c r="AK88" s="2">
        <v>221.54400000000001</v>
      </c>
      <c r="AL88" s="2">
        <v>244.45333333333332</v>
      </c>
      <c r="AM88" s="2">
        <v>215.64400000000001</v>
      </c>
      <c r="AN88" s="2">
        <v>218.29</v>
      </c>
      <c r="AO88" s="2">
        <v>225.755</v>
      </c>
      <c r="AP88" s="2">
        <v>262.58375000000001</v>
      </c>
      <c r="AQ88" s="3"/>
      <c r="AR88" s="13">
        <v>64</v>
      </c>
      <c r="AS88" s="4">
        <v>2</v>
      </c>
      <c r="AT88" s="4">
        <v>2</v>
      </c>
      <c r="AU88" s="4">
        <v>2</v>
      </c>
      <c r="AV88" s="4">
        <v>4</v>
      </c>
      <c r="AW88" s="3"/>
      <c r="AX88" s="3"/>
      <c r="AY88" s="4">
        <v>54</v>
      </c>
      <c r="AZ88" s="3"/>
    </row>
    <row r="89" spans="1:158" x14ac:dyDescent="0.2">
      <c r="A89" s="1" t="s">
        <v>28</v>
      </c>
      <c r="B89" s="1" t="s">
        <v>191</v>
      </c>
      <c r="C89" s="1" t="s">
        <v>192</v>
      </c>
      <c r="D89" s="12">
        <v>18366.509999999998</v>
      </c>
      <c r="E89" s="2">
        <v>2514.84</v>
      </c>
      <c r="F89" s="2">
        <v>6262.57</v>
      </c>
      <c r="G89" s="2">
        <v>1566.08</v>
      </c>
      <c r="H89" s="2">
        <v>2017.18</v>
      </c>
      <c r="I89" s="2">
        <v>1179.02</v>
      </c>
      <c r="J89" s="2">
        <v>2719.79</v>
      </c>
      <c r="K89" s="2">
        <v>833.82</v>
      </c>
      <c r="L89" s="2">
        <v>1273.21</v>
      </c>
      <c r="M89" s="12">
        <v>21305.14</v>
      </c>
      <c r="N89" s="2">
        <v>2917.21</v>
      </c>
      <c r="O89" s="2">
        <v>7264.58</v>
      </c>
      <c r="P89" s="2">
        <v>1816.65</v>
      </c>
      <c r="Q89" s="2">
        <v>2339.9299999999998</v>
      </c>
      <c r="R89" s="2">
        <v>1367.66</v>
      </c>
      <c r="S89" s="2">
        <v>3154.96</v>
      </c>
      <c r="T89" s="2">
        <v>967.23</v>
      </c>
      <c r="U89" s="2">
        <v>1476.92</v>
      </c>
      <c r="V89" s="2"/>
      <c r="W89" s="2"/>
      <c r="X89" s="2"/>
      <c r="Y89" s="2"/>
      <c r="Z89" s="13">
        <v>60</v>
      </c>
      <c r="AA89" s="4">
        <v>9</v>
      </c>
      <c r="AB89" s="4">
        <v>22</v>
      </c>
      <c r="AC89" s="4">
        <v>5</v>
      </c>
      <c r="AD89" s="4">
        <v>7</v>
      </c>
      <c r="AE89" s="4">
        <v>4</v>
      </c>
      <c r="AF89" s="4">
        <v>8</v>
      </c>
      <c r="AG89" s="4">
        <v>3</v>
      </c>
      <c r="AH89" s="4">
        <v>2</v>
      </c>
      <c r="AI89" s="12">
        <v>306.10849999999999</v>
      </c>
      <c r="AJ89" s="2">
        <v>279.42666666666668</v>
      </c>
      <c r="AK89" s="2">
        <v>284.66227272727275</v>
      </c>
      <c r="AL89" s="2">
        <v>313.21600000000001</v>
      </c>
      <c r="AM89" s="2">
        <v>288.16857142857145</v>
      </c>
      <c r="AN89" s="2">
        <v>294.755</v>
      </c>
      <c r="AO89" s="2">
        <v>339.97375</v>
      </c>
      <c r="AP89" s="2">
        <v>277.94</v>
      </c>
      <c r="AQ89" s="2">
        <v>636.60500000000002</v>
      </c>
      <c r="AR89" s="13">
        <v>136</v>
      </c>
      <c r="AS89" s="3"/>
      <c r="AT89" s="3"/>
      <c r="AU89" s="3"/>
      <c r="AV89" s="3"/>
      <c r="AW89" s="3"/>
      <c r="AX89" s="4">
        <v>46</v>
      </c>
      <c r="AY89" s="3"/>
      <c r="AZ89" s="4">
        <v>90</v>
      </c>
    </row>
    <row r="90" spans="1:158" s="29" customFormat="1" x14ac:dyDescent="0.2">
      <c r="A90" s="1" t="s">
        <v>28</v>
      </c>
      <c r="B90" s="1" t="s">
        <v>193</v>
      </c>
      <c r="C90" s="1" t="s">
        <v>194</v>
      </c>
      <c r="D90" s="12">
        <v>504373.1</v>
      </c>
      <c r="E90" s="2">
        <v>52347.44</v>
      </c>
      <c r="F90" s="2">
        <v>67738.080000000002</v>
      </c>
      <c r="G90" s="2">
        <v>55041.79</v>
      </c>
      <c r="H90" s="2">
        <v>55136.91</v>
      </c>
      <c r="I90" s="2">
        <v>47453.09</v>
      </c>
      <c r="J90" s="2">
        <v>68667.38</v>
      </c>
      <c r="K90" s="2">
        <v>91169.09</v>
      </c>
      <c r="L90" s="2">
        <v>66819.320000000007</v>
      </c>
      <c r="M90" s="12">
        <v>585072.78</v>
      </c>
      <c r="N90" s="2">
        <v>60723.03</v>
      </c>
      <c r="O90" s="2">
        <v>78576.17</v>
      </c>
      <c r="P90" s="2">
        <v>63848.480000000003</v>
      </c>
      <c r="Q90" s="2">
        <v>63958.81</v>
      </c>
      <c r="R90" s="2">
        <v>55045.58</v>
      </c>
      <c r="S90" s="2">
        <v>79654.16</v>
      </c>
      <c r="T90" s="2">
        <v>105756.14</v>
      </c>
      <c r="U90" s="2">
        <v>77510.41</v>
      </c>
      <c r="V90" s="2"/>
      <c r="W90" s="2"/>
      <c r="X90" s="2"/>
      <c r="Y90" s="2"/>
      <c r="Z90" s="13">
        <v>1332</v>
      </c>
      <c r="AA90" s="4">
        <v>161</v>
      </c>
      <c r="AB90" s="4">
        <v>171</v>
      </c>
      <c r="AC90" s="4">
        <v>130</v>
      </c>
      <c r="AD90" s="4">
        <v>151</v>
      </c>
      <c r="AE90" s="4">
        <v>141</v>
      </c>
      <c r="AF90" s="4">
        <v>178</v>
      </c>
      <c r="AG90" s="4">
        <v>216</v>
      </c>
      <c r="AH90" s="4">
        <v>184</v>
      </c>
      <c r="AI90" s="12">
        <v>378.65848348348351</v>
      </c>
      <c r="AJ90" s="2">
        <v>325.13937888198757</v>
      </c>
      <c r="AK90" s="2">
        <v>396.12912280701755</v>
      </c>
      <c r="AL90" s="2">
        <v>423.3983846153846</v>
      </c>
      <c r="AM90" s="2">
        <v>365.14509933774832</v>
      </c>
      <c r="AN90" s="2">
        <v>336.54673758865249</v>
      </c>
      <c r="AO90" s="2">
        <v>385.77179775280899</v>
      </c>
      <c r="AP90" s="2">
        <v>422.07912037037039</v>
      </c>
      <c r="AQ90" s="2">
        <v>363.14847826086958</v>
      </c>
      <c r="AR90" s="13">
        <v>9266</v>
      </c>
      <c r="AS90" s="4">
        <v>1026</v>
      </c>
      <c r="AT90" s="4">
        <v>918</v>
      </c>
      <c r="AU90" s="4">
        <v>706</v>
      </c>
      <c r="AV90" s="4">
        <v>766</v>
      </c>
      <c r="AW90" s="4">
        <v>700</v>
      </c>
      <c r="AX90" s="4">
        <v>1754</v>
      </c>
      <c r="AY90" s="4">
        <v>2350</v>
      </c>
      <c r="AZ90" s="4">
        <v>1046</v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</row>
    <row r="91" spans="1:158" s="41" customFormat="1" x14ac:dyDescent="0.2">
      <c r="A91" s="1" t="s">
        <v>28</v>
      </c>
      <c r="B91" s="1" t="s">
        <v>195</v>
      </c>
      <c r="C91" s="1" t="s">
        <v>196</v>
      </c>
      <c r="D91" s="12">
        <v>39904.629999999997</v>
      </c>
      <c r="E91" s="2">
        <v>8388.4</v>
      </c>
      <c r="F91" s="2">
        <v>4405.34</v>
      </c>
      <c r="G91" s="2">
        <v>8820.1299999999992</v>
      </c>
      <c r="H91" s="2">
        <v>4427.3999999999996</v>
      </c>
      <c r="I91" s="2">
        <v>4992.8100000000004</v>
      </c>
      <c r="J91" s="2">
        <v>4436.8500000000004</v>
      </c>
      <c r="K91" s="2">
        <v>4433.7</v>
      </c>
      <c r="L91" s="3"/>
      <c r="M91" s="12">
        <v>46289.36</v>
      </c>
      <c r="N91" s="2">
        <v>9730.5400000000009</v>
      </c>
      <c r="O91" s="2">
        <v>5110.1899999999996</v>
      </c>
      <c r="P91" s="2">
        <v>10231.35</v>
      </c>
      <c r="Q91" s="2">
        <v>5135.78</v>
      </c>
      <c r="R91" s="2">
        <v>5791.66</v>
      </c>
      <c r="S91" s="2">
        <v>5146.75</v>
      </c>
      <c r="T91" s="2">
        <v>5143.09</v>
      </c>
      <c r="U91" s="3"/>
      <c r="V91" s="3"/>
      <c r="W91" s="3"/>
      <c r="X91" s="3"/>
      <c r="Y91" s="3"/>
      <c r="Z91" s="13">
        <v>9</v>
      </c>
      <c r="AA91" s="4">
        <v>2</v>
      </c>
      <c r="AB91" s="4">
        <v>1</v>
      </c>
      <c r="AC91" s="4">
        <v>2</v>
      </c>
      <c r="AD91" s="4">
        <v>1</v>
      </c>
      <c r="AE91" s="4">
        <v>1</v>
      </c>
      <c r="AF91" s="4">
        <v>1</v>
      </c>
      <c r="AG91" s="4">
        <v>1</v>
      </c>
      <c r="AH91" s="3"/>
      <c r="AI91" s="12">
        <v>4433.847777777778</v>
      </c>
      <c r="AJ91" s="2">
        <v>4194.2</v>
      </c>
      <c r="AK91" s="2">
        <v>4405.34</v>
      </c>
      <c r="AL91" s="2">
        <v>4410.0649999999996</v>
      </c>
      <c r="AM91" s="2">
        <v>4427.3999999999996</v>
      </c>
      <c r="AN91" s="2">
        <v>4992.8100000000004</v>
      </c>
      <c r="AO91" s="2">
        <v>4436.8500000000004</v>
      </c>
      <c r="AP91" s="2">
        <v>4433.7</v>
      </c>
      <c r="AQ91" s="3"/>
      <c r="AR91" s="17"/>
      <c r="AS91" s="3"/>
      <c r="AT91" s="3"/>
      <c r="AU91" s="3"/>
      <c r="AV91" s="3"/>
      <c r="AW91" s="3"/>
      <c r="AX91" s="3"/>
      <c r="AY91" s="3"/>
      <c r="AZ91" s="3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</row>
    <row r="92" spans="1:158" s="41" customFormat="1" x14ac:dyDescent="0.2">
      <c r="A92" s="1" t="s">
        <v>28</v>
      </c>
      <c r="B92" s="1" t="s">
        <v>197</v>
      </c>
      <c r="C92" s="1" t="s">
        <v>198</v>
      </c>
      <c r="D92" s="12">
        <v>7937.88</v>
      </c>
      <c r="E92" s="2">
        <v>351.9</v>
      </c>
      <c r="F92" s="2">
        <v>1824.77</v>
      </c>
      <c r="G92" s="2">
        <v>941.63</v>
      </c>
      <c r="H92" s="3"/>
      <c r="I92" s="2">
        <v>2497.38</v>
      </c>
      <c r="J92" s="2">
        <v>1026.68</v>
      </c>
      <c r="K92" s="3"/>
      <c r="L92" s="2">
        <v>1295.52</v>
      </c>
      <c r="M92" s="12">
        <v>8275.82</v>
      </c>
      <c r="N92" s="2">
        <v>408.2</v>
      </c>
      <c r="O92" s="2">
        <v>1885.46</v>
      </c>
      <c r="P92" s="2">
        <v>991.37</v>
      </c>
      <c r="Q92" s="3"/>
      <c r="R92" s="2">
        <v>2590.37</v>
      </c>
      <c r="S92" s="2">
        <v>1055.52</v>
      </c>
      <c r="T92" s="3"/>
      <c r="U92" s="2">
        <v>1344.9</v>
      </c>
      <c r="V92" s="2"/>
      <c r="W92" s="2"/>
      <c r="X92" s="2"/>
      <c r="Y92" s="2"/>
      <c r="Z92" s="13">
        <v>12</v>
      </c>
      <c r="AA92" s="3"/>
      <c r="AB92" s="4">
        <v>2</v>
      </c>
      <c r="AC92" s="4">
        <v>2</v>
      </c>
      <c r="AD92" s="3"/>
      <c r="AE92" s="4">
        <v>4</v>
      </c>
      <c r="AF92" s="4">
        <v>2</v>
      </c>
      <c r="AG92" s="3"/>
      <c r="AH92" s="4">
        <v>2</v>
      </c>
      <c r="AI92" s="12">
        <v>661.49</v>
      </c>
      <c r="AJ92" s="5" t="s">
        <v>33</v>
      </c>
      <c r="AK92" s="2">
        <v>912.38499999999999</v>
      </c>
      <c r="AL92" s="2">
        <v>470.815</v>
      </c>
      <c r="AM92" s="3"/>
      <c r="AN92" s="2">
        <v>624.34500000000003</v>
      </c>
      <c r="AO92" s="2">
        <v>513.34</v>
      </c>
      <c r="AP92" s="3"/>
      <c r="AQ92" s="2">
        <v>647.76</v>
      </c>
      <c r="AR92" s="13">
        <v>67</v>
      </c>
      <c r="AS92" s="4">
        <v>8</v>
      </c>
      <c r="AT92" s="4">
        <v>22.8</v>
      </c>
      <c r="AU92" s="4">
        <v>8</v>
      </c>
      <c r="AV92" s="3"/>
      <c r="AW92" s="4">
        <v>13</v>
      </c>
      <c r="AX92" s="4">
        <v>9</v>
      </c>
      <c r="AY92" s="3"/>
      <c r="AZ92" s="4">
        <v>6.2</v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</row>
    <row r="93" spans="1:158" x14ac:dyDescent="0.2">
      <c r="A93" s="33" t="s">
        <v>28</v>
      </c>
      <c r="B93" s="33" t="s">
        <v>199</v>
      </c>
      <c r="C93" s="33" t="s">
        <v>200</v>
      </c>
      <c r="D93" s="34">
        <v>2749.12</v>
      </c>
      <c r="E93" s="36">
        <v>2749.12</v>
      </c>
      <c r="F93" s="35"/>
      <c r="G93" s="35"/>
      <c r="H93" s="35"/>
      <c r="I93" s="35"/>
      <c r="J93" s="35"/>
      <c r="K93" s="35"/>
      <c r="L93" s="35"/>
      <c r="M93" s="34">
        <v>3188.98</v>
      </c>
      <c r="N93" s="36">
        <v>3188.98</v>
      </c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42"/>
      <c r="AA93" s="35"/>
      <c r="AB93" s="35"/>
      <c r="AC93" s="35"/>
      <c r="AD93" s="35"/>
      <c r="AE93" s="35"/>
      <c r="AF93" s="35"/>
      <c r="AG93" s="35"/>
      <c r="AH93" s="35"/>
      <c r="AI93" s="37" t="s">
        <v>33</v>
      </c>
      <c r="AJ93" s="38" t="s">
        <v>33</v>
      </c>
      <c r="AK93" s="35"/>
      <c r="AL93" s="35"/>
      <c r="AM93" s="35"/>
      <c r="AN93" s="35"/>
      <c r="AO93" s="35"/>
      <c r="AP93" s="35"/>
      <c r="AQ93" s="35"/>
      <c r="AR93" s="39">
        <v>376</v>
      </c>
      <c r="AS93" s="40">
        <v>376</v>
      </c>
      <c r="AT93" s="35"/>
      <c r="AU93" s="35"/>
      <c r="AV93" s="35"/>
      <c r="AW93" s="35"/>
      <c r="AX93" s="35"/>
      <c r="AY93" s="35"/>
      <c r="AZ93" s="35"/>
    </row>
    <row r="94" spans="1:158" x14ac:dyDescent="0.2">
      <c r="A94" s="1" t="s">
        <v>28</v>
      </c>
      <c r="B94" s="1" t="s">
        <v>201</v>
      </c>
      <c r="C94" s="1" t="s">
        <v>202</v>
      </c>
      <c r="D94" s="12">
        <v>4468.84</v>
      </c>
      <c r="E94" s="3"/>
      <c r="F94" s="3"/>
      <c r="G94" s="3"/>
      <c r="H94" s="3"/>
      <c r="I94" s="3"/>
      <c r="J94" s="2">
        <v>4468.84</v>
      </c>
      <c r="K94" s="3"/>
      <c r="L94" s="3"/>
      <c r="M94" s="12">
        <v>5183.8500000000004</v>
      </c>
      <c r="N94" s="3"/>
      <c r="O94" s="3"/>
      <c r="P94" s="3"/>
      <c r="Q94" s="3"/>
      <c r="R94" s="3"/>
      <c r="S94" s="2">
        <v>5183.8500000000004</v>
      </c>
      <c r="T94" s="3"/>
      <c r="U94" s="3"/>
      <c r="V94" s="3"/>
      <c r="W94" s="3"/>
      <c r="X94" s="3"/>
      <c r="Y94" s="3"/>
      <c r="Z94" s="13">
        <v>2</v>
      </c>
      <c r="AA94" s="3"/>
      <c r="AB94" s="3"/>
      <c r="AC94" s="3"/>
      <c r="AD94" s="3"/>
      <c r="AE94" s="3"/>
      <c r="AF94" s="4">
        <v>2</v>
      </c>
      <c r="AG94" s="3"/>
      <c r="AH94" s="3"/>
      <c r="AI94" s="12">
        <v>2234.42</v>
      </c>
      <c r="AJ94" s="3"/>
      <c r="AK94" s="3"/>
      <c r="AL94" s="3"/>
      <c r="AM94" s="3"/>
      <c r="AN94" s="3"/>
      <c r="AO94" s="2">
        <v>2234.42</v>
      </c>
      <c r="AP94" s="3"/>
      <c r="AQ94" s="3"/>
      <c r="AR94" s="17"/>
      <c r="AS94" s="3"/>
      <c r="AT94" s="3"/>
      <c r="AU94" s="3"/>
      <c r="AV94" s="3"/>
      <c r="AW94" s="3"/>
      <c r="AX94" s="3"/>
      <c r="AY94" s="3"/>
      <c r="AZ94" s="3"/>
    </row>
    <row r="95" spans="1:158" s="41" customFormat="1" x14ac:dyDescent="0.2">
      <c r="A95" s="33" t="s">
        <v>28</v>
      </c>
      <c r="B95" s="33" t="s">
        <v>203</v>
      </c>
      <c r="C95" s="33" t="s">
        <v>204</v>
      </c>
      <c r="D95" s="34">
        <v>508.97</v>
      </c>
      <c r="E95" s="35"/>
      <c r="F95" s="35"/>
      <c r="G95" s="35"/>
      <c r="H95" s="36">
        <v>448.23</v>
      </c>
      <c r="I95" s="36">
        <v>60.74</v>
      </c>
      <c r="J95" s="35"/>
      <c r="K95" s="35"/>
      <c r="L95" s="35"/>
      <c r="M95" s="34">
        <v>590.41</v>
      </c>
      <c r="N95" s="35"/>
      <c r="O95" s="35"/>
      <c r="P95" s="35"/>
      <c r="Q95" s="36">
        <v>519.95000000000005</v>
      </c>
      <c r="R95" s="36">
        <v>70.459999999999994</v>
      </c>
      <c r="S95" s="35"/>
      <c r="T95" s="35"/>
      <c r="U95" s="35"/>
      <c r="V95" s="35"/>
      <c r="W95" s="35"/>
      <c r="X95" s="35"/>
      <c r="Y95" s="35"/>
      <c r="Z95" s="42"/>
      <c r="AA95" s="35"/>
      <c r="AB95" s="35"/>
      <c r="AC95" s="35"/>
      <c r="AD95" s="35"/>
      <c r="AE95" s="35"/>
      <c r="AF95" s="35"/>
      <c r="AG95" s="35"/>
      <c r="AH95" s="35"/>
      <c r="AI95" s="37" t="s">
        <v>33</v>
      </c>
      <c r="AJ95" s="35"/>
      <c r="AK95" s="35"/>
      <c r="AL95" s="35"/>
      <c r="AM95" s="38" t="s">
        <v>33</v>
      </c>
      <c r="AN95" s="38" t="s">
        <v>33</v>
      </c>
      <c r="AO95" s="35"/>
      <c r="AP95" s="35"/>
      <c r="AQ95" s="35"/>
      <c r="AR95" s="39">
        <v>10</v>
      </c>
      <c r="AS95" s="35"/>
      <c r="AT95" s="35"/>
      <c r="AU95" s="35"/>
      <c r="AV95" s="40">
        <v>10</v>
      </c>
      <c r="AW95" s="35"/>
      <c r="AX95" s="35"/>
      <c r="AY95" s="35"/>
      <c r="AZ95" s="3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</row>
    <row r="96" spans="1:158" x14ac:dyDescent="0.2">
      <c r="A96" s="33" t="s">
        <v>28</v>
      </c>
      <c r="B96" s="33" t="s">
        <v>205</v>
      </c>
      <c r="C96" s="33" t="s">
        <v>206</v>
      </c>
      <c r="D96" s="34">
        <v>324.2</v>
      </c>
      <c r="E96" s="35"/>
      <c r="F96" s="36">
        <v>58.45</v>
      </c>
      <c r="G96" s="35"/>
      <c r="H96" s="36">
        <v>265.75</v>
      </c>
      <c r="I96" s="35"/>
      <c r="J96" s="35"/>
      <c r="K96" s="35"/>
      <c r="L96" s="35"/>
      <c r="M96" s="34">
        <v>376.07</v>
      </c>
      <c r="N96" s="35"/>
      <c r="O96" s="36">
        <v>67.8</v>
      </c>
      <c r="P96" s="35"/>
      <c r="Q96" s="36">
        <v>308.27</v>
      </c>
      <c r="R96" s="35"/>
      <c r="S96" s="35"/>
      <c r="T96" s="35"/>
      <c r="U96" s="35"/>
      <c r="V96" s="35"/>
      <c r="W96" s="35"/>
      <c r="X96" s="35"/>
      <c r="Y96" s="35"/>
      <c r="Z96" s="42"/>
      <c r="AA96" s="35"/>
      <c r="AB96" s="35"/>
      <c r="AC96" s="35"/>
      <c r="AD96" s="35"/>
      <c r="AE96" s="35"/>
      <c r="AF96" s="35"/>
      <c r="AG96" s="35"/>
      <c r="AH96" s="35"/>
      <c r="AI96" s="37" t="s">
        <v>33</v>
      </c>
      <c r="AJ96" s="35"/>
      <c r="AK96" s="38" t="s">
        <v>33</v>
      </c>
      <c r="AL96" s="35"/>
      <c r="AM96" s="38" t="s">
        <v>33</v>
      </c>
      <c r="AN96" s="35"/>
      <c r="AO96" s="35"/>
      <c r="AP96" s="35"/>
      <c r="AQ96" s="35"/>
      <c r="AR96" s="39">
        <v>7</v>
      </c>
      <c r="AS96" s="35"/>
      <c r="AT96" s="40">
        <v>2</v>
      </c>
      <c r="AU96" s="35"/>
      <c r="AV96" s="40">
        <v>5</v>
      </c>
      <c r="AW96" s="35"/>
      <c r="AX96" s="35"/>
      <c r="AY96" s="35"/>
      <c r="AZ96" s="35"/>
    </row>
    <row r="97" spans="1:158" s="29" customFormat="1" x14ac:dyDescent="0.2">
      <c r="A97" s="33" t="s">
        <v>28</v>
      </c>
      <c r="B97" s="33" t="s">
        <v>207</v>
      </c>
      <c r="C97" s="33" t="s">
        <v>208</v>
      </c>
      <c r="D97" s="34">
        <v>5062.51</v>
      </c>
      <c r="E97" s="36">
        <v>5062.51</v>
      </c>
      <c r="F97" s="35"/>
      <c r="G97" s="35"/>
      <c r="H97" s="35"/>
      <c r="I97" s="35"/>
      <c r="J97" s="35"/>
      <c r="K97" s="35"/>
      <c r="L97" s="35"/>
      <c r="M97" s="34">
        <v>5872.51</v>
      </c>
      <c r="N97" s="36">
        <v>5872.51</v>
      </c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42"/>
      <c r="AA97" s="35"/>
      <c r="AB97" s="35"/>
      <c r="AC97" s="35"/>
      <c r="AD97" s="35"/>
      <c r="AE97" s="35"/>
      <c r="AF97" s="35"/>
      <c r="AG97" s="35"/>
      <c r="AH97" s="35"/>
      <c r="AI97" s="37" t="s">
        <v>33</v>
      </c>
      <c r="AJ97" s="38" t="s">
        <v>33</v>
      </c>
      <c r="AK97" s="35"/>
      <c r="AL97" s="35"/>
      <c r="AM97" s="35"/>
      <c r="AN97" s="35"/>
      <c r="AO97" s="35"/>
      <c r="AP97" s="35"/>
      <c r="AQ97" s="35"/>
      <c r="AR97" s="39">
        <v>264</v>
      </c>
      <c r="AS97" s="40">
        <v>264</v>
      </c>
      <c r="AT97" s="35"/>
      <c r="AU97" s="35"/>
      <c r="AV97" s="35"/>
      <c r="AW97" s="35"/>
      <c r="AX97" s="35"/>
      <c r="AY97" s="35"/>
      <c r="AZ97" s="35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</row>
    <row r="98" spans="1:158" s="52" customFormat="1" x14ac:dyDescent="0.2">
      <c r="A98" s="1" t="s">
        <v>28</v>
      </c>
      <c r="B98" s="1" t="s">
        <v>209</v>
      </c>
      <c r="C98" s="1" t="s">
        <v>210</v>
      </c>
      <c r="D98" s="12">
        <v>92992.74</v>
      </c>
      <c r="E98" s="2">
        <v>10177.43</v>
      </c>
      <c r="F98" s="2">
        <v>9396.6200000000008</v>
      </c>
      <c r="G98" s="2">
        <v>12464.49</v>
      </c>
      <c r="H98" s="2">
        <v>16425.86</v>
      </c>
      <c r="I98" s="2">
        <v>17159.18</v>
      </c>
      <c r="J98" s="2">
        <v>18148.73</v>
      </c>
      <c r="K98" s="2">
        <v>9220.43</v>
      </c>
      <c r="L98" s="3"/>
      <c r="M98" s="12">
        <v>107871.59</v>
      </c>
      <c r="N98" s="2">
        <v>11805.82</v>
      </c>
      <c r="O98" s="2">
        <v>10900.08</v>
      </c>
      <c r="P98" s="2">
        <v>14458.81</v>
      </c>
      <c r="Q98" s="2">
        <v>19054</v>
      </c>
      <c r="R98" s="2">
        <v>19904.650000000001</v>
      </c>
      <c r="S98" s="2">
        <v>21052.53</v>
      </c>
      <c r="T98" s="2">
        <v>10695.7</v>
      </c>
      <c r="U98" s="3"/>
      <c r="V98" s="3"/>
      <c r="W98" s="3"/>
      <c r="X98" s="3"/>
      <c r="Y98" s="3"/>
      <c r="Z98" s="17"/>
      <c r="AA98" s="3"/>
      <c r="AB98" s="3"/>
      <c r="AC98" s="3"/>
      <c r="AD98" s="3"/>
      <c r="AE98" s="3"/>
      <c r="AF98" s="3"/>
      <c r="AG98" s="3"/>
      <c r="AH98" s="3"/>
      <c r="AI98" s="16" t="s">
        <v>33</v>
      </c>
      <c r="AJ98" s="5" t="s">
        <v>33</v>
      </c>
      <c r="AK98" s="5" t="s">
        <v>33</v>
      </c>
      <c r="AL98" s="5" t="s">
        <v>33</v>
      </c>
      <c r="AM98" s="5" t="s">
        <v>33</v>
      </c>
      <c r="AN98" s="5" t="s">
        <v>33</v>
      </c>
      <c r="AO98" s="5" t="s">
        <v>33</v>
      </c>
      <c r="AP98" s="5" t="s">
        <v>33</v>
      </c>
      <c r="AQ98" s="3"/>
      <c r="AR98" s="13">
        <v>4002</v>
      </c>
      <c r="AS98" s="4">
        <v>414</v>
      </c>
      <c r="AT98" s="4">
        <v>422</v>
      </c>
      <c r="AU98" s="4">
        <v>552</v>
      </c>
      <c r="AV98" s="4">
        <v>702</v>
      </c>
      <c r="AW98" s="4">
        <v>736</v>
      </c>
      <c r="AX98" s="4">
        <v>774</v>
      </c>
      <c r="AY98" s="4">
        <v>402</v>
      </c>
      <c r="AZ98" s="3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</row>
    <row r="99" spans="1:158" s="41" customFormat="1" x14ac:dyDescent="0.2">
      <c r="A99" s="1" t="s">
        <v>28</v>
      </c>
      <c r="B99" s="1" t="s">
        <v>211</v>
      </c>
      <c r="C99" s="1" t="s">
        <v>212</v>
      </c>
      <c r="D99" s="12">
        <v>43704.65</v>
      </c>
      <c r="E99" s="3"/>
      <c r="F99" s="2">
        <v>20822</v>
      </c>
      <c r="G99" s="2">
        <v>1725.15</v>
      </c>
      <c r="H99" s="2">
        <v>68.22</v>
      </c>
      <c r="I99" s="2">
        <v>387.28</v>
      </c>
      <c r="J99" s="2">
        <v>20702</v>
      </c>
      <c r="K99" s="3"/>
      <c r="L99" s="3"/>
      <c r="M99" s="12">
        <v>50697.39</v>
      </c>
      <c r="N99" s="3"/>
      <c r="O99" s="2">
        <v>24153.52</v>
      </c>
      <c r="P99" s="2">
        <v>2001.17</v>
      </c>
      <c r="Q99" s="2">
        <v>79.14</v>
      </c>
      <c r="R99" s="2">
        <v>449.24</v>
      </c>
      <c r="S99" s="2">
        <v>24014.32</v>
      </c>
      <c r="T99" s="3"/>
      <c r="U99" s="3"/>
      <c r="V99" s="3"/>
      <c r="W99" s="3"/>
      <c r="X99" s="3"/>
      <c r="Y99" s="3"/>
      <c r="Z99" s="13">
        <v>200</v>
      </c>
      <c r="AA99" s="3"/>
      <c r="AB99" s="4">
        <v>100</v>
      </c>
      <c r="AC99" s="3"/>
      <c r="AD99" s="3"/>
      <c r="AE99" s="3"/>
      <c r="AF99" s="4">
        <v>100</v>
      </c>
      <c r="AG99" s="3"/>
      <c r="AH99" s="3"/>
      <c r="AI99" s="12">
        <v>218.52324999999999</v>
      </c>
      <c r="AJ99" s="3"/>
      <c r="AK99" s="2">
        <v>208.22</v>
      </c>
      <c r="AL99" s="5" t="s">
        <v>33</v>
      </c>
      <c r="AM99" s="5" t="s">
        <v>33</v>
      </c>
      <c r="AN99" s="5" t="s">
        <v>33</v>
      </c>
      <c r="AO99" s="2">
        <v>207.02</v>
      </c>
      <c r="AP99" s="3"/>
      <c r="AQ99" s="3"/>
      <c r="AR99" s="13">
        <v>50</v>
      </c>
      <c r="AS99" s="3"/>
      <c r="AT99" s="3"/>
      <c r="AU99" s="4">
        <v>30</v>
      </c>
      <c r="AV99" s="4">
        <v>4</v>
      </c>
      <c r="AW99" s="4">
        <v>16</v>
      </c>
      <c r="AX99" s="3"/>
      <c r="AY99" s="3"/>
      <c r="AZ99" s="3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</row>
    <row r="100" spans="1:158" s="41" customFormat="1" x14ac:dyDescent="0.2">
      <c r="A100" s="33" t="s">
        <v>28</v>
      </c>
      <c r="B100" s="33" t="s">
        <v>213</v>
      </c>
      <c r="C100" s="33" t="s">
        <v>214</v>
      </c>
      <c r="D100" s="34">
        <v>917.68</v>
      </c>
      <c r="E100" s="36">
        <v>917.68</v>
      </c>
      <c r="F100" s="35"/>
      <c r="G100" s="35"/>
      <c r="H100" s="35"/>
      <c r="I100" s="35"/>
      <c r="J100" s="35"/>
      <c r="K100" s="35"/>
      <c r="L100" s="35"/>
      <c r="M100" s="34">
        <v>1064.51</v>
      </c>
      <c r="N100" s="36">
        <v>1064.51</v>
      </c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42"/>
      <c r="AA100" s="35"/>
      <c r="AB100" s="35"/>
      <c r="AC100" s="35"/>
      <c r="AD100" s="35"/>
      <c r="AE100" s="35"/>
      <c r="AF100" s="35"/>
      <c r="AG100" s="35"/>
      <c r="AH100" s="35"/>
      <c r="AI100" s="37" t="s">
        <v>33</v>
      </c>
      <c r="AJ100" s="38" t="s">
        <v>33</v>
      </c>
      <c r="AK100" s="35"/>
      <c r="AL100" s="35"/>
      <c r="AM100" s="35"/>
      <c r="AN100" s="35"/>
      <c r="AO100" s="35"/>
      <c r="AP100" s="35"/>
      <c r="AQ100" s="35"/>
      <c r="AR100" s="39">
        <v>102</v>
      </c>
      <c r="AS100" s="40">
        <v>102</v>
      </c>
      <c r="AT100" s="35"/>
      <c r="AU100" s="35"/>
      <c r="AV100" s="35"/>
      <c r="AW100" s="35"/>
      <c r="AX100" s="35"/>
      <c r="AY100" s="35"/>
      <c r="AZ100" s="35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</row>
    <row r="101" spans="1:158" s="29" customFormat="1" x14ac:dyDescent="0.2">
      <c r="A101" s="33" t="s">
        <v>28</v>
      </c>
      <c r="B101" s="33" t="s">
        <v>215</v>
      </c>
      <c r="C101" s="33" t="s">
        <v>216</v>
      </c>
      <c r="D101" s="34">
        <v>18892.05</v>
      </c>
      <c r="E101" s="36">
        <v>578.66999999999996</v>
      </c>
      <c r="F101" s="36">
        <v>220.18</v>
      </c>
      <c r="G101" s="36">
        <v>41.57</v>
      </c>
      <c r="H101" s="36">
        <v>371.42</v>
      </c>
      <c r="I101" s="36">
        <v>478.98</v>
      </c>
      <c r="J101" s="36">
        <v>16197.87</v>
      </c>
      <c r="K101" s="36">
        <v>320.22000000000003</v>
      </c>
      <c r="L101" s="36">
        <v>683.14</v>
      </c>
      <c r="M101" s="34">
        <v>21914.799999999999</v>
      </c>
      <c r="N101" s="36">
        <v>671.26</v>
      </c>
      <c r="O101" s="36">
        <v>255.41</v>
      </c>
      <c r="P101" s="36">
        <v>48.23</v>
      </c>
      <c r="Q101" s="36">
        <v>430.85</v>
      </c>
      <c r="R101" s="36">
        <v>555.62</v>
      </c>
      <c r="S101" s="36">
        <v>18789.53</v>
      </c>
      <c r="T101" s="36">
        <v>371.46</v>
      </c>
      <c r="U101" s="36">
        <v>792.44</v>
      </c>
      <c r="V101" s="36"/>
      <c r="W101" s="36"/>
      <c r="X101" s="36"/>
      <c r="Y101" s="36"/>
      <c r="Z101" s="39">
        <v>100</v>
      </c>
      <c r="AA101" s="35"/>
      <c r="AB101" s="35"/>
      <c r="AC101" s="35"/>
      <c r="AD101" s="35"/>
      <c r="AE101" s="35"/>
      <c r="AF101" s="40">
        <v>100</v>
      </c>
      <c r="AG101" s="35"/>
      <c r="AH101" s="35"/>
      <c r="AI101" s="34">
        <v>188.9205</v>
      </c>
      <c r="AJ101" s="38" t="s">
        <v>33</v>
      </c>
      <c r="AK101" s="38" t="s">
        <v>33</v>
      </c>
      <c r="AL101" s="38" t="s">
        <v>33</v>
      </c>
      <c r="AM101" s="38" t="s">
        <v>33</v>
      </c>
      <c r="AN101" s="38" t="s">
        <v>33</v>
      </c>
      <c r="AO101" s="36">
        <v>161.9787</v>
      </c>
      <c r="AP101" s="38" t="s">
        <v>33</v>
      </c>
      <c r="AQ101" s="38" t="s">
        <v>33</v>
      </c>
      <c r="AR101" s="39">
        <v>76</v>
      </c>
      <c r="AS101" s="40">
        <v>10</v>
      </c>
      <c r="AT101" s="40">
        <v>4</v>
      </c>
      <c r="AU101" s="40">
        <v>2</v>
      </c>
      <c r="AV101" s="40">
        <v>14</v>
      </c>
      <c r="AW101" s="40">
        <v>18</v>
      </c>
      <c r="AX101" s="40">
        <v>-4</v>
      </c>
      <c r="AY101" s="40">
        <v>12</v>
      </c>
      <c r="AZ101" s="40">
        <v>20</v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</row>
    <row r="102" spans="1:158" x14ac:dyDescent="0.2">
      <c r="A102" s="1" t="s">
        <v>28</v>
      </c>
      <c r="B102" s="1" t="s">
        <v>217</v>
      </c>
      <c r="C102" s="1" t="s">
        <v>218</v>
      </c>
      <c r="D102" s="12">
        <v>25070.54</v>
      </c>
      <c r="E102" s="2">
        <v>4351.17</v>
      </c>
      <c r="F102" s="2">
        <v>4374.84</v>
      </c>
      <c r="G102" s="2">
        <v>4280.57</v>
      </c>
      <c r="H102" s="2">
        <v>3431.29</v>
      </c>
      <c r="I102" s="2">
        <v>4382.3999999999996</v>
      </c>
      <c r="J102" s="2">
        <v>2575.59</v>
      </c>
      <c r="K102" s="2">
        <v>1674.68</v>
      </c>
      <c r="L102" s="3"/>
      <c r="M102" s="12">
        <v>29081.82</v>
      </c>
      <c r="N102" s="2">
        <v>5047.3599999999997</v>
      </c>
      <c r="O102" s="2">
        <v>5074.8100000000004</v>
      </c>
      <c r="P102" s="2">
        <v>4965.46</v>
      </c>
      <c r="Q102" s="2">
        <v>3980.3</v>
      </c>
      <c r="R102" s="2">
        <v>5083.58</v>
      </c>
      <c r="S102" s="2">
        <v>2987.68</v>
      </c>
      <c r="T102" s="2">
        <v>1942.63</v>
      </c>
      <c r="U102" s="3"/>
      <c r="V102" s="3"/>
      <c r="W102" s="3"/>
      <c r="X102" s="3"/>
      <c r="Y102" s="3"/>
      <c r="Z102" s="13">
        <v>3</v>
      </c>
      <c r="AA102" s="3"/>
      <c r="AB102" s="3"/>
      <c r="AC102" s="3"/>
      <c r="AD102" s="3"/>
      <c r="AE102" s="3"/>
      <c r="AF102" s="4">
        <v>1</v>
      </c>
      <c r="AG102" s="4">
        <v>2</v>
      </c>
      <c r="AH102" s="3"/>
      <c r="AI102" s="12">
        <v>8356.8466666666664</v>
      </c>
      <c r="AJ102" s="5" t="s">
        <v>33</v>
      </c>
      <c r="AK102" s="5" t="s">
        <v>33</v>
      </c>
      <c r="AL102" s="5" t="s">
        <v>33</v>
      </c>
      <c r="AM102" s="5" t="s">
        <v>33</v>
      </c>
      <c r="AN102" s="5" t="s">
        <v>33</v>
      </c>
      <c r="AO102" s="2">
        <v>2575.59</v>
      </c>
      <c r="AP102" s="2">
        <v>837.34</v>
      </c>
      <c r="AQ102" s="3"/>
      <c r="AR102" s="13">
        <v>408</v>
      </c>
      <c r="AS102" s="4">
        <v>66</v>
      </c>
      <c r="AT102" s="4">
        <v>72</v>
      </c>
      <c r="AU102" s="4">
        <v>78</v>
      </c>
      <c r="AV102" s="4">
        <v>54</v>
      </c>
      <c r="AW102" s="4">
        <v>68</v>
      </c>
      <c r="AX102" s="4">
        <v>46</v>
      </c>
      <c r="AY102" s="4">
        <v>24</v>
      </c>
      <c r="AZ102" s="3"/>
    </row>
    <row r="103" spans="1:158" s="41" customFormat="1" x14ac:dyDescent="0.2">
      <c r="A103" s="1" t="s">
        <v>28</v>
      </c>
      <c r="B103" s="1" t="s">
        <v>219</v>
      </c>
      <c r="C103" s="1" t="s">
        <v>220</v>
      </c>
      <c r="D103" s="12">
        <v>16596.62</v>
      </c>
      <c r="E103" s="2">
        <v>24820.87</v>
      </c>
      <c r="F103" s="2">
        <v>13752.25</v>
      </c>
      <c r="G103" s="2">
        <v>20205.599999999999</v>
      </c>
      <c r="H103" s="2">
        <v>28157.18</v>
      </c>
      <c r="I103" s="2">
        <v>32472.799999999999</v>
      </c>
      <c r="J103" s="2">
        <v>18158.68</v>
      </c>
      <c r="K103" s="2">
        <v>16784.63</v>
      </c>
      <c r="L103" s="3"/>
      <c r="M103" s="12">
        <v>19252.080000000002</v>
      </c>
      <c r="N103" s="3"/>
      <c r="O103" s="3"/>
      <c r="P103" s="3"/>
      <c r="Q103" s="3"/>
      <c r="R103" s="3"/>
      <c r="S103" s="2">
        <v>19252.080000000002</v>
      </c>
      <c r="T103" s="3"/>
      <c r="U103" s="3"/>
      <c r="V103" s="3"/>
      <c r="W103" s="3"/>
      <c r="X103" s="3"/>
      <c r="Y103" s="3"/>
      <c r="Z103" s="13">
        <v>65</v>
      </c>
      <c r="AA103" s="3"/>
      <c r="AB103" s="3"/>
      <c r="AC103" s="3"/>
      <c r="AD103" s="3"/>
      <c r="AE103" s="3"/>
      <c r="AF103" s="4">
        <v>65</v>
      </c>
      <c r="AG103" s="3"/>
      <c r="AH103" s="3"/>
      <c r="AI103" s="12">
        <v>255.33261538461537</v>
      </c>
      <c r="AJ103" s="3"/>
      <c r="AK103" s="3"/>
      <c r="AL103" s="3"/>
      <c r="AM103" s="3"/>
      <c r="AN103" s="3"/>
      <c r="AO103" s="2">
        <v>255.33261538461537</v>
      </c>
      <c r="AP103" s="3"/>
      <c r="AQ103" s="3"/>
      <c r="AR103" s="13">
        <v>82</v>
      </c>
      <c r="AS103" s="3"/>
      <c r="AT103" s="3"/>
      <c r="AU103" s="3"/>
      <c r="AV103" s="3"/>
      <c r="AW103" s="3"/>
      <c r="AX103" s="4">
        <v>82</v>
      </c>
      <c r="AY103" s="3"/>
      <c r="AZ103" s="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</row>
    <row r="104" spans="1:158" x14ac:dyDescent="0.2">
      <c r="A104" s="33" t="s">
        <v>28</v>
      </c>
      <c r="B104" s="33" t="s">
        <v>221</v>
      </c>
      <c r="C104" s="33" t="s">
        <v>222</v>
      </c>
      <c r="D104" s="34">
        <v>678.94</v>
      </c>
      <c r="E104" s="36">
        <v>169.38</v>
      </c>
      <c r="F104" s="36">
        <v>275</v>
      </c>
      <c r="G104" s="35"/>
      <c r="H104" s="36">
        <v>58.3</v>
      </c>
      <c r="I104" s="35"/>
      <c r="J104" s="35"/>
      <c r="K104" s="36">
        <v>176.26</v>
      </c>
      <c r="L104" s="35"/>
      <c r="M104" s="34">
        <v>787.57</v>
      </c>
      <c r="N104" s="36">
        <v>196.48</v>
      </c>
      <c r="O104" s="36">
        <v>319</v>
      </c>
      <c r="P104" s="35"/>
      <c r="Q104" s="36">
        <v>67.63</v>
      </c>
      <c r="R104" s="35"/>
      <c r="S104" s="35"/>
      <c r="T104" s="36">
        <v>204.46</v>
      </c>
      <c r="U104" s="35"/>
      <c r="V104" s="35"/>
      <c r="W104" s="35"/>
      <c r="X104" s="35"/>
      <c r="Y104" s="35"/>
      <c r="Z104" s="42"/>
      <c r="AA104" s="35"/>
      <c r="AB104" s="35"/>
      <c r="AC104" s="35"/>
      <c r="AD104" s="35"/>
      <c r="AE104" s="35"/>
      <c r="AF104" s="35"/>
      <c r="AG104" s="35"/>
      <c r="AH104" s="35"/>
      <c r="AI104" s="37" t="s">
        <v>33</v>
      </c>
      <c r="AJ104" s="38" t="s">
        <v>33</v>
      </c>
      <c r="AK104" s="38" t="s">
        <v>33</v>
      </c>
      <c r="AL104" s="35"/>
      <c r="AM104" s="38" t="s">
        <v>33</v>
      </c>
      <c r="AN104" s="35"/>
      <c r="AO104" s="35"/>
      <c r="AP104" s="38" t="s">
        <v>33</v>
      </c>
      <c r="AQ104" s="35"/>
      <c r="AR104" s="39">
        <v>46</v>
      </c>
      <c r="AS104" s="40">
        <v>2</v>
      </c>
      <c r="AT104" s="40">
        <v>40</v>
      </c>
      <c r="AU104" s="35"/>
      <c r="AV104" s="40">
        <v>2</v>
      </c>
      <c r="AW104" s="35"/>
      <c r="AX104" s="35"/>
      <c r="AY104" s="40">
        <v>2</v>
      </c>
      <c r="AZ104" s="35"/>
    </row>
    <row r="105" spans="1:158" x14ac:dyDescent="0.2">
      <c r="A105" s="1" t="s">
        <v>28</v>
      </c>
      <c r="B105" s="1" t="s">
        <v>223</v>
      </c>
      <c r="C105" s="1" t="s">
        <v>224</v>
      </c>
      <c r="D105" s="12">
        <v>3152.3</v>
      </c>
      <c r="E105" s="2">
        <v>1635.83</v>
      </c>
      <c r="F105" s="2">
        <v>348.44</v>
      </c>
      <c r="G105" s="2">
        <v>95.75</v>
      </c>
      <c r="H105" s="2">
        <v>388.86</v>
      </c>
      <c r="I105" s="2">
        <v>284.55</v>
      </c>
      <c r="J105" s="3"/>
      <c r="K105" s="2">
        <v>398.87</v>
      </c>
      <c r="L105" s="3"/>
      <c r="M105" s="12">
        <v>3656.67</v>
      </c>
      <c r="N105" s="2">
        <v>1897.56</v>
      </c>
      <c r="O105" s="2">
        <v>404.19</v>
      </c>
      <c r="P105" s="2">
        <v>111.07</v>
      </c>
      <c r="Q105" s="2">
        <v>451.08</v>
      </c>
      <c r="R105" s="2">
        <v>330.08</v>
      </c>
      <c r="S105" s="3"/>
      <c r="T105" s="2">
        <v>462.69</v>
      </c>
      <c r="U105" s="3"/>
      <c r="V105" s="3"/>
      <c r="W105" s="3"/>
      <c r="X105" s="3"/>
      <c r="Y105" s="3"/>
      <c r="Z105" s="17"/>
      <c r="AA105" s="3"/>
      <c r="AB105" s="3"/>
      <c r="AC105" s="3"/>
      <c r="AD105" s="3"/>
      <c r="AE105" s="3"/>
      <c r="AF105" s="3"/>
      <c r="AG105" s="3"/>
      <c r="AH105" s="3"/>
      <c r="AI105" s="16" t="s">
        <v>33</v>
      </c>
      <c r="AJ105" s="5" t="s">
        <v>33</v>
      </c>
      <c r="AK105" s="5" t="s">
        <v>33</v>
      </c>
      <c r="AL105" s="5" t="s">
        <v>33</v>
      </c>
      <c r="AM105" s="5" t="s">
        <v>33</v>
      </c>
      <c r="AN105" s="5" t="s">
        <v>33</v>
      </c>
      <c r="AO105" s="3"/>
      <c r="AP105" s="5" t="s">
        <v>33</v>
      </c>
      <c r="AQ105" s="3"/>
      <c r="AR105" s="13">
        <v>242</v>
      </c>
      <c r="AS105" s="4">
        <v>176</v>
      </c>
      <c r="AT105" s="4">
        <v>34</v>
      </c>
      <c r="AU105" s="4">
        <v>4</v>
      </c>
      <c r="AV105" s="4">
        <v>4</v>
      </c>
      <c r="AW105" s="4">
        <v>18</v>
      </c>
      <c r="AX105" s="3"/>
      <c r="AY105" s="4">
        <v>6</v>
      </c>
      <c r="AZ105" s="3"/>
    </row>
    <row r="106" spans="1:158" s="52" customFormat="1" x14ac:dyDescent="0.2">
      <c r="A106" s="23" t="s">
        <v>28</v>
      </c>
      <c r="B106" s="23" t="s">
        <v>225</v>
      </c>
      <c r="C106" s="23" t="s">
        <v>226</v>
      </c>
      <c r="D106" s="24">
        <v>38556.14</v>
      </c>
      <c r="E106" s="25">
        <v>13282.78</v>
      </c>
      <c r="F106" s="25">
        <v>6813.39</v>
      </c>
      <c r="G106" s="25">
        <v>8376.33</v>
      </c>
      <c r="H106" s="25">
        <v>10083.64</v>
      </c>
      <c r="I106" s="26"/>
      <c r="J106" s="26"/>
      <c r="K106" s="26"/>
      <c r="L106" s="26"/>
      <c r="M106" s="24">
        <v>44725.120000000003</v>
      </c>
      <c r="N106" s="25">
        <v>15408.02</v>
      </c>
      <c r="O106" s="25">
        <v>7903.53</v>
      </c>
      <c r="P106" s="25">
        <v>9716.5400000000009</v>
      </c>
      <c r="Q106" s="25">
        <v>11697.03</v>
      </c>
      <c r="R106" s="26"/>
      <c r="S106" s="26"/>
      <c r="T106" s="26"/>
      <c r="U106" s="26"/>
      <c r="V106" s="26"/>
      <c r="W106" s="26"/>
      <c r="X106" s="26"/>
      <c r="Y106" s="26"/>
      <c r="Z106" s="27">
        <v>141</v>
      </c>
      <c r="AA106" s="28">
        <v>50</v>
      </c>
      <c r="AB106" s="28">
        <v>25</v>
      </c>
      <c r="AC106" s="28">
        <v>30</v>
      </c>
      <c r="AD106" s="28">
        <v>36</v>
      </c>
      <c r="AE106" s="26"/>
      <c r="AF106" s="26"/>
      <c r="AG106" s="26"/>
      <c r="AH106" s="26"/>
      <c r="AI106" s="24">
        <v>273.44780141843972</v>
      </c>
      <c r="AJ106" s="25">
        <v>265.65559999999999</v>
      </c>
      <c r="AK106" s="25">
        <v>272.53559999999999</v>
      </c>
      <c r="AL106" s="25">
        <v>279.21100000000001</v>
      </c>
      <c r="AM106" s="25">
        <v>280.10111111111109</v>
      </c>
      <c r="AN106" s="26"/>
      <c r="AO106" s="26"/>
      <c r="AP106" s="26"/>
      <c r="AQ106" s="26"/>
      <c r="AR106" s="27">
        <v>934</v>
      </c>
      <c r="AS106" s="28">
        <v>388</v>
      </c>
      <c r="AT106" s="28">
        <v>168</v>
      </c>
      <c r="AU106" s="28">
        <v>202</v>
      </c>
      <c r="AV106" s="28">
        <v>176</v>
      </c>
      <c r="AW106" s="26"/>
      <c r="AX106" s="26"/>
      <c r="AY106" s="26"/>
      <c r="AZ106" s="2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</row>
    <row r="107" spans="1:158" x14ac:dyDescent="0.2">
      <c r="A107" s="33" t="s">
        <v>28</v>
      </c>
      <c r="B107" s="33" t="s">
        <v>227</v>
      </c>
      <c r="C107" s="33" t="s">
        <v>228</v>
      </c>
      <c r="D107" s="34">
        <v>34.22</v>
      </c>
      <c r="E107" s="35"/>
      <c r="F107" s="35"/>
      <c r="G107" s="35"/>
      <c r="H107" s="36">
        <v>34.22</v>
      </c>
      <c r="I107" s="35"/>
      <c r="J107" s="35"/>
      <c r="K107" s="35"/>
      <c r="L107" s="35"/>
      <c r="M107" s="34">
        <v>39.700000000000003</v>
      </c>
      <c r="N107" s="35"/>
      <c r="O107" s="35"/>
      <c r="P107" s="35"/>
      <c r="Q107" s="36">
        <v>39.700000000000003</v>
      </c>
      <c r="R107" s="35"/>
      <c r="S107" s="35"/>
      <c r="T107" s="35"/>
      <c r="U107" s="35"/>
      <c r="V107" s="35"/>
      <c r="W107" s="35"/>
      <c r="X107" s="35"/>
      <c r="Y107" s="35"/>
      <c r="Z107" s="42"/>
      <c r="AA107" s="35"/>
      <c r="AB107" s="35"/>
      <c r="AC107" s="35"/>
      <c r="AD107" s="35"/>
      <c r="AE107" s="35"/>
      <c r="AF107" s="35"/>
      <c r="AG107" s="35"/>
      <c r="AH107" s="35"/>
      <c r="AI107" s="37" t="s">
        <v>33</v>
      </c>
      <c r="AJ107" s="35"/>
      <c r="AK107" s="35"/>
      <c r="AL107" s="35"/>
      <c r="AM107" s="38" t="s">
        <v>33</v>
      </c>
      <c r="AN107" s="35"/>
      <c r="AO107" s="35"/>
      <c r="AP107" s="35"/>
      <c r="AQ107" s="35"/>
      <c r="AR107" s="39">
        <v>2</v>
      </c>
      <c r="AS107" s="35"/>
      <c r="AT107" s="35"/>
      <c r="AU107" s="35"/>
      <c r="AV107" s="40">
        <v>2</v>
      </c>
      <c r="AW107" s="35"/>
      <c r="AX107" s="35"/>
      <c r="AY107" s="35"/>
      <c r="AZ107" s="35"/>
    </row>
    <row r="108" spans="1:158" x14ac:dyDescent="0.2">
      <c r="A108" s="1" t="s">
        <v>28</v>
      </c>
      <c r="B108" s="1" t="s">
        <v>229</v>
      </c>
      <c r="C108" s="1" t="s">
        <v>230</v>
      </c>
      <c r="D108" s="12">
        <v>337220.12</v>
      </c>
      <c r="E108" s="2">
        <v>38198.11</v>
      </c>
      <c r="F108" s="2">
        <v>31146.09</v>
      </c>
      <c r="G108" s="2">
        <v>64470.99</v>
      </c>
      <c r="H108" s="2">
        <v>58691.64</v>
      </c>
      <c r="I108" s="2">
        <v>41042.14</v>
      </c>
      <c r="J108" s="2">
        <v>34402.83</v>
      </c>
      <c r="K108" s="2">
        <v>31873.75</v>
      </c>
      <c r="L108" s="2">
        <v>37394.57</v>
      </c>
      <c r="M108" s="12">
        <v>391175.36</v>
      </c>
      <c r="N108" s="2">
        <v>44309.81</v>
      </c>
      <c r="O108" s="2">
        <v>36129.47</v>
      </c>
      <c r="P108" s="2">
        <v>74786.34</v>
      </c>
      <c r="Q108" s="2">
        <v>68082.3</v>
      </c>
      <c r="R108" s="2">
        <v>47608.89</v>
      </c>
      <c r="S108" s="2">
        <v>39907.279999999999</v>
      </c>
      <c r="T108" s="2">
        <v>36973.57</v>
      </c>
      <c r="U108" s="2">
        <v>43377.7</v>
      </c>
      <c r="V108" s="2"/>
      <c r="W108" s="2"/>
      <c r="X108" s="2"/>
      <c r="Y108" s="2"/>
      <c r="Z108" s="13">
        <v>173</v>
      </c>
      <c r="AA108" s="4">
        <v>3</v>
      </c>
      <c r="AB108" s="4">
        <v>1</v>
      </c>
      <c r="AC108" s="4">
        <v>6</v>
      </c>
      <c r="AD108" s="4">
        <v>15</v>
      </c>
      <c r="AE108" s="4">
        <v>4</v>
      </c>
      <c r="AF108" s="4">
        <v>7</v>
      </c>
      <c r="AG108" s="4">
        <v>23</v>
      </c>
      <c r="AH108" s="4">
        <v>114</v>
      </c>
      <c r="AI108" s="12">
        <v>1949.2492485549133</v>
      </c>
      <c r="AJ108" s="2">
        <v>12732.703333333333</v>
      </c>
      <c r="AK108" s="2">
        <v>31146.09</v>
      </c>
      <c r="AL108" s="2">
        <v>10745.165000000001</v>
      </c>
      <c r="AM108" s="2">
        <v>3912.7759999999998</v>
      </c>
      <c r="AN108" s="2">
        <v>10260.535</v>
      </c>
      <c r="AO108" s="2">
        <v>4914.6899999999996</v>
      </c>
      <c r="AP108" s="2">
        <v>1385.8152173913043</v>
      </c>
      <c r="AQ108" s="2">
        <v>328.02254385964915</v>
      </c>
      <c r="AR108" s="13">
        <v>66292</v>
      </c>
      <c r="AS108" s="4">
        <v>10884</v>
      </c>
      <c r="AT108" s="4">
        <v>8844</v>
      </c>
      <c r="AU108" s="4">
        <v>11310</v>
      </c>
      <c r="AV108" s="4">
        <v>9214</v>
      </c>
      <c r="AW108" s="4">
        <v>7440</v>
      </c>
      <c r="AX108" s="4">
        <v>6758</v>
      </c>
      <c r="AY108" s="4">
        <v>7370</v>
      </c>
      <c r="AZ108" s="4">
        <v>4472</v>
      </c>
    </row>
    <row r="109" spans="1:158" x14ac:dyDescent="0.2">
      <c r="A109" s="33" t="s">
        <v>28</v>
      </c>
      <c r="B109" s="33" t="s">
        <v>231</v>
      </c>
      <c r="C109" s="33" t="s">
        <v>232</v>
      </c>
      <c r="D109" s="34">
        <v>13591.01</v>
      </c>
      <c r="E109" s="36">
        <v>11114.31</v>
      </c>
      <c r="F109" s="36">
        <v>1160.58</v>
      </c>
      <c r="G109" s="36">
        <v>1316.12</v>
      </c>
      <c r="H109" s="35"/>
      <c r="I109" s="35"/>
      <c r="J109" s="35"/>
      <c r="K109" s="35"/>
      <c r="L109" s="35"/>
      <c r="M109" s="34">
        <v>15765.57</v>
      </c>
      <c r="N109" s="36">
        <v>12892.6</v>
      </c>
      <c r="O109" s="36">
        <v>1346.27</v>
      </c>
      <c r="P109" s="36">
        <v>1526.7</v>
      </c>
      <c r="Q109" s="35"/>
      <c r="R109" s="35"/>
      <c r="S109" s="35"/>
      <c r="T109" s="35"/>
      <c r="U109" s="35"/>
      <c r="V109" s="35"/>
      <c r="W109" s="35"/>
      <c r="X109" s="35"/>
      <c r="Y109" s="35"/>
      <c r="Z109" s="39">
        <v>58</v>
      </c>
      <c r="AA109" s="40">
        <v>47</v>
      </c>
      <c r="AB109" s="40">
        <v>5</v>
      </c>
      <c r="AC109" s="40">
        <v>6</v>
      </c>
      <c r="AD109" s="35"/>
      <c r="AE109" s="35"/>
      <c r="AF109" s="35"/>
      <c r="AG109" s="35"/>
      <c r="AH109" s="35"/>
      <c r="AI109" s="34">
        <v>234.32775862068965</v>
      </c>
      <c r="AJ109" s="36">
        <v>236.47468085106382</v>
      </c>
      <c r="AK109" s="36">
        <v>232.11600000000001</v>
      </c>
      <c r="AL109" s="36">
        <v>219.35333333333332</v>
      </c>
      <c r="AM109" s="35"/>
      <c r="AN109" s="35"/>
      <c r="AO109" s="35"/>
      <c r="AP109" s="35"/>
      <c r="AQ109" s="35"/>
      <c r="AR109" s="39">
        <v>162</v>
      </c>
      <c r="AS109" s="40">
        <v>144</v>
      </c>
      <c r="AT109" s="40">
        <v>10</v>
      </c>
      <c r="AU109" s="40">
        <v>8</v>
      </c>
      <c r="AV109" s="35"/>
      <c r="AW109" s="35"/>
      <c r="AX109" s="35"/>
      <c r="AY109" s="35"/>
      <c r="AZ109" s="35"/>
    </row>
    <row r="110" spans="1:158" x14ac:dyDescent="0.2">
      <c r="A110" s="1" t="s">
        <v>28</v>
      </c>
      <c r="B110" s="1" t="s">
        <v>233</v>
      </c>
      <c r="C110" s="1" t="s">
        <v>234</v>
      </c>
      <c r="D110" s="12">
        <v>15584.67</v>
      </c>
      <c r="E110" s="2">
        <v>313.35000000000002</v>
      </c>
      <c r="F110" s="2">
        <v>3099.76</v>
      </c>
      <c r="G110" s="2">
        <v>3335.33</v>
      </c>
      <c r="H110" s="2">
        <v>1573.2</v>
      </c>
      <c r="I110" s="2">
        <v>848.5</v>
      </c>
      <c r="J110" s="2">
        <v>3257.89</v>
      </c>
      <c r="K110" s="2">
        <v>3156.64</v>
      </c>
      <c r="L110" s="5"/>
      <c r="M110" s="12">
        <v>18078.21</v>
      </c>
      <c r="N110" s="2">
        <v>363.49</v>
      </c>
      <c r="O110" s="2">
        <v>3595.72</v>
      </c>
      <c r="P110" s="2">
        <v>3868.98</v>
      </c>
      <c r="Q110" s="2">
        <v>1824.91</v>
      </c>
      <c r="R110" s="2">
        <v>984.26</v>
      </c>
      <c r="S110" s="2">
        <v>3779.15</v>
      </c>
      <c r="T110" s="2">
        <v>3661.7</v>
      </c>
      <c r="U110" s="5"/>
      <c r="V110" s="5"/>
      <c r="W110" s="5"/>
      <c r="X110" s="5"/>
      <c r="Y110" s="5"/>
      <c r="Z110" s="13">
        <v>46</v>
      </c>
      <c r="AA110" s="4">
        <v>1</v>
      </c>
      <c r="AB110" s="4">
        <v>10</v>
      </c>
      <c r="AC110" s="4">
        <v>10</v>
      </c>
      <c r="AD110" s="4">
        <v>4</v>
      </c>
      <c r="AE110" s="4">
        <v>3</v>
      </c>
      <c r="AF110" s="4">
        <v>9</v>
      </c>
      <c r="AG110" s="4">
        <v>9</v>
      </c>
      <c r="AH110" s="5"/>
      <c r="AI110" s="12">
        <v>338.79717391304348</v>
      </c>
      <c r="AJ110" s="2">
        <v>313.35000000000002</v>
      </c>
      <c r="AK110" s="2">
        <v>309.976</v>
      </c>
      <c r="AL110" s="2">
        <v>333.53300000000002</v>
      </c>
      <c r="AM110" s="2">
        <v>393.3</v>
      </c>
      <c r="AN110" s="2">
        <v>282.83333333333331</v>
      </c>
      <c r="AO110" s="2">
        <v>361.98777777777781</v>
      </c>
      <c r="AP110" s="2">
        <v>350.73777777777781</v>
      </c>
      <c r="AQ110" s="5" t="s">
        <v>33</v>
      </c>
      <c r="AR110" s="13">
        <v>880</v>
      </c>
      <c r="AS110" s="4">
        <v>6</v>
      </c>
      <c r="AT110" s="4">
        <v>174</v>
      </c>
      <c r="AU110" s="4">
        <v>164</v>
      </c>
      <c r="AV110" s="4">
        <v>82</v>
      </c>
      <c r="AW110" s="4">
        <v>40</v>
      </c>
      <c r="AX110" s="4">
        <v>202</v>
      </c>
      <c r="AY110" s="4">
        <v>212</v>
      </c>
      <c r="AZ110" s="5"/>
    </row>
    <row r="111" spans="1:158" x14ac:dyDescent="0.2">
      <c r="A111" s="1" t="s">
        <v>28</v>
      </c>
      <c r="B111" s="1" t="s">
        <v>235</v>
      </c>
      <c r="C111" s="1" t="s">
        <v>236</v>
      </c>
      <c r="D111" s="12">
        <v>390812.08</v>
      </c>
      <c r="E111" s="2">
        <v>42006.91</v>
      </c>
      <c r="F111" s="2">
        <v>53480.66</v>
      </c>
      <c r="G111" s="2">
        <v>43261.67</v>
      </c>
      <c r="H111" s="2">
        <v>34990.54</v>
      </c>
      <c r="I111" s="2">
        <v>44146.58</v>
      </c>
      <c r="J111" s="2">
        <v>42629.18</v>
      </c>
      <c r="K111" s="2">
        <v>79780.17</v>
      </c>
      <c r="L111" s="2">
        <v>50516.37</v>
      </c>
      <c r="M111" s="12">
        <v>453342.03</v>
      </c>
      <c r="N111" s="2">
        <v>48728.02</v>
      </c>
      <c r="O111" s="2">
        <v>62037.57</v>
      </c>
      <c r="P111" s="2">
        <v>50183.54</v>
      </c>
      <c r="Q111" s="2">
        <v>40589.03</v>
      </c>
      <c r="R111" s="2">
        <v>51210.03</v>
      </c>
      <c r="S111" s="2">
        <v>49449.85</v>
      </c>
      <c r="T111" s="2">
        <v>92545</v>
      </c>
      <c r="U111" s="2">
        <v>58598.99</v>
      </c>
      <c r="V111" s="2"/>
      <c r="W111" s="2"/>
      <c r="X111" s="2"/>
      <c r="Y111" s="2"/>
      <c r="Z111" s="13">
        <v>1114</v>
      </c>
      <c r="AA111" s="4">
        <v>118</v>
      </c>
      <c r="AB111" s="4">
        <v>146</v>
      </c>
      <c r="AC111" s="4">
        <v>119</v>
      </c>
      <c r="AD111" s="4">
        <v>95</v>
      </c>
      <c r="AE111" s="4">
        <v>130</v>
      </c>
      <c r="AF111" s="4">
        <v>118</v>
      </c>
      <c r="AG111" s="4">
        <v>246</v>
      </c>
      <c r="AH111" s="4">
        <v>142</v>
      </c>
      <c r="AI111" s="12">
        <v>350.81874326750449</v>
      </c>
      <c r="AJ111" s="2">
        <v>355.99076271186442</v>
      </c>
      <c r="AK111" s="2">
        <v>366.30589041095891</v>
      </c>
      <c r="AL111" s="2">
        <v>363.54344537815126</v>
      </c>
      <c r="AM111" s="2">
        <v>368.3214736842105</v>
      </c>
      <c r="AN111" s="2">
        <v>339.5890769230769</v>
      </c>
      <c r="AO111" s="2">
        <v>361.26423728813558</v>
      </c>
      <c r="AP111" s="2">
        <v>324.30963414634147</v>
      </c>
      <c r="AQ111" s="2">
        <v>355.74908450704226</v>
      </c>
      <c r="AR111" s="13">
        <v>9868</v>
      </c>
      <c r="AS111" s="4">
        <v>1152</v>
      </c>
      <c r="AT111" s="4">
        <v>1436</v>
      </c>
      <c r="AU111" s="4">
        <v>1078</v>
      </c>
      <c r="AV111" s="4">
        <v>938</v>
      </c>
      <c r="AW111" s="4">
        <v>1004</v>
      </c>
      <c r="AX111" s="4">
        <v>1182</v>
      </c>
      <c r="AY111" s="4">
        <v>1966</v>
      </c>
      <c r="AZ111" s="4">
        <v>1112</v>
      </c>
    </row>
    <row r="112" spans="1:158" x14ac:dyDescent="0.2">
      <c r="A112" s="43" t="s">
        <v>28</v>
      </c>
      <c r="B112" s="43" t="s">
        <v>237</v>
      </c>
      <c r="C112" s="43" t="s">
        <v>238</v>
      </c>
      <c r="D112" s="44">
        <v>67350.89</v>
      </c>
      <c r="E112" s="45">
        <v>67350.89</v>
      </c>
      <c r="F112" s="46"/>
      <c r="G112" s="46"/>
      <c r="H112" s="46"/>
      <c r="I112" s="46"/>
      <c r="J112" s="46"/>
      <c r="K112" s="46"/>
      <c r="L112" s="46"/>
      <c r="M112" s="44">
        <v>78127.03</v>
      </c>
      <c r="N112" s="45">
        <v>78127.03</v>
      </c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8"/>
      <c r="AA112" s="46"/>
      <c r="AB112" s="46"/>
      <c r="AC112" s="46"/>
      <c r="AD112" s="46"/>
      <c r="AE112" s="46"/>
      <c r="AF112" s="46"/>
      <c r="AG112" s="46"/>
      <c r="AH112" s="46"/>
      <c r="AI112" s="49" t="s">
        <v>33</v>
      </c>
      <c r="AJ112" s="47" t="s">
        <v>33</v>
      </c>
      <c r="AK112" s="46"/>
      <c r="AL112" s="46"/>
      <c r="AM112" s="46"/>
      <c r="AN112" s="46"/>
      <c r="AO112" s="46"/>
      <c r="AP112" s="46"/>
      <c r="AQ112" s="46"/>
      <c r="AR112" s="50">
        <v>12736</v>
      </c>
      <c r="AS112" s="51">
        <v>12736</v>
      </c>
      <c r="AT112" s="46"/>
      <c r="AU112" s="46"/>
      <c r="AV112" s="46"/>
      <c r="AW112" s="46"/>
      <c r="AX112" s="46"/>
      <c r="AY112" s="46"/>
      <c r="AZ112" s="46"/>
    </row>
    <row r="113" spans="1:158" s="41" customFormat="1" x14ac:dyDescent="0.2">
      <c r="A113" s="1" t="s">
        <v>28</v>
      </c>
      <c r="B113" s="1" t="s">
        <v>239</v>
      </c>
      <c r="C113" s="1" t="s">
        <v>240</v>
      </c>
      <c r="D113" s="12">
        <v>20491.95</v>
      </c>
      <c r="E113" s="2">
        <v>1185.6099999999999</v>
      </c>
      <c r="F113" s="2">
        <v>966.56</v>
      </c>
      <c r="G113" s="2">
        <v>1737.45</v>
      </c>
      <c r="H113" s="2">
        <v>7944.19</v>
      </c>
      <c r="I113" s="2">
        <v>1079.82</v>
      </c>
      <c r="J113" s="2">
        <v>2789.66</v>
      </c>
      <c r="K113" s="2">
        <v>4265.17</v>
      </c>
      <c r="L113" s="2">
        <v>523.49</v>
      </c>
      <c r="M113" s="12">
        <v>23770.67</v>
      </c>
      <c r="N113" s="2">
        <v>1375.31</v>
      </c>
      <c r="O113" s="2">
        <v>1121.21</v>
      </c>
      <c r="P113" s="2">
        <v>2015.45</v>
      </c>
      <c r="Q113" s="2">
        <v>9215.26</v>
      </c>
      <c r="R113" s="2">
        <v>1252.5899999999999</v>
      </c>
      <c r="S113" s="2">
        <v>3236</v>
      </c>
      <c r="T113" s="2">
        <v>4947.6000000000004</v>
      </c>
      <c r="U113" s="2">
        <v>607.25</v>
      </c>
      <c r="V113" s="2"/>
      <c r="W113" s="2"/>
      <c r="X113" s="2"/>
      <c r="Y113" s="2"/>
      <c r="Z113" s="13">
        <v>35</v>
      </c>
      <c r="AA113" s="3"/>
      <c r="AB113" s="3"/>
      <c r="AC113" s="3"/>
      <c r="AD113" s="4">
        <v>35</v>
      </c>
      <c r="AE113" s="3"/>
      <c r="AF113" s="3"/>
      <c r="AG113" s="3"/>
      <c r="AH113" s="3"/>
      <c r="AI113" s="12">
        <v>585.48428571428576</v>
      </c>
      <c r="AJ113" s="5" t="s">
        <v>33</v>
      </c>
      <c r="AK113" s="5" t="s">
        <v>33</v>
      </c>
      <c r="AL113" s="5" t="s">
        <v>33</v>
      </c>
      <c r="AM113" s="2">
        <v>226.97685714285714</v>
      </c>
      <c r="AN113" s="5" t="s">
        <v>33</v>
      </c>
      <c r="AO113" s="5" t="s">
        <v>33</v>
      </c>
      <c r="AP113" s="5" t="s">
        <v>33</v>
      </c>
      <c r="AQ113" s="5" t="s">
        <v>33</v>
      </c>
      <c r="AR113" s="13">
        <v>578</v>
      </c>
      <c r="AS113" s="4">
        <v>94</v>
      </c>
      <c r="AT113" s="4">
        <v>48</v>
      </c>
      <c r="AU113" s="4">
        <v>60</v>
      </c>
      <c r="AV113" s="4">
        <v>34</v>
      </c>
      <c r="AW113" s="4">
        <v>22</v>
      </c>
      <c r="AX113" s="4">
        <v>108</v>
      </c>
      <c r="AY113" s="4">
        <v>180</v>
      </c>
      <c r="AZ113" s="4">
        <v>32</v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</row>
    <row r="114" spans="1:158" x14ac:dyDescent="0.2">
      <c r="A114" s="1" t="s">
        <v>28</v>
      </c>
      <c r="B114" s="1" t="s">
        <v>241</v>
      </c>
      <c r="C114" s="1" t="s">
        <v>242</v>
      </c>
      <c r="D114" s="12">
        <v>22174.080000000002</v>
      </c>
      <c r="E114" s="2">
        <v>1350.81</v>
      </c>
      <c r="F114" s="2">
        <v>1368.32</v>
      </c>
      <c r="G114" s="2">
        <v>235.14</v>
      </c>
      <c r="H114" s="3"/>
      <c r="I114" s="2">
        <v>191.16</v>
      </c>
      <c r="J114" s="2">
        <v>18936.509999999998</v>
      </c>
      <c r="K114" s="2">
        <v>92.14</v>
      </c>
      <c r="L114" s="3"/>
      <c r="M114" s="12">
        <v>25721.93</v>
      </c>
      <c r="N114" s="2">
        <v>1566.94</v>
      </c>
      <c r="O114" s="2">
        <v>1587.25</v>
      </c>
      <c r="P114" s="2">
        <v>272.76</v>
      </c>
      <c r="Q114" s="3"/>
      <c r="R114" s="2">
        <v>221.75</v>
      </c>
      <c r="S114" s="2">
        <v>21966.35</v>
      </c>
      <c r="T114" s="2">
        <v>106.88</v>
      </c>
      <c r="U114" s="3"/>
      <c r="V114" s="3"/>
      <c r="W114" s="3"/>
      <c r="X114" s="3"/>
      <c r="Y114" s="3"/>
      <c r="Z114" s="13">
        <v>100</v>
      </c>
      <c r="AA114" s="3"/>
      <c r="AB114" s="3"/>
      <c r="AC114" s="3"/>
      <c r="AD114" s="3"/>
      <c r="AE114" s="3"/>
      <c r="AF114" s="4">
        <v>100</v>
      </c>
      <c r="AG114" s="3"/>
      <c r="AH114" s="3"/>
      <c r="AI114" s="12">
        <v>221.74080000000001</v>
      </c>
      <c r="AJ114" s="5" t="s">
        <v>33</v>
      </c>
      <c r="AK114" s="5" t="s">
        <v>33</v>
      </c>
      <c r="AL114" s="5" t="s">
        <v>33</v>
      </c>
      <c r="AM114" s="3"/>
      <c r="AN114" s="5" t="s">
        <v>33</v>
      </c>
      <c r="AO114" s="2">
        <v>189.36510000000001</v>
      </c>
      <c r="AP114" s="5" t="s">
        <v>33</v>
      </c>
      <c r="AQ114" s="3"/>
      <c r="AR114" s="13">
        <v>134</v>
      </c>
      <c r="AS114" s="4">
        <v>54</v>
      </c>
      <c r="AT114" s="4">
        <v>64</v>
      </c>
      <c r="AU114" s="4">
        <v>4</v>
      </c>
      <c r="AV114" s="3"/>
      <c r="AW114" s="4">
        <v>6</v>
      </c>
      <c r="AX114" s="4">
        <v>2</v>
      </c>
      <c r="AY114" s="4">
        <v>4</v>
      </c>
      <c r="AZ114" s="3"/>
    </row>
    <row r="115" spans="1:158" x14ac:dyDescent="0.2">
      <c r="A115" s="1" t="s">
        <v>28</v>
      </c>
      <c r="B115" s="1" t="s">
        <v>243</v>
      </c>
      <c r="C115" s="1" t="s">
        <v>244</v>
      </c>
      <c r="D115" s="12">
        <v>68324.7</v>
      </c>
      <c r="E115" s="2">
        <v>2446.3000000000002</v>
      </c>
      <c r="F115" s="2">
        <v>2932.71</v>
      </c>
      <c r="G115" s="2">
        <v>7564.32</v>
      </c>
      <c r="H115" s="2">
        <v>5084.03</v>
      </c>
      <c r="I115" s="2">
        <v>33207.699999999997</v>
      </c>
      <c r="J115" s="2">
        <v>5434.99</v>
      </c>
      <c r="K115" s="2">
        <v>7716.06</v>
      </c>
      <c r="L115" s="2">
        <v>3938.59</v>
      </c>
      <c r="M115" s="12">
        <v>79256.639999999999</v>
      </c>
      <c r="N115" s="2">
        <v>2837.71</v>
      </c>
      <c r="O115" s="2">
        <v>3401.94</v>
      </c>
      <c r="P115" s="2">
        <v>8774.61</v>
      </c>
      <c r="Q115" s="2">
        <v>5897.47</v>
      </c>
      <c r="R115" s="2">
        <v>38520.93</v>
      </c>
      <c r="S115" s="2">
        <v>6304.59</v>
      </c>
      <c r="T115" s="2">
        <v>8950.6299999999992</v>
      </c>
      <c r="U115" s="2">
        <v>4568.76</v>
      </c>
      <c r="V115" s="2"/>
      <c r="W115" s="2"/>
      <c r="X115" s="2"/>
      <c r="Y115" s="2"/>
      <c r="Z115" s="13">
        <v>100</v>
      </c>
      <c r="AA115" s="3"/>
      <c r="AB115" s="3"/>
      <c r="AC115" s="3"/>
      <c r="AD115" s="3"/>
      <c r="AE115" s="4">
        <v>100</v>
      </c>
      <c r="AF115" s="3"/>
      <c r="AG115" s="3"/>
      <c r="AH115" s="3"/>
      <c r="AI115" s="12">
        <v>683.24699999999996</v>
      </c>
      <c r="AJ115" s="5" t="s">
        <v>33</v>
      </c>
      <c r="AK115" s="5" t="s">
        <v>33</v>
      </c>
      <c r="AL115" s="5" t="s">
        <v>33</v>
      </c>
      <c r="AM115" s="5" t="s">
        <v>33</v>
      </c>
      <c r="AN115" s="2">
        <v>332.077</v>
      </c>
      <c r="AO115" s="5" t="s">
        <v>33</v>
      </c>
      <c r="AP115" s="5" t="s">
        <v>33</v>
      </c>
      <c r="AQ115" s="5" t="s">
        <v>33</v>
      </c>
      <c r="AR115" s="13">
        <v>1044</v>
      </c>
      <c r="AS115" s="4">
        <v>68</v>
      </c>
      <c r="AT115" s="4">
        <v>90</v>
      </c>
      <c r="AU115" s="4">
        <v>206</v>
      </c>
      <c r="AV115" s="4">
        <v>136</v>
      </c>
      <c r="AW115" s="4">
        <v>106</v>
      </c>
      <c r="AX115" s="4">
        <v>138</v>
      </c>
      <c r="AY115" s="4">
        <v>200</v>
      </c>
      <c r="AZ115" s="4">
        <v>100</v>
      </c>
    </row>
    <row r="116" spans="1:158" s="52" customFormat="1" x14ac:dyDescent="0.2">
      <c r="A116" s="1" t="s">
        <v>28</v>
      </c>
      <c r="B116" s="1" t="s">
        <v>245</v>
      </c>
      <c r="C116" s="1" t="s">
        <v>246</v>
      </c>
      <c r="D116" s="12">
        <v>74450.429999999993</v>
      </c>
      <c r="E116" s="2">
        <v>2557.31</v>
      </c>
      <c r="F116" s="2">
        <v>8534.86</v>
      </c>
      <c r="G116" s="2">
        <v>18239.77</v>
      </c>
      <c r="H116" s="2">
        <v>18435.400000000001</v>
      </c>
      <c r="I116" s="2">
        <v>12263.57</v>
      </c>
      <c r="J116" s="2">
        <v>13276.21</v>
      </c>
      <c r="K116" s="2">
        <v>1143.31</v>
      </c>
      <c r="L116" s="3"/>
      <c r="M116" s="12">
        <v>86362.5</v>
      </c>
      <c r="N116" s="2">
        <v>2966.48</v>
      </c>
      <c r="O116" s="2">
        <v>9900.44</v>
      </c>
      <c r="P116" s="2">
        <v>21158.14</v>
      </c>
      <c r="Q116" s="2">
        <v>21385.06</v>
      </c>
      <c r="R116" s="2">
        <v>14225.74</v>
      </c>
      <c r="S116" s="2">
        <v>15400.4</v>
      </c>
      <c r="T116" s="2">
        <v>1326.24</v>
      </c>
      <c r="U116" s="3"/>
      <c r="V116" s="3"/>
      <c r="W116" s="3"/>
      <c r="X116" s="3"/>
      <c r="Y116" s="3"/>
      <c r="Z116" s="13">
        <v>70</v>
      </c>
      <c r="AA116" s="4">
        <v>11</v>
      </c>
      <c r="AB116" s="4">
        <v>12</v>
      </c>
      <c r="AC116" s="4">
        <v>18</v>
      </c>
      <c r="AD116" s="4">
        <v>13</v>
      </c>
      <c r="AE116" s="4">
        <v>6</v>
      </c>
      <c r="AF116" s="4">
        <v>9</v>
      </c>
      <c r="AG116" s="4">
        <v>1</v>
      </c>
      <c r="AH116" s="3"/>
      <c r="AI116" s="12">
        <v>1063.5775714285714</v>
      </c>
      <c r="AJ116" s="2">
        <v>232.48272727272726</v>
      </c>
      <c r="AK116" s="2">
        <v>711.23833333333334</v>
      </c>
      <c r="AL116" s="2">
        <v>1013.3205555555555</v>
      </c>
      <c r="AM116" s="2">
        <v>1418.1076923076923</v>
      </c>
      <c r="AN116" s="2">
        <v>2043.9283333333333</v>
      </c>
      <c r="AO116" s="2">
        <v>1475.1344444444444</v>
      </c>
      <c r="AP116" s="2">
        <v>1143.31</v>
      </c>
      <c r="AQ116" s="3"/>
      <c r="AR116" s="13">
        <v>46</v>
      </c>
      <c r="AS116" s="4">
        <v>4</v>
      </c>
      <c r="AT116" s="4">
        <v>14</v>
      </c>
      <c r="AU116" s="4">
        <v>26</v>
      </c>
      <c r="AV116" s="3"/>
      <c r="AW116" s="3"/>
      <c r="AX116" s="4">
        <v>2</v>
      </c>
      <c r="AY116" s="3"/>
      <c r="AZ116" s="3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</row>
    <row r="117" spans="1:158" x14ac:dyDescent="0.2">
      <c r="A117" s="1" t="s">
        <v>28</v>
      </c>
      <c r="B117" s="1" t="s">
        <v>247</v>
      </c>
      <c r="C117" s="1" t="s">
        <v>248</v>
      </c>
      <c r="D117" s="12">
        <v>18225.23</v>
      </c>
      <c r="E117" s="3"/>
      <c r="F117" s="3"/>
      <c r="G117" s="3"/>
      <c r="H117" s="3"/>
      <c r="I117" s="2">
        <v>13109.49</v>
      </c>
      <c r="J117" s="2">
        <v>5115.74</v>
      </c>
      <c r="K117" s="3"/>
      <c r="L117" s="3"/>
      <c r="M117" s="12">
        <v>21141.27</v>
      </c>
      <c r="N117" s="3"/>
      <c r="O117" s="3"/>
      <c r="P117" s="3"/>
      <c r="Q117" s="3"/>
      <c r="R117" s="2">
        <v>15207.01</v>
      </c>
      <c r="S117" s="2">
        <v>5934.26</v>
      </c>
      <c r="T117" s="3"/>
      <c r="U117" s="3"/>
      <c r="V117" s="3"/>
      <c r="W117" s="3"/>
      <c r="X117" s="3"/>
      <c r="Y117" s="3"/>
      <c r="Z117" s="13">
        <v>7</v>
      </c>
      <c r="AA117" s="3"/>
      <c r="AB117" s="3"/>
      <c r="AC117" s="3"/>
      <c r="AD117" s="3"/>
      <c r="AE117" s="4">
        <v>5</v>
      </c>
      <c r="AF117" s="4">
        <v>2</v>
      </c>
      <c r="AG117" s="3"/>
      <c r="AH117" s="3"/>
      <c r="AI117" s="12">
        <v>2603.6042857142857</v>
      </c>
      <c r="AJ117" s="3"/>
      <c r="AK117" s="3"/>
      <c r="AL117" s="3"/>
      <c r="AM117" s="3"/>
      <c r="AN117" s="2">
        <v>2621.8980000000001</v>
      </c>
      <c r="AO117" s="2">
        <v>2557.87</v>
      </c>
      <c r="AP117" s="3"/>
      <c r="AQ117" s="3"/>
      <c r="AR117" s="17"/>
      <c r="AS117" s="3"/>
      <c r="AT117" s="3"/>
      <c r="AU117" s="3"/>
      <c r="AV117" s="3"/>
      <c r="AW117" s="3"/>
      <c r="AX117" s="3"/>
      <c r="AY117" s="3"/>
      <c r="AZ117" s="3"/>
    </row>
    <row r="118" spans="1:158" x14ac:dyDescent="0.2">
      <c r="A118" s="33" t="s">
        <v>28</v>
      </c>
      <c r="B118" s="33" t="s">
        <v>249</v>
      </c>
      <c r="C118" s="33" t="s">
        <v>250</v>
      </c>
      <c r="D118" s="34">
        <v>13869.4</v>
      </c>
      <c r="E118" s="36">
        <v>11435.94</v>
      </c>
      <c r="F118" s="36">
        <v>2433.46</v>
      </c>
      <c r="G118" s="35"/>
      <c r="H118" s="35"/>
      <c r="I118" s="35"/>
      <c r="J118" s="35"/>
      <c r="K118" s="35"/>
      <c r="L118" s="35"/>
      <c r="M118" s="34">
        <v>16088.5</v>
      </c>
      <c r="N118" s="36">
        <v>13265.69</v>
      </c>
      <c r="O118" s="36">
        <v>2822.81</v>
      </c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9">
        <v>30</v>
      </c>
      <c r="AA118" s="40">
        <v>30</v>
      </c>
      <c r="AB118" s="35"/>
      <c r="AC118" s="35"/>
      <c r="AD118" s="35"/>
      <c r="AE118" s="35"/>
      <c r="AF118" s="35"/>
      <c r="AG118" s="35"/>
      <c r="AH118" s="35"/>
      <c r="AI118" s="34">
        <v>462.31333333333333</v>
      </c>
      <c r="AJ118" s="36">
        <v>381.19799999999998</v>
      </c>
      <c r="AK118" s="38" t="s">
        <v>33</v>
      </c>
      <c r="AL118" s="35"/>
      <c r="AM118" s="35"/>
      <c r="AN118" s="35"/>
      <c r="AO118" s="35"/>
      <c r="AP118" s="35"/>
      <c r="AQ118" s="35"/>
      <c r="AR118" s="39">
        <v>822</v>
      </c>
      <c r="AS118" s="40">
        <v>516</v>
      </c>
      <c r="AT118" s="40">
        <v>306</v>
      </c>
      <c r="AU118" s="35"/>
      <c r="AV118" s="35"/>
      <c r="AW118" s="35"/>
      <c r="AX118" s="35"/>
      <c r="AY118" s="35"/>
      <c r="AZ118" s="35"/>
    </row>
    <row r="119" spans="1:158" ht="13.5" customHeight="1" x14ac:dyDescent="0.2">
      <c r="A119" s="1" t="s">
        <v>28</v>
      </c>
      <c r="B119" s="1" t="s">
        <v>251</v>
      </c>
      <c r="C119" s="1" t="s">
        <v>252</v>
      </c>
      <c r="D119" s="12">
        <v>25936.57</v>
      </c>
      <c r="E119" s="2">
        <v>911.7</v>
      </c>
      <c r="F119" s="2">
        <v>750</v>
      </c>
      <c r="G119" s="2">
        <v>1154.8599999999999</v>
      </c>
      <c r="H119" s="2">
        <v>5898.03</v>
      </c>
      <c r="I119" s="2">
        <v>10835.29</v>
      </c>
      <c r="J119" s="2">
        <v>3008.48</v>
      </c>
      <c r="K119" s="2">
        <v>2100.71</v>
      </c>
      <c r="L119" s="2">
        <v>1277.5</v>
      </c>
      <c r="M119" s="12">
        <v>30086.42</v>
      </c>
      <c r="N119" s="2">
        <v>1057.57</v>
      </c>
      <c r="O119" s="2">
        <v>870</v>
      </c>
      <c r="P119" s="2">
        <v>1339.64</v>
      </c>
      <c r="Q119" s="2">
        <v>6841.71</v>
      </c>
      <c r="R119" s="2">
        <v>12568.94</v>
      </c>
      <c r="S119" s="2">
        <v>3489.84</v>
      </c>
      <c r="T119" s="2">
        <v>2436.8200000000002</v>
      </c>
      <c r="U119" s="2">
        <v>1481.9</v>
      </c>
      <c r="V119" s="2"/>
      <c r="W119" s="2"/>
      <c r="X119" s="2"/>
      <c r="Y119" s="2"/>
      <c r="Z119" s="13">
        <v>50</v>
      </c>
      <c r="AA119" s="3"/>
      <c r="AB119" s="3"/>
      <c r="AC119" s="3"/>
      <c r="AD119" s="3"/>
      <c r="AE119" s="4">
        <v>50</v>
      </c>
      <c r="AF119" s="3"/>
      <c r="AG119" s="3"/>
      <c r="AH119" s="3"/>
      <c r="AI119" s="12">
        <v>518.73140000000001</v>
      </c>
      <c r="AJ119" s="5" t="s">
        <v>33</v>
      </c>
      <c r="AK119" s="5" t="s">
        <v>33</v>
      </c>
      <c r="AL119" s="5" t="s">
        <v>33</v>
      </c>
      <c r="AM119" s="5" t="s">
        <v>33</v>
      </c>
      <c r="AN119" s="2">
        <v>216.70580000000001</v>
      </c>
      <c r="AO119" s="5" t="s">
        <v>33</v>
      </c>
      <c r="AP119" s="5" t="s">
        <v>33</v>
      </c>
      <c r="AQ119" s="5" t="s">
        <v>33</v>
      </c>
      <c r="AR119" s="13">
        <v>2130</v>
      </c>
      <c r="AS119" s="4">
        <v>102</v>
      </c>
      <c r="AT119" s="3"/>
      <c r="AU119" s="4">
        <v>142</v>
      </c>
      <c r="AV119" s="4">
        <v>796</v>
      </c>
      <c r="AW119" s="4">
        <v>226</v>
      </c>
      <c r="AX119" s="4">
        <v>394</v>
      </c>
      <c r="AY119" s="4">
        <v>306</v>
      </c>
      <c r="AZ119" s="4">
        <v>164</v>
      </c>
    </row>
    <row r="120" spans="1:158" s="41" customFormat="1" x14ac:dyDescent="0.2">
      <c r="A120" s="1" t="s">
        <v>28</v>
      </c>
      <c r="B120" s="1" t="s">
        <v>253</v>
      </c>
      <c r="C120" s="1" t="s">
        <v>254</v>
      </c>
      <c r="D120" s="12">
        <v>19840.11</v>
      </c>
      <c r="E120" s="2">
        <v>3691.08</v>
      </c>
      <c r="F120" s="2">
        <v>4592.17</v>
      </c>
      <c r="G120" s="2">
        <v>4776.49</v>
      </c>
      <c r="H120" s="2">
        <v>1315.03</v>
      </c>
      <c r="I120" s="2">
        <v>2148.1799999999998</v>
      </c>
      <c r="J120" s="3"/>
      <c r="K120" s="2">
        <v>3317.16</v>
      </c>
      <c r="L120" s="3"/>
      <c r="M120" s="12">
        <v>23014.53</v>
      </c>
      <c r="N120" s="2">
        <v>4281.66</v>
      </c>
      <c r="O120" s="2">
        <v>5326.91</v>
      </c>
      <c r="P120" s="2">
        <v>5540.73</v>
      </c>
      <c r="Q120" s="2">
        <v>1525.43</v>
      </c>
      <c r="R120" s="2">
        <v>2491.89</v>
      </c>
      <c r="S120" s="3"/>
      <c r="T120" s="2">
        <v>3847.91</v>
      </c>
      <c r="U120" s="3"/>
      <c r="V120" s="3"/>
      <c r="W120" s="3"/>
      <c r="X120" s="3"/>
      <c r="Y120" s="3"/>
      <c r="Z120" s="13">
        <v>47</v>
      </c>
      <c r="AA120" s="4">
        <v>11</v>
      </c>
      <c r="AB120" s="4">
        <v>12</v>
      </c>
      <c r="AC120" s="4">
        <v>15</v>
      </c>
      <c r="AD120" s="4">
        <v>3</v>
      </c>
      <c r="AE120" s="4">
        <v>1</v>
      </c>
      <c r="AF120" s="3"/>
      <c r="AG120" s="4">
        <v>5</v>
      </c>
      <c r="AH120" s="3"/>
      <c r="AI120" s="12">
        <v>422.13</v>
      </c>
      <c r="AJ120" s="2">
        <v>335.55272727272728</v>
      </c>
      <c r="AK120" s="2">
        <v>382.68083333333334</v>
      </c>
      <c r="AL120" s="2">
        <v>318.43266666666665</v>
      </c>
      <c r="AM120" s="2">
        <v>438.34333333333331</v>
      </c>
      <c r="AN120" s="2">
        <v>2148.1799999999998</v>
      </c>
      <c r="AO120" s="3"/>
      <c r="AP120" s="2">
        <v>663.43200000000002</v>
      </c>
      <c r="AQ120" s="3"/>
      <c r="AR120" s="13">
        <v>704</v>
      </c>
      <c r="AS120" s="4">
        <v>290</v>
      </c>
      <c r="AT120" s="4">
        <v>18</v>
      </c>
      <c r="AU120" s="4">
        <v>112</v>
      </c>
      <c r="AV120" s="4">
        <v>50</v>
      </c>
      <c r="AW120" s="4">
        <v>92</v>
      </c>
      <c r="AX120" s="3"/>
      <c r="AY120" s="4">
        <v>142</v>
      </c>
      <c r="AZ120" s="3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</row>
    <row r="121" spans="1:158" s="41" customFormat="1" x14ac:dyDescent="0.2">
      <c r="A121" s="43" t="s">
        <v>28</v>
      </c>
      <c r="B121" s="43" t="s">
        <v>255</v>
      </c>
      <c r="C121" s="43" t="s">
        <v>256</v>
      </c>
      <c r="D121" s="44">
        <v>10287.86</v>
      </c>
      <c r="E121" s="46"/>
      <c r="F121" s="46"/>
      <c r="G121" s="45">
        <v>10287.86</v>
      </c>
      <c r="H121" s="46"/>
      <c r="I121" s="47"/>
      <c r="J121" s="46"/>
      <c r="K121" s="46"/>
      <c r="L121" s="46"/>
      <c r="M121" s="44">
        <v>11933.92</v>
      </c>
      <c r="N121" s="46"/>
      <c r="O121" s="46"/>
      <c r="P121" s="45">
        <v>11933.92</v>
      </c>
      <c r="Q121" s="46"/>
      <c r="R121" s="47"/>
      <c r="S121" s="46"/>
      <c r="T121" s="46"/>
      <c r="U121" s="46"/>
      <c r="V121" s="46"/>
      <c r="W121" s="46"/>
      <c r="X121" s="46"/>
      <c r="Y121" s="46"/>
      <c r="Z121" s="50">
        <v>8</v>
      </c>
      <c r="AA121" s="46"/>
      <c r="AB121" s="46"/>
      <c r="AC121" s="51">
        <v>8</v>
      </c>
      <c r="AD121" s="46"/>
      <c r="AE121" s="47"/>
      <c r="AF121" s="46"/>
      <c r="AG121" s="46"/>
      <c r="AH121" s="46"/>
      <c r="AI121" s="44">
        <v>1285.9825000000001</v>
      </c>
      <c r="AJ121" s="46"/>
      <c r="AK121" s="46"/>
      <c r="AL121" s="45">
        <v>1285.9825000000001</v>
      </c>
      <c r="AM121" s="46"/>
      <c r="AN121" s="47" t="s">
        <v>33</v>
      </c>
      <c r="AO121" s="46"/>
      <c r="AP121" s="46"/>
      <c r="AQ121" s="46"/>
      <c r="AR121" s="50">
        <v>144</v>
      </c>
      <c r="AS121" s="46"/>
      <c r="AT121" s="46"/>
      <c r="AU121" s="51">
        <v>144</v>
      </c>
      <c r="AV121" s="46"/>
      <c r="AW121" s="47"/>
      <c r="AX121" s="46"/>
      <c r="AY121" s="46"/>
      <c r="AZ121" s="46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</row>
    <row r="122" spans="1:158" x14ac:dyDescent="0.2">
      <c r="A122" s="1" t="s">
        <v>28</v>
      </c>
      <c r="B122" s="1" t="s">
        <v>257</v>
      </c>
      <c r="C122" s="1" t="s">
        <v>258</v>
      </c>
      <c r="D122" s="12">
        <v>624.96</v>
      </c>
      <c r="E122" s="3"/>
      <c r="F122" s="3"/>
      <c r="G122" s="3"/>
      <c r="H122" s="3"/>
      <c r="I122" s="3"/>
      <c r="J122" s="2">
        <v>322.89</v>
      </c>
      <c r="K122" s="2">
        <v>302.07</v>
      </c>
      <c r="L122" s="3"/>
      <c r="M122" s="12">
        <v>724.95</v>
      </c>
      <c r="N122" s="3"/>
      <c r="O122" s="3"/>
      <c r="P122" s="3"/>
      <c r="Q122" s="3"/>
      <c r="R122" s="3"/>
      <c r="S122" s="2">
        <v>374.55</v>
      </c>
      <c r="T122" s="2">
        <v>350.4</v>
      </c>
      <c r="U122" s="3"/>
      <c r="V122" s="3"/>
      <c r="W122" s="3"/>
      <c r="X122" s="3"/>
      <c r="Y122" s="3"/>
      <c r="Z122" s="13">
        <v>3</v>
      </c>
      <c r="AA122" s="3"/>
      <c r="AB122" s="3"/>
      <c r="AC122" s="3"/>
      <c r="AD122" s="3"/>
      <c r="AE122" s="3"/>
      <c r="AF122" s="4">
        <v>1</v>
      </c>
      <c r="AG122" s="4">
        <v>2</v>
      </c>
      <c r="AH122" s="3"/>
      <c r="AI122" s="12">
        <v>208.32</v>
      </c>
      <c r="AJ122" s="3"/>
      <c r="AK122" s="3"/>
      <c r="AL122" s="3"/>
      <c r="AM122" s="3"/>
      <c r="AN122" s="3"/>
      <c r="AO122" s="2">
        <v>322.89</v>
      </c>
      <c r="AP122" s="2">
        <v>151.035</v>
      </c>
      <c r="AQ122" s="3"/>
      <c r="AR122" s="13">
        <v>16</v>
      </c>
      <c r="AS122" s="3"/>
      <c r="AT122" s="3"/>
      <c r="AU122" s="3"/>
      <c r="AV122" s="3"/>
      <c r="AW122" s="3"/>
      <c r="AX122" s="4">
        <v>16</v>
      </c>
      <c r="AY122" s="3"/>
      <c r="AZ122" s="3"/>
    </row>
    <row r="123" spans="1:158" x14ac:dyDescent="0.2">
      <c r="A123" s="1" t="s">
        <v>28</v>
      </c>
      <c r="B123" s="1" t="s">
        <v>259</v>
      </c>
      <c r="C123" s="1" t="s">
        <v>260</v>
      </c>
      <c r="D123" s="12">
        <v>965618.03</v>
      </c>
      <c r="E123" s="2">
        <v>227496.12</v>
      </c>
      <c r="F123" s="2">
        <v>148770.49</v>
      </c>
      <c r="G123" s="2">
        <v>123336.06</v>
      </c>
      <c r="H123" s="2">
        <v>125415.36</v>
      </c>
      <c r="I123" s="2">
        <v>111447.77</v>
      </c>
      <c r="J123" s="2">
        <v>93610.07</v>
      </c>
      <c r="K123" s="2">
        <v>135542.16</v>
      </c>
      <c r="L123" s="3"/>
      <c r="M123" s="12">
        <v>1120116.92</v>
      </c>
      <c r="N123" s="2">
        <v>263895.5</v>
      </c>
      <c r="O123" s="2">
        <v>172573.77</v>
      </c>
      <c r="P123" s="2">
        <v>143069.82999999999</v>
      </c>
      <c r="Q123" s="2">
        <v>145481.82</v>
      </c>
      <c r="R123" s="2">
        <v>129279.41</v>
      </c>
      <c r="S123" s="2">
        <v>108587.68</v>
      </c>
      <c r="T123" s="2">
        <v>157228.91</v>
      </c>
      <c r="U123" s="3"/>
      <c r="V123" s="3"/>
      <c r="W123" s="3"/>
      <c r="X123" s="3"/>
      <c r="Y123" s="3"/>
      <c r="Z123" s="13">
        <v>3031</v>
      </c>
      <c r="AA123" s="4">
        <v>685</v>
      </c>
      <c r="AB123" s="4">
        <v>470</v>
      </c>
      <c r="AC123" s="4">
        <v>386</v>
      </c>
      <c r="AD123" s="4">
        <v>400</v>
      </c>
      <c r="AE123" s="4">
        <v>359</v>
      </c>
      <c r="AF123" s="4">
        <v>322</v>
      </c>
      <c r="AG123" s="4">
        <v>409</v>
      </c>
      <c r="AH123" s="3"/>
      <c r="AI123" s="12">
        <v>318.5806763444408</v>
      </c>
      <c r="AJ123" s="2">
        <v>332.11112408759124</v>
      </c>
      <c r="AK123" s="2">
        <v>316.5329574468085</v>
      </c>
      <c r="AL123" s="2">
        <v>319.52347150259067</v>
      </c>
      <c r="AM123" s="2">
        <v>313.53840000000002</v>
      </c>
      <c r="AN123" s="2">
        <v>310.43947075208916</v>
      </c>
      <c r="AO123" s="2">
        <v>290.71450310559004</v>
      </c>
      <c r="AP123" s="2">
        <v>331.39892420537899</v>
      </c>
      <c r="AQ123" s="3"/>
      <c r="AR123" s="13">
        <v>72726</v>
      </c>
      <c r="AS123" s="4">
        <v>17810</v>
      </c>
      <c r="AT123" s="4">
        <v>11078</v>
      </c>
      <c r="AU123" s="4">
        <v>8834</v>
      </c>
      <c r="AV123" s="4">
        <v>9302</v>
      </c>
      <c r="AW123" s="4">
        <v>8916</v>
      </c>
      <c r="AX123" s="4">
        <v>6962</v>
      </c>
      <c r="AY123" s="4">
        <v>9824</v>
      </c>
      <c r="AZ123" s="3"/>
    </row>
    <row r="124" spans="1:158" s="52" customFormat="1" x14ac:dyDescent="0.2">
      <c r="A124" s="1" t="s">
        <v>28</v>
      </c>
      <c r="B124" s="1" t="s">
        <v>261</v>
      </c>
      <c r="C124" s="1" t="s">
        <v>262</v>
      </c>
      <c r="D124" s="12">
        <v>81935.48</v>
      </c>
      <c r="E124" s="2">
        <v>296.57</v>
      </c>
      <c r="F124" s="2">
        <v>10361.69</v>
      </c>
      <c r="G124" s="2">
        <v>272.52</v>
      </c>
      <c r="H124" s="2">
        <v>21851.48</v>
      </c>
      <c r="I124" s="2">
        <v>44431.81</v>
      </c>
      <c r="J124" s="2">
        <v>4283.54</v>
      </c>
      <c r="K124" s="2">
        <v>415.37</v>
      </c>
      <c r="L124" s="2">
        <v>22.5</v>
      </c>
      <c r="M124" s="12">
        <v>95045.16</v>
      </c>
      <c r="N124" s="2">
        <v>344.02</v>
      </c>
      <c r="O124" s="2">
        <v>12019.56</v>
      </c>
      <c r="P124" s="2">
        <v>316.12</v>
      </c>
      <c r="Q124" s="2">
        <v>25347.72</v>
      </c>
      <c r="R124" s="2">
        <v>51540.9</v>
      </c>
      <c r="S124" s="2">
        <v>4968.91</v>
      </c>
      <c r="T124" s="2">
        <v>481.83</v>
      </c>
      <c r="U124" s="2">
        <v>26.1</v>
      </c>
      <c r="V124" s="2"/>
      <c r="W124" s="2"/>
      <c r="X124" s="2"/>
      <c r="Y124" s="2"/>
      <c r="Z124" s="13">
        <v>300</v>
      </c>
      <c r="AA124" s="3"/>
      <c r="AB124" s="4">
        <v>50</v>
      </c>
      <c r="AC124" s="3"/>
      <c r="AD124" s="4">
        <v>100</v>
      </c>
      <c r="AE124" s="4">
        <v>150</v>
      </c>
      <c r="AF124" s="3"/>
      <c r="AG124" s="3"/>
      <c r="AH124" s="3"/>
      <c r="AI124" s="12">
        <v>273.11826666666667</v>
      </c>
      <c r="AJ124" s="5" t="s">
        <v>33</v>
      </c>
      <c r="AK124" s="2">
        <v>207.2338</v>
      </c>
      <c r="AL124" s="5" t="s">
        <v>33</v>
      </c>
      <c r="AM124" s="2">
        <v>218.51480000000001</v>
      </c>
      <c r="AN124" s="2">
        <v>296.21206666666666</v>
      </c>
      <c r="AO124" s="5" t="s">
        <v>33</v>
      </c>
      <c r="AP124" s="5" t="s">
        <v>33</v>
      </c>
      <c r="AQ124" s="5" t="s">
        <v>33</v>
      </c>
      <c r="AR124" s="13">
        <v>2960</v>
      </c>
      <c r="AS124" s="4">
        <v>26</v>
      </c>
      <c r="AT124" s="5"/>
      <c r="AU124" s="4">
        <v>8</v>
      </c>
      <c r="AV124" s="4">
        <v>112</v>
      </c>
      <c r="AW124" s="4">
        <v>2120</v>
      </c>
      <c r="AX124" s="4">
        <v>638</v>
      </c>
      <c r="AY124" s="4">
        <v>54</v>
      </c>
      <c r="AZ124" s="4">
        <v>2</v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</row>
    <row r="125" spans="1:158" x14ac:dyDescent="0.2">
      <c r="A125" s="33" t="s">
        <v>28</v>
      </c>
      <c r="B125" s="33" t="s">
        <v>263</v>
      </c>
      <c r="C125" s="33" t="s">
        <v>264</v>
      </c>
      <c r="D125" s="34">
        <v>2340.2600000000002</v>
      </c>
      <c r="E125" s="36">
        <v>174.45</v>
      </c>
      <c r="F125" s="36">
        <v>273.48</v>
      </c>
      <c r="G125" s="35"/>
      <c r="H125" s="36">
        <v>131.77000000000001</v>
      </c>
      <c r="I125" s="35"/>
      <c r="J125" s="36">
        <v>1760.56</v>
      </c>
      <c r="K125" s="35"/>
      <c r="L125" s="35"/>
      <c r="M125" s="34">
        <v>2714.7</v>
      </c>
      <c r="N125" s="36">
        <v>202.36</v>
      </c>
      <c r="O125" s="36">
        <v>317.24</v>
      </c>
      <c r="P125" s="35"/>
      <c r="Q125" s="36">
        <v>152.85</v>
      </c>
      <c r="R125" s="35"/>
      <c r="S125" s="36">
        <v>2042.25</v>
      </c>
      <c r="T125" s="35"/>
      <c r="U125" s="35"/>
      <c r="V125" s="35"/>
      <c r="W125" s="35"/>
      <c r="X125" s="35"/>
      <c r="Y125" s="35"/>
      <c r="Z125" s="42"/>
      <c r="AA125" s="35"/>
      <c r="AB125" s="35"/>
      <c r="AC125" s="35"/>
      <c r="AD125" s="35"/>
      <c r="AE125" s="35"/>
      <c r="AF125" s="35"/>
      <c r="AG125" s="35"/>
      <c r="AH125" s="35"/>
      <c r="AI125" s="37" t="s">
        <v>33</v>
      </c>
      <c r="AJ125" s="38" t="s">
        <v>33</v>
      </c>
      <c r="AK125" s="38" t="s">
        <v>33</v>
      </c>
      <c r="AL125" s="35"/>
      <c r="AM125" s="38" t="s">
        <v>33</v>
      </c>
      <c r="AN125" s="35"/>
      <c r="AO125" s="38" t="s">
        <v>33</v>
      </c>
      <c r="AP125" s="35"/>
      <c r="AQ125" s="35"/>
      <c r="AR125" s="39">
        <v>48</v>
      </c>
      <c r="AS125" s="40">
        <v>8</v>
      </c>
      <c r="AT125" s="40">
        <v>6</v>
      </c>
      <c r="AU125" s="35"/>
      <c r="AV125" s="40">
        <v>2</v>
      </c>
      <c r="AW125" s="35"/>
      <c r="AX125" s="40">
        <v>32</v>
      </c>
      <c r="AY125" s="35"/>
      <c r="AZ125" s="35"/>
    </row>
    <row r="126" spans="1:158" x14ac:dyDescent="0.2">
      <c r="A126" s="33" t="s">
        <v>28</v>
      </c>
      <c r="B126" s="33" t="s">
        <v>265</v>
      </c>
      <c r="C126" s="33" t="s">
        <v>266</v>
      </c>
      <c r="D126" s="34">
        <v>4357.95</v>
      </c>
      <c r="E126" s="35"/>
      <c r="F126" s="35"/>
      <c r="G126" s="36">
        <v>978.57</v>
      </c>
      <c r="H126" s="35"/>
      <c r="I126" s="36">
        <v>2304.2800000000002</v>
      </c>
      <c r="J126" s="36">
        <v>1075.0999999999999</v>
      </c>
      <c r="K126" s="35"/>
      <c r="L126" s="35"/>
      <c r="M126" s="34">
        <v>4778.7</v>
      </c>
      <c r="N126" s="35"/>
      <c r="O126" s="35"/>
      <c r="P126" s="36">
        <v>1135.1400000000001</v>
      </c>
      <c r="Q126" s="35"/>
      <c r="R126" s="36">
        <v>2396.44</v>
      </c>
      <c r="S126" s="36">
        <v>1247.1199999999999</v>
      </c>
      <c r="T126" s="35"/>
      <c r="U126" s="35"/>
      <c r="V126" s="35"/>
      <c r="W126" s="35"/>
      <c r="X126" s="35"/>
      <c r="Y126" s="35"/>
      <c r="Z126" s="39">
        <v>2</v>
      </c>
      <c r="AA126" s="35"/>
      <c r="AB126" s="35"/>
      <c r="AC126" s="35"/>
      <c r="AD126" s="35"/>
      <c r="AE126" s="40">
        <v>2</v>
      </c>
      <c r="AF126" s="35"/>
      <c r="AG126" s="35"/>
      <c r="AH126" s="35"/>
      <c r="AI126" s="34">
        <v>2178.9749999999999</v>
      </c>
      <c r="AJ126" s="35"/>
      <c r="AK126" s="35"/>
      <c r="AL126" s="38" t="s">
        <v>33</v>
      </c>
      <c r="AM126" s="35"/>
      <c r="AN126" s="36">
        <v>1152.1400000000001</v>
      </c>
      <c r="AO126" s="38" t="s">
        <v>33</v>
      </c>
      <c r="AP126" s="35"/>
      <c r="AQ126" s="35"/>
      <c r="AR126" s="39">
        <v>101.8</v>
      </c>
      <c r="AS126" s="35"/>
      <c r="AT126" s="35"/>
      <c r="AU126" s="40">
        <v>18</v>
      </c>
      <c r="AV126" s="35"/>
      <c r="AW126" s="40">
        <v>63.8</v>
      </c>
      <c r="AX126" s="40">
        <v>20</v>
      </c>
      <c r="AY126" s="35"/>
      <c r="AZ126" s="35"/>
    </row>
    <row r="127" spans="1:158" x14ac:dyDescent="0.2">
      <c r="A127" s="1" t="s">
        <v>28</v>
      </c>
      <c r="B127" s="1" t="s">
        <v>267</v>
      </c>
      <c r="C127" s="1" t="s">
        <v>268</v>
      </c>
      <c r="D127" s="12">
        <v>60048.480000000003</v>
      </c>
      <c r="E127" s="2">
        <v>29560.3</v>
      </c>
      <c r="F127" s="2">
        <v>17736.18</v>
      </c>
      <c r="G127" s="3"/>
      <c r="H127" s="3"/>
      <c r="I127" s="3"/>
      <c r="J127" s="2">
        <v>12752</v>
      </c>
      <c r="K127" s="3"/>
      <c r="L127" s="3"/>
      <c r="M127" s="12">
        <v>69656.240000000005</v>
      </c>
      <c r="N127" s="2">
        <v>34289.949999999997</v>
      </c>
      <c r="O127" s="2">
        <v>20573.97</v>
      </c>
      <c r="P127" s="3"/>
      <c r="Q127" s="3"/>
      <c r="R127" s="3"/>
      <c r="S127" s="2">
        <v>14792.32</v>
      </c>
      <c r="T127" s="3"/>
      <c r="U127" s="3"/>
      <c r="V127" s="3"/>
      <c r="W127" s="3"/>
      <c r="X127" s="3"/>
      <c r="Y127" s="3"/>
      <c r="Z127" s="13">
        <v>20</v>
      </c>
      <c r="AA127" s="4">
        <v>10</v>
      </c>
      <c r="AB127" s="4">
        <v>6</v>
      </c>
      <c r="AC127" s="3"/>
      <c r="AD127" s="3"/>
      <c r="AE127" s="3"/>
      <c r="AF127" s="4">
        <v>4</v>
      </c>
      <c r="AG127" s="3"/>
      <c r="AH127" s="3"/>
      <c r="AI127" s="12">
        <v>3002.424</v>
      </c>
      <c r="AJ127" s="2">
        <v>2956.03</v>
      </c>
      <c r="AK127" s="2">
        <v>2956.03</v>
      </c>
      <c r="AL127" s="3"/>
      <c r="AM127" s="3"/>
      <c r="AN127" s="3"/>
      <c r="AO127" s="2">
        <v>3188</v>
      </c>
      <c r="AP127" s="3"/>
      <c r="AQ127" s="3"/>
      <c r="AR127" s="17"/>
      <c r="AS127" s="3"/>
      <c r="AT127" s="3"/>
      <c r="AU127" s="3"/>
      <c r="AV127" s="3"/>
      <c r="AW127" s="3"/>
      <c r="AX127" s="3"/>
      <c r="AY127" s="3"/>
      <c r="AZ127" s="3"/>
    </row>
    <row r="128" spans="1:158" x14ac:dyDescent="0.2">
      <c r="A128" s="1" t="s">
        <v>28</v>
      </c>
      <c r="B128" s="1" t="s">
        <v>269</v>
      </c>
      <c r="C128" s="1" t="s">
        <v>270</v>
      </c>
      <c r="D128" s="12">
        <v>57883.43</v>
      </c>
      <c r="E128" s="2">
        <v>5327.2</v>
      </c>
      <c r="F128" s="2">
        <v>5234.8100000000004</v>
      </c>
      <c r="G128" s="2">
        <v>1479.66</v>
      </c>
      <c r="H128" s="2">
        <v>9788.2099999999991</v>
      </c>
      <c r="I128" s="2">
        <v>8589.5400000000009</v>
      </c>
      <c r="J128" s="2">
        <v>6229.18</v>
      </c>
      <c r="K128" s="2">
        <v>21234.83</v>
      </c>
      <c r="L128" s="3"/>
      <c r="M128" s="12">
        <v>67144.789999999994</v>
      </c>
      <c r="N128" s="2">
        <v>6179.55</v>
      </c>
      <c r="O128" s="2">
        <v>6072.38</v>
      </c>
      <c r="P128" s="2">
        <v>1716.41</v>
      </c>
      <c r="Q128" s="2">
        <v>11354.33</v>
      </c>
      <c r="R128" s="2">
        <v>9963.8700000000008</v>
      </c>
      <c r="S128" s="2">
        <v>7225.85</v>
      </c>
      <c r="T128" s="2">
        <v>24632.400000000001</v>
      </c>
      <c r="U128" s="3"/>
      <c r="V128" s="3"/>
      <c r="W128" s="3"/>
      <c r="X128" s="3"/>
      <c r="Y128" s="3"/>
      <c r="Z128" s="13">
        <v>93</v>
      </c>
      <c r="AA128" s="3"/>
      <c r="AB128" s="3"/>
      <c r="AC128" s="3"/>
      <c r="AD128" s="4">
        <v>22</v>
      </c>
      <c r="AE128" s="4">
        <v>24</v>
      </c>
      <c r="AF128" s="4">
        <v>15</v>
      </c>
      <c r="AG128" s="4">
        <v>32</v>
      </c>
      <c r="AH128" s="3"/>
      <c r="AI128" s="12">
        <v>622.40247311827954</v>
      </c>
      <c r="AJ128" s="5" t="s">
        <v>33</v>
      </c>
      <c r="AK128" s="5" t="s">
        <v>33</v>
      </c>
      <c r="AL128" s="5" t="s">
        <v>33</v>
      </c>
      <c r="AM128" s="2">
        <v>444.91863636363638</v>
      </c>
      <c r="AN128" s="2">
        <v>357.89749999999998</v>
      </c>
      <c r="AO128" s="2">
        <v>415.27866666666665</v>
      </c>
      <c r="AP128" s="2">
        <v>663.58843750000005</v>
      </c>
      <c r="AQ128" s="3"/>
      <c r="AR128" s="13">
        <v>1048</v>
      </c>
      <c r="AS128" s="4">
        <v>144</v>
      </c>
      <c r="AT128" s="4">
        <v>146</v>
      </c>
      <c r="AU128" s="4">
        <v>54</v>
      </c>
      <c r="AV128" s="4">
        <v>160</v>
      </c>
      <c r="AW128" s="4">
        <v>116</v>
      </c>
      <c r="AX128" s="4">
        <v>98</v>
      </c>
      <c r="AY128" s="4">
        <v>330</v>
      </c>
      <c r="AZ128" s="3"/>
    </row>
    <row r="129" spans="1:158" x14ac:dyDescent="0.2">
      <c r="A129" s="43" t="s">
        <v>28</v>
      </c>
      <c r="B129" s="43" t="s">
        <v>271</v>
      </c>
      <c r="C129" s="43" t="s">
        <v>272</v>
      </c>
      <c r="D129" s="44">
        <v>54826.83</v>
      </c>
      <c r="E129" s="45">
        <v>10557.86</v>
      </c>
      <c r="F129" s="45">
        <v>34298.26</v>
      </c>
      <c r="G129" s="45">
        <v>8255.57</v>
      </c>
      <c r="H129" s="45">
        <v>1336.54</v>
      </c>
      <c r="I129" s="45">
        <v>378.6</v>
      </c>
      <c r="J129" s="46"/>
      <c r="K129" s="46"/>
      <c r="L129" s="46"/>
      <c r="M129" s="44">
        <v>63599.13</v>
      </c>
      <c r="N129" s="45">
        <v>12247.12</v>
      </c>
      <c r="O129" s="45">
        <v>39785.980000000003</v>
      </c>
      <c r="P129" s="45">
        <v>9576.4599999999991</v>
      </c>
      <c r="Q129" s="45">
        <v>1550.39</v>
      </c>
      <c r="R129" s="45">
        <v>439.18</v>
      </c>
      <c r="S129" s="46"/>
      <c r="T129" s="46"/>
      <c r="U129" s="46"/>
      <c r="V129" s="46"/>
      <c r="W129" s="46"/>
      <c r="X129" s="46"/>
      <c r="Y129" s="46"/>
      <c r="Z129" s="50">
        <v>195</v>
      </c>
      <c r="AA129" s="51">
        <v>38</v>
      </c>
      <c r="AB129" s="51">
        <v>121</v>
      </c>
      <c r="AC129" s="51">
        <v>28</v>
      </c>
      <c r="AD129" s="51">
        <v>7</v>
      </c>
      <c r="AE129" s="51">
        <v>1</v>
      </c>
      <c r="AF129" s="46"/>
      <c r="AG129" s="46"/>
      <c r="AH129" s="46"/>
      <c r="AI129" s="44">
        <v>281.16323076923078</v>
      </c>
      <c r="AJ129" s="45">
        <v>277.83842105263159</v>
      </c>
      <c r="AK129" s="45">
        <v>283.45669421487605</v>
      </c>
      <c r="AL129" s="45">
        <v>294.84178571428572</v>
      </c>
      <c r="AM129" s="45">
        <v>190.93428571428572</v>
      </c>
      <c r="AN129" s="45">
        <v>378.6</v>
      </c>
      <c r="AO129" s="46"/>
      <c r="AP129" s="46"/>
      <c r="AQ129" s="46"/>
      <c r="AR129" s="50">
        <v>6082</v>
      </c>
      <c r="AS129" s="51">
        <v>1266</v>
      </c>
      <c r="AT129" s="51">
        <v>3974</v>
      </c>
      <c r="AU129" s="51">
        <v>812</v>
      </c>
      <c r="AV129" s="51">
        <v>6</v>
      </c>
      <c r="AW129" s="51">
        <v>24</v>
      </c>
      <c r="AX129" s="46"/>
      <c r="AY129" s="46"/>
      <c r="AZ129" s="46"/>
    </row>
    <row r="130" spans="1:158" x14ac:dyDescent="0.2">
      <c r="A130" s="1" t="s">
        <v>28</v>
      </c>
      <c r="B130" s="1" t="s">
        <v>273</v>
      </c>
      <c r="C130" s="1" t="s">
        <v>274</v>
      </c>
      <c r="D130" s="12">
        <v>251925.86</v>
      </c>
      <c r="E130" s="2">
        <v>34770.15</v>
      </c>
      <c r="F130" s="2">
        <v>38615.800000000003</v>
      </c>
      <c r="G130" s="2">
        <v>24407.9</v>
      </c>
      <c r="H130" s="2">
        <v>40482.870000000003</v>
      </c>
      <c r="I130" s="2">
        <v>34429.14</v>
      </c>
      <c r="J130" s="2">
        <v>44969.8</v>
      </c>
      <c r="K130" s="2">
        <v>34250.199999999997</v>
      </c>
      <c r="L130" s="3"/>
      <c r="M130" s="12">
        <v>291277.46000000002</v>
      </c>
      <c r="N130" s="2">
        <v>40333.370000000003</v>
      </c>
      <c r="O130" s="2">
        <v>44794.33</v>
      </c>
      <c r="P130" s="2">
        <v>28313.16</v>
      </c>
      <c r="Q130" s="2">
        <v>46194.13</v>
      </c>
      <c r="R130" s="2">
        <v>39747.269999999997</v>
      </c>
      <c r="S130" s="2">
        <v>52164.97</v>
      </c>
      <c r="T130" s="2">
        <v>39730.230000000003</v>
      </c>
      <c r="U130" s="3"/>
      <c r="V130" s="3"/>
      <c r="W130" s="3"/>
      <c r="X130" s="3"/>
      <c r="Y130" s="3"/>
      <c r="Z130" s="13">
        <v>304</v>
      </c>
      <c r="AA130" s="4">
        <v>49</v>
      </c>
      <c r="AB130" s="4">
        <v>30</v>
      </c>
      <c r="AC130" s="4">
        <v>33</v>
      </c>
      <c r="AD130" s="4">
        <v>54</v>
      </c>
      <c r="AE130" s="4">
        <v>31</v>
      </c>
      <c r="AF130" s="4">
        <v>69</v>
      </c>
      <c r="AG130" s="4">
        <v>38</v>
      </c>
      <c r="AH130" s="3"/>
      <c r="AI130" s="12">
        <v>828.70348684210524</v>
      </c>
      <c r="AJ130" s="2">
        <v>709.59489795918364</v>
      </c>
      <c r="AK130" s="2">
        <v>1287.1933333333334</v>
      </c>
      <c r="AL130" s="2">
        <v>739.63333333333333</v>
      </c>
      <c r="AM130" s="2">
        <v>749.6827777777778</v>
      </c>
      <c r="AN130" s="2">
        <v>1110.6174193548386</v>
      </c>
      <c r="AO130" s="2">
        <v>651.73623188405793</v>
      </c>
      <c r="AP130" s="2">
        <v>901.32105263157894</v>
      </c>
      <c r="AQ130" s="3"/>
      <c r="AR130" s="13">
        <v>42512</v>
      </c>
      <c r="AS130" s="4">
        <v>6321.4</v>
      </c>
      <c r="AT130" s="4">
        <v>7393</v>
      </c>
      <c r="AU130" s="4">
        <v>2846.4</v>
      </c>
      <c r="AV130" s="4">
        <v>6049.4</v>
      </c>
      <c r="AW130" s="4">
        <v>5304.6</v>
      </c>
      <c r="AX130" s="4">
        <v>8095.8</v>
      </c>
      <c r="AY130" s="4">
        <v>6501.4</v>
      </c>
      <c r="AZ130" s="3"/>
    </row>
    <row r="131" spans="1:158" x14ac:dyDescent="0.2">
      <c r="A131" s="1" t="s">
        <v>28</v>
      </c>
      <c r="B131" s="1" t="s">
        <v>275</v>
      </c>
      <c r="C131" s="1" t="s">
        <v>276</v>
      </c>
      <c r="D131" s="12">
        <v>2144480.25</v>
      </c>
      <c r="E131" s="2">
        <v>496055.99</v>
      </c>
      <c r="F131" s="2">
        <v>284900.74</v>
      </c>
      <c r="G131" s="2">
        <v>233701.2</v>
      </c>
      <c r="H131" s="2">
        <v>259376.18</v>
      </c>
      <c r="I131" s="2">
        <v>309481.5</v>
      </c>
      <c r="J131" s="2">
        <v>274240.8</v>
      </c>
      <c r="K131" s="2">
        <v>286723.84000000003</v>
      </c>
      <c r="L131" s="3"/>
      <c r="M131" s="12">
        <v>2487597.09</v>
      </c>
      <c r="N131" s="2">
        <v>575424.94999999995</v>
      </c>
      <c r="O131" s="2">
        <v>330484.84999999998</v>
      </c>
      <c r="P131" s="2">
        <v>271093.39</v>
      </c>
      <c r="Q131" s="2">
        <v>300876.37</v>
      </c>
      <c r="R131" s="2">
        <v>358998.54</v>
      </c>
      <c r="S131" s="2">
        <v>318119.33</v>
      </c>
      <c r="T131" s="2">
        <v>332599.65999999997</v>
      </c>
      <c r="U131" s="3"/>
      <c r="V131" s="3"/>
      <c r="W131" s="3"/>
      <c r="X131" s="3"/>
      <c r="Y131" s="3"/>
      <c r="Z131" s="13">
        <v>12506</v>
      </c>
      <c r="AA131" s="4">
        <v>2905</v>
      </c>
      <c r="AB131" s="4">
        <v>1635</v>
      </c>
      <c r="AC131" s="4">
        <v>1503</v>
      </c>
      <c r="AD131" s="4">
        <v>1600</v>
      </c>
      <c r="AE131" s="4">
        <v>1688</v>
      </c>
      <c r="AF131" s="4">
        <v>1588</v>
      </c>
      <c r="AG131" s="4">
        <v>1587</v>
      </c>
      <c r="AH131" s="3"/>
      <c r="AI131" s="12">
        <v>171.47611146649609</v>
      </c>
      <c r="AJ131" s="2">
        <v>170.7593769363167</v>
      </c>
      <c r="AK131" s="2">
        <v>174.25121712538225</v>
      </c>
      <c r="AL131" s="2">
        <v>155.48982035928145</v>
      </c>
      <c r="AM131" s="2">
        <v>162.11011250000001</v>
      </c>
      <c r="AN131" s="2">
        <v>183.34212085308056</v>
      </c>
      <c r="AO131" s="2">
        <v>172.69571788413097</v>
      </c>
      <c r="AP131" s="2">
        <v>180.67034656584752</v>
      </c>
      <c r="AQ131" s="3"/>
      <c r="AR131" s="13">
        <v>12842</v>
      </c>
      <c r="AS131" s="4">
        <v>3186</v>
      </c>
      <c r="AT131" s="4">
        <v>1980</v>
      </c>
      <c r="AU131" s="4">
        <v>648</v>
      </c>
      <c r="AV131" s="4">
        <v>1024</v>
      </c>
      <c r="AW131" s="4">
        <v>2500</v>
      </c>
      <c r="AX131" s="4">
        <v>1724</v>
      </c>
      <c r="AY131" s="4">
        <v>1780</v>
      </c>
      <c r="AZ131" s="3"/>
    </row>
    <row r="132" spans="1:158" x14ac:dyDescent="0.2">
      <c r="A132" s="1" t="s">
        <v>28</v>
      </c>
      <c r="B132" s="1" t="s">
        <v>277</v>
      </c>
      <c r="C132" s="1" t="s">
        <v>278</v>
      </c>
      <c r="D132" s="12">
        <v>3455.96</v>
      </c>
      <c r="E132" s="3"/>
      <c r="F132" s="3"/>
      <c r="G132" s="3"/>
      <c r="H132" s="3"/>
      <c r="I132" s="2">
        <v>229.61</v>
      </c>
      <c r="J132" s="2">
        <v>1863.61</v>
      </c>
      <c r="K132" s="2">
        <v>3455.96</v>
      </c>
      <c r="L132" s="3"/>
      <c r="M132" s="12">
        <v>4008.91</v>
      </c>
      <c r="N132" s="3"/>
      <c r="O132" s="3"/>
      <c r="P132" s="3"/>
      <c r="Q132" s="3"/>
      <c r="R132" s="3"/>
      <c r="S132" s="3"/>
      <c r="T132" s="2">
        <v>4008.91</v>
      </c>
      <c r="U132" s="3"/>
      <c r="V132" s="3"/>
      <c r="W132" s="3"/>
      <c r="X132" s="3"/>
      <c r="Y132" s="3"/>
      <c r="Z132" s="13">
        <v>15</v>
      </c>
      <c r="AA132" s="3"/>
      <c r="AB132" s="3"/>
      <c r="AC132" s="3"/>
      <c r="AD132" s="3"/>
      <c r="AE132" s="3"/>
      <c r="AF132" s="3"/>
      <c r="AG132" s="4">
        <v>15</v>
      </c>
      <c r="AH132" s="3"/>
      <c r="AI132" s="12">
        <v>230.39733333333334</v>
      </c>
      <c r="AJ132" s="3"/>
      <c r="AK132" s="3"/>
      <c r="AL132" s="3"/>
      <c r="AM132" s="3"/>
      <c r="AN132" s="3"/>
      <c r="AO132" s="3"/>
      <c r="AP132" s="2">
        <v>230.39733333333334</v>
      </c>
      <c r="AQ132" s="3"/>
      <c r="AR132" s="17"/>
      <c r="AS132" s="3"/>
      <c r="AT132" s="3"/>
      <c r="AU132" s="3"/>
      <c r="AV132" s="3"/>
      <c r="AW132" s="3"/>
      <c r="AX132" s="3"/>
      <c r="AY132" s="3"/>
      <c r="AZ132" s="3"/>
    </row>
    <row r="133" spans="1:158" x14ac:dyDescent="0.2">
      <c r="A133" s="1" t="s">
        <v>28</v>
      </c>
      <c r="B133" s="1" t="s">
        <v>279</v>
      </c>
      <c r="C133" s="1" t="s">
        <v>280</v>
      </c>
      <c r="D133" s="12">
        <v>332220.92</v>
      </c>
      <c r="E133" s="2">
        <v>11773.24</v>
      </c>
      <c r="F133" s="2">
        <v>48136.78</v>
      </c>
      <c r="G133" s="2">
        <v>10370.1</v>
      </c>
      <c r="H133" s="2">
        <v>40735.72</v>
      </c>
      <c r="I133" s="2">
        <v>22548.400000000001</v>
      </c>
      <c r="J133" s="2">
        <v>167369.57999999999</v>
      </c>
      <c r="K133" s="2">
        <v>12392.33</v>
      </c>
      <c r="L133" s="2">
        <v>18894.77</v>
      </c>
      <c r="M133" s="12">
        <v>385376.26</v>
      </c>
      <c r="N133" s="2">
        <v>13656.96</v>
      </c>
      <c r="O133" s="2">
        <v>55838.66</v>
      </c>
      <c r="P133" s="2">
        <v>12029.32</v>
      </c>
      <c r="Q133" s="2">
        <v>47253.440000000002</v>
      </c>
      <c r="R133" s="2">
        <v>26156.14</v>
      </c>
      <c r="S133" s="2">
        <v>194148.71</v>
      </c>
      <c r="T133" s="2">
        <v>14375.1</v>
      </c>
      <c r="U133" s="2">
        <v>21917.93</v>
      </c>
      <c r="V133" s="2"/>
      <c r="W133" s="2"/>
      <c r="X133" s="2"/>
      <c r="Y133" s="2"/>
      <c r="Z133" s="13">
        <v>1050</v>
      </c>
      <c r="AA133" s="3"/>
      <c r="AB133" s="4">
        <v>150</v>
      </c>
      <c r="AC133" s="3"/>
      <c r="AD133" s="4">
        <v>100</v>
      </c>
      <c r="AE133" s="3"/>
      <c r="AF133" s="4">
        <v>800</v>
      </c>
      <c r="AG133" s="3"/>
      <c r="AH133" s="3"/>
      <c r="AI133" s="12">
        <v>316.4008761904762</v>
      </c>
      <c r="AJ133" s="5" t="s">
        <v>33</v>
      </c>
      <c r="AK133" s="2">
        <v>320.9118666666667</v>
      </c>
      <c r="AL133" s="5" t="s">
        <v>33</v>
      </c>
      <c r="AM133" s="2">
        <v>407.35719999999998</v>
      </c>
      <c r="AN133" s="5" t="s">
        <v>33</v>
      </c>
      <c r="AO133" s="2">
        <v>209.211975</v>
      </c>
      <c r="AP133" s="5" t="s">
        <v>33</v>
      </c>
      <c r="AQ133" s="5" t="s">
        <v>33</v>
      </c>
      <c r="AR133" s="13">
        <v>4166</v>
      </c>
      <c r="AS133" s="4">
        <v>382</v>
      </c>
      <c r="AT133" s="4">
        <v>592</v>
      </c>
      <c r="AU133" s="4">
        <v>334</v>
      </c>
      <c r="AV133" s="4">
        <v>684</v>
      </c>
      <c r="AW133" s="4">
        <v>710</v>
      </c>
      <c r="AX133" s="4">
        <v>458</v>
      </c>
      <c r="AY133" s="4">
        <v>398</v>
      </c>
      <c r="AZ133" s="4">
        <v>608</v>
      </c>
    </row>
    <row r="134" spans="1:158" s="52" customFormat="1" x14ac:dyDescent="0.2">
      <c r="A134" s="1" t="s">
        <v>28</v>
      </c>
      <c r="B134" s="1" t="s">
        <v>281</v>
      </c>
      <c r="C134" s="1" t="s">
        <v>282</v>
      </c>
      <c r="D134" s="12">
        <v>13491.47</v>
      </c>
      <c r="E134" s="3"/>
      <c r="F134" s="2">
        <v>270.39</v>
      </c>
      <c r="G134" s="2">
        <v>884.33</v>
      </c>
      <c r="H134" s="2">
        <v>2001.11</v>
      </c>
      <c r="I134" s="2">
        <v>2025.61</v>
      </c>
      <c r="J134" s="2">
        <v>5986.71</v>
      </c>
      <c r="K134" s="2">
        <v>2323.3200000000002</v>
      </c>
      <c r="L134" s="3"/>
      <c r="M134" s="12">
        <v>15650.1</v>
      </c>
      <c r="N134" s="3"/>
      <c r="O134" s="2">
        <v>313.64999999999998</v>
      </c>
      <c r="P134" s="2">
        <v>1025.82</v>
      </c>
      <c r="Q134" s="2">
        <v>2321.29</v>
      </c>
      <c r="R134" s="2">
        <v>2349.71</v>
      </c>
      <c r="S134" s="2">
        <v>6944.58</v>
      </c>
      <c r="T134" s="2">
        <v>2695.05</v>
      </c>
      <c r="U134" s="3"/>
      <c r="V134" s="3"/>
      <c r="W134" s="3"/>
      <c r="X134" s="3"/>
      <c r="Y134" s="3"/>
      <c r="Z134" s="13">
        <v>38</v>
      </c>
      <c r="AA134" s="3"/>
      <c r="AB134" s="3"/>
      <c r="AC134" s="4">
        <v>1</v>
      </c>
      <c r="AD134" s="4">
        <v>6</v>
      </c>
      <c r="AE134" s="4">
        <v>6</v>
      </c>
      <c r="AF134" s="4">
        <v>18</v>
      </c>
      <c r="AG134" s="4">
        <v>7</v>
      </c>
      <c r="AH134" s="3"/>
      <c r="AI134" s="12">
        <v>355.0386842105263</v>
      </c>
      <c r="AJ134" s="3"/>
      <c r="AK134" s="5" t="s">
        <v>33</v>
      </c>
      <c r="AL134" s="2">
        <v>884.33</v>
      </c>
      <c r="AM134" s="2">
        <v>333.51833333333332</v>
      </c>
      <c r="AN134" s="2">
        <v>337.60166666666669</v>
      </c>
      <c r="AO134" s="2">
        <v>332.59500000000003</v>
      </c>
      <c r="AP134" s="2">
        <v>331.90285714285716</v>
      </c>
      <c r="AQ134" s="3"/>
      <c r="AR134" s="13">
        <v>16</v>
      </c>
      <c r="AS134" s="3"/>
      <c r="AT134" s="4">
        <v>6</v>
      </c>
      <c r="AU134" s="4">
        <v>10</v>
      </c>
      <c r="AV134" s="3"/>
      <c r="AW134" s="3"/>
      <c r="AX134" s="3"/>
      <c r="AY134" s="3"/>
      <c r="AZ134" s="3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</row>
    <row r="135" spans="1:158" x14ac:dyDescent="0.2">
      <c r="A135" s="1" t="s">
        <v>28</v>
      </c>
      <c r="B135" s="1" t="s">
        <v>283</v>
      </c>
      <c r="C135" s="1" t="s">
        <v>284</v>
      </c>
      <c r="D135" s="12">
        <v>125099.97</v>
      </c>
      <c r="E135" s="2">
        <v>43758.41</v>
      </c>
      <c r="F135" s="2">
        <v>7297.09</v>
      </c>
      <c r="G135" s="2">
        <v>1561.95</v>
      </c>
      <c r="H135" s="2">
        <v>15379.36</v>
      </c>
      <c r="I135" s="2">
        <v>24999.279999999999</v>
      </c>
      <c r="J135" s="2">
        <v>23264.48</v>
      </c>
      <c r="K135" s="2">
        <v>8839.4</v>
      </c>
      <c r="L135" s="3"/>
      <c r="M135" s="12">
        <v>145115.95000000001</v>
      </c>
      <c r="N135" s="2">
        <v>50759.76</v>
      </c>
      <c r="O135" s="2">
        <v>8464.6200000000008</v>
      </c>
      <c r="P135" s="2">
        <v>1811.86</v>
      </c>
      <c r="Q135" s="2">
        <v>17840.05</v>
      </c>
      <c r="R135" s="2">
        <v>28999.16</v>
      </c>
      <c r="S135" s="2">
        <v>26986.799999999999</v>
      </c>
      <c r="T135" s="2">
        <v>10253.700000000001</v>
      </c>
      <c r="U135" s="3"/>
      <c r="V135" s="3"/>
      <c r="W135" s="3"/>
      <c r="X135" s="3"/>
      <c r="Y135" s="3"/>
      <c r="Z135" s="13">
        <v>790</v>
      </c>
      <c r="AA135" s="4">
        <v>285</v>
      </c>
      <c r="AB135" s="4">
        <v>46</v>
      </c>
      <c r="AC135" s="4">
        <v>10</v>
      </c>
      <c r="AD135" s="4">
        <v>98</v>
      </c>
      <c r="AE135" s="4">
        <v>156</v>
      </c>
      <c r="AF135" s="4">
        <v>146</v>
      </c>
      <c r="AG135" s="4">
        <v>49</v>
      </c>
      <c r="AH135" s="3"/>
      <c r="AI135" s="12">
        <v>158.35439240506329</v>
      </c>
      <c r="AJ135" s="2">
        <v>153.53828070175439</v>
      </c>
      <c r="AK135" s="2">
        <v>158.63239130434783</v>
      </c>
      <c r="AL135" s="2">
        <v>156.19499999999999</v>
      </c>
      <c r="AM135" s="2">
        <v>156.93224489795918</v>
      </c>
      <c r="AN135" s="2">
        <v>160.25179487179486</v>
      </c>
      <c r="AO135" s="2">
        <v>159.34575342465752</v>
      </c>
      <c r="AP135" s="2">
        <v>180.39591836734695</v>
      </c>
      <c r="AQ135" s="3"/>
      <c r="AR135" s="13">
        <v>30</v>
      </c>
      <c r="AS135" s="4">
        <v>2</v>
      </c>
      <c r="AT135" s="3"/>
      <c r="AU135" s="3"/>
      <c r="AV135" s="3"/>
      <c r="AW135" s="3"/>
      <c r="AX135" s="3"/>
      <c r="AY135" s="4">
        <v>28</v>
      </c>
      <c r="AZ135" s="3"/>
    </row>
    <row r="136" spans="1:158" s="41" customFormat="1" x14ac:dyDescent="0.2">
      <c r="A136" s="1" t="s">
        <v>28</v>
      </c>
      <c r="B136" s="1" t="s">
        <v>285</v>
      </c>
      <c r="C136" s="1" t="s">
        <v>286</v>
      </c>
      <c r="D136" s="12">
        <v>9096.19</v>
      </c>
      <c r="E136" s="2">
        <v>5350.63</v>
      </c>
      <c r="F136" s="2">
        <v>324.57</v>
      </c>
      <c r="G136" s="2">
        <v>1346.76</v>
      </c>
      <c r="H136" s="2">
        <v>2074.23</v>
      </c>
      <c r="I136" s="3"/>
      <c r="J136" s="3"/>
      <c r="K136" s="3"/>
      <c r="L136" s="3"/>
      <c r="M136" s="12">
        <v>10551.58</v>
      </c>
      <c r="N136" s="2">
        <v>6206.73</v>
      </c>
      <c r="O136" s="2">
        <v>376.5</v>
      </c>
      <c r="P136" s="2">
        <v>1562.24</v>
      </c>
      <c r="Q136" s="2">
        <v>2406.11</v>
      </c>
      <c r="R136" s="3"/>
      <c r="S136" s="3"/>
      <c r="T136" s="3"/>
      <c r="U136" s="3"/>
      <c r="V136" s="3"/>
      <c r="W136" s="3"/>
      <c r="X136" s="3"/>
      <c r="Y136" s="3"/>
      <c r="Z136" s="17"/>
      <c r="AA136" s="3"/>
      <c r="AB136" s="3"/>
      <c r="AC136" s="3"/>
      <c r="AD136" s="3"/>
      <c r="AE136" s="3"/>
      <c r="AF136" s="3"/>
      <c r="AG136" s="3"/>
      <c r="AH136" s="3"/>
      <c r="AI136" s="16" t="s">
        <v>33</v>
      </c>
      <c r="AJ136" s="5" t="s">
        <v>33</v>
      </c>
      <c r="AK136" s="5" t="s">
        <v>33</v>
      </c>
      <c r="AL136" s="5" t="s">
        <v>33</v>
      </c>
      <c r="AM136" s="5" t="s">
        <v>33</v>
      </c>
      <c r="AN136" s="3"/>
      <c r="AO136" s="3"/>
      <c r="AP136" s="3"/>
      <c r="AQ136" s="3"/>
      <c r="AR136" s="13">
        <v>224</v>
      </c>
      <c r="AS136" s="4">
        <v>154</v>
      </c>
      <c r="AT136" s="4">
        <v>-6</v>
      </c>
      <c r="AU136" s="4">
        <v>24</v>
      </c>
      <c r="AV136" s="4">
        <v>52</v>
      </c>
      <c r="AW136" s="3"/>
      <c r="AX136" s="3"/>
      <c r="AY136" s="3"/>
      <c r="AZ136" s="3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</row>
    <row r="137" spans="1:158" x14ac:dyDescent="0.2">
      <c r="A137" s="1" t="s">
        <v>28</v>
      </c>
      <c r="B137" s="1" t="s">
        <v>287</v>
      </c>
      <c r="C137" s="1" t="s">
        <v>288</v>
      </c>
      <c r="D137" s="12">
        <v>249187.09</v>
      </c>
      <c r="E137" s="2">
        <v>207844.51</v>
      </c>
      <c r="F137" s="2">
        <v>41342.58</v>
      </c>
      <c r="G137" s="3"/>
      <c r="H137" s="3"/>
      <c r="I137" s="3"/>
      <c r="J137" s="3"/>
      <c r="K137" s="3"/>
      <c r="L137" s="3"/>
      <c r="M137" s="12">
        <v>289057.02</v>
      </c>
      <c r="N137" s="2">
        <v>241099.63</v>
      </c>
      <c r="O137" s="2">
        <v>47957.39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3">
        <v>1485</v>
      </c>
      <c r="AA137" s="4">
        <v>1228</v>
      </c>
      <c r="AB137" s="4">
        <v>257</v>
      </c>
      <c r="AC137" s="3"/>
      <c r="AD137" s="3"/>
      <c r="AE137" s="3"/>
      <c r="AF137" s="3"/>
      <c r="AG137" s="3"/>
      <c r="AH137" s="3"/>
      <c r="AI137" s="12">
        <v>167.80275420875421</v>
      </c>
      <c r="AJ137" s="2">
        <v>169.25448697068404</v>
      </c>
      <c r="AK137" s="2">
        <v>160.86607003891052</v>
      </c>
      <c r="AL137" s="3"/>
      <c r="AM137" s="3"/>
      <c r="AN137" s="3"/>
      <c r="AO137" s="3"/>
      <c r="AP137" s="3"/>
      <c r="AQ137" s="3"/>
      <c r="AR137" s="13">
        <v>6866</v>
      </c>
      <c r="AS137" s="4">
        <v>6052</v>
      </c>
      <c r="AT137" s="4">
        <v>814</v>
      </c>
      <c r="AU137" s="3"/>
      <c r="AV137" s="3"/>
      <c r="AW137" s="3"/>
      <c r="AX137" s="3"/>
      <c r="AY137" s="3"/>
      <c r="AZ137" s="3"/>
    </row>
    <row r="138" spans="1:158" x14ac:dyDescent="0.2">
      <c r="A138" s="1" t="s">
        <v>28</v>
      </c>
      <c r="B138" s="1" t="s">
        <v>289</v>
      </c>
      <c r="C138" s="1" t="s">
        <v>290</v>
      </c>
      <c r="D138" s="12">
        <v>32362.03</v>
      </c>
      <c r="E138" s="2">
        <v>20669.64</v>
      </c>
      <c r="F138" s="3"/>
      <c r="G138" s="2">
        <v>4718.0200000000004</v>
      </c>
      <c r="H138" s="2">
        <v>6974.37</v>
      </c>
      <c r="I138" s="3"/>
      <c r="J138" s="3"/>
      <c r="K138" s="3"/>
      <c r="L138" s="3"/>
      <c r="M138" s="12">
        <v>33492.629999999997</v>
      </c>
      <c r="N138" s="2">
        <v>21417.41</v>
      </c>
      <c r="O138" s="3"/>
      <c r="P138" s="2">
        <v>4892.12</v>
      </c>
      <c r="Q138" s="2">
        <v>7183.1</v>
      </c>
      <c r="R138" s="3"/>
      <c r="S138" s="3"/>
      <c r="T138" s="3"/>
      <c r="U138" s="3"/>
      <c r="V138" s="3"/>
      <c r="W138" s="3"/>
      <c r="X138" s="3"/>
      <c r="Y138" s="3"/>
      <c r="Z138" s="13">
        <v>104</v>
      </c>
      <c r="AA138" s="4">
        <v>68</v>
      </c>
      <c r="AB138" s="3"/>
      <c r="AC138" s="4">
        <v>14</v>
      </c>
      <c r="AD138" s="4">
        <v>22</v>
      </c>
      <c r="AE138" s="3"/>
      <c r="AF138" s="3"/>
      <c r="AG138" s="3"/>
      <c r="AH138" s="3"/>
      <c r="AI138" s="12">
        <v>311.17336538461541</v>
      </c>
      <c r="AJ138" s="2">
        <v>303.96529411764703</v>
      </c>
      <c r="AK138" s="3"/>
      <c r="AL138" s="2">
        <v>337.00142857142856</v>
      </c>
      <c r="AM138" s="2">
        <v>317.01681818181817</v>
      </c>
      <c r="AN138" s="3"/>
      <c r="AO138" s="3"/>
      <c r="AP138" s="3"/>
      <c r="AQ138" s="3"/>
      <c r="AR138" s="13">
        <v>361.8</v>
      </c>
      <c r="AS138" s="4">
        <v>231</v>
      </c>
      <c r="AT138" s="3"/>
      <c r="AU138" s="4">
        <v>71.2</v>
      </c>
      <c r="AV138" s="4">
        <v>59.6</v>
      </c>
      <c r="AW138" s="3"/>
      <c r="AX138" s="3"/>
      <c r="AY138" s="3"/>
      <c r="AZ138" s="3"/>
    </row>
    <row r="139" spans="1:158" x14ac:dyDescent="0.2">
      <c r="A139" s="43" t="s">
        <v>28</v>
      </c>
      <c r="B139" s="43" t="s">
        <v>291</v>
      </c>
      <c r="C139" s="43" t="s">
        <v>292</v>
      </c>
      <c r="D139" s="44">
        <v>28108.92</v>
      </c>
      <c r="E139" s="45">
        <v>20.62</v>
      </c>
      <c r="F139" s="45">
        <v>1934.31</v>
      </c>
      <c r="G139" s="45">
        <v>3042.42</v>
      </c>
      <c r="H139" s="45">
        <v>16605.810000000001</v>
      </c>
      <c r="I139" s="45">
        <v>4053.63</v>
      </c>
      <c r="J139" s="45">
        <v>303.01</v>
      </c>
      <c r="K139" s="45">
        <v>2149.12</v>
      </c>
      <c r="L139" s="46"/>
      <c r="M139" s="44">
        <v>32606.35</v>
      </c>
      <c r="N139" s="45">
        <v>23.92</v>
      </c>
      <c r="O139" s="45">
        <v>2243.8000000000002</v>
      </c>
      <c r="P139" s="45">
        <v>3529.21</v>
      </c>
      <c r="Q139" s="45">
        <v>19262.740000000002</v>
      </c>
      <c r="R139" s="45">
        <v>4702.21</v>
      </c>
      <c r="S139" s="45">
        <v>351.49</v>
      </c>
      <c r="T139" s="45">
        <v>2492.98</v>
      </c>
      <c r="U139" s="46"/>
      <c r="V139" s="46"/>
      <c r="W139" s="46"/>
      <c r="X139" s="46"/>
      <c r="Y139" s="46"/>
      <c r="Z139" s="50">
        <v>60</v>
      </c>
      <c r="AA139" s="46"/>
      <c r="AB139" s="46"/>
      <c r="AC139" s="46"/>
      <c r="AD139" s="51">
        <v>60</v>
      </c>
      <c r="AE139" s="46"/>
      <c r="AF139" s="46"/>
      <c r="AG139" s="46"/>
      <c r="AH139" s="46"/>
      <c r="AI139" s="44">
        <v>468.48200000000003</v>
      </c>
      <c r="AJ139" s="47" t="s">
        <v>33</v>
      </c>
      <c r="AK139" s="47" t="s">
        <v>33</v>
      </c>
      <c r="AL139" s="47" t="s">
        <v>33</v>
      </c>
      <c r="AM139" s="45">
        <v>276.76350000000002</v>
      </c>
      <c r="AN139" s="47" t="s">
        <v>33</v>
      </c>
      <c r="AO139" s="47" t="s">
        <v>33</v>
      </c>
      <c r="AP139" s="47" t="s">
        <v>33</v>
      </c>
      <c r="AQ139" s="46"/>
      <c r="AR139" s="50">
        <v>1256</v>
      </c>
      <c r="AS139" s="51">
        <v>4</v>
      </c>
      <c r="AT139" s="51">
        <v>218</v>
      </c>
      <c r="AU139" s="51">
        <v>326</v>
      </c>
      <c r="AV139" s="51">
        <v>88</v>
      </c>
      <c r="AW139" s="51">
        <v>326</v>
      </c>
      <c r="AX139" s="51">
        <v>60</v>
      </c>
      <c r="AY139" s="51">
        <v>234</v>
      </c>
      <c r="AZ139" s="46"/>
    </row>
    <row r="140" spans="1:158" s="41" customFormat="1" x14ac:dyDescent="0.2">
      <c r="A140" s="1" t="s">
        <v>28</v>
      </c>
      <c r="B140" s="1" t="s">
        <v>293</v>
      </c>
      <c r="C140" s="1" t="s">
        <v>294</v>
      </c>
      <c r="D140" s="12">
        <v>26590.560000000001</v>
      </c>
      <c r="E140" s="2">
        <v>987.02</v>
      </c>
      <c r="F140" s="2">
        <v>5051.6099999999997</v>
      </c>
      <c r="G140" s="2">
        <v>3276.81</v>
      </c>
      <c r="H140" s="2">
        <v>6758.26</v>
      </c>
      <c r="I140" s="2">
        <v>908.23</v>
      </c>
      <c r="J140" s="2">
        <v>6612.42</v>
      </c>
      <c r="K140" s="2">
        <v>2996.21</v>
      </c>
      <c r="L140" s="3"/>
      <c r="M140" s="12">
        <v>30845.05</v>
      </c>
      <c r="N140" s="2">
        <v>1144.94</v>
      </c>
      <c r="O140" s="2">
        <v>5859.87</v>
      </c>
      <c r="P140" s="2">
        <v>3801.1</v>
      </c>
      <c r="Q140" s="2">
        <v>7839.58</v>
      </c>
      <c r="R140" s="2">
        <v>1053.55</v>
      </c>
      <c r="S140" s="2">
        <v>7670.41</v>
      </c>
      <c r="T140" s="2">
        <v>3475.6</v>
      </c>
      <c r="U140" s="3"/>
      <c r="V140" s="3"/>
      <c r="W140" s="3"/>
      <c r="X140" s="3"/>
      <c r="Y140" s="3"/>
      <c r="Z140" s="17"/>
      <c r="AA140" s="3"/>
      <c r="AB140" s="3"/>
      <c r="AC140" s="3"/>
      <c r="AD140" s="3"/>
      <c r="AE140" s="3"/>
      <c r="AF140" s="3"/>
      <c r="AG140" s="3"/>
      <c r="AH140" s="3"/>
      <c r="AI140" s="16" t="s">
        <v>33</v>
      </c>
      <c r="AJ140" s="5" t="s">
        <v>33</v>
      </c>
      <c r="AK140" s="5" t="s">
        <v>33</v>
      </c>
      <c r="AL140" s="5" t="s">
        <v>33</v>
      </c>
      <c r="AM140" s="5" t="s">
        <v>33</v>
      </c>
      <c r="AN140" s="5" t="s">
        <v>33</v>
      </c>
      <c r="AO140" s="5" t="s">
        <v>33</v>
      </c>
      <c r="AP140" s="5" t="s">
        <v>33</v>
      </c>
      <c r="AQ140" s="3"/>
      <c r="AR140" s="13">
        <v>1102</v>
      </c>
      <c r="AS140" s="4">
        <v>34</v>
      </c>
      <c r="AT140" s="4">
        <v>186</v>
      </c>
      <c r="AU140" s="4">
        <v>136</v>
      </c>
      <c r="AV140" s="4">
        <v>270</v>
      </c>
      <c r="AW140" s="4">
        <v>38</v>
      </c>
      <c r="AX140" s="4">
        <v>266</v>
      </c>
      <c r="AY140" s="4">
        <v>172</v>
      </c>
      <c r="AZ140" s="3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</row>
    <row r="141" spans="1:158" x14ac:dyDescent="0.2">
      <c r="A141" s="33" t="s">
        <v>28</v>
      </c>
      <c r="B141" s="33" t="s">
        <v>295</v>
      </c>
      <c r="C141" s="33" t="s">
        <v>296</v>
      </c>
      <c r="D141" s="34">
        <v>2185.23</v>
      </c>
      <c r="E141" s="36">
        <v>2185.23</v>
      </c>
      <c r="F141" s="35"/>
      <c r="G141" s="35"/>
      <c r="H141" s="35"/>
      <c r="I141" s="35"/>
      <c r="J141" s="35"/>
      <c r="K141" s="35"/>
      <c r="L141" s="35"/>
      <c r="M141" s="34">
        <v>2534.87</v>
      </c>
      <c r="N141" s="36">
        <v>2534.87</v>
      </c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42"/>
      <c r="AA141" s="35"/>
      <c r="AB141" s="35"/>
      <c r="AC141" s="35"/>
      <c r="AD141" s="35"/>
      <c r="AE141" s="35"/>
      <c r="AF141" s="35"/>
      <c r="AG141" s="35"/>
      <c r="AH141" s="35"/>
      <c r="AI141" s="37" t="s">
        <v>33</v>
      </c>
      <c r="AJ141" s="38" t="s">
        <v>33</v>
      </c>
      <c r="AK141" s="35"/>
      <c r="AL141" s="35"/>
      <c r="AM141" s="35"/>
      <c r="AN141" s="35"/>
      <c r="AO141" s="35"/>
      <c r="AP141" s="35"/>
      <c r="AQ141" s="35"/>
      <c r="AR141" s="39">
        <v>46</v>
      </c>
      <c r="AS141" s="40">
        <v>46</v>
      </c>
      <c r="AT141" s="35"/>
      <c r="AU141" s="35"/>
      <c r="AV141" s="35"/>
      <c r="AW141" s="35"/>
      <c r="AX141" s="35"/>
      <c r="AY141" s="35"/>
      <c r="AZ141" s="35"/>
    </row>
    <row r="142" spans="1:158" s="41" customFormat="1" x14ac:dyDescent="0.2">
      <c r="A142" s="1" t="s">
        <v>28</v>
      </c>
      <c r="B142" s="1" t="s">
        <v>297</v>
      </c>
      <c r="C142" s="1" t="s">
        <v>298</v>
      </c>
      <c r="D142" s="12">
        <v>18360.939999999999</v>
      </c>
      <c r="E142" s="2">
        <v>402.64</v>
      </c>
      <c r="F142" s="2">
        <v>68.040000000000006</v>
      </c>
      <c r="G142" s="2">
        <v>568.25</v>
      </c>
      <c r="H142" s="2">
        <v>988.19</v>
      </c>
      <c r="I142" s="2">
        <v>15747.66</v>
      </c>
      <c r="J142" s="2">
        <v>586.16</v>
      </c>
      <c r="K142" s="3"/>
      <c r="L142" s="3"/>
      <c r="M142" s="12">
        <v>21298.7</v>
      </c>
      <c r="N142" s="2">
        <v>467.06</v>
      </c>
      <c r="O142" s="2">
        <v>78.930000000000007</v>
      </c>
      <c r="P142" s="2">
        <v>659.17</v>
      </c>
      <c r="Q142" s="2">
        <v>1146.3</v>
      </c>
      <c r="R142" s="2">
        <v>18267.29</v>
      </c>
      <c r="S142" s="2">
        <v>679.95</v>
      </c>
      <c r="T142" s="3"/>
      <c r="U142" s="3"/>
      <c r="V142" s="3"/>
      <c r="W142" s="3"/>
      <c r="X142" s="3"/>
      <c r="Y142" s="3"/>
      <c r="Z142" s="13">
        <v>50</v>
      </c>
      <c r="AA142" s="3"/>
      <c r="AB142" s="3"/>
      <c r="AC142" s="3"/>
      <c r="AD142" s="3"/>
      <c r="AE142" s="4">
        <v>50</v>
      </c>
      <c r="AF142" s="3"/>
      <c r="AG142" s="3"/>
      <c r="AH142" s="3"/>
      <c r="AI142" s="12">
        <v>367.21879999999999</v>
      </c>
      <c r="AJ142" s="5" t="s">
        <v>33</v>
      </c>
      <c r="AK142" s="5" t="s">
        <v>33</v>
      </c>
      <c r="AL142" s="5" t="s">
        <v>33</v>
      </c>
      <c r="AM142" s="5" t="s">
        <v>33</v>
      </c>
      <c r="AN142" s="2">
        <v>314.95319999999998</v>
      </c>
      <c r="AO142" s="5" t="s">
        <v>33</v>
      </c>
      <c r="AP142" s="3"/>
      <c r="AQ142" s="3"/>
      <c r="AR142" s="13">
        <v>108</v>
      </c>
      <c r="AS142" s="4">
        <v>16</v>
      </c>
      <c r="AT142" s="4">
        <v>4</v>
      </c>
      <c r="AU142" s="4">
        <v>10</v>
      </c>
      <c r="AV142" s="4">
        <v>34</v>
      </c>
      <c r="AW142" s="4">
        <v>22</v>
      </c>
      <c r="AX142" s="4">
        <v>22</v>
      </c>
      <c r="AY142" s="3"/>
      <c r="AZ142" s="3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</row>
    <row r="143" spans="1:158" x14ac:dyDescent="0.2">
      <c r="A143" s="1" t="s">
        <v>28</v>
      </c>
      <c r="B143" s="1" t="s">
        <v>299</v>
      </c>
      <c r="C143" s="1" t="s">
        <v>300</v>
      </c>
      <c r="D143" s="12">
        <v>8491.3799999999992</v>
      </c>
      <c r="E143" s="2">
        <v>680.27</v>
      </c>
      <c r="F143" s="2">
        <v>432.11</v>
      </c>
      <c r="G143" s="2">
        <v>628.45000000000005</v>
      </c>
      <c r="H143" s="2">
        <v>194.15</v>
      </c>
      <c r="I143" s="2">
        <v>1171.33</v>
      </c>
      <c r="J143" s="2">
        <v>1903.43</v>
      </c>
      <c r="K143" s="2">
        <v>3481.64</v>
      </c>
      <c r="L143" s="3"/>
      <c r="M143" s="12">
        <v>9849.99</v>
      </c>
      <c r="N143" s="2">
        <v>789.11</v>
      </c>
      <c r="O143" s="2">
        <v>501.25</v>
      </c>
      <c r="P143" s="2">
        <v>729</v>
      </c>
      <c r="Q143" s="2">
        <v>225.21</v>
      </c>
      <c r="R143" s="2">
        <v>1358.74</v>
      </c>
      <c r="S143" s="2">
        <v>2207.98</v>
      </c>
      <c r="T143" s="2">
        <v>4038.7</v>
      </c>
      <c r="U143" s="3"/>
      <c r="V143" s="3"/>
      <c r="W143" s="3"/>
      <c r="X143" s="3"/>
      <c r="Y143" s="3"/>
      <c r="Z143" s="17"/>
      <c r="AA143" s="3"/>
      <c r="AB143" s="3"/>
      <c r="AC143" s="3"/>
      <c r="AD143" s="3"/>
      <c r="AE143" s="3"/>
      <c r="AF143" s="3"/>
      <c r="AG143" s="3"/>
      <c r="AH143" s="3"/>
      <c r="AI143" s="16" t="s">
        <v>33</v>
      </c>
      <c r="AJ143" s="5" t="s">
        <v>33</v>
      </c>
      <c r="AK143" s="5" t="s">
        <v>33</v>
      </c>
      <c r="AL143" s="5" t="s">
        <v>33</v>
      </c>
      <c r="AM143" s="5" t="s">
        <v>33</v>
      </c>
      <c r="AN143" s="5" t="s">
        <v>33</v>
      </c>
      <c r="AO143" s="5" t="s">
        <v>33</v>
      </c>
      <c r="AP143" s="5" t="s">
        <v>33</v>
      </c>
      <c r="AQ143" s="3"/>
      <c r="AR143" s="13">
        <v>262</v>
      </c>
      <c r="AS143" s="4">
        <v>20</v>
      </c>
      <c r="AT143" s="4">
        <v>14</v>
      </c>
      <c r="AU143" s="4">
        <v>20</v>
      </c>
      <c r="AV143" s="4">
        <v>6</v>
      </c>
      <c r="AW143" s="4">
        <v>36</v>
      </c>
      <c r="AX143" s="4">
        <v>58</v>
      </c>
      <c r="AY143" s="4">
        <v>108</v>
      </c>
      <c r="AZ143" s="3"/>
    </row>
    <row r="144" spans="1:158" x14ac:dyDescent="0.2">
      <c r="A144" s="1" t="s">
        <v>28</v>
      </c>
      <c r="B144" s="1" t="s">
        <v>301</v>
      </c>
      <c r="C144" s="1" t="s">
        <v>302</v>
      </c>
      <c r="D144" s="12">
        <v>26655.1</v>
      </c>
      <c r="E144" s="2">
        <v>26024.93</v>
      </c>
      <c r="F144" s="2">
        <v>538.82000000000005</v>
      </c>
      <c r="G144" s="3"/>
      <c r="H144" s="2">
        <v>18.690000000000001</v>
      </c>
      <c r="I144" s="2">
        <v>72.66</v>
      </c>
      <c r="J144" s="3"/>
      <c r="K144" s="3"/>
      <c r="L144" s="3"/>
      <c r="M144" s="12">
        <v>30919.919999999998</v>
      </c>
      <c r="N144" s="2">
        <v>30188.92</v>
      </c>
      <c r="O144" s="2">
        <v>625.03</v>
      </c>
      <c r="P144" s="3"/>
      <c r="Q144" s="2">
        <v>21.68</v>
      </c>
      <c r="R144" s="2">
        <v>84.29</v>
      </c>
      <c r="S144" s="3"/>
      <c r="T144" s="3"/>
      <c r="U144" s="3"/>
      <c r="V144" s="3"/>
      <c r="W144" s="3"/>
      <c r="X144" s="3"/>
      <c r="Y144" s="3"/>
      <c r="Z144" s="17"/>
      <c r="AA144" s="3"/>
      <c r="AB144" s="3"/>
      <c r="AC144" s="3"/>
      <c r="AD144" s="3"/>
      <c r="AE144" s="3"/>
      <c r="AF144" s="3"/>
      <c r="AG144" s="3"/>
      <c r="AH144" s="3"/>
      <c r="AI144" s="16" t="s">
        <v>33</v>
      </c>
      <c r="AJ144" s="5" t="s">
        <v>33</v>
      </c>
      <c r="AK144" s="5" t="s">
        <v>33</v>
      </c>
      <c r="AL144" s="3"/>
      <c r="AM144" s="5" t="s">
        <v>33</v>
      </c>
      <c r="AN144" s="5" t="s">
        <v>33</v>
      </c>
      <c r="AO144" s="3"/>
      <c r="AP144" s="3"/>
      <c r="AQ144" s="3"/>
      <c r="AR144" s="13">
        <v>2400</v>
      </c>
      <c r="AS144" s="4">
        <v>2326</v>
      </c>
      <c r="AT144" s="4">
        <v>58</v>
      </c>
      <c r="AU144" s="3"/>
      <c r="AV144" s="4">
        <v>2</v>
      </c>
      <c r="AW144" s="4">
        <v>14</v>
      </c>
      <c r="AX144" s="3"/>
      <c r="AY144" s="3"/>
      <c r="AZ144" s="3"/>
    </row>
    <row r="145" spans="1:158" s="29" customFormat="1" x14ac:dyDescent="0.2">
      <c r="A145" s="33" t="s">
        <v>28</v>
      </c>
      <c r="B145" s="33" t="s">
        <v>303</v>
      </c>
      <c r="C145" s="33" t="s">
        <v>304</v>
      </c>
      <c r="D145" s="34">
        <v>7963.93</v>
      </c>
      <c r="E145" s="36">
        <v>4923.8</v>
      </c>
      <c r="F145" s="35"/>
      <c r="G145" s="35"/>
      <c r="H145" s="36">
        <v>276.52999999999997</v>
      </c>
      <c r="I145" s="35"/>
      <c r="J145" s="35"/>
      <c r="K145" s="35"/>
      <c r="L145" s="36">
        <v>2763.6</v>
      </c>
      <c r="M145" s="34">
        <v>8008.17</v>
      </c>
      <c r="N145" s="36">
        <v>4923.8</v>
      </c>
      <c r="O145" s="35"/>
      <c r="P145" s="35"/>
      <c r="Q145" s="36">
        <v>320.77</v>
      </c>
      <c r="R145" s="35"/>
      <c r="S145" s="35"/>
      <c r="T145" s="35"/>
      <c r="U145" s="36">
        <v>2763.6</v>
      </c>
      <c r="V145" s="36"/>
      <c r="W145" s="36"/>
      <c r="X145" s="36"/>
      <c r="Y145" s="36"/>
      <c r="Z145" s="39">
        <v>4</v>
      </c>
      <c r="AA145" s="40">
        <v>1</v>
      </c>
      <c r="AB145" s="35"/>
      <c r="AC145" s="35"/>
      <c r="AD145" s="40">
        <v>1</v>
      </c>
      <c r="AE145" s="35"/>
      <c r="AF145" s="35"/>
      <c r="AG145" s="35"/>
      <c r="AH145" s="40">
        <v>2</v>
      </c>
      <c r="AI145" s="34">
        <v>1990.9825000000001</v>
      </c>
      <c r="AJ145" s="36">
        <v>4923.8</v>
      </c>
      <c r="AK145" s="35"/>
      <c r="AL145" s="35"/>
      <c r="AM145" s="36">
        <v>276.52999999999997</v>
      </c>
      <c r="AN145" s="35"/>
      <c r="AO145" s="35"/>
      <c r="AP145" s="35"/>
      <c r="AQ145" s="36">
        <v>1381.8</v>
      </c>
      <c r="AR145" s="42"/>
      <c r="AS145" s="35"/>
      <c r="AT145" s="35"/>
      <c r="AU145" s="35"/>
      <c r="AV145" s="35"/>
      <c r="AW145" s="35"/>
      <c r="AX145" s="35"/>
      <c r="AY145" s="35"/>
      <c r="AZ145" s="3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</row>
    <row r="146" spans="1:158" x14ac:dyDescent="0.2">
      <c r="A146" s="1" t="s">
        <v>28</v>
      </c>
      <c r="B146" s="1" t="s">
        <v>305</v>
      </c>
      <c r="C146" s="1" t="s">
        <v>306</v>
      </c>
      <c r="D146" s="12">
        <v>-1441891.92</v>
      </c>
      <c r="E146" s="3"/>
      <c r="F146" s="3"/>
      <c r="G146" s="3"/>
      <c r="H146" s="3"/>
      <c r="I146" s="3"/>
      <c r="J146" s="2">
        <v>-1420011.73</v>
      </c>
      <c r="K146" s="2">
        <v>-21880.19</v>
      </c>
      <c r="L146" s="3"/>
      <c r="M146" s="12">
        <v>-1672594.63</v>
      </c>
      <c r="N146" s="3"/>
      <c r="O146" s="3"/>
      <c r="P146" s="3"/>
      <c r="Q146" s="3"/>
      <c r="R146" s="3"/>
      <c r="S146" s="2">
        <v>-1647213.61</v>
      </c>
      <c r="T146" s="2">
        <v>-25381.02</v>
      </c>
      <c r="U146" s="3"/>
      <c r="V146" s="3"/>
      <c r="W146" s="3"/>
      <c r="X146" s="3"/>
      <c r="Y146" s="3"/>
      <c r="Z146" s="13">
        <v>-18659</v>
      </c>
      <c r="AA146" s="3"/>
      <c r="AB146" s="3"/>
      <c r="AC146" s="3"/>
      <c r="AD146" s="3"/>
      <c r="AE146" s="3"/>
      <c r="AF146" s="4">
        <v>-18425</v>
      </c>
      <c r="AG146" s="4">
        <v>-234</v>
      </c>
      <c r="AH146" s="3"/>
      <c r="AI146" s="12">
        <v>77.275948335923687</v>
      </c>
      <c r="AJ146" s="3"/>
      <c r="AK146" s="3"/>
      <c r="AL146" s="3"/>
      <c r="AM146" s="3"/>
      <c r="AN146" s="3"/>
      <c r="AO146" s="2">
        <v>77.069836092265945</v>
      </c>
      <c r="AP146" s="2">
        <v>93.505085470085476</v>
      </c>
      <c r="AQ146" s="3"/>
      <c r="AR146" s="17"/>
      <c r="AS146" s="3"/>
      <c r="AT146" s="3"/>
      <c r="AU146" s="3"/>
      <c r="AV146" s="3"/>
      <c r="AW146" s="3"/>
      <c r="AX146" s="3"/>
      <c r="AY146" s="3"/>
      <c r="AZ146" s="3"/>
    </row>
    <row r="147" spans="1:158" s="41" customFormat="1" x14ac:dyDescent="0.2">
      <c r="A147" s="33" t="s">
        <v>28</v>
      </c>
      <c r="B147" s="33" t="s">
        <v>307</v>
      </c>
      <c r="C147" s="33" t="s">
        <v>308</v>
      </c>
      <c r="D147" s="34">
        <v>50.33</v>
      </c>
      <c r="E147" s="36">
        <v>50.33</v>
      </c>
      <c r="F147" s="35"/>
      <c r="G147" s="35"/>
      <c r="H147" s="35"/>
      <c r="I147" s="35"/>
      <c r="J147" s="35"/>
      <c r="K147" s="35"/>
      <c r="L147" s="35"/>
      <c r="M147" s="34">
        <v>58.38</v>
      </c>
      <c r="N147" s="36">
        <v>58.38</v>
      </c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42"/>
      <c r="AA147" s="35"/>
      <c r="AB147" s="35"/>
      <c r="AC147" s="35"/>
      <c r="AD147" s="35"/>
      <c r="AE147" s="35"/>
      <c r="AF147" s="35"/>
      <c r="AG147" s="35"/>
      <c r="AH147" s="35"/>
      <c r="AI147" s="37" t="s">
        <v>33</v>
      </c>
      <c r="AJ147" s="38" t="s">
        <v>33</v>
      </c>
      <c r="AK147" s="35"/>
      <c r="AL147" s="35"/>
      <c r="AM147" s="35"/>
      <c r="AN147" s="35"/>
      <c r="AO147" s="35"/>
      <c r="AP147" s="35"/>
      <c r="AQ147" s="35"/>
      <c r="AR147" s="39">
        <v>2</v>
      </c>
      <c r="AS147" s="40">
        <v>2</v>
      </c>
      <c r="AT147" s="35"/>
      <c r="AU147" s="35"/>
      <c r="AV147" s="35"/>
      <c r="AW147" s="35"/>
      <c r="AX147" s="35"/>
      <c r="AY147" s="35"/>
      <c r="AZ147" s="35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</row>
    <row r="148" spans="1:158" s="41" customFormat="1" x14ac:dyDescent="0.2">
      <c r="A148" s="1" t="s">
        <v>28</v>
      </c>
      <c r="B148" s="1" t="s">
        <v>309</v>
      </c>
      <c r="C148" s="1" t="s">
        <v>310</v>
      </c>
      <c r="D148" s="12">
        <v>38466.620000000003</v>
      </c>
      <c r="E148" s="3"/>
      <c r="F148" s="3"/>
      <c r="G148" s="3"/>
      <c r="H148" s="3"/>
      <c r="I148" s="2">
        <v>27742.48</v>
      </c>
      <c r="J148" s="2">
        <v>10724.14</v>
      </c>
      <c r="K148" s="3"/>
      <c r="L148" s="3"/>
      <c r="M148" s="12">
        <v>44621.279999999999</v>
      </c>
      <c r="N148" s="3"/>
      <c r="O148" s="3"/>
      <c r="P148" s="3"/>
      <c r="Q148" s="3"/>
      <c r="R148" s="2">
        <v>32181.279999999999</v>
      </c>
      <c r="S148" s="2">
        <v>12440</v>
      </c>
      <c r="T148" s="3"/>
      <c r="U148" s="3"/>
      <c r="V148" s="3"/>
      <c r="W148" s="3"/>
      <c r="X148" s="3"/>
      <c r="Y148" s="3"/>
      <c r="Z148" s="13">
        <v>18</v>
      </c>
      <c r="AA148" s="3"/>
      <c r="AB148" s="3"/>
      <c r="AC148" s="3"/>
      <c r="AD148" s="3"/>
      <c r="AE148" s="4">
        <v>13</v>
      </c>
      <c r="AF148" s="4">
        <v>5</v>
      </c>
      <c r="AG148" s="3"/>
      <c r="AH148" s="3"/>
      <c r="AI148" s="12">
        <v>2137.0344444444445</v>
      </c>
      <c r="AJ148" s="3"/>
      <c r="AK148" s="3"/>
      <c r="AL148" s="3"/>
      <c r="AM148" s="3"/>
      <c r="AN148" s="2">
        <v>2134.0369230769229</v>
      </c>
      <c r="AO148" s="2">
        <v>2144.828</v>
      </c>
      <c r="AP148" s="3"/>
      <c r="AQ148" s="3"/>
      <c r="AR148" s="17"/>
      <c r="AS148" s="3"/>
      <c r="AT148" s="3"/>
      <c r="AU148" s="3"/>
      <c r="AV148" s="3"/>
      <c r="AW148" s="3"/>
      <c r="AX148" s="3"/>
      <c r="AY148" s="3"/>
      <c r="AZ148" s="3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</row>
    <row r="149" spans="1:158" x14ac:dyDescent="0.2">
      <c r="A149" s="1" t="s">
        <v>28</v>
      </c>
      <c r="B149" s="1" t="s">
        <v>311</v>
      </c>
      <c r="C149" s="1" t="s">
        <v>312</v>
      </c>
      <c r="D149" s="12">
        <v>26748.799999999999</v>
      </c>
      <c r="E149" s="2">
        <v>764.28</v>
      </c>
      <c r="F149" s="2">
        <v>12564.01</v>
      </c>
      <c r="G149" s="2">
        <v>853.99</v>
      </c>
      <c r="H149" s="2">
        <v>11262.79</v>
      </c>
      <c r="I149" s="2">
        <v>1303.73</v>
      </c>
      <c r="J149" s="3"/>
      <c r="K149" s="3"/>
      <c r="L149" s="3"/>
      <c r="M149" s="12">
        <v>31028.62</v>
      </c>
      <c r="N149" s="2">
        <v>886.56</v>
      </c>
      <c r="O149" s="2">
        <v>14574.26</v>
      </c>
      <c r="P149" s="2">
        <v>990.63</v>
      </c>
      <c r="Q149" s="2">
        <v>13064.84</v>
      </c>
      <c r="R149" s="2">
        <v>1512.33</v>
      </c>
      <c r="S149" s="3"/>
      <c r="T149" s="3"/>
      <c r="U149" s="3"/>
      <c r="V149" s="3"/>
      <c r="W149" s="3"/>
      <c r="X149" s="3"/>
      <c r="Y149" s="3"/>
      <c r="Z149" s="13">
        <v>100</v>
      </c>
      <c r="AA149" s="3"/>
      <c r="AB149" s="4">
        <v>50</v>
      </c>
      <c r="AC149" s="3"/>
      <c r="AD149" s="4">
        <v>50</v>
      </c>
      <c r="AE149" s="3"/>
      <c r="AF149" s="3"/>
      <c r="AG149" s="3"/>
      <c r="AH149" s="3"/>
      <c r="AI149" s="12">
        <v>267.488</v>
      </c>
      <c r="AJ149" s="5" t="s">
        <v>33</v>
      </c>
      <c r="AK149" s="2">
        <v>251.28020000000001</v>
      </c>
      <c r="AL149" s="5" t="s">
        <v>33</v>
      </c>
      <c r="AM149" s="2">
        <v>225.25579999999999</v>
      </c>
      <c r="AN149" s="5" t="s">
        <v>33</v>
      </c>
      <c r="AO149" s="3"/>
      <c r="AP149" s="3"/>
      <c r="AQ149" s="3"/>
      <c r="AR149" s="13">
        <v>376</v>
      </c>
      <c r="AS149" s="4">
        <v>48</v>
      </c>
      <c r="AT149" s="4">
        <v>166</v>
      </c>
      <c r="AU149" s="4">
        <v>44</v>
      </c>
      <c r="AV149" s="4">
        <v>62</v>
      </c>
      <c r="AW149" s="4">
        <v>56</v>
      </c>
      <c r="AX149" s="3"/>
      <c r="AY149" s="3"/>
      <c r="AZ149" s="3"/>
    </row>
    <row r="150" spans="1:158" x14ac:dyDescent="0.2">
      <c r="A150" s="23" t="s">
        <v>28</v>
      </c>
      <c r="B150" s="23" t="s">
        <v>313</v>
      </c>
      <c r="C150" s="23" t="s">
        <v>314</v>
      </c>
      <c r="D150" s="24">
        <v>78524.86</v>
      </c>
      <c r="E150" s="25">
        <v>35085.75</v>
      </c>
      <c r="F150" s="25">
        <v>17630.400000000001</v>
      </c>
      <c r="G150" s="25">
        <v>20827.38</v>
      </c>
      <c r="H150" s="25">
        <v>6950.52</v>
      </c>
      <c r="I150" s="26"/>
      <c r="J150" s="25">
        <v>-1969.19</v>
      </c>
      <c r="K150" s="26"/>
      <c r="L150" s="26"/>
      <c r="M150" s="24">
        <v>83191.69</v>
      </c>
      <c r="N150" s="25">
        <v>38230.32</v>
      </c>
      <c r="O150" s="25">
        <v>18250.05</v>
      </c>
      <c r="P150" s="25">
        <v>21707.49</v>
      </c>
      <c r="Q150" s="25">
        <v>7019.48</v>
      </c>
      <c r="R150" s="26"/>
      <c r="S150" s="25">
        <v>-2015.65</v>
      </c>
      <c r="T150" s="26"/>
      <c r="U150" s="26"/>
      <c r="V150" s="26"/>
      <c r="W150" s="26"/>
      <c r="X150" s="26"/>
      <c r="Y150" s="26"/>
      <c r="Z150" s="27">
        <v>135</v>
      </c>
      <c r="AA150" s="28">
        <v>102</v>
      </c>
      <c r="AB150" s="28">
        <v>28</v>
      </c>
      <c r="AC150" s="28">
        <v>22</v>
      </c>
      <c r="AD150" s="28">
        <v>-15</v>
      </c>
      <c r="AE150" s="26"/>
      <c r="AF150" s="28">
        <v>-2</v>
      </c>
      <c r="AG150" s="26"/>
      <c r="AH150" s="26"/>
      <c r="AI150" s="24">
        <v>581.66562962962962</v>
      </c>
      <c r="AJ150" s="25">
        <v>343.97794117647061</v>
      </c>
      <c r="AK150" s="25">
        <v>629.65714285714284</v>
      </c>
      <c r="AL150" s="25">
        <v>946.69909090909096</v>
      </c>
      <c r="AM150" s="25">
        <v>-463.36799999999999</v>
      </c>
      <c r="AN150" s="26"/>
      <c r="AO150" s="25">
        <v>984.59500000000003</v>
      </c>
      <c r="AP150" s="26"/>
      <c r="AQ150" s="26"/>
      <c r="AR150" s="27">
        <v>835.5</v>
      </c>
      <c r="AS150" s="28">
        <v>578</v>
      </c>
      <c r="AT150" s="28">
        <v>81</v>
      </c>
      <c r="AU150" s="28">
        <v>160</v>
      </c>
      <c r="AV150" s="28">
        <v>38</v>
      </c>
      <c r="AW150" s="26"/>
      <c r="AX150" s="28">
        <v>-21.5</v>
      </c>
      <c r="AY150" s="26"/>
      <c r="AZ150" s="26"/>
    </row>
    <row r="151" spans="1:158" x14ac:dyDescent="0.2">
      <c r="A151" s="1" t="s">
        <v>28</v>
      </c>
      <c r="B151" s="1" t="s">
        <v>315</v>
      </c>
      <c r="C151" s="1" t="s">
        <v>316</v>
      </c>
      <c r="D151" s="12">
        <v>27237.19</v>
      </c>
      <c r="E151" s="2">
        <v>8699.4</v>
      </c>
      <c r="F151" s="2">
        <v>235.11</v>
      </c>
      <c r="G151" s="2">
        <v>131.86000000000001</v>
      </c>
      <c r="H151" s="2">
        <v>9074.2800000000007</v>
      </c>
      <c r="I151" s="3"/>
      <c r="J151" s="2">
        <v>113.28</v>
      </c>
      <c r="K151" s="3"/>
      <c r="L151" s="2">
        <v>8983.26</v>
      </c>
      <c r="M151" s="12">
        <v>31595.13</v>
      </c>
      <c r="N151" s="2">
        <v>10091.299999999999</v>
      </c>
      <c r="O151" s="2">
        <v>272.73</v>
      </c>
      <c r="P151" s="2">
        <v>152.96</v>
      </c>
      <c r="Q151" s="2">
        <v>10526.16</v>
      </c>
      <c r="R151" s="3"/>
      <c r="S151" s="2">
        <v>131.4</v>
      </c>
      <c r="T151" s="3"/>
      <c r="U151" s="2">
        <v>10420.58</v>
      </c>
      <c r="V151" s="2"/>
      <c r="W151" s="2"/>
      <c r="X151" s="2"/>
      <c r="Y151" s="2"/>
      <c r="Z151" s="13">
        <v>90</v>
      </c>
      <c r="AA151" s="4">
        <v>30</v>
      </c>
      <c r="AB151" s="3"/>
      <c r="AC151" s="3"/>
      <c r="AD151" s="4">
        <v>30</v>
      </c>
      <c r="AE151" s="3"/>
      <c r="AF151" s="3"/>
      <c r="AG151" s="3"/>
      <c r="AH151" s="4">
        <v>30</v>
      </c>
      <c r="AI151" s="12">
        <v>302.63544444444443</v>
      </c>
      <c r="AJ151" s="2">
        <v>289.98</v>
      </c>
      <c r="AK151" s="5" t="s">
        <v>33</v>
      </c>
      <c r="AL151" s="5" t="s">
        <v>33</v>
      </c>
      <c r="AM151" s="2">
        <v>302.476</v>
      </c>
      <c r="AN151" s="3"/>
      <c r="AO151" s="5" t="s">
        <v>33</v>
      </c>
      <c r="AP151" s="3"/>
      <c r="AQ151" s="2">
        <v>299.44200000000001</v>
      </c>
      <c r="AR151" s="13">
        <v>20</v>
      </c>
      <c r="AS151" s="3"/>
      <c r="AT151" s="4">
        <v>2</v>
      </c>
      <c r="AU151" s="4">
        <v>2</v>
      </c>
      <c r="AV151" s="3"/>
      <c r="AW151" s="3"/>
      <c r="AX151" s="3"/>
      <c r="AY151" s="3"/>
      <c r="AZ151" s="4">
        <v>16</v>
      </c>
    </row>
    <row r="152" spans="1:158" x14ac:dyDescent="0.2">
      <c r="A152" s="33" t="s">
        <v>28</v>
      </c>
      <c r="B152" s="33" t="s">
        <v>317</v>
      </c>
      <c r="C152" s="33" t="s">
        <v>318</v>
      </c>
      <c r="D152" s="34">
        <v>3657.09</v>
      </c>
      <c r="E152" s="35"/>
      <c r="F152" s="36">
        <v>3657.09</v>
      </c>
      <c r="G152" s="35"/>
      <c r="H152" s="35"/>
      <c r="I152" s="35"/>
      <c r="J152" s="35"/>
      <c r="K152" s="35"/>
      <c r="L152" s="35"/>
      <c r="M152" s="34">
        <v>4242.22</v>
      </c>
      <c r="N152" s="35"/>
      <c r="O152" s="36">
        <v>4242.22</v>
      </c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9">
        <v>1</v>
      </c>
      <c r="AA152" s="35"/>
      <c r="AB152" s="40">
        <v>1</v>
      </c>
      <c r="AC152" s="35"/>
      <c r="AD152" s="35"/>
      <c r="AE152" s="35"/>
      <c r="AF152" s="35"/>
      <c r="AG152" s="35"/>
      <c r="AH152" s="35"/>
      <c r="AI152" s="34">
        <v>3657.09</v>
      </c>
      <c r="AJ152" s="35"/>
      <c r="AK152" s="36">
        <v>3657.09</v>
      </c>
      <c r="AL152" s="35"/>
      <c r="AM152" s="35"/>
      <c r="AN152" s="35"/>
      <c r="AO152" s="35"/>
      <c r="AP152" s="35"/>
      <c r="AQ152" s="35"/>
      <c r="AR152" s="42"/>
      <c r="AS152" s="35"/>
      <c r="AT152" s="35"/>
      <c r="AU152" s="35"/>
      <c r="AV152" s="35"/>
      <c r="AW152" s="35"/>
      <c r="AX152" s="35"/>
      <c r="AY152" s="35"/>
      <c r="AZ152" s="35"/>
    </row>
    <row r="153" spans="1:158" x14ac:dyDescent="0.2">
      <c r="A153" s="33" t="s">
        <v>28</v>
      </c>
      <c r="B153" s="33" t="s">
        <v>319</v>
      </c>
      <c r="C153" s="33" t="s">
        <v>320</v>
      </c>
      <c r="D153" s="34">
        <v>113.28</v>
      </c>
      <c r="E153" s="35"/>
      <c r="F153" s="35"/>
      <c r="G153" s="35"/>
      <c r="H153" s="36">
        <v>113.28</v>
      </c>
      <c r="I153" s="35"/>
      <c r="J153" s="35"/>
      <c r="K153" s="35"/>
      <c r="L153" s="35"/>
      <c r="M153" s="34">
        <v>131.4</v>
      </c>
      <c r="N153" s="35"/>
      <c r="O153" s="35"/>
      <c r="P153" s="35"/>
      <c r="Q153" s="36">
        <v>131.4</v>
      </c>
      <c r="R153" s="35"/>
      <c r="S153" s="35"/>
      <c r="T153" s="35"/>
      <c r="U153" s="35"/>
      <c r="V153" s="35"/>
      <c r="W153" s="35"/>
      <c r="X153" s="35"/>
      <c r="Y153" s="35"/>
      <c r="Z153" s="42"/>
      <c r="AA153" s="35"/>
      <c r="AB153" s="35"/>
      <c r="AC153" s="35"/>
      <c r="AD153" s="35"/>
      <c r="AE153" s="35"/>
      <c r="AF153" s="35"/>
      <c r="AG153" s="35"/>
      <c r="AH153" s="35"/>
      <c r="AI153" s="37" t="s">
        <v>33</v>
      </c>
      <c r="AJ153" s="35"/>
      <c r="AK153" s="35"/>
      <c r="AL153" s="35"/>
      <c r="AM153" s="38" t="s">
        <v>33</v>
      </c>
      <c r="AN153" s="35"/>
      <c r="AO153" s="35"/>
      <c r="AP153" s="35"/>
      <c r="AQ153" s="35"/>
      <c r="AR153" s="42"/>
      <c r="AS153" s="35"/>
      <c r="AT153" s="35"/>
      <c r="AU153" s="35"/>
      <c r="AV153" s="35"/>
      <c r="AW153" s="35"/>
      <c r="AX153" s="35"/>
      <c r="AY153" s="35"/>
      <c r="AZ153" s="35"/>
    </row>
    <row r="154" spans="1:158" x14ac:dyDescent="0.2">
      <c r="A154" s="1" t="s">
        <v>28</v>
      </c>
      <c r="B154" s="1" t="s">
        <v>321</v>
      </c>
      <c r="C154" s="1" t="s">
        <v>322</v>
      </c>
      <c r="D154" s="12">
        <v>25813.72</v>
      </c>
      <c r="E154" s="2">
        <v>3017.83</v>
      </c>
      <c r="F154" s="2">
        <v>1109.6300000000001</v>
      </c>
      <c r="G154" s="2">
        <v>793.58</v>
      </c>
      <c r="H154" s="2">
        <v>2777.89</v>
      </c>
      <c r="I154" s="2">
        <v>2301.71</v>
      </c>
      <c r="J154" s="2">
        <v>1289.56</v>
      </c>
      <c r="K154" s="2">
        <v>1516.02</v>
      </c>
      <c r="L154" s="2">
        <v>13007.5</v>
      </c>
      <c r="M154" s="12">
        <v>29943.9</v>
      </c>
      <c r="N154" s="2">
        <v>3500.68</v>
      </c>
      <c r="O154" s="2">
        <v>1287.17</v>
      </c>
      <c r="P154" s="2">
        <v>920.55</v>
      </c>
      <c r="Q154" s="2">
        <v>3222.35</v>
      </c>
      <c r="R154" s="2">
        <v>2669.98</v>
      </c>
      <c r="S154" s="2">
        <v>1495.89</v>
      </c>
      <c r="T154" s="2">
        <v>1758.58</v>
      </c>
      <c r="U154" s="2">
        <v>15088.7</v>
      </c>
      <c r="V154" s="2"/>
      <c r="W154" s="2"/>
      <c r="X154" s="2"/>
      <c r="Y154" s="2"/>
      <c r="Z154" s="13">
        <v>50</v>
      </c>
      <c r="AA154" s="3"/>
      <c r="AB154" s="3"/>
      <c r="AC154" s="3"/>
      <c r="AD154" s="3"/>
      <c r="AE154" s="3"/>
      <c r="AF154" s="3"/>
      <c r="AG154" s="3"/>
      <c r="AH154" s="4">
        <v>50</v>
      </c>
      <c r="AI154" s="12">
        <v>516.27440000000001</v>
      </c>
      <c r="AJ154" s="5" t="s">
        <v>33</v>
      </c>
      <c r="AK154" s="5" t="s">
        <v>33</v>
      </c>
      <c r="AL154" s="5" t="s">
        <v>33</v>
      </c>
      <c r="AM154" s="5" t="s">
        <v>33</v>
      </c>
      <c r="AN154" s="5" t="s">
        <v>33</v>
      </c>
      <c r="AO154" s="5" t="s">
        <v>33</v>
      </c>
      <c r="AP154" s="5" t="s">
        <v>33</v>
      </c>
      <c r="AQ154" s="2">
        <v>260.14999999999998</v>
      </c>
      <c r="AR154" s="13">
        <v>1584</v>
      </c>
      <c r="AS154" s="4">
        <v>370</v>
      </c>
      <c r="AT154" s="4">
        <v>148</v>
      </c>
      <c r="AU154" s="4">
        <v>112</v>
      </c>
      <c r="AV154" s="4">
        <v>382</v>
      </c>
      <c r="AW154" s="4">
        <v>254</v>
      </c>
      <c r="AX154" s="4">
        <v>148</v>
      </c>
      <c r="AY154" s="4">
        <v>170</v>
      </c>
      <c r="AZ154" s="3"/>
    </row>
    <row r="155" spans="1:158" s="41" customFormat="1" x14ac:dyDescent="0.2">
      <c r="A155" s="1" t="s">
        <v>28</v>
      </c>
      <c r="B155" s="1" t="s">
        <v>323</v>
      </c>
      <c r="C155" s="1" t="s">
        <v>324</v>
      </c>
      <c r="D155" s="12">
        <v>26123.43</v>
      </c>
      <c r="E155" s="2">
        <v>259.69</v>
      </c>
      <c r="F155" s="3"/>
      <c r="G155" s="3"/>
      <c r="H155" s="3"/>
      <c r="I155" s="2">
        <v>25747</v>
      </c>
      <c r="J155" s="2">
        <v>58.32</v>
      </c>
      <c r="K155" s="2">
        <v>58.42</v>
      </c>
      <c r="L155" s="3"/>
      <c r="M155" s="12">
        <v>30303.18</v>
      </c>
      <c r="N155" s="2">
        <v>301.24</v>
      </c>
      <c r="O155" s="3"/>
      <c r="P155" s="3"/>
      <c r="Q155" s="3"/>
      <c r="R155" s="2">
        <v>29866.52</v>
      </c>
      <c r="S155" s="2">
        <v>67.650000000000006</v>
      </c>
      <c r="T155" s="2">
        <v>67.77</v>
      </c>
      <c r="U155" s="3"/>
      <c r="V155" s="3"/>
      <c r="W155" s="3"/>
      <c r="X155" s="3"/>
      <c r="Y155" s="3"/>
      <c r="Z155" s="13">
        <v>100</v>
      </c>
      <c r="AA155" s="3"/>
      <c r="AB155" s="3"/>
      <c r="AC155" s="3"/>
      <c r="AD155" s="3"/>
      <c r="AE155" s="4">
        <v>100</v>
      </c>
      <c r="AF155" s="3"/>
      <c r="AG155" s="3"/>
      <c r="AH155" s="3"/>
      <c r="AI155" s="12">
        <v>261.23430000000002</v>
      </c>
      <c r="AJ155" s="5" t="s">
        <v>33</v>
      </c>
      <c r="AK155" s="3"/>
      <c r="AL155" s="3"/>
      <c r="AM155" s="3"/>
      <c r="AN155" s="2">
        <v>257.47000000000003</v>
      </c>
      <c r="AO155" s="5" t="s">
        <v>33</v>
      </c>
      <c r="AP155" s="5" t="s">
        <v>33</v>
      </c>
      <c r="AQ155" s="3"/>
      <c r="AR155" s="13">
        <v>20</v>
      </c>
      <c r="AS155" s="4">
        <v>12</v>
      </c>
      <c r="AT155" s="3"/>
      <c r="AU155" s="3"/>
      <c r="AV155" s="3"/>
      <c r="AW155" s="3"/>
      <c r="AX155" s="4">
        <v>4</v>
      </c>
      <c r="AY155" s="4">
        <v>4</v>
      </c>
      <c r="AZ155" s="3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</row>
    <row r="156" spans="1:158" s="41" customFormat="1" x14ac:dyDescent="0.2">
      <c r="A156" s="1" t="s">
        <v>28</v>
      </c>
      <c r="B156" s="1" t="s">
        <v>325</v>
      </c>
      <c r="C156" s="1" t="s">
        <v>326</v>
      </c>
      <c r="D156" s="12">
        <v>77408.41</v>
      </c>
      <c r="E156" s="2">
        <v>1108.3599999999999</v>
      </c>
      <c r="F156" s="3"/>
      <c r="G156" s="2">
        <v>38783.19</v>
      </c>
      <c r="H156" s="2">
        <v>3113.18</v>
      </c>
      <c r="I156" s="2">
        <v>1591.48</v>
      </c>
      <c r="J156" s="2">
        <v>272.94</v>
      </c>
      <c r="K156" s="2">
        <v>32539.26</v>
      </c>
      <c r="L156" s="3"/>
      <c r="M156" s="12">
        <v>89793.76</v>
      </c>
      <c r="N156" s="2">
        <v>1285.7</v>
      </c>
      <c r="O156" s="3"/>
      <c r="P156" s="2">
        <v>44988.5</v>
      </c>
      <c r="Q156" s="2">
        <v>3611.29</v>
      </c>
      <c r="R156" s="2">
        <v>1846.12</v>
      </c>
      <c r="S156" s="2">
        <v>316.61</v>
      </c>
      <c r="T156" s="2">
        <v>37745.54</v>
      </c>
      <c r="U156" s="3"/>
      <c r="V156" s="3"/>
      <c r="W156" s="3"/>
      <c r="X156" s="3"/>
      <c r="Y156" s="3"/>
      <c r="Z156" s="13">
        <v>35</v>
      </c>
      <c r="AA156" s="4">
        <v>2</v>
      </c>
      <c r="AB156" s="3"/>
      <c r="AC156" s="4">
        <v>17</v>
      </c>
      <c r="AD156" s="4">
        <v>8</v>
      </c>
      <c r="AE156" s="4">
        <v>3</v>
      </c>
      <c r="AF156" s="4">
        <v>1</v>
      </c>
      <c r="AG156" s="4">
        <v>4</v>
      </c>
      <c r="AH156" s="3"/>
      <c r="AI156" s="12">
        <v>2211.6688571428572</v>
      </c>
      <c r="AJ156" s="2">
        <v>554.17999999999995</v>
      </c>
      <c r="AK156" s="3"/>
      <c r="AL156" s="2">
        <v>2281.3641176470587</v>
      </c>
      <c r="AM156" s="2">
        <v>389.14749999999998</v>
      </c>
      <c r="AN156" s="2">
        <v>530.49333333333334</v>
      </c>
      <c r="AO156" s="2">
        <v>272.94</v>
      </c>
      <c r="AP156" s="2">
        <v>8134.8149999999996</v>
      </c>
      <c r="AQ156" s="3"/>
      <c r="AR156" s="13">
        <v>1314</v>
      </c>
      <c r="AS156" s="4">
        <v>154</v>
      </c>
      <c r="AT156" s="3"/>
      <c r="AU156" s="4">
        <v>864</v>
      </c>
      <c r="AV156" s="4">
        <v>158</v>
      </c>
      <c r="AW156" s="4">
        <v>138</v>
      </c>
      <c r="AX156" s="3"/>
      <c r="AY156" s="3"/>
      <c r="AZ156" s="3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</row>
    <row r="157" spans="1:158" x14ac:dyDescent="0.2">
      <c r="A157" s="1" t="s">
        <v>28</v>
      </c>
      <c r="B157" s="1" t="s">
        <v>327</v>
      </c>
      <c r="C157" s="1" t="s">
        <v>328</v>
      </c>
      <c r="D157" s="12">
        <v>840405.59</v>
      </c>
      <c r="E157" s="2">
        <v>147739.63</v>
      </c>
      <c r="F157" s="2">
        <v>58193.87</v>
      </c>
      <c r="G157" s="2">
        <v>141075.01999999999</v>
      </c>
      <c r="H157" s="2">
        <v>171816.27</v>
      </c>
      <c r="I157" s="2">
        <v>87938.99</v>
      </c>
      <c r="J157" s="2">
        <v>156198.21</v>
      </c>
      <c r="K157" s="2">
        <v>77443.600000000006</v>
      </c>
      <c r="L157" s="3"/>
      <c r="M157" s="12">
        <v>974870.48</v>
      </c>
      <c r="N157" s="2">
        <v>171377.98</v>
      </c>
      <c r="O157" s="2">
        <v>67504.89</v>
      </c>
      <c r="P157" s="2">
        <v>163647.01999999999</v>
      </c>
      <c r="Q157" s="2">
        <v>199306.87</v>
      </c>
      <c r="R157" s="2">
        <v>102009.23</v>
      </c>
      <c r="S157" s="2">
        <v>181189.92</v>
      </c>
      <c r="T157" s="2">
        <v>89834.57</v>
      </c>
      <c r="U157" s="3"/>
      <c r="V157" s="3"/>
      <c r="W157" s="3"/>
      <c r="X157" s="3"/>
      <c r="Y157" s="3"/>
      <c r="Z157" s="13">
        <v>236</v>
      </c>
      <c r="AA157" s="4">
        <v>46</v>
      </c>
      <c r="AB157" s="4">
        <v>18</v>
      </c>
      <c r="AC157" s="4">
        <v>35</v>
      </c>
      <c r="AD157" s="4">
        <v>47</v>
      </c>
      <c r="AE157" s="4">
        <v>27</v>
      </c>
      <c r="AF157" s="4">
        <v>43</v>
      </c>
      <c r="AG157" s="4">
        <v>20</v>
      </c>
      <c r="AH157" s="3"/>
      <c r="AI157" s="12">
        <v>3561.0406355932205</v>
      </c>
      <c r="AJ157" s="2">
        <v>3211.7310869565217</v>
      </c>
      <c r="AK157" s="2">
        <v>3232.992777777778</v>
      </c>
      <c r="AL157" s="2">
        <v>4030.714857142857</v>
      </c>
      <c r="AM157" s="2">
        <v>3655.6653191489363</v>
      </c>
      <c r="AN157" s="2">
        <v>3256.9996296296295</v>
      </c>
      <c r="AO157" s="2">
        <v>3632.5165116279068</v>
      </c>
      <c r="AP157" s="2">
        <v>3872.18</v>
      </c>
      <c r="AQ157" s="3"/>
      <c r="AR157" s="13">
        <v>110</v>
      </c>
      <c r="AS157" s="4">
        <v>46</v>
      </c>
      <c r="AT157" s="4">
        <v>10</v>
      </c>
      <c r="AU157" s="3"/>
      <c r="AV157" s="4">
        <v>24</v>
      </c>
      <c r="AW157" s="3"/>
      <c r="AX157" s="4">
        <v>20</v>
      </c>
      <c r="AY157" s="4">
        <v>10</v>
      </c>
      <c r="AZ157" s="3"/>
    </row>
    <row r="158" spans="1:158" s="29" customFormat="1" x14ac:dyDescent="0.2">
      <c r="A158" s="1" t="s">
        <v>28</v>
      </c>
      <c r="B158" s="1" t="s">
        <v>329</v>
      </c>
      <c r="C158" s="1" t="s">
        <v>330</v>
      </c>
      <c r="D158" s="12">
        <v>133725.03</v>
      </c>
      <c r="E158" s="2">
        <v>29815.24</v>
      </c>
      <c r="F158" s="2">
        <v>27255.61</v>
      </c>
      <c r="G158" s="2">
        <v>14950.35</v>
      </c>
      <c r="H158" s="2">
        <v>4482.53</v>
      </c>
      <c r="I158" s="2">
        <v>43876.74</v>
      </c>
      <c r="J158" s="2">
        <v>24026.62</v>
      </c>
      <c r="K158" s="2">
        <v>3099.22</v>
      </c>
      <c r="L158" s="2">
        <v>-13781.28</v>
      </c>
      <c r="M158" s="12">
        <v>155121.04999999999</v>
      </c>
      <c r="N158" s="2">
        <v>34585.68</v>
      </c>
      <c r="O158" s="2">
        <v>31616.51</v>
      </c>
      <c r="P158" s="2">
        <v>17342.41</v>
      </c>
      <c r="Q158" s="2">
        <v>5199.7299999999996</v>
      </c>
      <c r="R158" s="2">
        <v>50897.02</v>
      </c>
      <c r="S158" s="2">
        <v>27870.880000000001</v>
      </c>
      <c r="T158" s="2">
        <v>3595.1</v>
      </c>
      <c r="U158" s="2">
        <v>-15986.28</v>
      </c>
      <c r="V158" s="2"/>
      <c r="W158" s="2"/>
      <c r="X158" s="2"/>
      <c r="Y158" s="2"/>
      <c r="Z158" s="13">
        <v>24</v>
      </c>
      <c r="AA158" s="4">
        <v>7</v>
      </c>
      <c r="AB158" s="4">
        <v>7</v>
      </c>
      <c r="AC158" s="4">
        <v>3</v>
      </c>
      <c r="AD158" s="4">
        <v>2</v>
      </c>
      <c r="AE158" s="4">
        <v>8</v>
      </c>
      <c r="AF158" s="4">
        <v>3</v>
      </c>
      <c r="AG158" s="4">
        <v>2</v>
      </c>
      <c r="AH158" s="4">
        <v>-8</v>
      </c>
      <c r="AI158" s="12">
        <v>5571.8762500000003</v>
      </c>
      <c r="AJ158" s="2">
        <v>4259.32</v>
      </c>
      <c r="AK158" s="2">
        <v>3893.6585714285716</v>
      </c>
      <c r="AL158" s="2">
        <v>4983.45</v>
      </c>
      <c r="AM158" s="2">
        <v>2241.2649999999999</v>
      </c>
      <c r="AN158" s="2">
        <v>5484.5924999999997</v>
      </c>
      <c r="AO158" s="2">
        <v>8008.873333333333</v>
      </c>
      <c r="AP158" s="2">
        <v>1549.61</v>
      </c>
      <c r="AQ158" s="2">
        <v>1722.66</v>
      </c>
      <c r="AR158" s="17"/>
      <c r="AS158" s="3"/>
      <c r="AT158" s="3"/>
      <c r="AU158" s="3"/>
      <c r="AV158" s="3"/>
      <c r="AW158" s="3"/>
      <c r="AX158" s="3"/>
      <c r="AY158" s="3"/>
      <c r="AZ158" s="3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</row>
    <row r="159" spans="1:158" x14ac:dyDescent="0.2">
      <c r="A159" s="1" t="s">
        <v>28</v>
      </c>
      <c r="B159" s="1" t="s">
        <v>331</v>
      </c>
      <c r="C159" s="1" t="s">
        <v>332</v>
      </c>
      <c r="D159" s="12">
        <v>75515</v>
      </c>
      <c r="E159" s="2">
        <v>523.07000000000005</v>
      </c>
      <c r="F159" s="2">
        <v>269.19</v>
      </c>
      <c r="G159" s="2">
        <v>72719.429999999993</v>
      </c>
      <c r="H159" s="2">
        <v>641.88</v>
      </c>
      <c r="I159" s="3"/>
      <c r="J159" s="2">
        <v>43.12</v>
      </c>
      <c r="K159" s="2">
        <v>175.48</v>
      </c>
      <c r="L159" s="2">
        <v>1142.83</v>
      </c>
      <c r="M159" s="12">
        <v>87597.4</v>
      </c>
      <c r="N159" s="2">
        <v>606.76</v>
      </c>
      <c r="O159" s="2">
        <v>312.26</v>
      </c>
      <c r="P159" s="2">
        <v>84354.54</v>
      </c>
      <c r="Q159" s="2">
        <v>744.58</v>
      </c>
      <c r="R159" s="3"/>
      <c r="S159" s="2">
        <v>50.02</v>
      </c>
      <c r="T159" s="2">
        <v>203.56</v>
      </c>
      <c r="U159" s="2">
        <v>1325.68</v>
      </c>
      <c r="V159" s="2"/>
      <c r="W159" s="2"/>
      <c r="X159" s="2"/>
      <c r="Y159" s="2"/>
      <c r="Z159" s="13">
        <v>400</v>
      </c>
      <c r="AA159" s="3"/>
      <c r="AB159" s="3"/>
      <c r="AC159" s="4">
        <v>400</v>
      </c>
      <c r="AD159" s="3"/>
      <c r="AE159" s="3"/>
      <c r="AF159" s="3"/>
      <c r="AG159" s="3"/>
      <c r="AH159" s="3"/>
      <c r="AI159" s="12">
        <v>188.78749999999999</v>
      </c>
      <c r="AJ159" s="5" t="s">
        <v>33</v>
      </c>
      <c r="AK159" s="5" t="s">
        <v>33</v>
      </c>
      <c r="AL159" s="2">
        <v>181.798575</v>
      </c>
      <c r="AM159" s="5" t="s">
        <v>33</v>
      </c>
      <c r="AN159" s="3"/>
      <c r="AO159" s="5" t="s">
        <v>33</v>
      </c>
      <c r="AP159" s="5" t="s">
        <v>33</v>
      </c>
      <c r="AQ159" s="5" t="s">
        <v>33</v>
      </c>
      <c r="AR159" s="13">
        <v>88</v>
      </c>
      <c r="AS159" s="4">
        <v>8</v>
      </c>
      <c r="AT159" s="4">
        <v>6</v>
      </c>
      <c r="AU159" s="4">
        <v>30</v>
      </c>
      <c r="AV159" s="4">
        <v>12</v>
      </c>
      <c r="AW159" s="3"/>
      <c r="AX159" s="4">
        <v>2</v>
      </c>
      <c r="AY159" s="4">
        <v>4</v>
      </c>
      <c r="AZ159" s="4">
        <v>26</v>
      </c>
    </row>
    <row r="160" spans="1:158" x14ac:dyDescent="0.2">
      <c r="A160" s="33" t="s">
        <v>28</v>
      </c>
      <c r="B160" s="33" t="s">
        <v>333</v>
      </c>
      <c r="C160" s="33" t="s">
        <v>334</v>
      </c>
      <c r="D160" s="34">
        <v>1322321</v>
      </c>
      <c r="E160" s="36">
        <v>245040</v>
      </c>
      <c r="F160" s="36">
        <v>240000</v>
      </c>
      <c r="G160" s="36">
        <v>230000</v>
      </c>
      <c r="H160" s="35"/>
      <c r="I160" s="36">
        <v>230000</v>
      </c>
      <c r="J160" s="36">
        <v>240000</v>
      </c>
      <c r="K160" s="36">
        <v>137281</v>
      </c>
      <c r="L160" s="35"/>
      <c r="M160" s="34">
        <v>1533892.36</v>
      </c>
      <c r="N160" s="36">
        <v>284246.40000000002</v>
      </c>
      <c r="O160" s="36">
        <v>278400</v>
      </c>
      <c r="P160" s="36">
        <v>266800</v>
      </c>
      <c r="Q160" s="35"/>
      <c r="R160" s="36">
        <v>266800</v>
      </c>
      <c r="S160" s="36">
        <v>278400</v>
      </c>
      <c r="T160" s="36">
        <v>159245.96</v>
      </c>
      <c r="U160" s="35"/>
      <c r="V160" s="35"/>
      <c r="W160" s="35"/>
      <c r="X160" s="35"/>
      <c r="Y160" s="35"/>
      <c r="Z160" s="42"/>
      <c r="AA160" s="35"/>
      <c r="AB160" s="35"/>
      <c r="AC160" s="35"/>
      <c r="AD160" s="35"/>
      <c r="AE160" s="35"/>
      <c r="AF160" s="35"/>
      <c r="AG160" s="35"/>
      <c r="AH160" s="35"/>
      <c r="AI160" s="37" t="s">
        <v>33</v>
      </c>
      <c r="AJ160" s="38" t="s">
        <v>33</v>
      </c>
      <c r="AK160" s="38" t="s">
        <v>33</v>
      </c>
      <c r="AL160" s="38" t="s">
        <v>33</v>
      </c>
      <c r="AM160" s="35"/>
      <c r="AN160" s="38" t="s">
        <v>33</v>
      </c>
      <c r="AO160" s="38" t="s">
        <v>33</v>
      </c>
      <c r="AP160" s="38" t="s">
        <v>33</v>
      </c>
      <c r="AQ160" s="35"/>
      <c r="AR160" s="42"/>
      <c r="AS160" s="35"/>
      <c r="AT160" s="35"/>
      <c r="AU160" s="35"/>
      <c r="AV160" s="35"/>
      <c r="AW160" s="35"/>
      <c r="AX160" s="35"/>
      <c r="AY160" s="35"/>
      <c r="AZ160" s="35"/>
    </row>
    <row r="161" spans="1:158" x14ac:dyDescent="0.2">
      <c r="A161" s="33" t="s">
        <v>28</v>
      </c>
      <c r="B161" s="33" t="s">
        <v>335</v>
      </c>
      <c r="C161" s="33" t="s">
        <v>336</v>
      </c>
      <c r="D161" s="34">
        <v>1076.33</v>
      </c>
      <c r="E161" s="36">
        <v>432</v>
      </c>
      <c r="F161" s="35"/>
      <c r="G161" s="36">
        <v>644.33000000000004</v>
      </c>
      <c r="H161" s="35"/>
      <c r="I161" s="35"/>
      <c r="J161" s="35"/>
      <c r="K161" s="35"/>
      <c r="L161" s="35"/>
      <c r="M161" s="34">
        <v>1248.54</v>
      </c>
      <c r="N161" s="36">
        <v>501.12</v>
      </c>
      <c r="O161" s="35"/>
      <c r="P161" s="36">
        <v>747.42</v>
      </c>
      <c r="Q161" s="35"/>
      <c r="R161" s="35"/>
      <c r="S161" s="35"/>
      <c r="T161" s="35"/>
      <c r="U161" s="35"/>
      <c r="V161" s="35"/>
      <c r="W161" s="35"/>
      <c r="X161" s="35"/>
      <c r="Y161" s="35"/>
      <c r="Z161" s="39">
        <v>5</v>
      </c>
      <c r="AA161" s="40">
        <v>2</v>
      </c>
      <c r="AB161" s="35"/>
      <c r="AC161" s="40">
        <v>3</v>
      </c>
      <c r="AD161" s="35"/>
      <c r="AE161" s="35"/>
      <c r="AF161" s="35"/>
      <c r="AG161" s="35"/>
      <c r="AH161" s="35"/>
      <c r="AI161" s="34">
        <v>215.26599999999999</v>
      </c>
      <c r="AJ161" s="36">
        <v>216</v>
      </c>
      <c r="AK161" s="35"/>
      <c r="AL161" s="36">
        <v>214.77666666666667</v>
      </c>
      <c r="AM161" s="35"/>
      <c r="AN161" s="35"/>
      <c r="AO161" s="35"/>
      <c r="AP161" s="35"/>
      <c r="AQ161" s="35"/>
      <c r="AR161" s="42"/>
      <c r="AS161" s="35"/>
      <c r="AT161" s="35"/>
      <c r="AU161" s="35"/>
      <c r="AV161" s="35"/>
      <c r="AW161" s="35"/>
      <c r="AX161" s="35"/>
      <c r="AY161" s="35"/>
      <c r="AZ161" s="35"/>
    </row>
    <row r="162" spans="1:158" s="41" customFormat="1" x14ac:dyDescent="0.2">
      <c r="A162" s="1" t="s">
        <v>28</v>
      </c>
      <c r="B162" s="1" t="s">
        <v>337</v>
      </c>
      <c r="C162" s="1" t="s">
        <v>338</v>
      </c>
      <c r="D162" s="12">
        <v>13700.67</v>
      </c>
      <c r="E162" s="2">
        <v>263.08</v>
      </c>
      <c r="F162" s="2">
        <v>226.56</v>
      </c>
      <c r="G162" s="2">
        <v>1116.42</v>
      </c>
      <c r="H162" s="2">
        <v>2072.64</v>
      </c>
      <c r="I162" s="2">
        <v>2865.49</v>
      </c>
      <c r="J162" s="2">
        <v>6872.68</v>
      </c>
      <c r="K162" s="2">
        <v>283.8</v>
      </c>
      <c r="L162" s="3"/>
      <c r="M162" s="12">
        <v>15892.78</v>
      </c>
      <c r="N162" s="2">
        <v>305.17</v>
      </c>
      <c r="O162" s="2">
        <v>262.81</v>
      </c>
      <c r="P162" s="2">
        <v>1295.05</v>
      </c>
      <c r="Q162" s="2">
        <v>2404.2600000000002</v>
      </c>
      <c r="R162" s="2">
        <v>3323.97</v>
      </c>
      <c r="S162" s="2">
        <v>7972.31</v>
      </c>
      <c r="T162" s="2">
        <v>329.21</v>
      </c>
      <c r="U162" s="3"/>
      <c r="V162" s="3"/>
      <c r="W162" s="3"/>
      <c r="X162" s="3"/>
      <c r="Y162" s="3"/>
      <c r="Z162" s="17"/>
      <c r="AA162" s="3"/>
      <c r="AB162" s="3"/>
      <c r="AC162" s="3"/>
      <c r="AD162" s="3"/>
      <c r="AE162" s="3"/>
      <c r="AF162" s="3"/>
      <c r="AG162" s="3"/>
      <c r="AH162" s="3"/>
      <c r="AI162" s="16" t="s">
        <v>33</v>
      </c>
      <c r="AJ162" s="5" t="s">
        <v>33</v>
      </c>
      <c r="AK162" s="5" t="s">
        <v>33</v>
      </c>
      <c r="AL162" s="5" t="s">
        <v>33</v>
      </c>
      <c r="AM162" s="5" t="s">
        <v>33</v>
      </c>
      <c r="AN162" s="5" t="s">
        <v>33</v>
      </c>
      <c r="AO162" s="5" t="s">
        <v>33</v>
      </c>
      <c r="AP162" s="5" t="s">
        <v>33</v>
      </c>
      <c r="AQ162" s="3"/>
      <c r="AR162" s="13">
        <v>376</v>
      </c>
      <c r="AS162" s="4">
        <v>4</v>
      </c>
      <c r="AT162" s="3"/>
      <c r="AU162" s="4">
        <v>12</v>
      </c>
      <c r="AV162" s="4">
        <v>12</v>
      </c>
      <c r="AW162" s="4">
        <v>100</v>
      </c>
      <c r="AX162" s="4">
        <v>214</v>
      </c>
      <c r="AY162" s="4">
        <v>34</v>
      </c>
      <c r="AZ162" s="3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</row>
    <row r="163" spans="1:158" s="14" customFormat="1" x14ac:dyDescent="0.2">
      <c r="A163" s="23" t="s">
        <v>28</v>
      </c>
      <c r="B163" s="23" t="s">
        <v>339</v>
      </c>
      <c r="C163" s="23" t="s">
        <v>340</v>
      </c>
      <c r="D163" s="24">
        <v>63793.19</v>
      </c>
      <c r="E163" s="25">
        <v>20424.259999999998</v>
      </c>
      <c r="F163" s="25">
        <v>11093.83</v>
      </c>
      <c r="G163" s="25">
        <v>14334.63</v>
      </c>
      <c r="H163" s="25">
        <v>17940.47</v>
      </c>
      <c r="I163" s="26"/>
      <c r="J163" s="26"/>
      <c r="K163" s="26"/>
      <c r="L163" s="26"/>
      <c r="M163" s="24">
        <v>70124.350000000006</v>
      </c>
      <c r="N163" s="25">
        <v>22500.2</v>
      </c>
      <c r="O163" s="25">
        <v>12050.43</v>
      </c>
      <c r="P163" s="25">
        <v>15880.73</v>
      </c>
      <c r="Q163" s="25">
        <v>19692.990000000002</v>
      </c>
      <c r="R163" s="26"/>
      <c r="S163" s="26"/>
      <c r="T163" s="26"/>
      <c r="U163" s="26"/>
      <c r="V163" s="26"/>
      <c r="W163" s="26"/>
      <c r="X163" s="26"/>
      <c r="Y163" s="26"/>
      <c r="Z163" s="27">
        <v>212</v>
      </c>
      <c r="AA163" s="28">
        <v>65</v>
      </c>
      <c r="AB163" s="28">
        <v>40</v>
      </c>
      <c r="AC163" s="28">
        <v>49</v>
      </c>
      <c r="AD163" s="28">
        <v>58</v>
      </c>
      <c r="AE163" s="26"/>
      <c r="AF163" s="26"/>
      <c r="AG163" s="26"/>
      <c r="AH163" s="26"/>
      <c r="AI163" s="24">
        <v>300.91127358490564</v>
      </c>
      <c r="AJ163" s="25">
        <v>314.21938461538463</v>
      </c>
      <c r="AK163" s="25">
        <v>277.34575000000001</v>
      </c>
      <c r="AL163" s="25">
        <v>292.54346938775512</v>
      </c>
      <c r="AM163" s="25">
        <v>309.31844827586207</v>
      </c>
      <c r="AN163" s="26"/>
      <c r="AO163" s="26"/>
      <c r="AP163" s="26"/>
      <c r="AQ163" s="26"/>
      <c r="AR163" s="27">
        <v>491</v>
      </c>
      <c r="AS163" s="28">
        <v>204</v>
      </c>
      <c r="AT163" s="28">
        <v>60</v>
      </c>
      <c r="AU163" s="28">
        <v>80</v>
      </c>
      <c r="AV163" s="28">
        <v>147</v>
      </c>
      <c r="AW163" s="26"/>
      <c r="AX163" s="26"/>
      <c r="AY163" s="26"/>
      <c r="AZ163" s="26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</row>
    <row r="164" spans="1:158" s="41" customFormat="1" x14ac:dyDescent="0.2">
      <c r="A164" s="1" t="s">
        <v>28</v>
      </c>
      <c r="B164" s="1" t="s">
        <v>341</v>
      </c>
      <c r="C164" s="1" t="s">
        <v>342</v>
      </c>
      <c r="D164" s="12">
        <v>2486.8000000000002</v>
      </c>
      <c r="E164" s="2">
        <v>140.52000000000001</v>
      </c>
      <c r="F164" s="2">
        <v>144.16</v>
      </c>
      <c r="G164" s="2">
        <v>1396.96</v>
      </c>
      <c r="H164" s="3"/>
      <c r="I164" s="2">
        <v>369.73</v>
      </c>
      <c r="J164" s="2">
        <v>103.29</v>
      </c>
      <c r="K164" s="2">
        <v>332.14</v>
      </c>
      <c r="L164" s="3"/>
      <c r="M164" s="12">
        <v>2884.68</v>
      </c>
      <c r="N164" s="2">
        <v>163</v>
      </c>
      <c r="O164" s="2">
        <v>167.23</v>
      </c>
      <c r="P164" s="2">
        <v>1620.47</v>
      </c>
      <c r="Q164" s="3"/>
      <c r="R164" s="2">
        <v>428.88</v>
      </c>
      <c r="S164" s="2">
        <v>119.82</v>
      </c>
      <c r="T164" s="2">
        <v>385.28</v>
      </c>
      <c r="U164" s="3"/>
      <c r="V164" s="3"/>
      <c r="W164" s="3"/>
      <c r="X164" s="3"/>
      <c r="Y164" s="3"/>
      <c r="Z164" s="17"/>
      <c r="AA164" s="3"/>
      <c r="AB164" s="3"/>
      <c r="AC164" s="3"/>
      <c r="AD164" s="3"/>
      <c r="AE164" s="3"/>
      <c r="AF164" s="3"/>
      <c r="AG164" s="3"/>
      <c r="AH164" s="3"/>
      <c r="AI164" s="16" t="s">
        <v>33</v>
      </c>
      <c r="AJ164" s="5" t="s">
        <v>33</v>
      </c>
      <c r="AK164" s="5" t="s">
        <v>33</v>
      </c>
      <c r="AL164" s="5" t="s">
        <v>33</v>
      </c>
      <c r="AM164" s="3"/>
      <c r="AN164" s="5" t="s">
        <v>33</v>
      </c>
      <c r="AO164" s="5" t="s">
        <v>33</v>
      </c>
      <c r="AP164" s="5" t="s">
        <v>33</v>
      </c>
      <c r="AQ164" s="3"/>
      <c r="AR164" s="13">
        <v>408</v>
      </c>
      <c r="AS164" s="4">
        <v>10</v>
      </c>
      <c r="AT164" s="4">
        <v>20</v>
      </c>
      <c r="AU164" s="4">
        <v>256</v>
      </c>
      <c r="AV164" s="3"/>
      <c r="AW164" s="4">
        <v>44</v>
      </c>
      <c r="AX164" s="4">
        <v>10</v>
      </c>
      <c r="AY164" s="4">
        <v>68</v>
      </c>
      <c r="AZ164" s="3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</row>
    <row r="165" spans="1:158" s="41" customFormat="1" x14ac:dyDescent="0.2">
      <c r="A165" s="1" t="s">
        <v>28</v>
      </c>
      <c r="B165" s="1" t="s">
        <v>343</v>
      </c>
      <c r="C165" s="1" t="s">
        <v>344</v>
      </c>
      <c r="D165" s="12">
        <v>103895.01</v>
      </c>
      <c r="E165" s="2">
        <v>25171.73</v>
      </c>
      <c r="F165" s="2">
        <v>11550.9</v>
      </c>
      <c r="G165" s="2">
        <v>14328.46</v>
      </c>
      <c r="H165" s="2">
        <v>14093.17</v>
      </c>
      <c r="I165" s="2">
        <v>15977.16</v>
      </c>
      <c r="J165" s="2">
        <v>6604.93</v>
      </c>
      <c r="K165" s="2">
        <v>16168.66</v>
      </c>
      <c r="L165" s="3"/>
      <c r="M165" s="12">
        <v>120518.21</v>
      </c>
      <c r="N165" s="2">
        <v>29199.200000000001</v>
      </c>
      <c r="O165" s="2">
        <v>13399.04</v>
      </c>
      <c r="P165" s="2">
        <v>16621.009999999998</v>
      </c>
      <c r="Q165" s="2">
        <v>16348.08</v>
      </c>
      <c r="R165" s="2">
        <v>18533.509999999998</v>
      </c>
      <c r="S165" s="2">
        <v>7661.72</v>
      </c>
      <c r="T165" s="2">
        <v>18755.650000000001</v>
      </c>
      <c r="U165" s="3"/>
      <c r="V165" s="3"/>
      <c r="W165" s="3"/>
      <c r="X165" s="3"/>
      <c r="Y165" s="3"/>
      <c r="Z165" s="17"/>
      <c r="AA165" s="3"/>
      <c r="AB165" s="3"/>
      <c r="AC165" s="3"/>
      <c r="AD165" s="3"/>
      <c r="AE165" s="3"/>
      <c r="AF165" s="3"/>
      <c r="AG165" s="3"/>
      <c r="AH165" s="3"/>
      <c r="AI165" s="16" t="s">
        <v>33</v>
      </c>
      <c r="AJ165" s="5" t="s">
        <v>33</v>
      </c>
      <c r="AK165" s="5" t="s">
        <v>33</v>
      </c>
      <c r="AL165" s="5" t="s">
        <v>33</v>
      </c>
      <c r="AM165" s="5" t="s">
        <v>33</v>
      </c>
      <c r="AN165" s="5" t="s">
        <v>33</v>
      </c>
      <c r="AO165" s="5" t="s">
        <v>33</v>
      </c>
      <c r="AP165" s="5" t="s">
        <v>33</v>
      </c>
      <c r="AQ165" s="3"/>
      <c r="AR165" s="13">
        <v>9142</v>
      </c>
      <c r="AS165" s="4">
        <v>2274</v>
      </c>
      <c r="AT165" s="4">
        <v>900</v>
      </c>
      <c r="AU165" s="4">
        <v>1264</v>
      </c>
      <c r="AV165" s="4">
        <v>1162</v>
      </c>
      <c r="AW165" s="4">
        <v>1170</v>
      </c>
      <c r="AX165" s="4">
        <v>520</v>
      </c>
      <c r="AY165" s="4">
        <v>1852</v>
      </c>
      <c r="AZ165" s="3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</row>
    <row r="166" spans="1:158" x14ac:dyDescent="0.2">
      <c r="A166" s="1" t="s">
        <v>28</v>
      </c>
      <c r="B166" s="1" t="s">
        <v>345</v>
      </c>
      <c r="C166" s="1" t="s">
        <v>346</v>
      </c>
      <c r="D166" s="12">
        <v>9340075.7200000007</v>
      </c>
      <c r="E166" s="2">
        <v>1609133.27</v>
      </c>
      <c r="F166" s="2">
        <v>1185759.08</v>
      </c>
      <c r="G166" s="2">
        <v>1365333.78</v>
      </c>
      <c r="H166" s="2">
        <v>1060285.73</v>
      </c>
      <c r="I166" s="2">
        <v>1272156.8799999999</v>
      </c>
      <c r="J166" s="2">
        <v>1522694.07</v>
      </c>
      <c r="K166" s="2">
        <v>1450063</v>
      </c>
      <c r="L166" s="2">
        <v>-125350.09</v>
      </c>
      <c r="M166" s="12">
        <v>10834487.83</v>
      </c>
      <c r="N166" s="2">
        <v>1866594.59</v>
      </c>
      <c r="O166" s="2">
        <v>1375480.54</v>
      </c>
      <c r="P166" s="2">
        <v>1583787.18</v>
      </c>
      <c r="Q166" s="2">
        <v>1229931.44</v>
      </c>
      <c r="R166" s="2">
        <v>1475701.98</v>
      </c>
      <c r="S166" s="2">
        <v>1766325.12</v>
      </c>
      <c r="T166" s="2">
        <v>1682073.08</v>
      </c>
      <c r="U166" s="2">
        <v>-145406.1</v>
      </c>
      <c r="V166" s="2"/>
      <c r="W166" s="2"/>
      <c r="X166" s="2"/>
      <c r="Y166" s="2"/>
      <c r="Z166" s="13">
        <v>75619</v>
      </c>
      <c r="AA166" s="4">
        <v>10795</v>
      </c>
      <c r="AB166" s="4">
        <v>10506</v>
      </c>
      <c r="AC166" s="4">
        <v>11011</v>
      </c>
      <c r="AD166" s="4">
        <v>9062</v>
      </c>
      <c r="AE166" s="4">
        <v>11167</v>
      </c>
      <c r="AF166" s="4">
        <v>13280</v>
      </c>
      <c r="AG166" s="4">
        <v>11369</v>
      </c>
      <c r="AH166" s="4">
        <v>-1571</v>
      </c>
      <c r="AI166" s="12">
        <v>123.51493301947923</v>
      </c>
      <c r="AJ166" s="2">
        <v>149.06283186660491</v>
      </c>
      <c r="AK166" s="2">
        <v>112.86494193794022</v>
      </c>
      <c r="AL166" s="2">
        <v>123.99725547180093</v>
      </c>
      <c r="AM166" s="2">
        <v>117.00350143456191</v>
      </c>
      <c r="AN166" s="2">
        <v>113.92109608668397</v>
      </c>
      <c r="AO166" s="2">
        <v>114.66069804216868</v>
      </c>
      <c r="AP166" s="2">
        <v>127.54534259829362</v>
      </c>
      <c r="AQ166" s="2">
        <v>79.790000000000006</v>
      </c>
      <c r="AR166" s="13">
        <v>796841</v>
      </c>
      <c r="AS166" s="4">
        <v>59549</v>
      </c>
      <c r="AT166" s="4">
        <v>81360</v>
      </c>
      <c r="AU166" s="4">
        <v>185384</v>
      </c>
      <c r="AV166" s="4">
        <v>62932</v>
      </c>
      <c r="AW166" s="4">
        <v>89472</v>
      </c>
      <c r="AX166" s="4">
        <v>145368</v>
      </c>
      <c r="AY166" s="4">
        <v>172776</v>
      </c>
      <c r="AZ166" s="3"/>
    </row>
    <row r="167" spans="1:158" s="41" customFormat="1" x14ac:dyDescent="0.2">
      <c r="A167" s="33" t="s">
        <v>28</v>
      </c>
      <c r="B167" s="33" t="s">
        <v>347</v>
      </c>
      <c r="C167" s="33" t="s">
        <v>348</v>
      </c>
      <c r="D167" s="34">
        <v>224759.9</v>
      </c>
      <c r="E167" s="36">
        <v>45955.11</v>
      </c>
      <c r="F167" s="36">
        <v>65374.14</v>
      </c>
      <c r="G167" s="36">
        <v>59974.92</v>
      </c>
      <c r="H167" s="36">
        <v>51268.97</v>
      </c>
      <c r="I167" s="36">
        <v>2186.7600000000002</v>
      </c>
      <c r="J167" s="35"/>
      <c r="K167" s="35"/>
      <c r="L167" s="35"/>
      <c r="M167" s="34">
        <v>260721.49</v>
      </c>
      <c r="N167" s="36">
        <v>53307.93</v>
      </c>
      <c r="O167" s="36">
        <v>75834</v>
      </c>
      <c r="P167" s="36">
        <v>69570.91</v>
      </c>
      <c r="Q167" s="36">
        <v>59472.01</v>
      </c>
      <c r="R167" s="36">
        <v>2536.64</v>
      </c>
      <c r="S167" s="35"/>
      <c r="T167" s="35"/>
      <c r="U167" s="35"/>
      <c r="V167" s="35"/>
      <c r="W167" s="35"/>
      <c r="X167" s="35"/>
      <c r="Y167" s="35"/>
      <c r="Z167" s="39">
        <v>900</v>
      </c>
      <c r="AA167" s="40">
        <v>200</v>
      </c>
      <c r="AB167" s="40">
        <v>300</v>
      </c>
      <c r="AC167" s="40">
        <v>200</v>
      </c>
      <c r="AD167" s="40">
        <v>200</v>
      </c>
      <c r="AE167" s="35"/>
      <c r="AF167" s="35"/>
      <c r="AG167" s="35"/>
      <c r="AH167" s="35"/>
      <c r="AI167" s="34">
        <v>249.73322222222222</v>
      </c>
      <c r="AJ167" s="36">
        <v>229.77555000000001</v>
      </c>
      <c r="AK167" s="36">
        <v>217.91380000000001</v>
      </c>
      <c r="AL167" s="36">
        <v>299.87459999999999</v>
      </c>
      <c r="AM167" s="36">
        <v>256.34485000000001</v>
      </c>
      <c r="AN167" s="38" t="s">
        <v>33</v>
      </c>
      <c r="AO167" s="35"/>
      <c r="AP167" s="35"/>
      <c r="AQ167" s="35"/>
      <c r="AR167" s="39">
        <v>21714</v>
      </c>
      <c r="AS167" s="40">
        <v>6574</v>
      </c>
      <c r="AT167" s="40">
        <v>4484</v>
      </c>
      <c r="AU167" s="40">
        <v>4964</v>
      </c>
      <c r="AV167" s="40">
        <v>5510</v>
      </c>
      <c r="AW167" s="40">
        <v>182</v>
      </c>
      <c r="AX167" s="35"/>
      <c r="AY167" s="35"/>
      <c r="AZ167" s="35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</row>
    <row r="168" spans="1:158" s="41" customFormat="1" x14ac:dyDescent="0.2">
      <c r="A168" s="11"/>
      <c r="B168" s="11" t="s">
        <v>178</v>
      </c>
      <c r="C168" s="11"/>
      <c r="D168" s="12">
        <v>21561632.600000001</v>
      </c>
      <c r="E168" s="12">
        <v>5858644.9800000004</v>
      </c>
      <c r="F168" s="12">
        <v>4324737.71</v>
      </c>
      <c r="G168" s="12">
        <v>2493392.5299999998</v>
      </c>
      <c r="H168" s="12">
        <v>2434167.8199999998</v>
      </c>
      <c r="I168" s="12">
        <v>2285881.91</v>
      </c>
      <c r="J168" s="12">
        <v>1565428.15</v>
      </c>
      <c r="K168" s="12">
        <v>2491933.6</v>
      </c>
      <c r="L168" s="12">
        <v>107445.9</v>
      </c>
      <c r="M168" s="12">
        <v>24950632.850000001</v>
      </c>
      <c r="N168" s="12">
        <v>6789019.8600000003</v>
      </c>
      <c r="O168" s="12">
        <v>4971867.3600000003</v>
      </c>
      <c r="P168" s="12">
        <v>2888453.93</v>
      </c>
      <c r="Q168" s="12">
        <v>2778154.86</v>
      </c>
      <c r="R168" s="12">
        <v>2692426.86</v>
      </c>
      <c r="S168" s="12">
        <v>1816029.84</v>
      </c>
      <c r="T168" s="12">
        <v>2890642.99</v>
      </c>
      <c r="U168" s="12">
        <v>124037.15</v>
      </c>
      <c r="V168" s="12"/>
      <c r="W168" s="12"/>
      <c r="X168" s="12"/>
      <c r="Y168" s="12"/>
      <c r="Z168" s="13">
        <v>105921</v>
      </c>
      <c r="AA168" s="13">
        <v>29497</v>
      </c>
      <c r="AB168" s="13">
        <v>23756</v>
      </c>
      <c r="AC168" s="13">
        <v>13998</v>
      </c>
      <c r="AD168" s="13">
        <v>12478</v>
      </c>
      <c r="AE168" s="13">
        <v>14252</v>
      </c>
      <c r="AF168" s="13">
        <v>-1107</v>
      </c>
      <c r="AG168" s="13">
        <v>13925</v>
      </c>
      <c r="AH168" s="13">
        <v>-878</v>
      </c>
      <c r="AI168" s="12">
        <v>203.56334060290217</v>
      </c>
      <c r="AJ168" s="12">
        <v>198.61833338983624</v>
      </c>
      <c r="AK168" s="12">
        <v>182.04822823707696</v>
      </c>
      <c r="AL168" s="12">
        <v>178.12491284469209</v>
      </c>
      <c r="AM168" s="12">
        <v>195.07676069882993</v>
      </c>
      <c r="AN168" s="12">
        <v>160.39025470109459</v>
      </c>
      <c r="AO168" s="12">
        <v>-1414.1175700090334</v>
      </c>
      <c r="AP168" s="12">
        <v>178.95393895870737</v>
      </c>
      <c r="AQ168" s="12">
        <v>-122.37574031890661</v>
      </c>
      <c r="AR168" s="13">
        <v>1310835</v>
      </c>
      <c r="AS168" s="13">
        <v>288707.20000000001</v>
      </c>
      <c r="AT168" s="13">
        <v>219681.4</v>
      </c>
      <c r="AU168" s="13">
        <v>182159.1</v>
      </c>
      <c r="AV168" s="13">
        <v>102261</v>
      </c>
      <c r="AW168" s="13">
        <v>122965.4</v>
      </c>
      <c r="AX168" s="13">
        <v>177531.3</v>
      </c>
      <c r="AY168" s="13">
        <v>209517.4</v>
      </c>
      <c r="AZ168" s="13">
        <v>8012.2</v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</row>
    <row r="169" spans="1:158" s="41" customFormat="1" x14ac:dyDescent="0.2">
      <c r="A169" s="33" t="s">
        <v>38</v>
      </c>
      <c r="B169" s="33" t="s">
        <v>349</v>
      </c>
      <c r="C169" s="33" t="s">
        <v>350</v>
      </c>
      <c r="D169" s="34">
        <v>9316.2800000000007</v>
      </c>
      <c r="E169" s="36">
        <v>8358.1299999999992</v>
      </c>
      <c r="F169" s="36">
        <v>958.15</v>
      </c>
      <c r="G169" s="35"/>
      <c r="H169" s="35"/>
      <c r="I169" s="35"/>
      <c r="J169" s="35"/>
      <c r="K169" s="35"/>
      <c r="L169" s="35"/>
      <c r="M169" s="34">
        <v>10806.88</v>
      </c>
      <c r="N169" s="36">
        <v>9695.43</v>
      </c>
      <c r="O169" s="36">
        <v>1111.45</v>
      </c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9">
        <v>29</v>
      </c>
      <c r="AA169" s="40">
        <v>26</v>
      </c>
      <c r="AB169" s="40">
        <v>3</v>
      </c>
      <c r="AC169" s="35"/>
      <c r="AD169" s="35"/>
      <c r="AE169" s="35"/>
      <c r="AF169" s="35"/>
      <c r="AG169" s="35"/>
      <c r="AH169" s="35"/>
      <c r="AI169" s="34">
        <v>321.2510344827586</v>
      </c>
      <c r="AJ169" s="36">
        <v>321.46653846153845</v>
      </c>
      <c r="AK169" s="36">
        <v>319.38333333333333</v>
      </c>
      <c r="AL169" s="35"/>
      <c r="AM169" s="35"/>
      <c r="AN169" s="35"/>
      <c r="AO169" s="35"/>
      <c r="AP169" s="35"/>
      <c r="AQ169" s="35"/>
      <c r="AR169" s="39">
        <v>274</v>
      </c>
      <c r="AS169" s="40">
        <v>238</v>
      </c>
      <c r="AT169" s="40">
        <v>36</v>
      </c>
      <c r="AU169" s="35"/>
      <c r="AV169" s="35"/>
      <c r="AW169" s="35"/>
      <c r="AX169" s="35"/>
      <c r="AY169" s="35"/>
      <c r="AZ169" s="35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</row>
    <row r="170" spans="1:158" x14ac:dyDescent="0.2">
      <c r="A170" s="33" t="s">
        <v>38</v>
      </c>
      <c r="B170" s="33" t="s">
        <v>351</v>
      </c>
      <c r="C170" s="33" t="s">
        <v>352</v>
      </c>
      <c r="D170" s="34">
        <v>21949.21</v>
      </c>
      <c r="E170" s="36">
        <v>5349.14</v>
      </c>
      <c r="F170" s="36">
        <v>5358.06</v>
      </c>
      <c r="G170" s="36">
        <v>4581.43</v>
      </c>
      <c r="H170" s="36">
        <v>6451.68</v>
      </c>
      <c r="I170" s="36">
        <v>208.9</v>
      </c>
      <c r="J170" s="35"/>
      <c r="K170" s="35"/>
      <c r="L170" s="35"/>
      <c r="M170" s="34">
        <v>24270.65</v>
      </c>
      <c r="N170" s="36">
        <v>5847.12</v>
      </c>
      <c r="O170" s="36">
        <v>6137.16</v>
      </c>
      <c r="P170" s="36">
        <v>5071.3</v>
      </c>
      <c r="Q170" s="36">
        <v>6972.75</v>
      </c>
      <c r="R170" s="36">
        <v>242.32</v>
      </c>
      <c r="S170" s="35"/>
      <c r="T170" s="35"/>
      <c r="U170" s="35"/>
      <c r="V170" s="35"/>
      <c r="W170" s="35"/>
      <c r="X170" s="35"/>
      <c r="Y170" s="35"/>
      <c r="Z170" s="39">
        <v>65</v>
      </c>
      <c r="AA170" s="40">
        <v>15</v>
      </c>
      <c r="AB170" s="40">
        <v>17</v>
      </c>
      <c r="AC170" s="40">
        <v>15</v>
      </c>
      <c r="AD170" s="40">
        <v>17</v>
      </c>
      <c r="AE170" s="40">
        <v>1</v>
      </c>
      <c r="AF170" s="35"/>
      <c r="AG170" s="35"/>
      <c r="AH170" s="35"/>
      <c r="AI170" s="34">
        <v>337.68015384615387</v>
      </c>
      <c r="AJ170" s="36">
        <v>356.60933333333332</v>
      </c>
      <c r="AK170" s="36">
        <v>315.18</v>
      </c>
      <c r="AL170" s="36">
        <v>305.42866666666669</v>
      </c>
      <c r="AM170" s="36">
        <v>379.51058823529411</v>
      </c>
      <c r="AN170" s="36">
        <v>208.9</v>
      </c>
      <c r="AO170" s="35"/>
      <c r="AP170" s="35"/>
      <c r="AQ170" s="35"/>
      <c r="AR170" s="39">
        <v>430.8</v>
      </c>
      <c r="AS170" s="40">
        <v>135.19999999999999</v>
      </c>
      <c r="AT170" s="40">
        <v>130</v>
      </c>
      <c r="AU170" s="40">
        <v>59</v>
      </c>
      <c r="AV170" s="40">
        <v>106.6</v>
      </c>
      <c r="AW170" s="35"/>
      <c r="AX170" s="35"/>
      <c r="AY170" s="35"/>
      <c r="AZ170" s="35"/>
    </row>
    <row r="171" spans="1:158" x14ac:dyDescent="0.2">
      <c r="A171" s="1" t="s">
        <v>38</v>
      </c>
      <c r="B171" s="1" t="s">
        <v>353</v>
      </c>
      <c r="C171" s="1" t="s">
        <v>354</v>
      </c>
      <c r="D171" s="12">
        <v>146610.29999999999</v>
      </c>
      <c r="E171" s="2">
        <v>28726.92</v>
      </c>
      <c r="F171" s="2">
        <v>32624.16</v>
      </c>
      <c r="G171" s="2">
        <v>24836.55</v>
      </c>
      <c r="H171" s="2">
        <v>20131.93</v>
      </c>
      <c r="I171" s="2">
        <v>8454.2199999999993</v>
      </c>
      <c r="J171" s="2">
        <v>20125.68</v>
      </c>
      <c r="K171" s="2">
        <v>11710.84</v>
      </c>
      <c r="L171" s="3"/>
      <c r="M171" s="12">
        <v>170067.96</v>
      </c>
      <c r="N171" s="2">
        <v>33323.230000000003</v>
      </c>
      <c r="O171" s="2">
        <v>37844.03</v>
      </c>
      <c r="P171" s="2">
        <v>28810.400000000001</v>
      </c>
      <c r="Q171" s="2">
        <v>23353.040000000001</v>
      </c>
      <c r="R171" s="2">
        <v>9806.9</v>
      </c>
      <c r="S171" s="2">
        <v>23345.79</v>
      </c>
      <c r="T171" s="2">
        <v>13584.57</v>
      </c>
      <c r="U171" s="3"/>
      <c r="V171" s="3"/>
      <c r="W171" s="3"/>
      <c r="X171" s="3"/>
      <c r="Y171" s="3"/>
      <c r="Z171" s="13">
        <v>376</v>
      </c>
      <c r="AA171" s="4">
        <v>83</v>
      </c>
      <c r="AB171" s="4">
        <v>98</v>
      </c>
      <c r="AC171" s="4">
        <v>56</v>
      </c>
      <c r="AD171" s="4">
        <v>48</v>
      </c>
      <c r="AE171" s="4">
        <v>24</v>
      </c>
      <c r="AF171" s="4">
        <v>38</v>
      </c>
      <c r="AG171" s="4">
        <v>29</v>
      </c>
      <c r="AH171" s="3"/>
      <c r="AI171" s="12">
        <v>389.92101063829784</v>
      </c>
      <c r="AJ171" s="2">
        <v>346.10746987951808</v>
      </c>
      <c r="AK171" s="2">
        <v>332.89959183673471</v>
      </c>
      <c r="AL171" s="2">
        <v>443.50982142857146</v>
      </c>
      <c r="AM171" s="2">
        <v>419.41520833333334</v>
      </c>
      <c r="AN171" s="2">
        <v>352.25916666666666</v>
      </c>
      <c r="AO171" s="2">
        <v>529.62315789473689</v>
      </c>
      <c r="AP171" s="2">
        <v>403.82206896551725</v>
      </c>
      <c r="AQ171" s="3"/>
      <c r="AR171" s="13">
        <v>11286</v>
      </c>
      <c r="AS171" s="4">
        <v>2220</v>
      </c>
      <c r="AT171" s="4">
        <v>1996</v>
      </c>
      <c r="AU171" s="4">
        <v>2190</v>
      </c>
      <c r="AV171" s="4">
        <v>1572</v>
      </c>
      <c r="AW171" s="4">
        <v>618</v>
      </c>
      <c r="AX171" s="4">
        <v>1812</v>
      </c>
      <c r="AY171" s="4">
        <v>878</v>
      </c>
      <c r="AZ171" s="3"/>
    </row>
    <row r="172" spans="1:158" s="41" customFormat="1" x14ac:dyDescent="0.2">
      <c r="A172" s="33" t="s">
        <v>38</v>
      </c>
      <c r="B172" s="33" t="s">
        <v>355</v>
      </c>
      <c r="C172" s="33" t="s">
        <v>356</v>
      </c>
      <c r="D172" s="34">
        <v>12850.35</v>
      </c>
      <c r="E172" s="36">
        <v>451.87</v>
      </c>
      <c r="F172" s="36">
        <v>3599.31</v>
      </c>
      <c r="G172" s="36">
        <v>212.8</v>
      </c>
      <c r="H172" s="36">
        <v>4329.8</v>
      </c>
      <c r="I172" s="36">
        <v>4256.57</v>
      </c>
      <c r="J172" s="35"/>
      <c r="K172" s="35"/>
      <c r="L172" s="35"/>
      <c r="M172" s="34">
        <v>14906.42</v>
      </c>
      <c r="N172" s="36">
        <v>524.16999999999996</v>
      </c>
      <c r="O172" s="36">
        <v>4175.2</v>
      </c>
      <c r="P172" s="36">
        <v>246.85</v>
      </c>
      <c r="Q172" s="36">
        <v>5022.57</v>
      </c>
      <c r="R172" s="36">
        <v>4937.63</v>
      </c>
      <c r="S172" s="35"/>
      <c r="T172" s="35"/>
      <c r="U172" s="35"/>
      <c r="V172" s="35"/>
      <c r="W172" s="35"/>
      <c r="X172" s="35"/>
      <c r="Y172" s="35"/>
      <c r="Z172" s="42"/>
      <c r="AA172" s="35"/>
      <c r="AB172" s="35"/>
      <c r="AC172" s="35"/>
      <c r="AD172" s="35"/>
      <c r="AE172" s="35"/>
      <c r="AF172" s="35"/>
      <c r="AG172" s="35"/>
      <c r="AH172" s="35"/>
      <c r="AI172" s="37" t="s">
        <v>33</v>
      </c>
      <c r="AJ172" s="38" t="s">
        <v>33</v>
      </c>
      <c r="AK172" s="38" t="s">
        <v>33</v>
      </c>
      <c r="AL172" s="38" t="s">
        <v>33</v>
      </c>
      <c r="AM172" s="38" t="s">
        <v>33</v>
      </c>
      <c r="AN172" s="38" t="s">
        <v>33</v>
      </c>
      <c r="AO172" s="35"/>
      <c r="AP172" s="35"/>
      <c r="AQ172" s="35"/>
      <c r="AR172" s="39">
        <v>1176</v>
      </c>
      <c r="AS172" s="40">
        <v>98</v>
      </c>
      <c r="AT172" s="40">
        <v>352</v>
      </c>
      <c r="AU172" s="40">
        <v>56</v>
      </c>
      <c r="AV172" s="40">
        <v>250</v>
      </c>
      <c r="AW172" s="40">
        <v>420</v>
      </c>
      <c r="AX172" s="35"/>
      <c r="AY172" s="35"/>
      <c r="AZ172" s="35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</row>
    <row r="173" spans="1:158" s="41" customFormat="1" x14ac:dyDescent="0.2">
      <c r="A173" s="33" t="s">
        <v>38</v>
      </c>
      <c r="B173" s="33" t="s">
        <v>357</v>
      </c>
      <c r="C173" s="33" t="s">
        <v>358</v>
      </c>
      <c r="D173" s="34">
        <v>32.369999999999997</v>
      </c>
      <c r="E173" s="36">
        <v>32.369999999999997</v>
      </c>
      <c r="F173" s="35"/>
      <c r="G173" s="35"/>
      <c r="H173" s="35"/>
      <c r="I173" s="35"/>
      <c r="J173" s="35"/>
      <c r="K173" s="35"/>
      <c r="L173" s="35"/>
      <c r="M173" s="34">
        <v>37.549999999999997</v>
      </c>
      <c r="N173" s="36">
        <v>37.549999999999997</v>
      </c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42"/>
      <c r="AA173" s="35"/>
      <c r="AB173" s="35"/>
      <c r="AC173" s="35"/>
      <c r="AD173" s="35"/>
      <c r="AE173" s="35"/>
      <c r="AF173" s="35"/>
      <c r="AG173" s="35"/>
      <c r="AH173" s="35"/>
      <c r="AI173" s="37" t="s">
        <v>33</v>
      </c>
      <c r="AJ173" s="38" t="s">
        <v>33</v>
      </c>
      <c r="AK173" s="35"/>
      <c r="AL173" s="35"/>
      <c r="AM173" s="35"/>
      <c r="AN173" s="35"/>
      <c r="AO173" s="35"/>
      <c r="AP173" s="35"/>
      <c r="AQ173" s="35"/>
      <c r="AR173" s="39">
        <v>2</v>
      </c>
      <c r="AS173" s="40">
        <v>2</v>
      </c>
      <c r="AT173" s="35"/>
      <c r="AU173" s="35"/>
      <c r="AV173" s="35"/>
      <c r="AW173" s="35"/>
      <c r="AX173" s="35"/>
      <c r="AY173" s="35"/>
      <c r="AZ173" s="35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</row>
    <row r="174" spans="1:158" s="52" customFormat="1" x14ac:dyDescent="0.2">
      <c r="A174" s="33" t="s">
        <v>38</v>
      </c>
      <c r="B174" s="33" t="s">
        <v>359</v>
      </c>
      <c r="C174" s="33" t="s">
        <v>360</v>
      </c>
      <c r="D174" s="34">
        <v>2642.97</v>
      </c>
      <c r="E174" s="35"/>
      <c r="F174" s="36">
        <v>2400</v>
      </c>
      <c r="G174" s="35"/>
      <c r="H174" s="36">
        <v>242.97</v>
      </c>
      <c r="I174" s="35"/>
      <c r="J174" s="35"/>
      <c r="K174" s="35"/>
      <c r="L174" s="35"/>
      <c r="M174" s="34">
        <v>3065.85</v>
      </c>
      <c r="N174" s="35"/>
      <c r="O174" s="36">
        <v>2784</v>
      </c>
      <c r="P174" s="35"/>
      <c r="Q174" s="36">
        <v>281.85000000000002</v>
      </c>
      <c r="R174" s="35"/>
      <c r="S174" s="35"/>
      <c r="T174" s="35"/>
      <c r="U174" s="35"/>
      <c r="V174" s="35"/>
      <c r="W174" s="35"/>
      <c r="X174" s="35"/>
      <c r="Y174" s="35"/>
      <c r="Z174" s="42"/>
      <c r="AA174" s="35"/>
      <c r="AB174" s="35"/>
      <c r="AC174" s="35"/>
      <c r="AD174" s="35"/>
      <c r="AE174" s="35"/>
      <c r="AF174" s="35"/>
      <c r="AG174" s="35"/>
      <c r="AH174" s="35"/>
      <c r="AI174" s="37" t="s">
        <v>33</v>
      </c>
      <c r="AJ174" s="35"/>
      <c r="AK174" s="38" t="s">
        <v>33</v>
      </c>
      <c r="AL174" s="35"/>
      <c r="AM174" s="38" t="s">
        <v>33</v>
      </c>
      <c r="AN174" s="35"/>
      <c r="AO174" s="35"/>
      <c r="AP174" s="35"/>
      <c r="AQ174" s="35"/>
      <c r="AR174" s="39">
        <v>26</v>
      </c>
      <c r="AS174" s="35"/>
      <c r="AT174" s="35"/>
      <c r="AU174" s="35"/>
      <c r="AV174" s="40">
        <v>26</v>
      </c>
      <c r="AW174" s="35"/>
      <c r="AX174" s="35"/>
      <c r="AY174" s="35"/>
      <c r="AZ174" s="35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</row>
    <row r="175" spans="1:158" x14ac:dyDescent="0.2">
      <c r="A175" s="1" t="s">
        <v>38</v>
      </c>
      <c r="B175" s="1" t="s">
        <v>361</v>
      </c>
      <c r="C175" s="1" t="s">
        <v>362</v>
      </c>
      <c r="D175" s="12">
        <v>80473.47</v>
      </c>
      <c r="E175" s="2">
        <v>5093.2299999999996</v>
      </c>
      <c r="F175" s="2">
        <v>46498.82</v>
      </c>
      <c r="G175" s="2">
        <v>8120.68</v>
      </c>
      <c r="H175" s="2">
        <v>2751.86</v>
      </c>
      <c r="I175" s="2">
        <v>13205.35</v>
      </c>
      <c r="J175" s="2">
        <v>2402.7800000000002</v>
      </c>
      <c r="K175" s="2">
        <v>2400.75</v>
      </c>
      <c r="L175" s="3"/>
      <c r="M175" s="12">
        <v>93349.23</v>
      </c>
      <c r="N175" s="2">
        <v>5908.15</v>
      </c>
      <c r="O175" s="2">
        <v>53938.63</v>
      </c>
      <c r="P175" s="2">
        <v>9419.99</v>
      </c>
      <c r="Q175" s="2">
        <v>3192.16</v>
      </c>
      <c r="R175" s="2">
        <v>15318.21</v>
      </c>
      <c r="S175" s="2">
        <v>2787.22</v>
      </c>
      <c r="T175" s="2">
        <v>2784.87</v>
      </c>
      <c r="U175" s="3"/>
      <c r="V175" s="3"/>
      <c r="W175" s="3"/>
      <c r="X175" s="3"/>
      <c r="Y175" s="3"/>
      <c r="Z175" s="13">
        <v>65</v>
      </c>
      <c r="AA175" s="4">
        <v>3</v>
      </c>
      <c r="AB175" s="4">
        <v>46</v>
      </c>
      <c r="AC175" s="4">
        <v>6</v>
      </c>
      <c r="AD175" s="4">
        <v>2</v>
      </c>
      <c r="AE175" s="4">
        <v>6</v>
      </c>
      <c r="AF175" s="4">
        <v>1</v>
      </c>
      <c r="AG175" s="4">
        <v>1</v>
      </c>
      <c r="AH175" s="3"/>
      <c r="AI175" s="12">
        <v>1238.0533846153846</v>
      </c>
      <c r="AJ175" s="2">
        <v>1697.7433333333333</v>
      </c>
      <c r="AK175" s="2">
        <v>1010.8439130434782</v>
      </c>
      <c r="AL175" s="2">
        <v>1353.4466666666667</v>
      </c>
      <c r="AM175" s="2">
        <v>1375.93</v>
      </c>
      <c r="AN175" s="2">
        <v>2200.8916666666669</v>
      </c>
      <c r="AO175" s="2">
        <v>2402.7800000000002</v>
      </c>
      <c r="AP175" s="2">
        <v>2400.75</v>
      </c>
      <c r="AQ175" s="3"/>
      <c r="AR175" s="13">
        <v>1486</v>
      </c>
      <c r="AS175" s="4">
        <v>12</v>
      </c>
      <c r="AT175" s="4">
        <v>1378</v>
      </c>
      <c r="AU175" s="4">
        <v>54</v>
      </c>
      <c r="AV175" s="4">
        <v>42</v>
      </c>
      <c r="AW175" s="3"/>
      <c r="AX175" s="3"/>
      <c r="AY175" s="3"/>
      <c r="AZ175" s="3"/>
    </row>
    <row r="176" spans="1:158" x14ac:dyDescent="0.2">
      <c r="A176" s="1" t="s">
        <v>38</v>
      </c>
      <c r="B176" s="1" t="s">
        <v>363</v>
      </c>
      <c r="C176" s="1" t="s">
        <v>364</v>
      </c>
      <c r="D176" s="12">
        <v>15183</v>
      </c>
      <c r="E176" s="3"/>
      <c r="F176" s="3"/>
      <c r="G176" s="3"/>
      <c r="H176" s="3"/>
      <c r="I176" s="3"/>
      <c r="J176" s="3"/>
      <c r="K176" s="2">
        <v>15183</v>
      </c>
      <c r="L176" s="3"/>
      <c r="M176" s="12">
        <v>17612.28</v>
      </c>
      <c r="N176" s="3"/>
      <c r="O176" s="3"/>
      <c r="P176" s="3"/>
      <c r="Q176" s="3"/>
      <c r="R176" s="3"/>
      <c r="S176" s="3"/>
      <c r="T176" s="2">
        <v>17612.28</v>
      </c>
      <c r="U176" s="3"/>
      <c r="V176" s="3"/>
      <c r="W176" s="3"/>
      <c r="X176" s="3"/>
      <c r="Y176" s="3"/>
      <c r="Z176" s="13">
        <v>50</v>
      </c>
      <c r="AA176" s="3"/>
      <c r="AB176" s="3"/>
      <c r="AC176" s="3"/>
      <c r="AD176" s="3"/>
      <c r="AE176" s="3"/>
      <c r="AF176" s="3"/>
      <c r="AG176" s="4">
        <v>50</v>
      </c>
      <c r="AH176" s="3"/>
      <c r="AI176" s="12">
        <v>303.66000000000003</v>
      </c>
      <c r="AJ176" s="3"/>
      <c r="AK176" s="3"/>
      <c r="AL176" s="3"/>
      <c r="AM176" s="3"/>
      <c r="AN176" s="3"/>
      <c r="AO176" s="3"/>
      <c r="AP176" s="2">
        <v>303.66000000000003</v>
      </c>
      <c r="AQ176" s="3"/>
      <c r="AR176" s="17"/>
      <c r="AS176" s="3"/>
      <c r="AT176" s="3"/>
      <c r="AU176" s="3"/>
      <c r="AV176" s="3"/>
      <c r="AW176" s="3"/>
      <c r="AX176" s="3"/>
      <c r="AY176" s="3"/>
      <c r="AZ176" s="3"/>
    </row>
    <row r="177" spans="1:158" s="41" customFormat="1" x14ac:dyDescent="0.2">
      <c r="A177" s="33" t="s">
        <v>38</v>
      </c>
      <c r="B177" s="33" t="s">
        <v>365</v>
      </c>
      <c r="C177" s="33" t="s">
        <v>366</v>
      </c>
      <c r="D177" s="34">
        <v>2843.23</v>
      </c>
      <c r="E177" s="36">
        <v>1845.21</v>
      </c>
      <c r="F177" s="36">
        <v>237.66</v>
      </c>
      <c r="G177" s="35"/>
      <c r="H177" s="35"/>
      <c r="I177" s="36">
        <v>760.36</v>
      </c>
      <c r="J177" s="35"/>
      <c r="K177" s="35"/>
      <c r="L177" s="35"/>
      <c r="M177" s="34">
        <v>3298.15</v>
      </c>
      <c r="N177" s="36">
        <v>2140.44</v>
      </c>
      <c r="O177" s="36">
        <v>275.69</v>
      </c>
      <c r="P177" s="35"/>
      <c r="Q177" s="35"/>
      <c r="R177" s="36">
        <v>882.02</v>
      </c>
      <c r="S177" s="35"/>
      <c r="T177" s="35"/>
      <c r="U177" s="35"/>
      <c r="V177" s="35"/>
      <c r="W177" s="35"/>
      <c r="X177" s="35"/>
      <c r="Y177" s="35"/>
      <c r="Z177" s="39">
        <v>4</v>
      </c>
      <c r="AA177" s="40">
        <v>1</v>
      </c>
      <c r="AB177" s="40">
        <v>1</v>
      </c>
      <c r="AC177" s="35"/>
      <c r="AD177" s="35"/>
      <c r="AE177" s="40">
        <v>2</v>
      </c>
      <c r="AF177" s="35"/>
      <c r="AG177" s="35"/>
      <c r="AH177" s="35"/>
      <c r="AI177" s="34">
        <v>710.8075</v>
      </c>
      <c r="AJ177" s="36">
        <v>1845.21</v>
      </c>
      <c r="AK177" s="36">
        <v>237.66</v>
      </c>
      <c r="AL177" s="35"/>
      <c r="AM177" s="35"/>
      <c r="AN177" s="36">
        <v>380.18</v>
      </c>
      <c r="AO177" s="35"/>
      <c r="AP177" s="35"/>
      <c r="AQ177" s="35"/>
      <c r="AR177" s="39">
        <v>8</v>
      </c>
      <c r="AS177" s="35"/>
      <c r="AT177" s="35"/>
      <c r="AU177" s="35"/>
      <c r="AV177" s="35"/>
      <c r="AW177" s="40">
        <v>8</v>
      </c>
      <c r="AX177" s="35"/>
      <c r="AY177" s="35"/>
      <c r="AZ177" s="35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</row>
    <row r="178" spans="1:158" x14ac:dyDescent="0.2">
      <c r="A178" s="33" t="s">
        <v>38</v>
      </c>
      <c r="B178" s="33" t="s">
        <v>367</v>
      </c>
      <c r="C178" s="33" t="s">
        <v>368</v>
      </c>
      <c r="D178" s="34">
        <v>1155.3399999999999</v>
      </c>
      <c r="E178" s="36">
        <v>64.41</v>
      </c>
      <c r="F178" s="35"/>
      <c r="G178" s="36">
        <v>87.25</v>
      </c>
      <c r="H178" s="36">
        <v>298.62</v>
      </c>
      <c r="I178" s="36">
        <v>170.8</v>
      </c>
      <c r="J178" s="36">
        <v>312.27999999999997</v>
      </c>
      <c r="K178" s="36">
        <v>221.98</v>
      </c>
      <c r="L178" s="35"/>
      <c r="M178" s="34">
        <v>1340.2</v>
      </c>
      <c r="N178" s="36">
        <v>74.72</v>
      </c>
      <c r="O178" s="35"/>
      <c r="P178" s="36">
        <v>101.21</v>
      </c>
      <c r="Q178" s="36">
        <v>346.4</v>
      </c>
      <c r="R178" s="36">
        <v>198.13</v>
      </c>
      <c r="S178" s="36">
        <v>362.24</v>
      </c>
      <c r="T178" s="36">
        <v>257.5</v>
      </c>
      <c r="U178" s="35"/>
      <c r="V178" s="35"/>
      <c r="W178" s="35"/>
      <c r="X178" s="35"/>
      <c r="Y178" s="35"/>
      <c r="Z178" s="42"/>
      <c r="AA178" s="35"/>
      <c r="AB178" s="35"/>
      <c r="AC178" s="35"/>
      <c r="AD178" s="35"/>
      <c r="AE178" s="35"/>
      <c r="AF178" s="35"/>
      <c r="AG178" s="35"/>
      <c r="AH178" s="35"/>
      <c r="AI178" s="37" t="s">
        <v>33</v>
      </c>
      <c r="AJ178" s="38" t="s">
        <v>33</v>
      </c>
      <c r="AK178" s="35"/>
      <c r="AL178" s="38" t="s">
        <v>33</v>
      </c>
      <c r="AM178" s="38" t="s">
        <v>33</v>
      </c>
      <c r="AN178" s="38" t="s">
        <v>33</v>
      </c>
      <c r="AO178" s="38" t="s">
        <v>33</v>
      </c>
      <c r="AP178" s="38" t="s">
        <v>33</v>
      </c>
      <c r="AQ178" s="35"/>
      <c r="AR178" s="39">
        <v>56</v>
      </c>
      <c r="AS178" s="40">
        <v>4</v>
      </c>
      <c r="AT178" s="35"/>
      <c r="AU178" s="40">
        <v>6</v>
      </c>
      <c r="AV178" s="40">
        <v>14</v>
      </c>
      <c r="AW178" s="40">
        <v>10</v>
      </c>
      <c r="AX178" s="40">
        <v>12</v>
      </c>
      <c r="AY178" s="40">
        <v>10</v>
      </c>
      <c r="AZ178" s="35"/>
    </row>
    <row r="179" spans="1:158" s="41" customFormat="1" x14ac:dyDescent="0.2">
      <c r="A179" s="43" t="s">
        <v>38</v>
      </c>
      <c r="B179" s="43" t="s">
        <v>369</v>
      </c>
      <c r="C179" s="43" t="s">
        <v>370</v>
      </c>
      <c r="D179" s="44">
        <v>14968.86</v>
      </c>
      <c r="E179" s="46"/>
      <c r="F179" s="46"/>
      <c r="G179" s="45">
        <v>10885.93</v>
      </c>
      <c r="H179" s="46"/>
      <c r="I179" s="45">
        <v>4082.93</v>
      </c>
      <c r="J179" s="46"/>
      <c r="K179" s="46"/>
      <c r="L179" s="46"/>
      <c r="M179" s="44">
        <v>17363.88</v>
      </c>
      <c r="N179" s="46"/>
      <c r="O179" s="46"/>
      <c r="P179" s="45">
        <v>12627.68</v>
      </c>
      <c r="Q179" s="46"/>
      <c r="R179" s="45">
        <v>4736.2</v>
      </c>
      <c r="S179" s="46"/>
      <c r="T179" s="46"/>
      <c r="U179" s="46"/>
      <c r="V179" s="46"/>
      <c r="W179" s="46"/>
      <c r="X179" s="46"/>
      <c r="Y179" s="46"/>
      <c r="Z179" s="50">
        <v>11</v>
      </c>
      <c r="AA179" s="46"/>
      <c r="AB179" s="46"/>
      <c r="AC179" s="51">
        <v>10</v>
      </c>
      <c r="AD179" s="46"/>
      <c r="AE179" s="51">
        <v>1</v>
      </c>
      <c r="AF179" s="46"/>
      <c r="AG179" s="46"/>
      <c r="AH179" s="46"/>
      <c r="AI179" s="44">
        <v>1360.8054545454545</v>
      </c>
      <c r="AJ179" s="46"/>
      <c r="AK179" s="46"/>
      <c r="AL179" s="45">
        <v>1088.5930000000001</v>
      </c>
      <c r="AM179" s="46"/>
      <c r="AN179" s="45">
        <v>4082.93</v>
      </c>
      <c r="AO179" s="46"/>
      <c r="AP179" s="46"/>
      <c r="AQ179" s="46"/>
      <c r="AR179" s="50">
        <v>190</v>
      </c>
      <c r="AS179" s="46"/>
      <c r="AT179" s="46"/>
      <c r="AU179" s="51">
        <v>190</v>
      </c>
      <c r="AV179" s="46"/>
      <c r="AW179" s="46"/>
      <c r="AX179" s="46"/>
      <c r="AY179" s="46"/>
      <c r="AZ179" s="46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</row>
    <row r="180" spans="1:158" s="41" customFormat="1" x14ac:dyDescent="0.2">
      <c r="A180" s="1" t="s">
        <v>38</v>
      </c>
      <c r="B180" s="1" t="s">
        <v>371</v>
      </c>
      <c r="C180" s="1" t="s">
        <v>372</v>
      </c>
      <c r="D180" s="12">
        <v>128146.56</v>
      </c>
      <c r="E180" s="2">
        <v>67168.320000000007</v>
      </c>
      <c r="F180" s="2">
        <v>4994.71</v>
      </c>
      <c r="G180" s="2">
        <v>22271.74</v>
      </c>
      <c r="H180" s="2">
        <v>6701.91</v>
      </c>
      <c r="I180" s="2">
        <v>18416.75</v>
      </c>
      <c r="J180" s="2">
        <v>4204.72</v>
      </c>
      <c r="K180" s="2">
        <v>3589.49</v>
      </c>
      <c r="L180" s="2">
        <v>798.92</v>
      </c>
      <c r="M180" s="12">
        <v>148649.99</v>
      </c>
      <c r="N180" s="2">
        <v>77915.240000000005</v>
      </c>
      <c r="O180" s="2">
        <v>5793.87</v>
      </c>
      <c r="P180" s="2">
        <v>25835.22</v>
      </c>
      <c r="Q180" s="2">
        <v>7774.21</v>
      </c>
      <c r="R180" s="2">
        <v>21363.43</v>
      </c>
      <c r="S180" s="2">
        <v>4877.47</v>
      </c>
      <c r="T180" s="2">
        <v>4163.8</v>
      </c>
      <c r="U180" s="2">
        <v>926.75</v>
      </c>
      <c r="V180" s="2"/>
      <c r="W180" s="2"/>
      <c r="X180" s="2"/>
      <c r="Y180" s="2"/>
      <c r="Z180" s="13">
        <v>668</v>
      </c>
      <c r="AA180" s="4">
        <v>342</v>
      </c>
      <c r="AB180" s="4">
        <v>11</v>
      </c>
      <c r="AC180" s="4">
        <v>140</v>
      </c>
      <c r="AD180" s="4">
        <v>30</v>
      </c>
      <c r="AE180" s="4">
        <v>112</v>
      </c>
      <c r="AF180" s="4">
        <v>16</v>
      </c>
      <c r="AG180" s="4">
        <v>17</v>
      </c>
      <c r="AH180" s="3"/>
      <c r="AI180" s="12">
        <v>191.83616766467065</v>
      </c>
      <c r="AJ180" s="2">
        <v>196.39859649122806</v>
      </c>
      <c r="AK180" s="2">
        <v>454.06454545454545</v>
      </c>
      <c r="AL180" s="2">
        <v>159.08385714285714</v>
      </c>
      <c r="AM180" s="2">
        <v>223.39699999999999</v>
      </c>
      <c r="AN180" s="2">
        <v>164.43526785714286</v>
      </c>
      <c r="AO180" s="2">
        <v>262.79500000000002</v>
      </c>
      <c r="AP180" s="2">
        <v>211.1464705882353</v>
      </c>
      <c r="AQ180" s="5" t="s">
        <v>33</v>
      </c>
      <c r="AR180" s="13">
        <v>526</v>
      </c>
      <c r="AS180" s="4">
        <v>64</v>
      </c>
      <c r="AT180" s="4">
        <v>158</v>
      </c>
      <c r="AU180" s="4">
        <v>40</v>
      </c>
      <c r="AV180" s="4">
        <v>84</v>
      </c>
      <c r="AW180" s="4">
        <v>22</v>
      </c>
      <c r="AX180" s="4">
        <v>84</v>
      </c>
      <c r="AY180" s="4">
        <v>34</v>
      </c>
      <c r="AZ180" s="4">
        <v>40</v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</row>
    <row r="181" spans="1:158" x14ac:dyDescent="0.2">
      <c r="A181" s="1" t="s">
        <v>38</v>
      </c>
      <c r="B181" s="1" t="s">
        <v>373</v>
      </c>
      <c r="C181" s="1" t="s">
        <v>374</v>
      </c>
      <c r="D181" s="12">
        <v>147364.07</v>
      </c>
      <c r="E181" s="2">
        <v>43030.01</v>
      </c>
      <c r="F181" s="2">
        <v>10961.14</v>
      </c>
      <c r="G181" s="2">
        <v>2405.73</v>
      </c>
      <c r="H181" s="2">
        <v>44151.17</v>
      </c>
      <c r="I181" s="2">
        <v>4111.16</v>
      </c>
      <c r="J181" s="2">
        <v>16492.54</v>
      </c>
      <c r="K181" s="2">
        <v>26212.32</v>
      </c>
      <c r="L181" s="3"/>
      <c r="M181" s="12">
        <v>170942.33</v>
      </c>
      <c r="N181" s="2">
        <v>49914.81</v>
      </c>
      <c r="O181" s="2">
        <v>12714.92</v>
      </c>
      <c r="P181" s="2">
        <v>2790.65</v>
      </c>
      <c r="Q181" s="2">
        <v>51215.360000000001</v>
      </c>
      <c r="R181" s="2">
        <v>4768.95</v>
      </c>
      <c r="S181" s="2">
        <v>19131.349999999999</v>
      </c>
      <c r="T181" s="2">
        <v>30406.29</v>
      </c>
      <c r="U181" s="3"/>
      <c r="V181" s="3"/>
      <c r="W181" s="3"/>
      <c r="X181" s="3"/>
      <c r="Y181" s="3"/>
      <c r="Z181" s="13">
        <v>11</v>
      </c>
      <c r="AA181" s="3"/>
      <c r="AB181" s="3"/>
      <c r="AC181" s="3"/>
      <c r="AD181" s="4">
        <v>6</v>
      </c>
      <c r="AE181" s="3"/>
      <c r="AF181" s="4">
        <v>2</v>
      </c>
      <c r="AG181" s="4">
        <v>3</v>
      </c>
      <c r="AH181" s="3"/>
      <c r="AI181" s="12">
        <v>13396.733636363637</v>
      </c>
      <c r="AJ181" s="5" t="s">
        <v>33</v>
      </c>
      <c r="AK181" s="5" t="s">
        <v>33</v>
      </c>
      <c r="AL181" s="5" t="s">
        <v>33</v>
      </c>
      <c r="AM181" s="2">
        <v>7358.5283333333336</v>
      </c>
      <c r="AN181" s="5" t="s">
        <v>33</v>
      </c>
      <c r="AO181" s="2">
        <v>8246.27</v>
      </c>
      <c r="AP181" s="2">
        <v>8737.44</v>
      </c>
      <c r="AQ181" s="3"/>
      <c r="AR181" s="13">
        <v>5338</v>
      </c>
      <c r="AS181" s="4">
        <v>1272</v>
      </c>
      <c r="AT181" s="4">
        <v>600</v>
      </c>
      <c r="AU181" s="4">
        <v>120</v>
      </c>
      <c r="AV181" s="4">
        <v>36</v>
      </c>
      <c r="AW181" s="4">
        <v>350</v>
      </c>
      <c r="AX181" s="4">
        <v>1240</v>
      </c>
      <c r="AY181" s="4">
        <v>1720</v>
      </c>
      <c r="AZ181" s="3"/>
    </row>
    <row r="182" spans="1:158" s="41" customFormat="1" x14ac:dyDescent="0.2">
      <c r="A182" s="33" t="s">
        <v>38</v>
      </c>
      <c r="B182" s="33" t="s">
        <v>375</v>
      </c>
      <c r="C182" s="33" t="s">
        <v>376</v>
      </c>
      <c r="D182" s="34">
        <v>6128.35</v>
      </c>
      <c r="E182" s="36">
        <v>847.41</v>
      </c>
      <c r="F182" s="36">
        <v>1500</v>
      </c>
      <c r="G182" s="36">
        <v>1816.28</v>
      </c>
      <c r="H182" s="36">
        <v>1444.87</v>
      </c>
      <c r="I182" s="36">
        <v>519.79</v>
      </c>
      <c r="J182" s="35"/>
      <c r="K182" s="35"/>
      <c r="L182" s="35"/>
      <c r="M182" s="34">
        <v>7108.89</v>
      </c>
      <c r="N182" s="36">
        <v>983</v>
      </c>
      <c r="O182" s="36">
        <v>1740</v>
      </c>
      <c r="P182" s="36">
        <v>2106.88</v>
      </c>
      <c r="Q182" s="36">
        <v>1676.05</v>
      </c>
      <c r="R182" s="36">
        <v>602.96</v>
      </c>
      <c r="S182" s="35"/>
      <c r="T182" s="35"/>
      <c r="U182" s="35"/>
      <c r="V182" s="35"/>
      <c r="W182" s="35"/>
      <c r="X182" s="35"/>
      <c r="Y182" s="35"/>
      <c r="Z182" s="42"/>
      <c r="AA182" s="35"/>
      <c r="AB182" s="35"/>
      <c r="AC182" s="35"/>
      <c r="AD182" s="35"/>
      <c r="AE182" s="35"/>
      <c r="AF182" s="35"/>
      <c r="AG182" s="35"/>
      <c r="AH182" s="35"/>
      <c r="AI182" s="37" t="s">
        <v>33</v>
      </c>
      <c r="AJ182" s="38" t="s">
        <v>33</v>
      </c>
      <c r="AK182" s="38" t="s">
        <v>33</v>
      </c>
      <c r="AL182" s="38" t="s">
        <v>33</v>
      </c>
      <c r="AM182" s="38" t="s">
        <v>33</v>
      </c>
      <c r="AN182" s="38" t="s">
        <v>33</v>
      </c>
      <c r="AO182" s="35"/>
      <c r="AP182" s="35"/>
      <c r="AQ182" s="35"/>
      <c r="AR182" s="39">
        <v>188</v>
      </c>
      <c r="AS182" s="40">
        <v>32</v>
      </c>
      <c r="AT182" s="40">
        <v>48</v>
      </c>
      <c r="AU182" s="40">
        <v>54</v>
      </c>
      <c r="AV182" s="40">
        <v>46</v>
      </c>
      <c r="AW182" s="40">
        <v>8</v>
      </c>
      <c r="AX182" s="35"/>
      <c r="AY182" s="35"/>
      <c r="AZ182" s="35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</row>
    <row r="183" spans="1:158" s="41" customFormat="1" x14ac:dyDescent="0.2">
      <c r="A183" s="1" t="s">
        <v>38</v>
      </c>
      <c r="B183" s="1" t="s">
        <v>377</v>
      </c>
      <c r="C183" s="1" t="s">
        <v>378</v>
      </c>
      <c r="D183" s="12">
        <v>115.14</v>
      </c>
      <c r="E183" s="3"/>
      <c r="F183" s="3"/>
      <c r="G183" s="3"/>
      <c r="H183" s="3"/>
      <c r="I183" s="3"/>
      <c r="J183" s="2">
        <v>115.14</v>
      </c>
      <c r="K183" s="3"/>
      <c r="L183" s="3"/>
      <c r="M183" s="12">
        <v>133.56</v>
      </c>
      <c r="N183" s="3"/>
      <c r="O183" s="3"/>
      <c r="P183" s="3"/>
      <c r="Q183" s="3"/>
      <c r="R183" s="3"/>
      <c r="S183" s="2">
        <v>133.56</v>
      </c>
      <c r="T183" s="3"/>
      <c r="U183" s="3"/>
      <c r="V183" s="3"/>
      <c r="W183" s="3"/>
      <c r="X183" s="3"/>
      <c r="Y183" s="3"/>
      <c r="Z183" s="17"/>
      <c r="AA183" s="3"/>
      <c r="AB183" s="3"/>
      <c r="AC183" s="3"/>
      <c r="AD183" s="3"/>
      <c r="AE183" s="3"/>
      <c r="AF183" s="3"/>
      <c r="AG183" s="3"/>
      <c r="AH183" s="3"/>
      <c r="AI183" s="16" t="s">
        <v>33</v>
      </c>
      <c r="AJ183" s="3"/>
      <c r="AK183" s="3"/>
      <c r="AL183" s="3"/>
      <c r="AM183" s="3"/>
      <c r="AN183" s="3"/>
      <c r="AO183" s="5" t="s">
        <v>33</v>
      </c>
      <c r="AP183" s="3"/>
      <c r="AQ183" s="3"/>
      <c r="AR183" s="13">
        <v>2</v>
      </c>
      <c r="AS183" s="3"/>
      <c r="AT183" s="3"/>
      <c r="AU183" s="3"/>
      <c r="AV183" s="3"/>
      <c r="AW183" s="3"/>
      <c r="AX183" s="4">
        <v>2</v>
      </c>
      <c r="AY183" s="3"/>
      <c r="AZ183" s="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</row>
    <row r="184" spans="1:158" x14ac:dyDescent="0.2">
      <c r="A184" s="33" t="s">
        <v>38</v>
      </c>
      <c r="B184" s="33" t="s">
        <v>379</v>
      </c>
      <c r="C184" s="33" t="s">
        <v>380</v>
      </c>
      <c r="D184" s="34">
        <v>3082.11</v>
      </c>
      <c r="E184" s="36">
        <v>2029.91</v>
      </c>
      <c r="F184" s="36">
        <v>2977.83</v>
      </c>
      <c r="G184" s="35"/>
      <c r="H184" s="36">
        <v>-1378.93</v>
      </c>
      <c r="I184" s="36">
        <v>-546.70000000000005</v>
      </c>
      <c r="J184" s="35"/>
      <c r="K184" s="35"/>
      <c r="L184" s="35"/>
      <c r="M184" s="34">
        <v>3575.25</v>
      </c>
      <c r="N184" s="36">
        <v>2354.6999999999998</v>
      </c>
      <c r="O184" s="36">
        <v>3454.28</v>
      </c>
      <c r="P184" s="35"/>
      <c r="Q184" s="36">
        <v>-1599.55</v>
      </c>
      <c r="R184" s="36">
        <v>-634.17999999999995</v>
      </c>
      <c r="S184" s="35"/>
      <c r="T184" s="35"/>
      <c r="U184" s="35"/>
      <c r="V184" s="35"/>
      <c r="W184" s="35"/>
      <c r="X184" s="35"/>
      <c r="Y184" s="35"/>
      <c r="Z184" s="39">
        <v>24</v>
      </c>
      <c r="AA184" s="40">
        <v>10</v>
      </c>
      <c r="AB184" s="40">
        <v>13</v>
      </c>
      <c r="AC184" s="35"/>
      <c r="AD184" s="40">
        <v>3</v>
      </c>
      <c r="AE184" s="40">
        <v>-2</v>
      </c>
      <c r="AF184" s="35"/>
      <c r="AG184" s="35"/>
      <c r="AH184" s="35"/>
      <c r="AI184" s="34">
        <v>128.42124999999999</v>
      </c>
      <c r="AJ184" s="36">
        <v>202.99100000000001</v>
      </c>
      <c r="AK184" s="36">
        <v>229.06384615384616</v>
      </c>
      <c r="AL184" s="35"/>
      <c r="AM184" s="36">
        <v>-459.64333333333332</v>
      </c>
      <c r="AN184" s="36">
        <v>273.35000000000002</v>
      </c>
      <c r="AO184" s="35"/>
      <c r="AP184" s="35"/>
      <c r="AQ184" s="35"/>
      <c r="AR184" s="39">
        <v>52</v>
      </c>
      <c r="AS184" s="40">
        <v>28</v>
      </c>
      <c r="AT184" s="40">
        <v>108</v>
      </c>
      <c r="AU184" s="35"/>
      <c r="AV184" s="40">
        <v>-80</v>
      </c>
      <c r="AW184" s="40">
        <v>-4</v>
      </c>
      <c r="AX184" s="35"/>
      <c r="AY184" s="35"/>
      <c r="AZ184" s="35"/>
    </row>
    <row r="185" spans="1:158" s="52" customFormat="1" x14ac:dyDescent="0.2">
      <c r="A185" s="33" t="s">
        <v>38</v>
      </c>
      <c r="B185" s="33" t="s">
        <v>381</v>
      </c>
      <c r="C185" s="33" t="s">
        <v>382</v>
      </c>
      <c r="D185" s="34">
        <v>-43380</v>
      </c>
      <c r="E185" s="35"/>
      <c r="F185" s="35"/>
      <c r="G185" s="35"/>
      <c r="H185" s="35"/>
      <c r="I185" s="36">
        <v>-43380</v>
      </c>
      <c r="J185" s="35"/>
      <c r="K185" s="35"/>
      <c r="L185" s="35"/>
      <c r="M185" s="34">
        <v>-50320.800000000003</v>
      </c>
      <c r="N185" s="35"/>
      <c r="O185" s="35"/>
      <c r="P185" s="35"/>
      <c r="Q185" s="35"/>
      <c r="R185" s="36">
        <v>-50320.800000000003</v>
      </c>
      <c r="S185" s="35"/>
      <c r="T185" s="35"/>
      <c r="U185" s="35"/>
      <c r="V185" s="35"/>
      <c r="W185" s="35"/>
      <c r="X185" s="35"/>
      <c r="Y185" s="35"/>
      <c r="Z185" s="39">
        <v>-241</v>
      </c>
      <c r="AA185" s="35"/>
      <c r="AB185" s="35"/>
      <c r="AC185" s="35"/>
      <c r="AD185" s="35"/>
      <c r="AE185" s="40">
        <v>-241</v>
      </c>
      <c r="AF185" s="35"/>
      <c r="AG185" s="35"/>
      <c r="AH185" s="35"/>
      <c r="AI185" s="34">
        <v>180</v>
      </c>
      <c r="AJ185" s="35"/>
      <c r="AK185" s="35"/>
      <c r="AL185" s="35"/>
      <c r="AM185" s="35"/>
      <c r="AN185" s="36">
        <v>180</v>
      </c>
      <c r="AO185" s="35"/>
      <c r="AP185" s="35"/>
      <c r="AQ185" s="35"/>
      <c r="AR185" s="42"/>
      <c r="AS185" s="35"/>
      <c r="AT185" s="35"/>
      <c r="AU185" s="35"/>
      <c r="AV185" s="35"/>
      <c r="AW185" s="35"/>
      <c r="AX185" s="35"/>
      <c r="AY185" s="35"/>
      <c r="AZ185" s="3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</row>
    <row r="186" spans="1:158" x14ac:dyDescent="0.2">
      <c r="A186" s="1" t="s">
        <v>38</v>
      </c>
      <c r="B186" s="1" t="s">
        <v>383</v>
      </c>
      <c r="C186" s="1" t="s">
        <v>384</v>
      </c>
      <c r="D186" s="12">
        <v>434508.99</v>
      </c>
      <c r="E186" s="2">
        <v>72155.570000000007</v>
      </c>
      <c r="F186" s="2">
        <v>12407.87</v>
      </c>
      <c r="G186" s="2">
        <v>16688.71</v>
      </c>
      <c r="H186" s="2">
        <v>65086.82</v>
      </c>
      <c r="I186" s="2">
        <v>98296.41</v>
      </c>
      <c r="J186" s="2">
        <v>86027.43</v>
      </c>
      <c r="K186" s="2">
        <v>83846.179999999993</v>
      </c>
      <c r="L186" s="3"/>
      <c r="M186" s="12">
        <v>503803.31</v>
      </c>
      <c r="N186" s="2">
        <v>83700.460000000006</v>
      </c>
      <c r="O186" s="2">
        <v>14393.13</v>
      </c>
      <c r="P186" s="2">
        <v>19358.900000000001</v>
      </c>
      <c r="Q186" s="2">
        <v>75403.05</v>
      </c>
      <c r="R186" s="2">
        <v>113908.65</v>
      </c>
      <c r="S186" s="2">
        <v>99777.55</v>
      </c>
      <c r="T186" s="2">
        <v>97261.57</v>
      </c>
      <c r="U186" s="3"/>
      <c r="V186" s="3"/>
      <c r="W186" s="3"/>
      <c r="X186" s="3"/>
      <c r="Y186" s="3"/>
      <c r="Z186" s="13">
        <v>595</v>
      </c>
      <c r="AA186" s="4">
        <v>126</v>
      </c>
      <c r="AB186" s="4">
        <v>30</v>
      </c>
      <c r="AC186" s="4">
        <v>24</v>
      </c>
      <c r="AD186" s="4">
        <v>113</v>
      </c>
      <c r="AE186" s="4">
        <v>112</v>
      </c>
      <c r="AF186" s="4">
        <v>101</v>
      </c>
      <c r="AG186" s="4">
        <v>89</v>
      </c>
      <c r="AH186" s="3"/>
      <c r="AI186" s="12">
        <v>730.26721008403365</v>
      </c>
      <c r="AJ186" s="2">
        <v>572.66325396825403</v>
      </c>
      <c r="AK186" s="2">
        <v>413.59566666666666</v>
      </c>
      <c r="AL186" s="2">
        <v>695.36291666666671</v>
      </c>
      <c r="AM186" s="2">
        <v>575.98955752212385</v>
      </c>
      <c r="AN186" s="2">
        <v>877.64651785714284</v>
      </c>
      <c r="AO186" s="2">
        <v>851.75673267326738</v>
      </c>
      <c r="AP186" s="2">
        <v>942.09191011235953</v>
      </c>
      <c r="AQ186" s="3"/>
      <c r="AR186" s="13">
        <v>13618</v>
      </c>
      <c r="AS186" s="4">
        <v>2396</v>
      </c>
      <c r="AT186" s="4">
        <v>424</v>
      </c>
      <c r="AU186" s="4">
        <v>574</v>
      </c>
      <c r="AV186" s="4">
        <v>2048</v>
      </c>
      <c r="AW186" s="4">
        <v>3160</v>
      </c>
      <c r="AX186" s="4">
        <v>2464</v>
      </c>
      <c r="AY186" s="4">
        <v>2552</v>
      </c>
      <c r="AZ186" s="3"/>
    </row>
    <row r="187" spans="1:158" s="41" customFormat="1" x14ac:dyDescent="0.2">
      <c r="A187" s="33" t="s">
        <v>38</v>
      </c>
      <c r="B187" s="33" t="s">
        <v>385</v>
      </c>
      <c r="C187" s="33" t="s">
        <v>386</v>
      </c>
      <c r="D187" s="34">
        <v>864.2</v>
      </c>
      <c r="E187" s="35"/>
      <c r="F187" s="36">
        <v>449.44</v>
      </c>
      <c r="G187" s="35"/>
      <c r="H187" s="35"/>
      <c r="I187" s="35"/>
      <c r="J187" s="36">
        <v>75.739999999999995</v>
      </c>
      <c r="K187" s="35"/>
      <c r="L187" s="36">
        <v>339.02</v>
      </c>
      <c r="M187" s="34">
        <v>1002.47</v>
      </c>
      <c r="N187" s="35"/>
      <c r="O187" s="36">
        <v>521.35</v>
      </c>
      <c r="P187" s="35"/>
      <c r="Q187" s="35"/>
      <c r="R187" s="35"/>
      <c r="S187" s="36">
        <v>87.86</v>
      </c>
      <c r="T187" s="35"/>
      <c r="U187" s="36">
        <v>393.26</v>
      </c>
      <c r="V187" s="36"/>
      <c r="W187" s="36"/>
      <c r="X187" s="36"/>
      <c r="Y187" s="36"/>
      <c r="Z187" s="42"/>
      <c r="AA187" s="35"/>
      <c r="AB187" s="35"/>
      <c r="AC187" s="35"/>
      <c r="AD187" s="35"/>
      <c r="AE187" s="35"/>
      <c r="AF187" s="35"/>
      <c r="AG187" s="35"/>
      <c r="AH187" s="35"/>
      <c r="AI187" s="37" t="s">
        <v>33</v>
      </c>
      <c r="AJ187" s="35"/>
      <c r="AK187" s="38" t="s">
        <v>33</v>
      </c>
      <c r="AL187" s="35"/>
      <c r="AM187" s="35"/>
      <c r="AN187" s="35"/>
      <c r="AO187" s="38" t="s">
        <v>33</v>
      </c>
      <c r="AP187" s="35"/>
      <c r="AQ187" s="38" t="s">
        <v>33</v>
      </c>
      <c r="AR187" s="39">
        <v>158</v>
      </c>
      <c r="AS187" s="35"/>
      <c r="AT187" s="40">
        <v>104</v>
      </c>
      <c r="AU187" s="35"/>
      <c r="AV187" s="35"/>
      <c r="AW187" s="35"/>
      <c r="AX187" s="40">
        <v>16</v>
      </c>
      <c r="AY187" s="35"/>
      <c r="AZ187" s="40">
        <v>38</v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</row>
    <row r="188" spans="1:158" x14ac:dyDescent="0.2">
      <c r="A188" s="33" t="s">
        <v>38</v>
      </c>
      <c r="B188" s="33" t="s">
        <v>387</v>
      </c>
      <c r="C188" s="33" t="s">
        <v>388</v>
      </c>
      <c r="D188" s="34">
        <v>2216.85</v>
      </c>
      <c r="E188" s="35"/>
      <c r="F188" s="35"/>
      <c r="G188" s="35"/>
      <c r="H188" s="35"/>
      <c r="I188" s="36">
        <v>2216.85</v>
      </c>
      <c r="J188" s="35"/>
      <c r="K188" s="35"/>
      <c r="L188" s="35"/>
      <c r="M188" s="34">
        <v>2305.4899999999998</v>
      </c>
      <c r="N188" s="35"/>
      <c r="O188" s="35"/>
      <c r="P188" s="35"/>
      <c r="Q188" s="35"/>
      <c r="R188" s="36">
        <v>2305.4899999999998</v>
      </c>
      <c r="S188" s="35"/>
      <c r="T188" s="35"/>
      <c r="U188" s="35"/>
      <c r="V188" s="35"/>
      <c r="W188" s="35"/>
      <c r="X188" s="35"/>
      <c r="Y188" s="35"/>
      <c r="Z188" s="39">
        <v>4</v>
      </c>
      <c r="AA188" s="35"/>
      <c r="AB188" s="35"/>
      <c r="AC188" s="35"/>
      <c r="AD188" s="35"/>
      <c r="AE188" s="40">
        <v>4</v>
      </c>
      <c r="AF188" s="35"/>
      <c r="AG188" s="35"/>
      <c r="AH188" s="35"/>
      <c r="AI188" s="34">
        <v>554.21249999999998</v>
      </c>
      <c r="AJ188" s="35"/>
      <c r="AK188" s="35"/>
      <c r="AL188" s="35"/>
      <c r="AM188" s="35"/>
      <c r="AN188" s="36">
        <v>554.21249999999998</v>
      </c>
      <c r="AO188" s="35"/>
      <c r="AP188" s="35"/>
      <c r="AQ188" s="35"/>
      <c r="AR188" s="39">
        <v>17</v>
      </c>
      <c r="AS188" s="35"/>
      <c r="AT188" s="35"/>
      <c r="AU188" s="35"/>
      <c r="AV188" s="35"/>
      <c r="AW188" s="40">
        <v>17</v>
      </c>
      <c r="AX188" s="35"/>
      <c r="AY188" s="35"/>
      <c r="AZ188" s="35"/>
    </row>
    <row r="189" spans="1:158" s="41" customFormat="1" x14ac:dyDescent="0.2">
      <c r="A189" s="1" t="s">
        <v>38</v>
      </c>
      <c r="B189" s="1" t="s">
        <v>389</v>
      </c>
      <c r="C189" s="1" t="s">
        <v>390</v>
      </c>
      <c r="D189" s="12">
        <v>484527.86</v>
      </c>
      <c r="E189" s="2">
        <v>1703.12</v>
      </c>
      <c r="F189" s="2">
        <v>2940.48</v>
      </c>
      <c r="G189" s="2">
        <v>118698.22</v>
      </c>
      <c r="H189" s="2">
        <v>1063.21</v>
      </c>
      <c r="I189" s="2">
        <v>1464.97</v>
      </c>
      <c r="J189" s="2">
        <v>778.73</v>
      </c>
      <c r="K189" s="2">
        <v>356747.47</v>
      </c>
      <c r="L189" s="2">
        <v>1131.6600000000001</v>
      </c>
      <c r="M189" s="12">
        <v>562052.32999999996</v>
      </c>
      <c r="N189" s="2">
        <v>1975.62</v>
      </c>
      <c r="O189" s="2">
        <v>3410.96</v>
      </c>
      <c r="P189" s="2">
        <v>137689.94</v>
      </c>
      <c r="Q189" s="2">
        <v>1233.32</v>
      </c>
      <c r="R189" s="2">
        <v>1699.36</v>
      </c>
      <c r="S189" s="2">
        <v>903.33</v>
      </c>
      <c r="T189" s="2">
        <v>413827.07</v>
      </c>
      <c r="U189" s="2">
        <v>1312.73</v>
      </c>
      <c r="V189" s="2"/>
      <c r="W189" s="2"/>
      <c r="X189" s="2"/>
      <c r="Y189" s="2"/>
      <c r="Z189" s="13">
        <v>4000</v>
      </c>
      <c r="AA189" s="3"/>
      <c r="AB189" s="3"/>
      <c r="AC189" s="4">
        <v>1000</v>
      </c>
      <c r="AD189" s="3"/>
      <c r="AE189" s="3"/>
      <c r="AF189" s="3"/>
      <c r="AG189" s="4">
        <v>3000</v>
      </c>
      <c r="AH189" s="3"/>
      <c r="AI189" s="12">
        <v>121.13196499999999</v>
      </c>
      <c r="AJ189" s="5" t="s">
        <v>33</v>
      </c>
      <c r="AK189" s="5" t="s">
        <v>33</v>
      </c>
      <c r="AL189" s="2">
        <v>118.69822000000001</v>
      </c>
      <c r="AM189" s="5" t="s">
        <v>33</v>
      </c>
      <c r="AN189" s="5" t="s">
        <v>33</v>
      </c>
      <c r="AO189" s="5" t="s">
        <v>33</v>
      </c>
      <c r="AP189" s="2">
        <v>118.91582333333334</v>
      </c>
      <c r="AQ189" s="5" t="s">
        <v>33</v>
      </c>
      <c r="AR189" s="13">
        <v>1094</v>
      </c>
      <c r="AS189" s="4">
        <v>160</v>
      </c>
      <c r="AT189" s="4">
        <v>228</v>
      </c>
      <c r="AU189" s="4">
        <v>134</v>
      </c>
      <c r="AV189" s="4">
        <v>84</v>
      </c>
      <c r="AW189" s="4">
        <v>82</v>
      </c>
      <c r="AX189" s="4">
        <v>100</v>
      </c>
      <c r="AY189" s="4">
        <v>172</v>
      </c>
      <c r="AZ189" s="4">
        <v>134</v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</row>
    <row r="190" spans="1:158" s="41" customFormat="1" x14ac:dyDescent="0.2">
      <c r="A190" s="43" t="s">
        <v>38</v>
      </c>
      <c r="B190" s="43" t="s">
        <v>391</v>
      </c>
      <c r="C190" s="43" t="s">
        <v>392</v>
      </c>
      <c r="D190" s="44">
        <v>4979606.28</v>
      </c>
      <c r="E190" s="45">
        <v>582577.66</v>
      </c>
      <c r="F190" s="45">
        <v>904022.52</v>
      </c>
      <c r="G190" s="45">
        <v>1275687</v>
      </c>
      <c r="H190" s="45">
        <v>1022849</v>
      </c>
      <c r="I190" s="45">
        <v>1392158.21</v>
      </c>
      <c r="J190" s="45">
        <v>178046.23</v>
      </c>
      <c r="K190" s="45">
        <v>-375734.34</v>
      </c>
      <c r="L190" s="46"/>
      <c r="M190" s="44">
        <v>5776343.29</v>
      </c>
      <c r="N190" s="45">
        <v>675790.09</v>
      </c>
      <c r="O190" s="45">
        <v>1048666.1200000001</v>
      </c>
      <c r="P190" s="45">
        <v>1479796.92</v>
      </c>
      <c r="Q190" s="45">
        <v>1186504.8400000001</v>
      </c>
      <c r="R190" s="45">
        <v>1614903.53</v>
      </c>
      <c r="S190" s="45">
        <v>206533.62</v>
      </c>
      <c r="T190" s="45">
        <v>-435851.83</v>
      </c>
      <c r="U190" s="46"/>
      <c r="V190" s="46"/>
      <c r="W190" s="46"/>
      <c r="X190" s="46"/>
      <c r="Y190" s="46"/>
      <c r="Z190" s="50">
        <v>23439</v>
      </c>
      <c r="AA190" s="51">
        <v>2530</v>
      </c>
      <c r="AB190" s="51">
        <v>5960</v>
      </c>
      <c r="AC190" s="51">
        <v>5646</v>
      </c>
      <c r="AD190" s="51">
        <v>4248</v>
      </c>
      <c r="AE190" s="51">
        <v>5939</v>
      </c>
      <c r="AF190" s="51">
        <v>634</v>
      </c>
      <c r="AG190" s="51">
        <v>-1518</v>
      </c>
      <c r="AH190" s="46"/>
      <c r="AI190" s="44">
        <v>212.44960450531167</v>
      </c>
      <c r="AJ190" s="45">
        <v>230.26784980237153</v>
      </c>
      <c r="AK190" s="45">
        <v>151.68163087248323</v>
      </c>
      <c r="AL190" s="45">
        <v>225.94527098831031</v>
      </c>
      <c r="AM190" s="45">
        <v>240.78366290018832</v>
      </c>
      <c r="AN190" s="45">
        <v>234.40953190772856</v>
      </c>
      <c r="AO190" s="45">
        <v>280.83001577287064</v>
      </c>
      <c r="AP190" s="45">
        <v>247.51932806324112</v>
      </c>
      <c r="AQ190" s="46"/>
      <c r="AR190" s="48"/>
      <c r="AS190" s="46"/>
      <c r="AT190" s="46"/>
      <c r="AU190" s="46"/>
      <c r="AV190" s="46"/>
      <c r="AW190" s="46"/>
      <c r="AX190" s="46"/>
      <c r="AY190" s="46"/>
      <c r="AZ190" s="46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</row>
    <row r="191" spans="1:158" x14ac:dyDescent="0.2">
      <c r="A191" s="1" t="s">
        <v>38</v>
      </c>
      <c r="B191" s="1" t="s">
        <v>393</v>
      </c>
      <c r="C191" s="1" t="s">
        <v>394</v>
      </c>
      <c r="D191" s="12">
        <v>443134.39</v>
      </c>
      <c r="E191" s="2">
        <v>255708.77</v>
      </c>
      <c r="F191" s="2">
        <v>3883.04</v>
      </c>
      <c r="G191" s="3"/>
      <c r="H191" s="2">
        <v>-12807.3</v>
      </c>
      <c r="I191" s="2">
        <v>79391.34</v>
      </c>
      <c r="J191" s="2">
        <v>97428.67</v>
      </c>
      <c r="K191" s="2">
        <v>19529.87</v>
      </c>
      <c r="L191" s="3"/>
      <c r="M191" s="12">
        <v>514035.9</v>
      </c>
      <c r="N191" s="2">
        <v>296622.17</v>
      </c>
      <c r="O191" s="2">
        <v>4504.33</v>
      </c>
      <c r="P191" s="3"/>
      <c r="Q191" s="2">
        <v>-14856.47</v>
      </c>
      <c r="R191" s="2">
        <v>92093.96</v>
      </c>
      <c r="S191" s="2">
        <v>113017.26</v>
      </c>
      <c r="T191" s="2">
        <v>22654.65</v>
      </c>
      <c r="U191" s="3"/>
      <c r="V191" s="3"/>
      <c r="W191" s="3"/>
      <c r="X191" s="3"/>
      <c r="Y191" s="3"/>
      <c r="Z191" s="13">
        <v>191</v>
      </c>
      <c r="AA191" s="4">
        <v>100</v>
      </c>
      <c r="AB191" s="4">
        <v>4</v>
      </c>
      <c r="AC191" s="3"/>
      <c r="AD191" s="4">
        <v>-10</v>
      </c>
      <c r="AE191" s="4">
        <v>42</v>
      </c>
      <c r="AF191" s="4">
        <v>45</v>
      </c>
      <c r="AG191" s="4">
        <v>10</v>
      </c>
      <c r="AH191" s="3"/>
      <c r="AI191" s="12">
        <v>2320.0753403141362</v>
      </c>
      <c r="AJ191" s="2">
        <v>2557.0877</v>
      </c>
      <c r="AK191" s="2">
        <v>970.76</v>
      </c>
      <c r="AL191" s="3"/>
      <c r="AM191" s="2">
        <v>1280.73</v>
      </c>
      <c r="AN191" s="2">
        <v>1890.27</v>
      </c>
      <c r="AO191" s="2">
        <v>2165.0815555555555</v>
      </c>
      <c r="AP191" s="2">
        <v>1952.9870000000001</v>
      </c>
      <c r="AQ191" s="3"/>
      <c r="AR191" s="17"/>
      <c r="AS191" s="3"/>
      <c r="AT191" s="3"/>
      <c r="AU191" s="3"/>
      <c r="AV191" s="3"/>
      <c r="AW191" s="3"/>
      <c r="AX191" s="3"/>
      <c r="AY191" s="3"/>
      <c r="AZ191" s="3"/>
    </row>
    <row r="192" spans="1:158" x14ac:dyDescent="0.2">
      <c r="A192" s="33" t="s">
        <v>38</v>
      </c>
      <c r="B192" s="33" t="s">
        <v>395</v>
      </c>
      <c r="C192" s="33" t="s">
        <v>396</v>
      </c>
      <c r="D192" s="34">
        <v>114.07</v>
      </c>
      <c r="E192" s="35"/>
      <c r="F192" s="35"/>
      <c r="G192" s="35"/>
      <c r="H192" s="35"/>
      <c r="I192" s="35"/>
      <c r="J192" s="36">
        <v>114.07</v>
      </c>
      <c r="K192" s="35"/>
      <c r="L192" s="35"/>
      <c r="M192" s="34">
        <v>132.32</v>
      </c>
      <c r="N192" s="35"/>
      <c r="O192" s="35"/>
      <c r="P192" s="35"/>
      <c r="Q192" s="35"/>
      <c r="R192" s="35"/>
      <c r="S192" s="36">
        <v>132.32</v>
      </c>
      <c r="T192" s="35"/>
      <c r="U192" s="35"/>
      <c r="V192" s="35"/>
      <c r="W192" s="35"/>
      <c r="X192" s="35"/>
      <c r="Y192" s="35"/>
      <c r="Z192" s="42"/>
      <c r="AA192" s="35"/>
      <c r="AB192" s="35"/>
      <c r="AC192" s="35"/>
      <c r="AD192" s="35"/>
      <c r="AE192" s="35"/>
      <c r="AF192" s="35"/>
      <c r="AG192" s="35"/>
      <c r="AH192" s="35"/>
      <c r="AI192" s="37" t="s">
        <v>33</v>
      </c>
      <c r="AJ192" s="35"/>
      <c r="AK192" s="35"/>
      <c r="AL192" s="35"/>
      <c r="AM192" s="35"/>
      <c r="AN192" s="35"/>
      <c r="AO192" s="38" t="s">
        <v>33</v>
      </c>
      <c r="AP192" s="35"/>
      <c r="AQ192" s="35"/>
      <c r="AR192" s="39">
        <v>22</v>
      </c>
      <c r="AS192" s="35"/>
      <c r="AT192" s="35"/>
      <c r="AU192" s="35"/>
      <c r="AV192" s="35"/>
      <c r="AW192" s="35"/>
      <c r="AX192" s="40">
        <v>22</v>
      </c>
      <c r="AY192" s="35"/>
      <c r="AZ192" s="35"/>
    </row>
    <row r="193" spans="1:158" s="41" customFormat="1" x14ac:dyDescent="0.2">
      <c r="A193" s="1" t="s">
        <v>38</v>
      </c>
      <c r="B193" s="1" t="s">
        <v>397</v>
      </c>
      <c r="C193" s="1" t="s">
        <v>398</v>
      </c>
      <c r="D193" s="12">
        <v>1001611.13</v>
      </c>
      <c r="E193" s="3"/>
      <c r="F193" s="3"/>
      <c r="G193" s="3"/>
      <c r="H193" s="3"/>
      <c r="I193" s="3"/>
      <c r="J193" s="2">
        <v>313290.84000000003</v>
      </c>
      <c r="K193" s="2">
        <v>688320.29</v>
      </c>
      <c r="L193" s="3"/>
      <c r="M193" s="12">
        <v>1161868.9099999999</v>
      </c>
      <c r="N193" s="3"/>
      <c r="O193" s="3"/>
      <c r="P193" s="3"/>
      <c r="Q193" s="3"/>
      <c r="R193" s="3"/>
      <c r="S193" s="2">
        <v>363417.38</v>
      </c>
      <c r="T193" s="2">
        <v>798451.53</v>
      </c>
      <c r="U193" s="3"/>
      <c r="V193" s="3"/>
      <c r="W193" s="3"/>
      <c r="X193" s="3"/>
      <c r="Y193" s="3"/>
      <c r="Z193" s="13">
        <v>9562</v>
      </c>
      <c r="AA193" s="3"/>
      <c r="AB193" s="3"/>
      <c r="AC193" s="3"/>
      <c r="AD193" s="3"/>
      <c r="AE193" s="3"/>
      <c r="AF193" s="4">
        <v>2972</v>
      </c>
      <c r="AG193" s="4">
        <v>6590</v>
      </c>
      <c r="AH193" s="3"/>
      <c r="AI193" s="12">
        <v>104.74912466011295</v>
      </c>
      <c r="AJ193" s="3"/>
      <c r="AK193" s="3"/>
      <c r="AL193" s="3"/>
      <c r="AM193" s="3"/>
      <c r="AN193" s="3"/>
      <c r="AO193" s="2">
        <v>105.41414535666217</v>
      </c>
      <c r="AP193" s="2">
        <v>104.44920940819424</v>
      </c>
      <c r="AQ193" s="3"/>
      <c r="AR193" s="17"/>
      <c r="AS193" s="3"/>
      <c r="AT193" s="3"/>
      <c r="AU193" s="3"/>
      <c r="AV193" s="3"/>
      <c r="AW193" s="3"/>
      <c r="AX193" s="3"/>
      <c r="AY193" s="3"/>
      <c r="AZ193" s="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</row>
    <row r="194" spans="1:158" x14ac:dyDescent="0.2">
      <c r="A194" s="33" t="s">
        <v>38</v>
      </c>
      <c r="B194" s="33" t="s">
        <v>399</v>
      </c>
      <c r="C194" s="33" t="s">
        <v>400</v>
      </c>
      <c r="D194" s="34">
        <v>2370.73</v>
      </c>
      <c r="E194" s="36">
        <v>519.66999999999996</v>
      </c>
      <c r="F194" s="36">
        <v>265.22000000000003</v>
      </c>
      <c r="G194" s="36">
        <v>600.02</v>
      </c>
      <c r="H194" s="35"/>
      <c r="I194" s="36">
        <v>349.74</v>
      </c>
      <c r="J194" s="36">
        <v>636.08000000000004</v>
      </c>
      <c r="K194" s="35"/>
      <c r="L194" s="35"/>
      <c r="M194" s="34">
        <v>2750.05</v>
      </c>
      <c r="N194" s="36">
        <v>602.82000000000005</v>
      </c>
      <c r="O194" s="36">
        <v>307.66000000000003</v>
      </c>
      <c r="P194" s="36">
        <v>696.02</v>
      </c>
      <c r="Q194" s="35"/>
      <c r="R194" s="36">
        <v>405.7</v>
      </c>
      <c r="S194" s="36">
        <v>737.85</v>
      </c>
      <c r="T194" s="35"/>
      <c r="U194" s="35"/>
      <c r="V194" s="35"/>
      <c r="W194" s="35"/>
      <c r="X194" s="35"/>
      <c r="Y194" s="35"/>
      <c r="Z194" s="39">
        <v>7</v>
      </c>
      <c r="AA194" s="40">
        <v>1</v>
      </c>
      <c r="AB194" s="40">
        <v>1</v>
      </c>
      <c r="AC194" s="40">
        <v>2</v>
      </c>
      <c r="AD194" s="35"/>
      <c r="AE194" s="40">
        <v>1</v>
      </c>
      <c r="AF194" s="40">
        <v>2</v>
      </c>
      <c r="AG194" s="35"/>
      <c r="AH194" s="35"/>
      <c r="AI194" s="34">
        <v>338.67571428571426</v>
      </c>
      <c r="AJ194" s="36">
        <v>519.66999999999996</v>
      </c>
      <c r="AK194" s="36">
        <v>265.22000000000003</v>
      </c>
      <c r="AL194" s="36">
        <v>300.01</v>
      </c>
      <c r="AM194" s="35"/>
      <c r="AN194" s="36">
        <v>349.74</v>
      </c>
      <c r="AO194" s="36">
        <v>318.04000000000002</v>
      </c>
      <c r="AP194" s="35"/>
      <c r="AQ194" s="35"/>
      <c r="AR194" s="39">
        <v>46</v>
      </c>
      <c r="AS194" s="40">
        <v>30</v>
      </c>
      <c r="AT194" s="35"/>
      <c r="AU194" s="40">
        <v>4</v>
      </c>
      <c r="AV194" s="35"/>
      <c r="AW194" s="40">
        <v>12</v>
      </c>
      <c r="AX194" s="35"/>
      <c r="AY194" s="35"/>
      <c r="AZ194" s="35"/>
    </row>
    <row r="195" spans="1:158" s="41" customFormat="1" x14ac:dyDescent="0.2">
      <c r="A195" s="33" t="s">
        <v>38</v>
      </c>
      <c r="B195" s="33" t="s">
        <v>401</v>
      </c>
      <c r="C195" s="33" t="s">
        <v>402</v>
      </c>
      <c r="D195" s="34">
        <v>2317.56</v>
      </c>
      <c r="E195" s="36">
        <v>2317.56</v>
      </c>
      <c r="F195" s="35"/>
      <c r="G195" s="35"/>
      <c r="H195" s="35"/>
      <c r="I195" s="35"/>
      <c r="J195" s="35"/>
      <c r="K195" s="35"/>
      <c r="L195" s="35"/>
      <c r="M195" s="34">
        <v>2688.37</v>
      </c>
      <c r="N195" s="36">
        <v>2688.37</v>
      </c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42"/>
      <c r="AA195" s="35"/>
      <c r="AB195" s="35"/>
      <c r="AC195" s="35"/>
      <c r="AD195" s="35"/>
      <c r="AE195" s="35"/>
      <c r="AF195" s="35"/>
      <c r="AG195" s="35"/>
      <c r="AH195" s="35"/>
      <c r="AI195" s="37" t="s">
        <v>33</v>
      </c>
      <c r="AJ195" s="38" t="s">
        <v>33</v>
      </c>
      <c r="AK195" s="35"/>
      <c r="AL195" s="35"/>
      <c r="AM195" s="35"/>
      <c r="AN195" s="35"/>
      <c r="AO195" s="35"/>
      <c r="AP195" s="35"/>
      <c r="AQ195" s="35"/>
      <c r="AR195" s="39">
        <v>356</v>
      </c>
      <c r="AS195" s="40">
        <v>356</v>
      </c>
      <c r="AT195" s="35"/>
      <c r="AU195" s="35"/>
      <c r="AV195" s="35"/>
      <c r="AW195" s="35"/>
      <c r="AX195" s="35"/>
      <c r="AY195" s="35"/>
      <c r="AZ195" s="3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</row>
    <row r="196" spans="1:158" x14ac:dyDescent="0.2">
      <c r="A196" s="1" t="s">
        <v>38</v>
      </c>
      <c r="B196" s="1" t="s">
        <v>403</v>
      </c>
      <c r="C196" s="1" t="s">
        <v>404</v>
      </c>
      <c r="D196" s="12">
        <v>356954.71</v>
      </c>
      <c r="E196" s="2">
        <v>37698.620000000003</v>
      </c>
      <c r="F196" s="2">
        <v>53108.14</v>
      </c>
      <c r="G196" s="2">
        <v>47338.879999999997</v>
      </c>
      <c r="H196" s="2">
        <v>51872.66</v>
      </c>
      <c r="I196" s="2">
        <v>49417.9</v>
      </c>
      <c r="J196" s="2">
        <v>59592.19</v>
      </c>
      <c r="K196" s="2">
        <v>57926.32</v>
      </c>
      <c r="L196" s="3"/>
      <c r="M196" s="12">
        <v>414067.46</v>
      </c>
      <c r="N196" s="2">
        <v>43730.400000000001</v>
      </c>
      <c r="O196" s="2">
        <v>61605.440000000002</v>
      </c>
      <c r="P196" s="2">
        <v>54913.1</v>
      </c>
      <c r="Q196" s="2">
        <v>60172.28</v>
      </c>
      <c r="R196" s="2">
        <v>57324.76</v>
      </c>
      <c r="S196" s="2">
        <v>69126.95</v>
      </c>
      <c r="T196" s="2">
        <v>67194.53</v>
      </c>
      <c r="U196" s="3"/>
      <c r="V196" s="3"/>
      <c r="W196" s="3"/>
      <c r="X196" s="3"/>
      <c r="Y196" s="3"/>
      <c r="Z196" s="13">
        <v>1871</v>
      </c>
      <c r="AA196" s="4">
        <v>251</v>
      </c>
      <c r="AB196" s="4">
        <v>304</v>
      </c>
      <c r="AC196" s="4">
        <v>248</v>
      </c>
      <c r="AD196" s="4">
        <v>290</v>
      </c>
      <c r="AE196" s="4">
        <v>270</v>
      </c>
      <c r="AF196" s="4">
        <v>243</v>
      </c>
      <c r="AG196" s="4">
        <v>265</v>
      </c>
      <c r="AH196" s="3"/>
      <c r="AI196" s="12">
        <v>190.78284874398716</v>
      </c>
      <c r="AJ196" s="2">
        <v>150.19370517928286</v>
      </c>
      <c r="AK196" s="2">
        <v>174.69782894736841</v>
      </c>
      <c r="AL196" s="2">
        <v>190.88258064516128</v>
      </c>
      <c r="AM196" s="2">
        <v>178.87124137931033</v>
      </c>
      <c r="AN196" s="2">
        <v>183.02925925925925</v>
      </c>
      <c r="AO196" s="2">
        <v>245.23534979423869</v>
      </c>
      <c r="AP196" s="2">
        <v>218.58988679245283</v>
      </c>
      <c r="AQ196" s="3"/>
      <c r="AR196" s="13">
        <v>23602</v>
      </c>
      <c r="AS196" s="4">
        <v>2268</v>
      </c>
      <c r="AT196" s="4">
        <v>4038</v>
      </c>
      <c r="AU196" s="4">
        <v>2872</v>
      </c>
      <c r="AV196" s="4">
        <v>3616</v>
      </c>
      <c r="AW196" s="4">
        <v>3502</v>
      </c>
      <c r="AX196" s="4">
        <v>3078</v>
      </c>
      <c r="AY196" s="4">
        <v>4228</v>
      </c>
      <c r="AZ196" s="3"/>
    </row>
    <row r="197" spans="1:158" s="29" customFormat="1" x14ac:dyDescent="0.2">
      <c r="A197" s="33" t="s">
        <v>38</v>
      </c>
      <c r="B197" s="33" t="s">
        <v>405</v>
      </c>
      <c r="C197" s="33" t="s">
        <v>406</v>
      </c>
      <c r="D197" s="34">
        <v>28931.09</v>
      </c>
      <c r="E197" s="35"/>
      <c r="F197" s="36">
        <v>8566.76</v>
      </c>
      <c r="G197" s="36">
        <v>7636.85</v>
      </c>
      <c r="H197" s="36">
        <v>12727.48</v>
      </c>
      <c r="I197" s="35"/>
      <c r="J197" s="35"/>
      <c r="K197" s="35"/>
      <c r="L197" s="35"/>
      <c r="M197" s="34">
        <v>33560.06</v>
      </c>
      <c r="N197" s="35"/>
      <c r="O197" s="36">
        <v>9937.44</v>
      </c>
      <c r="P197" s="36">
        <v>8858.74</v>
      </c>
      <c r="Q197" s="36">
        <v>14763.88</v>
      </c>
      <c r="R197" s="35"/>
      <c r="S197" s="35"/>
      <c r="T197" s="35"/>
      <c r="U197" s="35"/>
      <c r="V197" s="35"/>
      <c r="W197" s="35"/>
      <c r="X197" s="35"/>
      <c r="Y197" s="35"/>
      <c r="Z197" s="39">
        <v>40</v>
      </c>
      <c r="AA197" s="35"/>
      <c r="AB197" s="40">
        <v>12</v>
      </c>
      <c r="AC197" s="40">
        <v>10</v>
      </c>
      <c r="AD197" s="40">
        <v>18</v>
      </c>
      <c r="AE197" s="35"/>
      <c r="AF197" s="35"/>
      <c r="AG197" s="35"/>
      <c r="AH197" s="35"/>
      <c r="AI197" s="34">
        <v>723.27724999999998</v>
      </c>
      <c r="AJ197" s="35"/>
      <c r="AK197" s="36">
        <v>713.89666666666665</v>
      </c>
      <c r="AL197" s="36">
        <v>763.68499999999995</v>
      </c>
      <c r="AM197" s="36">
        <v>707.08222222222219</v>
      </c>
      <c r="AN197" s="35"/>
      <c r="AO197" s="35"/>
      <c r="AP197" s="35"/>
      <c r="AQ197" s="35"/>
      <c r="AR197" s="39">
        <v>380</v>
      </c>
      <c r="AS197" s="35"/>
      <c r="AT197" s="40">
        <v>124</v>
      </c>
      <c r="AU197" s="40">
        <v>126</v>
      </c>
      <c r="AV197" s="40">
        <v>130</v>
      </c>
      <c r="AW197" s="35"/>
      <c r="AX197" s="35"/>
      <c r="AY197" s="35"/>
      <c r="AZ197" s="35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</row>
    <row r="198" spans="1:158" s="29" customFormat="1" x14ac:dyDescent="0.2">
      <c r="A198" s="1" t="s">
        <v>38</v>
      </c>
      <c r="B198" s="1" t="s">
        <v>407</v>
      </c>
      <c r="C198" s="1" t="s">
        <v>408</v>
      </c>
      <c r="D198" s="12">
        <v>7487.63</v>
      </c>
      <c r="E198" s="2">
        <v>4252.09</v>
      </c>
      <c r="F198" s="2">
        <v>740.21</v>
      </c>
      <c r="G198" s="2">
        <v>-3063.12</v>
      </c>
      <c r="H198" s="2">
        <v>5087.76</v>
      </c>
      <c r="I198" s="3"/>
      <c r="J198" s="3"/>
      <c r="K198" s="2">
        <v>264.08999999999997</v>
      </c>
      <c r="L198" s="2">
        <v>206.6</v>
      </c>
      <c r="M198" s="12">
        <v>8685.65</v>
      </c>
      <c r="N198" s="2">
        <v>4932.42</v>
      </c>
      <c r="O198" s="2">
        <v>858.64</v>
      </c>
      <c r="P198" s="2">
        <v>-3553.21</v>
      </c>
      <c r="Q198" s="2">
        <v>5901.8</v>
      </c>
      <c r="R198" s="3"/>
      <c r="S198" s="3"/>
      <c r="T198" s="2">
        <v>306.33999999999997</v>
      </c>
      <c r="U198" s="2">
        <v>239.66</v>
      </c>
      <c r="V198" s="2"/>
      <c r="W198" s="2"/>
      <c r="X198" s="2"/>
      <c r="Y198" s="2"/>
      <c r="Z198" s="17"/>
      <c r="AA198" s="3"/>
      <c r="AB198" s="3"/>
      <c r="AC198" s="3"/>
      <c r="AD198" s="3"/>
      <c r="AE198" s="3"/>
      <c r="AF198" s="3"/>
      <c r="AG198" s="3"/>
      <c r="AH198" s="3"/>
      <c r="AI198" s="16" t="s">
        <v>33</v>
      </c>
      <c r="AJ198" s="5" t="s">
        <v>33</v>
      </c>
      <c r="AK198" s="5" t="s">
        <v>33</v>
      </c>
      <c r="AL198" s="5" t="s">
        <v>33</v>
      </c>
      <c r="AM198" s="5" t="s">
        <v>33</v>
      </c>
      <c r="AN198" s="3"/>
      <c r="AO198" s="3"/>
      <c r="AP198" s="5" t="s">
        <v>33</v>
      </c>
      <c r="AQ198" s="5" t="s">
        <v>33</v>
      </c>
      <c r="AR198" s="13">
        <v>130</v>
      </c>
      <c r="AS198" s="4">
        <v>122</v>
      </c>
      <c r="AT198" s="4">
        <v>14</v>
      </c>
      <c r="AU198" s="4">
        <v>-108</v>
      </c>
      <c r="AV198" s="4">
        <v>96</v>
      </c>
      <c r="AW198" s="3"/>
      <c r="AX198" s="3"/>
      <c r="AY198" s="4">
        <v>2</v>
      </c>
      <c r="AZ198" s="4">
        <v>4</v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</row>
    <row r="199" spans="1:158" s="29" customFormat="1" x14ac:dyDescent="0.2">
      <c r="A199" s="33" t="s">
        <v>38</v>
      </c>
      <c r="B199" s="33" t="s">
        <v>409</v>
      </c>
      <c r="C199" s="33" t="s">
        <v>410</v>
      </c>
      <c r="D199" s="34">
        <v>228.74</v>
      </c>
      <c r="E199" s="35"/>
      <c r="F199" s="35"/>
      <c r="G199" s="35"/>
      <c r="H199" s="35"/>
      <c r="I199" s="35"/>
      <c r="J199" s="36">
        <v>228.74</v>
      </c>
      <c r="K199" s="35"/>
      <c r="L199" s="35"/>
      <c r="M199" s="34">
        <v>265.33999999999997</v>
      </c>
      <c r="N199" s="35"/>
      <c r="O199" s="35"/>
      <c r="P199" s="35"/>
      <c r="Q199" s="35"/>
      <c r="R199" s="35"/>
      <c r="S199" s="36">
        <v>265.33999999999997</v>
      </c>
      <c r="T199" s="35"/>
      <c r="U199" s="35"/>
      <c r="V199" s="35"/>
      <c r="W199" s="35"/>
      <c r="X199" s="35"/>
      <c r="Y199" s="35"/>
      <c r="Z199" s="42"/>
      <c r="AA199" s="35"/>
      <c r="AB199" s="35"/>
      <c r="AC199" s="35"/>
      <c r="AD199" s="35"/>
      <c r="AE199" s="35"/>
      <c r="AF199" s="35"/>
      <c r="AG199" s="35"/>
      <c r="AH199" s="35"/>
      <c r="AI199" s="37" t="s">
        <v>33</v>
      </c>
      <c r="AJ199" s="35"/>
      <c r="AK199" s="35"/>
      <c r="AL199" s="35"/>
      <c r="AM199" s="35"/>
      <c r="AN199" s="35"/>
      <c r="AO199" s="38" t="s">
        <v>33</v>
      </c>
      <c r="AP199" s="35"/>
      <c r="AQ199" s="35"/>
      <c r="AR199" s="39">
        <v>4</v>
      </c>
      <c r="AS199" s="35"/>
      <c r="AT199" s="35"/>
      <c r="AU199" s="35"/>
      <c r="AV199" s="35"/>
      <c r="AW199" s="35"/>
      <c r="AX199" s="40">
        <v>4</v>
      </c>
      <c r="AY199" s="35"/>
      <c r="AZ199" s="35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</row>
    <row r="200" spans="1:158" s="52" customFormat="1" x14ac:dyDescent="0.2">
      <c r="A200" s="1" t="s">
        <v>38</v>
      </c>
      <c r="B200" s="1" t="s">
        <v>411</v>
      </c>
      <c r="C200" s="1" t="s">
        <v>412</v>
      </c>
      <c r="D200" s="12">
        <v>55739.65</v>
      </c>
      <c r="E200" s="2">
        <v>2877.99</v>
      </c>
      <c r="F200" s="2">
        <v>2861.17</v>
      </c>
      <c r="G200" s="2">
        <v>7799.32</v>
      </c>
      <c r="H200" s="2">
        <v>7085.84</v>
      </c>
      <c r="I200" s="2">
        <v>13846.42</v>
      </c>
      <c r="J200" s="2">
        <v>-4759.47</v>
      </c>
      <c r="K200" s="2">
        <v>10335.34</v>
      </c>
      <c r="L200" s="2">
        <v>15693.04</v>
      </c>
      <c r="M200" s="12">
        <v>64658.01</v>
      </c>
      <c r="N200" s="2">
        <v>3338.47</v>
      </c>
      <c r="O200" s="2">
        <v>3318.96</v>
      </c>
      <c r="P200" s="2">
        <v>9047.2099999999991</v>
      </c>
      <c r="Q200" s="2">
        <v>8219.58</v>
      </c>
      <c r="R200" s="2">
        <v>16061.85</v>
      </c>
      <c r="S200" s="2">
        <v>-5520.98</v>
      </c>
      <c r="T200" s="2">
        <v>11989</v>
      </c>
      <c r="U200" s="2">
        <v>18203.919999999998</v>
      </c>
      <c r="V200" s="2"/>
      <c r="W200" s="2"/>
      <c r="X200" s="2"/>
      <c r="Y200" s="2"/>
      <c r="Z200" s="17"/>
      <c r="AA200" s="3"/>
      <c r="AB200" s="3"/>
      <c r="AC200" s="3"/>
      <c r="AD200" s="3"/>
      <c r="AE200" s="3"/>
      <c r="AF200" s="3"/>
      <c r="AG200" s="3"/>
      <c r="AH200" s="3"/>
      <c r="AI200" s="16" t="s">
        <v>33</v>
      </c>
      <c r="AJ200" s="5" t="s">
        <v>33</v>
      </c>
      <c r="AK200" s="5" t="s">
        <v>33</v>
      </c>
      <c r="AL200" s="5" t="s">
        <v>33</v>
      </c>
      <c r="AM200" s="5" t="s">
        <v>33</v>
      </c>
      <c r="AN200" s="5" t="s">
        <v>33</v>
      </c>
      <c r="AO200" s="5" t="s">
        <v>33</v>
      </c>
      <c r="AP200" s="5" t="s">
        <v>33</v>
      </c>
      <c r="AQ200" s="5" t="s">
        <v>33</v>
      </c>
      <c r="AR200" s="13">
        <v>8555</v>
      </c>
      <c r="AS200" s="4">
        <v>402</v>
      </c>
      <c r="AT200" s="4">
        <v>398</v>
      </c>
      <c r="AU200" s="4">
        <v>1214</v>
      </c>
      <c r="AV200" s="4">
        <v>1236</v>
      </c>
      <c r="AW200" s="4">
        <v>1964</v>
      </c>
      <c r="AX200" s="4">
        <v>-773</v>
      </c>
      <c r="AY200" s="4">
        <v>2118</v>
      </c>
      <c r="AZ200" s="4">
        <v>1996</v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</row>
    <row r="201" spans="1:158" x14ac:dyDescent="0.2">
      <c r="A201" s="23" t="s">
        <v>38</v>
      </c>
      <c r="B201" s="23" t="s">
        <v>413</v>
      </c>
      <c r="C201" s="23" t="s">
        <v>414</v>
      </c>
      <c r="D201" s="24">
        <v>757757.65</v>
      </c>
      <c r="E201" s="25">
        <v>224337.66</v>
      </c>
      <c r="F201" s="25">
        <v>98753.600000000006</v>
      </c>
      <c r="G201" s="25">
        <v>93823.16</v>
      </c>
      <c r="H201" s="25">
        <v>137668.04999999999</v>
      </c>
      <c r="I201" s="25">
        <v>85562.22</v>
      </c>
      <c r="J201" s="25">
        <v>117612.96</v>
      </c>
      <c r="K201" s="26"/>
      <c r="L201" s="26"/>
      <c r="M201" s="24">
        <v>878998.87</v>
      </c>
      <c r="N201" s="25">
        <v>260231.67999999999</v>
      </c>
      <c r="O201" s="25">
        <v>114554.18</v>
      </c>
      <c r="P201" s="25">
        <v>108834.86</v>
      </c>
      <c r="Q201" s="25">
        <v>159694.94</v>
      </c>
      <c r="R201" s="25">
        <v>99252.18</v>
      </c>
      <c r="S201" s="25">
        <v>136431.03</v>
      </c>
      <c r="T201" s="26"/>
      <c r="U201" s="26"/>
      <c r="V201" s="26"/>
      <c r="W201" s="26"/>
      <c r="X201" s="26"/>
      <c r="Y201" s="26"/>
      <c r="Z201" s="27">
        <v>532</v>
      </c>
      <c r="AA201" s="28">
        <v>138</v>
      </c>
      <c r="AB201" s="28">
        <v>88</v>
      </c>
      <c r="AC201" s="28">
        <v>39</v>
      </c>
      <c r="AD201" s="28">
        <v>108</v>
      </c>
      <c r="AE201" s="28">
        <v>67</v>
      </c>
      <c r="AF201" s="28">
        <v>92</v>
      </c>
      <c r="AG201" s="26"/>
      <c r="AH201" s="26"/>
      <c r="AI201" s="24">
        <v>1424.3564849624061</v>
      </c>
      <c r="AJ201" s="25">
        <v>1625.6352173913044</v>
      </c>
      <c r="AK201" s="25">
        <v>1122.2</v>
      </c>
      <c r="AL201" s="25">
        <v>2405.7220512820513</v>
      </c>
      <c r="AM201" s="25">
        <v>1274.7041666666667</v>
      </c>
      <c r="AN201" s="25">
        <v>1277.0480597014925</v>
      </c>
      <c r="AO201" s="25">
        <v>1278.4017391304349</v>
      </c>
      <c r="AP201" s="26"/>
      <c r="AQ201" s="26"/>
      <c r="AR201" s="32"/>
      <c r="AS201" s="26"/>
      <c r="AT201" s="26"/>
      <c r="AU201" s="26"/>
      <c r="AV201" s="26"/>
      <c r="AW201" s="26"/>
      <c r="AX201" s="26"/>
      <c r="AY201" s="26"/>
      <c r="AZ201" s="26"/>
    </row>
    <row r="202" spans="1:158" x14ac:dyDescent="0.2">
      <c r="A202" s="23" t="s">
        <v>38</v>
      </c>
      <c r="B202" s="23" t="s">
        <v>415</v>
      </c>
      <c r="C202" s="23" t="s">
        <v>416</v>
      </c>
      <c r="D202" s="24">
        <v>4832.92</v>
      </c>
      <c r="E202" s="25">
        <v>4790.87</v>
      </c>
      <c r="F202" s="26"/>
      <c r="G202" s="25">
        <v>12122.91</v>
      </c>
      <c r="H202" s="25">
        <v>-12080.86</v>
      </c>
      <c r="I202" s="26"/>
      <c r="J202" s="26"/>
      <c r="K202" s="26"/>
      <c r="L202" s="26"/>
      <c r="M202" s="24">
        <v>5606.19</v>
      </c>
      <c r="N202" s="25">
        <v>5557.41</v>
      </c>
      <c r="O202" s="26"/>
      <c r="P202" s="25">
        <v>14062.58</v>
      </c>
      <c r="Q202" s="25">
        <v>-14013.8</v>
      </c>
      <c r="R202" s="26"/>
      <c r="S202" s="26"/>
      <c r="T202" s="26"/>
      <c r="U202" s="26"/>
      <c r="V202" s="26"/>
      <c r="W202" s="26"/>
      <c r="X202" s="26"/>
      <c r="Y202" s="26"/>
      <c r="Z202" s="27">
        <v>22</v>
      </c>
      <c r="AA202" s="28">
        <v>22</v>
      </c>
      <c r="AB202" s="26"/>
      <c r="AC202" s="28">
        <v>52</v>
      </c>
      <c r="AD202" s="28">
        <v>-52</v>
      </c>
      <c r="AE202" s="26"/>
      <c r="AF202" s="26"/>
      <c r="AG202" s="26"/>
      <c r="AH202" s="26"/>
      <c r="AI202" s="24">
        <v>219.67818181818183</v>
      </c>
      <c r="AJ202" s="25">
        <v>217.76681818181817</v>
      </c>
      <c r="AK202" s="26"/>
      <c r="AL202" s="25">
        <v>233.13288461538463</v>
      </c>
      <c r="AM202" s="25">
        <v>232.32423076923078</v>
      </c>
      <c r="AN202" s="26"/>
      <c r="AO202" s="26"/>
      <c r="AP202" s="26"/>
      <c r="AQ202" s="26"/>
      <c r="AR202" s="27">
        <v>148</v>
      </c>
      <c r="AS202" s="28">
        <v>144</v>
      </c>
      <c r="AT202" s="26"/>
      <c r="AU202" s="28">
        <v>304</v>
      </c>
      <c r="AV202" s="28">
        <v>-300</v>
      </c>
      <c r="AW202" s="26"/>
      <c r="AX202" s="26"/>
      <c r="AY202" s="26"/>
      <c r="AZ202" s="26"/>
    </row>
    <row r="203" spans="1:158" x14ac:dyDescent="0.2">
      <c r="A203" s="43" t="s">
        <v>38</v>
      </c>
      <c r="B203" s="43" t="s">
        <v>417</v>
      </c>
      <c r="C203" s="43" t="s">
        <v>418</v>
      </c>
      <c r="D203" s="44">
        <v>14154.79</v>
      </c>
      <c r="E203" s="45">
        <v>14017.28</v>
      </c>
      <c r="F203" s="45">
        <v>137.51</v>
      </c>
      <c r="G203" s="46"/>
      <c r="H203" s="46"/>
      <c r="I203" s="46"/>
      <c r="J203" s="46"/>
      <c r="K203" s="46"/>
      <c r="L203" s="46"/>
      <c r="M203" s="44">
        <v>16419.55</v>
      </c>
      <c r="N203" s="45">
        <v>16260.04</v>
      </c>
      <c r="O203" s="45">
        <v>159.51</v>
      </c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50">
        <v>49</v>
      </c>
      <c r="AA203" s="51">
        <v>48</v>
      </c>
      <c r="AB203" s="51">
        <v>1</v>
      </c>
      <c r="AC203" s="46"/>
      <c r="AD203" s="46"/>
      <c r="AE203" s="46"/>
      <c r="AF203" s="46"/>
      <c r="AG203" s="46"/>
      <c r="AH203" s="46"/>
      <c r="AI203" s="44">
        <v>288.87326530612245</v>
      </c>
      <c r="AJ203" s="45">
        <v>292.02666666666664</v>
      </c>
      <c r="AK203" s="45">
        <v>137.51</v>
      </c>
      <c r="AL203" s="46"/>
      <c r="AM203" s="46"/>
      <c r="AN203" s="46"/>
      <c r="AO203" s="46"/>
      <c r="AP203" s="46"/>
      <c r="AQ203" s="46"/>
      <c r="AR203" s="50">
        <v>538</v>
      </c>
      <c r="AS203" s="51">
        <v>536</v>
      </c>
      <c r="AT203" s="51">
        <v>2</v>
      </c>
      <c r="AU203" s="46"/>
      <c r="AV203" s="46"/>
      <c r="AW203" s="46"/>
      <c r="AX203" s="46"/>
      <c r="AY203" s="46"/>
      <c r="AZ203" s="46"/>
    </row>
    <row r="204" spans="1:158" x14ac:dyDescent="0.2">
      <c r="A204" s="1" t="s">
        <v>38</v>
      </c>
      <c r="B204" s="1" t="s">
        <v>419</v>
      </c>
      <c r="C204" s="1" t="s">
        <v>420</v>
      </c>
      <c r="D204" s="12">
        <v>5537.28</v>
      </c>
      <c r="E204" s="3"/>
      <c r="F204" s="3"/>
      <c r="G204" s="3"/>
      <c r="H204" s="2">
        <v>342.58</v>
      </c>
      <c r="I204" s="2">
        <v>5194.7</v>
      </c>
      <c r="J204" s="3"/>
      <c r="K204" s="3"/>
      <c r="L204" s="3"/>
      <c r="M204" s="12">
        <v>5592.09</v>
      </c>
      <c r="N204" s="3"/>
      <c r="O204" s="3"/>
      <c r="P204" s="3"/>
      <c r="Q204" s="2">
        <v>397.39</v>
      </c>
      <c r="R204" s="2">
        <v>5194.7</v>
      </c>
      <c r="S204" s="3"/>
      <c r="T204" s="3"/>
      <c r="U204" s="3"/>
      <c r="V204" s="3"/>
      <c r="W204" s="3"/>
      <c r="X204" s="3"/>
      <c r="Y204" s="3"/>
      <c r="Z204" s="13">
        <v>2</v>
      </c>
      <c r="AA204" s="3"/>
      <c r="AB204" s="3"/>
      <c r="AC204" s="3"/>
      <c r="AD204" s="4">
        <v>1</v>
      </c>
      <c r="AE204" s="4">
        <v>1</v>
      </c>
      <c r="AF204" s="3"/>
      <c r="AG204" s="3"/>
      <c r="AH204" s="3"/>
      <c r="AI204" s="12">
        <v>2768.64</v>
      </c>
      <c r="AJ204" s="3"/>
      <c r="AK204" s="3"/>
      <c r="AL204" s="3"/>
      <c r="AM204" s="2">
        <v>342.58</v>
      </c>
      <c r="AN204" s="2">
        <v>5194.7</v>
      </c>
      <c r="AO204" s="3"/>
      <c r="AP204" s="3"/>
      <c r="AQ204" s="3"/>
      <c r="AR204" s="13">
        <v>38</v>
      </c>
      <c r="AS204" s="3"/>
      <c r="AT204" s="3"/>
      <c r="AU204" s="3"/>
      <c r="AV204" s="4">
        <v>38</v>
      </c>
      <c r="AW204" s="3"/>
      <c r="AX204" s="3"/>
      <c r="AY204" s="3"/>
      <c r="AZ204" s="3"/>
    </row>
    <row r="205" spans="1:158" x14ac:dyDescent="0.2">
      <c r="A205" s="1" t="s">
        <v>38</v>
      </c>
      <c r="B205" s="1" t="s">
        <v>421</v>
      </c>
      <c r="C205" s="1" t="s">
        <v>422</v>
      </c>
      <c r="D205" s="12">
        <v>455385.94</v>
      </c>
      <c r="E205" s="2">
        <v>13416.37</v>
      </c>
      <c r="F205" s="2">
        <v>39711.61</v>
      </c>
      <c r="G205" s="2">
        <v>51234.99</v>
      </c>
      <c r="H205" s="2">
        <v>118696.92</v>
      </c>
      <c r="I205" s="2">
        <v>118346.64</v>
      </c>
      <c r="J205" s="2">
        <v>48250.09</v>
      </c>
      <c r="K205" s="2">
        <v>24163.68</v>
      </c>
      <c r="L205" s="2">
        <v>41565.64</v>
      </c>
      <c r="M205" s="12">
        <v>528247.68999999994</v>
      </c>
      <c r="N205" s="2">
        <v>15562.99</v>
      </c>
      <c r="O205" s="2">
        <v>46065.47</v>
      </c>
      <c r="P205" s="2">
        <v>59432.59</v>
      </c>
      <c r="Q205" s="2">
        <v>137688.43</v>
      </c>
      <c r="R205" s="2">
        <v>137282.1</v>
      </c>
      <c r="S205" s="2">
        <v>55970.1</v>
      </c>
      <c r="T205" s="2">
        <v>28029.87</v>
      </c>
      <c r="U205" s="2">
        <v>48216.14</v>
      </c>
      <c r="V205" s="2"/>
      <c r="W205" s="2"/>
      <c r="X205" s="2"/>
      <c r="Y205" s="2"/>
      <c r="Z205" s="13">
        <v>1327</v>
      </c>
      <c r="AA205" s="4">
        <v>66</v>
      </c>
      <c r="AB205" s="4">
        <v>142</v>
      </c>
      <c r="AC205" s="4">
        <v>176</v>
      </c>
      <c r="AD205" s="4">
        <v>192</v>
      </c>
      <c r="AE205" s="4">
        <v>319</v>
      </c>
      <c r="AF205" s="4">
        <v>178</v>
      </c>
      <c r="AG205" s="4">
        <v>82</v>
      </c>
      <c r="AH205" s="4">
        <v>172</v>
      </c>
      <c r="AI205" s="12">
        <v>343.16951017332332</v>
      </c>
      <c r="AJ205" s="2">
        <v>203.27833333333334</v>
      </c>
      <c r="AK205" s="2">
        <v>279.65922535211268</v>
      </c>
      <c r="AL205" s="2">
        <v>291.10789772727276</v>
      </c>
      <c r="AM205" s="2">
        <v>618.21312499999999</v>
      </c>
      <c r="AN205" s="2">
        <v>370.99260188087771</v>
      </c>
      <c r="AO205" s="2">
        <v>271.0679213483146</v>
      </c>
      <c r="AP205" s="2">
        <v>294.67902439024391</v>
      </c>
      <c r="AQ205" s="2">
        <v>241.6606976744186</v>
      </c>
      <c r="AR205" s="13">
        <v>25660</v>
      </c>
      <c r="AS205" s="4">
        <v>1328</v>
      </c>
      <c r="AT205" s="4">
        <v>2902</v>
      </c>
      <c r="AU205" s="4">
        <v>3060</v>
      </c>
      <c r="AV205" s="4">
        <v>4994</v>
      </c>
      <c r="AW205" s="4">
        <v>5554</v>
      </c>
      <c r="AX205" s="4">
        <v>3692</v>
      </c>
      <c r="AY205" s="4">
        <v>1338</v>
      </c>
      <c r="AZ205" s="4">
        <v>2792</v>
      </c>
    </row>
    <row r="206" spans="1:158" s="52" customFormat="1" x14ac:dyDescent="0.2">
      <c r="A206" s="1" t="s">
        <v>38</v>
      </c>
      <c r="B206" s="1" t="s">
        <v>423</v>
      </c>
      <c r="C206" s="1" t="s">
        <v>424</v>
      </c>
      <c r="D206" s="12">
        <v>75536.710000000006</v>
      </c>
      <c r="E206" s="2">
        <v>29962.98</v>
      </c>
      <c r="F206" s="2">
        <v>2925.78</v>
      </c>
      <c r="G206" s="2">
        <v>1911.82</v>
      </c>
      <c r="H206" s="2">
        <v>1994</v>
      </c>
      <c r="I206" s="2">
        <v>31530.799999999999</v>
      </c>
      <c r="J206" s="2">
        <v>4235.57</v>
      </c>
      <c r="K206" s="2">
        <v>2975.76</v>
      </c>
      <c r="L206" s="3"/>
      <c r="M206" s="12">
        <v>87622.58</v>
      </c>
      <c r="N206" s="2">
        <v>34757.06</v>
      </c>
      <c r="O206" s="2">
        <v>3393.9</v>
      </c>
      <c r="P206" s="2">
        <v>2217.71</v>
      </c>
      <c r="Q206" s="2">
        <v>2313.04</v>
      </c>
      <c r="R206" s="2">
        <v>36575.730000000003</v>
      </c>
      <c r="S206" s="2">
        <v>4913.26</v>
      </c>
      <c r="T206" s="2">
        <v>3451.88</v>
      </c>
      <c r="U206" s="3"/>
      <c r="V206" s="3"/>
      <c r="W206" s="3"/>
      <c r="X206" s="3"/>
      <c r="Y206" s="3"/>
      <c r="Z206" s="13">
        <v>350</v>
      </c>
      <c r="AA206" s="4">
        <v>150</v>
      </c>
      <c r="AB206" s="3"/>
      <c r="AC206" s="3"/>
      <c r="AD206" s="3"/>
      <c r="AE206" s="4">
        <v>200</v>
      </c>
      <c r="AF206" s="3"/>
      <c r="AG206" s="3"/>
      <c r="AH206" s="3"/>
      <c r="AI206" s="12">
        <v>215.81917142857142</v>
      </c>
      <c r="AJ206" s="2">
        <v>199.75319999999999</v>
      </c>
      <c r="AK206" s="5" t="s">
        <v>33</v>
      </c>
      <c r="AL206" s="5" t="s">
        <v>33</v>
      </c>
      <c r="AM206" s="5" t="s">
        <v>33</v>
      </c>
      <c r="AN206" s="2">
        <v>157.654</v>
      </c>
      <c r="AO206" s="5" t="s">
        <v>33</v>
      </c>
      <c r="AP206" s="5" t="s">
        <v>33</v>
      </c>
      <c r="AQ206" s="3"/>
      <c r="AR206" s="13">
        <v>3762</v>
      </c>
      <c r="AS206" s="4">
        <v>458</v>
      </c>
      <c r="AT206" s="4">
        <v>750</v>
      </c>
      <c r="AU206" s="4">
        <v>170</v>
      </c>
      <c r="AV206" s="4">
        <v>408</v>
      </c>
      <c r="AW206" s="4">
        <v>228</v>
      </c>
      <c r="AX206" s="4">
        <v>1028</v>
      </c>
      <c r="AY206" s="4">
        <v>720</v>
      </c>
      <c r="AZ206" s="3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</row>
    <row r="207" spans="1:158" s="29" customFormat="1" x14ac:dyDescent="0.2">
      <c r="A207" s="1" t="s">
        <v>38</v>
      </c>
      <c r="B207" s="1" t="s">
        <v>425</v>
      </c>
      <c r="C207" s="1" t="s">
        <v>426</v>
      </c>
      <c r="D207" s="12">
        <v>95174.49</v>
      </c>
      <c r="E207" s="3"/>
      <c r="F207" s="2">
        <v>14653.7</v>
      </c>
      <c r="G207" s="2">
        <v>6592.22</v>
      </c>
      <c r="H207" s="3"/>
      <c r="I207" s="2">
        <v>21636.32</v>
      </c>
      <c r="J207" s="2">
        <v>24386.32</v>
      </c>
      <c r="K207" s="3"/>
      <c r="L207" s="2">
        <v>27905.93</v>
      </c>
      <c r="M207" s="12">
        <v>110402.41</v>
      </c>
      <c r="N207" s="3"/>
      <c r="O207" s="2">
        <v>16998.29</v>
      </c>
      <c r="P207" s="2">
        <v>7646.98</v>
      </c>
      <c r="Q207" s="3"/>
      <c r="R207" s="2">
        <v>25098.13</v>
      </c>
      <c r="S207" s="2">
        <v>28288.13</v>
      </c>
      <c r="T207" s="3"/>
      <c r="U207" s="2">
        <v>32370.880000000001</v>
      </c>
      <c r="V207" s="2"/>
      <c r="W207" s="2"/>
      <c r="X207" s="2"/>
      <c r="Y207" s="2"/>
      <c r="Z207" s="13">
        <v>22</v>
      </c>
      <c r="AA207" s="3"/>
      <c r="AB207" s="4">
        <v>3</v>
      </c>
      <c r="AC207" s="4">
        <v>1</v>
      </c>
      <c r="AD207" s="3"/>
      <c r="AE207" s="4">
        <v>5</v>
      </c>
      <c r="AF207" s="4">
        <v>6</v>
      </c>
      <c r="AG207" s="3"/>
      <c r="AH207" s="4">
        <v>7</v>
      </c>
      <c r="AI207" s="12">
        <v>4326.1131818181821</v>
      </c>
      <c r="AJ207" s="3"/>
      <c r="AK207" s="2">
        <v>4884.5666666666666</v>
      </c>
      <c r="AL207" s="2">
        <v>6592.22</v>
      </c>
      <c r="AM207" s="3"/>
      <c r="AN207" s="2">
        <v>4327.2640000000001</v>
      </c>
      <c r="AO207" s="2">
        <v>4064.3866666666668</v>
      </c>
      <c r="AP207" s="3"/>
      <c r="AQ207" s="2">
        <v>3986.5614285714287</v>
      </c>
      <c r="AR207" s="17"/>
      <c r="AS207" s="3"/>
      <c r="AT207" s="3"/>
      <c r="AU207" s="3"/>
      <c r="AV207" s="3"/>
      <c r="AW207" s="3"/>
      <c r="AX207" s="3"/>
      <c r="AY207" s="3"/>
      <c r="AZ207" s="3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</row>
    <row r="208" spans="1:158" x14ac:dyDescent="0.2">
      <c r="A208" s="1" t="s">
        <v>38</v>
      </c>
      <c r="B208" s="1" t="s">
        <v>427</v>
      </c>
      <c r="C208" s="1" t="s">
        <v>428</v>
      </c>
      <c r="D208" s="12">
        <v>99002.27</v>
      </c>
      <c r="E208" s="2">
        <v>10831.63</v>
      </c>
      <c r="F208" s="2">
        <v>13643.85</v>
      </c>
      <c r="G208" s="2">
        <v>3910.79</v>
      </c>
      <c r="H208" s="3"/>
      <c r="I208" s="3"/>
      <c r="J208" s="3"/>
      <c r="K208" s="3"/>
      <c r="L208" s="2">
        <v>70616</v>
      </c>
      <c r="M208" s="12">
        <v>114842.64</v>
      </c>
      <c r="N208" s="2">
        <v>12564.69</v>
      </c>
      <c r="O208" s="2">
        <v>15826.87</v>
      </c>
      <c r="P208" s="2">
        <v>4536.5200000000004</v>
      </c>
      <c r="Q208" s="3"/>
      <c r="R208" s="3"/>
      <c r="S208" s="3"/>
      <c r="T208" s="3"/>
      <c r="U208" s="2">
        <v>81914.559999999998</v>
      </c>
      <c r="V208" s="2"/>
      <c r="W208" s="2"/>
      <c r="X208" s="2"/>
      <c r="Y208" s="2"/>
      <c r="Z208" s="13">
        <v>300</v>
      </c>
      <c r="AA208" s="3"/>
      <c r="AB208" s="3"/>
      <c r="AC208" s="3"/>
      <c r="AD208" s="3"/>
      <c r="AE208" s="3"/>
      <c r="AF208" s="3"/>
      <c r="AG208" s="3"/>
      <c r="AH208" s="4">
        <v>300</v>
      </c>
      <c r="AI208" s="12">
        <v>330.00756666666666</v>
      </c>
      <c r="AJ208" s="5" t="s">
        <v>33</v>
      </c>
      <c r="AK208" s="5" t="s">
        <v>33</v>
      </c>
      <c r="AL208" s="5" t="s">
        <v>33</v>
      </c>
      <c r="AM208" s="3"/>
      <c r="AN208" s="3"/>
      <c r="AO208" s="3"/>
      <c r="AP208" s="3"/>
      <c r="AQ208" s="2">
        <v>235.38666666666666</v>
      </c>
      <c r="AR208" s="13">
        <v>1398</v>
      </c>
      <c r="AS208" s="4">
        <v>562</v>
      </c>
      <c r="AT208" s="4">
        <v>656</v>
      </c>
      <c r="AU208" s="4">
        <v>180</v>
      </c>
      <c r="AV208" s="3"/>
      <c r="AW208" s="3"/>
      <c r="AX208" s="3"/>
      <c r="AY208" s="3"/>
      <c r="AZ208" s="3"/>
    </row>
    <row r="209" spans="1:158" x14ac:dyDescent="0.2">
      <c r="A209" s="1" t="s">
        <v>38</v>
      </c>
      <c r="B209" s="1" t="s">
        <v>429</v>
      </c>
      <c r="C209" s="1" t="s">
        <v>430</v>
      </c>
      <c r="D209" s="12">
        <v>5752.57</v>
      </c>
      <c r="E209" s="2">
        <v>844.11</v>
      </c>
      <c r="F209" s="2">
        <v>4062.61</v>
      </c>
      <c r="G209" s="2">
        <v>199.98</v>
      </c>
      <c r="H209" s="3"/>
      <c r="I209" s="2">
        <v>201.17</v>
      </c>
      <c r="J209" s="3"/>
      <c r="K209" s="2">
        <v>444.7</v>
      </c>
      <c r="L209" s="3"/>
      <c r="M209" s="12">
        <v>6672.99</v>
      </c>
      <c r="N209" s="2">
        <v>979.17</v>
      </c>
      <c r="O209" s="2">
        <v>4712.63</v>
      </c>
      <c r="P209" s="2">
        <v>231.98</v>
      </c>
      <c r="Q209" s="3"/>
      <c r="R209" s="2">
        <v>233.36</v>
      </c>
      <c r="S209" s="3"/>
      <c r="T209" s="2">
        <v>515.85</v>
      </c>
      <c r="U209" s="3"/>
      <c r="V209" s="3"/>
      <c r="W209" s="3"/>
      <c r="X209" s="3"/>
      <c r="Y209" s="3"/>
      <c r="Z209" s="13">
        <v>28</v>
      </c>
      <c r="AA209" s="4">
        <v>4</v>
      </c>
      <c r="AB209" s="4">
        <v>20</v>
      </c>
      <c r="AC209" s="4">
        <v>1</v>
      </c>
      <c r="AD209" s="3"/>
      <c r="AE209" s="4">
        <v>1</v>
      </c>
      <c r="AF209" s="3"/>
      <c r="AG209" s="4">
        <v>2</v>
      </c>
      <c r="AH209" s="3"/>
      <c r="AI209" s="12">
        <v>205.44892857142858</v>
      </c>
      <c r="AJ209" s="2">
        <v>211.0275</v>
      </c>
      <c r="AK209" s="2">
        <v>203.13050000000001</v>
      </c>
      <c r="AL209" s="2">
        <v>199.98</v>
      </c>
      <c r="AM209" s="3"/>
      <c r="AN209" s="2">
        <v>201.17</v>
      </c>
      <c r="AO209" s="3"/>
      <c r="AP209" s="2">
        <v>222.35</v>
      </c>
      <c r="AQ209" s="3"/>
      <c r="AR209" s="17"/>
      <c r="AS209" s="3"/>
      <c r="AT209" s="3"/>
      <c r="AU209" s="3"/>
      <c r="AV209" s="3"/>
      <c r="AW209" s="3"/>
      <c r="AX209" s="3"/>
      <c r="AY209" s="3"/>
      <c r="AZ209" s="3"/>
    </row>
    <row r="210" spans="1:158" x14ac:dyDescent="0.2">
      <c r="A210" s="1" t="s">
        <v>38</v>
      </c>
      <c r="B210" s="1" t="s">
        <v>431</v>
      </c>
      <c r="C210" s="1" t="s">
        <v>432</v>
      </c>
      <c r="D210" s="12">
        <v>29677.759999999998</v>
      </c>
      <c r="E210" s="2">
        <v>3469.83</v>
      </c>
      <c r="F210" s="2">
        <v>4045.5</v>
      </c>
      <c r="G210" s="2">
        <v>4488.54</v>
      </c>
      <c r="H210" s="2">
        <v>2287.91</v>
      </c>
      <c r="I210" s="2">
        <v>3873.23</v>
      </c>
      <c r="J210" s="2">
        <v>2986.17</v>
      </c>
      <c r="K210" s="2">
        <v>8526.58</v>
      </c>
      <c r="L210" s="3"/>
      <c r="M210" s="12">
        <v>34426.21</v>
      </c>
      <c r="N210" s="2">
        <v>4025</v>
      </c>
      <c r="O210" s="2">
        <v>4692.78</v>
      </c>
      <c r="P210" s="2">
        <v>5206.71</v>
      </c>
      <c r="Q210" s="2">
        <v>2653.98</v>
      </c>
      <c r="R210" s="2">
        <v>4492.95</v>
      </c>
      <c r="S210" s="2">
        <v>3463.96</v>
      </c>
      <c r="T210" s="2">
        <v>9890.83</v>
      </c>
      <c r="U210" s="3"/>
      <c r="V210" s="3"/>
      <c r="W210" s="3"/>
      <c r="X210" s="3"/>
      <c r="Y210" s="3"/>
      <c r="Z210" s="17"/>
      <c r="AA210" s="3"/>
      <c r="AB210" s="3"/>
      <c r="AC210" s="3"/>
      <c r="AD210" s="3"/>
      <c r="AE210" s="3"/>
      <c r="AF210" s="3"/>
      <c r="AG210" s="3"/>
      <c r="AH210" s="3"/>
      <c r="AI210" s="16" t="s">
        <v>33</v>
      </c>
      <c r="AJ210" s="5" t="s">
        <v>33</v>
      </c>
      <c r="AK210" s="5" t="s">
        <v>33</v>
      </c>
      <c r="AL210" s="5" t="s">
        <v>33</v>
      </c>
      <c r="AM210" s="5" t="s">
        <v>33</v>
      </c>
      <c r="AN210" s="5" t="s">
        <v>33</v>
      </c>
      <c r="AO210" s="5" t="s">
        <v>33</v>
      </c>
      <c r="AP210" s="5" t="s">
        <v>33</v>
      </c>
      <c r="AQ210" s="3"/>
      <c r="AR210" s="13">
        <v>7706</v>
      </c>
      <c r="AS210" s="4">
        <v>1058</v>
      </c>
      <c r="AT210" s="4">
        <v>1100</v>
      </c>
      <c r="AU210" s="4">
        <v>1272</v>
      </c>
      <c r="AV210" s="4">
        <v>538</v>
      </c>
      <c r="AW210" s="4">
        <v>1086</v>
      </c>
      <c r="AX210" s="4">
        <v>782</v>
      </c>
      <c r="AY210" s="4">
        <v>1870</v>
      </c>
      <c r="AZ210" s="3"/>
    </row>
    <row r="211" spans="1:158" s="41" customFormat="1" x14ac:dyDescent="0.2">
      <c r="A211" s="1" t="s">
        <v>38</v>
      </c>
      <c r="B211" s="1" t="s">
        <v>433</v>
      </c>
      <c r="C211" s="1" t="s">
        <v>434</v>
      </c>
      <c r="D211" s="12">
        <v>4170549.62</v>
      </c>
      <c r="E211" s="2">
        <v>957639.94</v>
      </c>
      <c r="F211" s="2">
        <v>851890.12</v>
      </c>
      <c r="G211" s="2">
        <v>982757.81</v>
      </c>
      <c r="H211" s="2">
        <v>46894.23</v>
      </c>
      <c r="I211" s="3"/>
      <c r="J211" s="2">
        <v>-34694.94</v>
      </c>
      <c r="K211" s="2">
        <v>913136.32</v>
      </c>
      <c r="L211" s="2">
        <v>452926.14</v>
      </c>
      <c r="M211" s="12">
        <v>4837837.63</v>
      </c>
      <c r="N211" s="2">
        <v>1110862.33</v>
      </c>
      <c r="O211" s="2">
        <v>988192.54</v>
      </c>
      <c r="P211" s="2">
        <v>1139999.08</v>
      </c>
      <c r="Q211" s="2">
        <v>54397.3</v>
      </c>
      <c r="R211" s="3"/>
      <c r="S211" s="2">
        <v>-40246.120000000003</v>
      </c>
      <c r="T211" s="2">
        <v>1059238.1599999999</v>
      </c>
      <c r="U211" s="2">
        <v>525394.34</v>
      </c>
      <c r="V211" s="2"/>
      <c r="W211" s="2"/>
      <c r="X211" s="2"/>
      <c r="Y211" s="2"/>
      <c r="Z211" s="13">
        <v>3254</v>
      </c>
      <c r="AA211" s="4">
        <v>541</v>
      </c>
      <c r="AB211" s="4">
        <v>424</v>
      </c>
      <c r="AC211" s="4">
        <v>388</v>
      </c>
      <c r="AD211" s="4">
        <v>65</v>
      </c>
      <c r="AE211" s="3"/>
      <c r="AF211" s="4">
        <v>351</v>
      </c>
      <c r="AG211" s="4">
        <v>1199</v>
      </c>
      <c r="AH211" s="4">
        <v>286</v>
      </c>
      <c r="AI211" s="12">
        <v>1281.668598647818</v>
      </c>
      <c r="AJ211" s="2">
        <v>1770.1292791127541</v>
      </c>
      <c r="AK211" s="2">
        <v>2009.1748113207548</v>
      </c>
      <c r="AL211" s="2">
        <v>2532.8809536082476</v>
      </c>
      <c r="AM211" s="2">
        <v>721.44969230769232</v>
      </c>
      <c r="AN211" s="3"/>
      <c r="AO211" s="2">
        <v>-98.845982905982908</v>
      </c>
      <c r="AP211" s="2">
        <v>761.58158465387828</v>
      </c>
      <c r="AQ211" s="2">
        <v>1583.6578321678321</v>
      </c>
      <c r="AR211" s="13">
        <v>33955</v>
      </c>
      <c r="AS211" s="4">
        <v>9630</v>
      </c>
      <c r="AT211" s="4">
        <v>5444</v>
      </c>
      <c r="AU211" s="4">
        <v>5736</v>
      </c>
      <c r="AV211" s="4">
        <v>855</v>
      </c>
      <c r="AW211" s="3"/>
      <c r="AX211" s="4">
        <v>1606</v>
      </c>
      <c r="AY211" s="4">
        <v>9126</v>
      </c>
      <c r="AZ211" s="4">
        <v>1558</v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</row>
    <row r="212" spans="1:158" x14ac:dyDescent="0.2">
      <c r="A212" s="33" t="s">
        <v>38</v>
      </c>
      <c r="B212" s="33" t="s">
        <v>435</v>
      </c>
      <c r="C212" s="33" t="s">
        <v>436</v>
      </c>
      <c r="D212" s="34">
        <v>471786.07</v>
      </c>
      <c r="E212" s="36">
        <v>97130.07</v>
      </c>
      <c r="F212" s="36">
        <v>159049.82999999999</v>
      </c>
      <c r="G212" s="36">
        <v>138428.65</v>
      </c>
      <c r="H212" s="36">
        <v>77177.52</v>
      </c>
      <c r="I212" s="35"/>
      <c r="J212" s="35"/>
      <c r="K212" s="35"/>
      <c r="L212" s="35"/>
      <c r="M212" s="34">
        <v>547271.84</v>
      </c>
      <c r="N212" s="36">
        <v>112670.88</v>
      </c>
      <c r="O212" s="36">
        <v>184497.8</v>
      </c>
      <c r="P212" s="36">
        <v>160577.24</v>
      </c>
      <c r="Q212" s="36">
        <v>89525.92</v>
      </c>
      <c r="R212" s="35"/>
      <c r="S212" s="35"/>
      <c r="T212" s="35"/>
      <c r="U212" s="35"/>
      <c r="V212" s="35"/>
      <c r="W212" s="35"/>
      <c r="X212" s="35"/>
      <c r="Y212" s="35"/>
      <c r="Z212" s="39">
        <v>1871</v>
      </c>
      <c r="AA212" s="40">
        <v>453</v>
      </c>
      <c r="AB212" s="40">
        <v>614</v>
      </c>
      <c r="AC212" s="40">
        <v>498</v>
      </c>
      <c r="AD212" s="40">
        <v>306</v>
      </c>
      <c r="AE212" s="35"/>
      <c r="AF212" s="35"/>
      <c r="AG212" s="35"/>
      <c r="AH212" s="35"/>
      <c r="AI212" s="34">
        <v>252.15717263495458</v>
      </c>
      <c r="AJ212" s="36">
        <v>214.4151655629139</v>
      </c>
      <c r="AK212" s="36">
        <v>259.03881107491856</v>
      </c>
      <c r="AL212" s="36">
        <v>277.96917670682728</v>
      </c>
      <c r="AM212" s="36">
        <v>252.21411764705883</v>
      </c>
      <c r="AN212" s="35"/>
      <c r="AO212" s="35"/>
      <c r="AP212" s="35"/>
      <c r="AQ212" s="35"/>
      <c r="AR212" s="39">
        <v>28576</v>
      </c>
      <c r="AS212" s="40">
        <v>6534</v>
      </c>
      <c r="AT212" s="40">
        <v>9510</v>
      </c>
      <c r="AU212" s="40">
        <v>8450</v>
      </c>
      <c r="AV212" s="40">
        <v>4082</v>
      </c>
      <c r="AW212" s="35"/>
      <c r="AX212" s="35"/>
      <c r="AY212" s="35"/>
      <c r="AZ212" s="35"/>
    </row>
    <row r="213" spans="1:158" x14ac:dyDescent="0.2">
      <c r="A213" s="1" t="s">
        <v>38</v>
      </c>
      <c r="B213" s="1" t="s">
        <v>437</v>
      </c>
      <c r="C213" s="1" t="s">
        <v>438</v>
      </c>
      <c r="D213" s="12">
        <v>576895.02</v>
      </c>
      <c r="E213" s="2">
        <v>33875.53</v>
      </c>
      <c r="F213" s="2">
        <v>29243.74</v>
      </c>
      <c r="G213" s="2">
        <v>150639.99</v>
      </c>
      <c r="H213" s="2">
        <v>73445.37</v>
      </c>
      <c r="I213" s="2">
        <v>45458.12</v>
      </c>
      <c r="J213" s="2">
        <v>97467.41</v>
      </c>
      <c r="K213" s="2">
        <v>146764.85999999999</v>
      </c>
      <c r="L213" s="3"/>
      <c r="M213" s="12">
        <v>669198.23</v>
      </c>
      <c r="N213" s="2">
        <v>39295.61</v>
      </c>
      <c r="O213" s="2">
        <v>33922.74</v>
      </c>
      <c r="P213" s="2">
        <v>174742.39</v>
      </c>
      <c r="Q213" s="2">
        <v>85196.63</v>
      </c>
      <c r="R213" s="2">
        <v>52731.42</v>
      </c>
      <c r="S213" s="2">
        <v>113062.2</v>
      </c>
      <c r="T213" s="2">
        <v>170247.24</v>
      </c>
      <c r="U213" s="3"/>
      <c r="V213" s="3"/>
      <c r="W213" s="3"/>
      <c r="X213" s="3"/>
      <c r="Y213" s="3"/>
      <c r="Z213" s="13">
        <v>3913</v>
      </c>
      <c r="AA213" s="4">
        <v>264</v>
      </c>
      <c r="AB213" s="4">
        <v>204</v>
      </c>
      <c r="AC213" s="4">
        <v>983</v>
      </c>
      <c r="AD213" s="4">
        <v>505</v>
      </c>
      <c r="AE213" s="4">
        <v>303</v>
      </c>
      <c r="AF213" s="4">
        <v>658</v>
      </c>
      <c r="AG213" s="4">
        <v>996</v>
      </c>
      <c r="AH213" s="3"/>
      <c r="AI213" s="12">
        <v>147.43036544850497</v>
      </c>
      <c r="AJ213" s="2">
        <v>128.31640151515151</v>
      </c>
      <c r="AK213" s="2">
        <v>143.35166666666666</v>
      </c>
      <c r="AL213" s="2">
        <v>153.24515768056969</v>
      </c>
      <c r="AM213" s="2">
        <v>145.43637623762376</v>
      </c>
      <c r="AN213" s="2">
        <v>150.02679867986799</v>
      </c>
      <c r="AO213" s="2">
        <v>148.12676291793312</v>
      </c>
      <c r="AP213" s="2">
        <v>147.35427710843373</v>
      </c>
      <c r="AQ213" s="3"/>
      <c r="AR213" s="13">
        <v>3908</v>
      </c>
      <c r="AS213" s="4">
        <v>792</v>
      </c>
      <c r="AT213" s="4">
        <v>172</v>
      </c>
      <c r="AU213" s="4">
        <v>1182</v>
      </c>
      <c r="AV213" s="4">
        <v>236</v>
      </c>
      <c r="AW213" s="4">
        <v>230</v>
      </c>
      <c r="AX213" s="4">
        <v>506</v>
      </c>
      <c r="AY213" s="4">
        <v>790</v>
      </c>
      <c r="AZ213" s="3"/>
    </row>
    <row r="214" spans="1:158" s="41" customFormat="1" x14ac:dyDescent="0.2">
      <c r="A214" s="1" t="s">
        <v>38</v>
      </c>
      <c r="B214" s="1" t="s">
        <v>439</v>
      </c>
      <c r="C214" s="1" t="s">
        <v>440</v>
      </c>
      <c r="D214" s="12">
        <v>1155.27</v>
      </c>
      <c r="E214" s="3"/>
      <c r="F214" s="3"/>
      <c r="G214" s="3"/>
      <c r="H214" s="3"/>
      <c r="I214" s="2">
        <v>236.58</v>
      </c>
      <c r="J214" s="2">
        <v>142.19</v>
      </c>
      <c r="K214" s="2">
        <v>776.5</v>
      </c>
      <c r="L214" s="3"/>
      <c r="M214" s="12">
        <v>1340.11</v>
      </c>
      <c r="N214" s="3"/>
      <c r="O214" s="3"/>
      <c r="P214" s="3"/>
      <c r="Q214" s="3"/>
      <c r="R214" s="2">
        <v>274.43</v>
      </c>
      <c r="S214" s="2">
        <v>164.94</v>
      </c>
      <c r="T214" s="2">
        <v>900.74</v>
      </c>
      <c r="U214" s="3"/>
      <c r="V214" s="3"/>
      <c r="W214" s="3"/>
      <c r="X214" s="3"/>
      <c r="Y214" s="3"/>
      <c r="Z214" s="17"/>
      <c r="AA214" s="3"/>
      <c r="AB214" s="3"/>
      <c r="AC214" s="3"/>
      <c r="AD214" s="3"/>
      <c r="AE214" s="3"/>
      <c r="AF214" s="3"/>
      <c r="AG214" s="3"/>
      <c r="AH214" s="3"/>
      <c r="AI214" s="16" t="s">
        <v>33</v>
      </c>
      <c r="AJ214" s="3"/>
      <c r="AK214" s="3"/>
      <c r="AL214" s="3"/>
      <c r="AM214" s="3"/>
      <c r="AN214" s="5" t="s">
        <v>33</v>
      </c>
      <c r="AO214" s="5" t="s">
        <v>33</v>
      </c>
      <c r="AP214" s="5" t="s">
        <v>33</v>
      </c>
      <c r="AQ214" s="3"/>
      <c r="AR214" s="13">
        <v>32</v>
      </c>
      <c r="AS214" s="3"/>
      <c r="AT214" s="3"/>
      <c r="AU214" s="3"/>
      <c r="AV214" s="3"/>
      <c r="AW214" s="4">
        <v>10</v>
      </c>
      <c r="AX214" s="4">
        <v>6</v>
      </c>
      <c r="AY214" s="4">
        <v>16</v>
      </c>
      <c r="AZ214" s="3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</row>
    <row r="215" spans="1:158" x14ac:dyDescent="0.2">
      <c r="A215" s="33" t="s">
        <v>38</v>
      </c>
      <c r="B215" s="33" t="s">
        <v>441</v>
      </c>
      <c r="C215" s="33" t="s">
        <v>442</v>
      </c>
      <c r="D215" s="34">
        <v>73159.56</v>
      </c>
      <c r="E215" s="36">
        <v>223776.4</v>
      </c>
      <c r="F215" s="35"/>
      <c r="G215" s="35"/>
      <c r="H215" s="36">
        <v>-150616.84</v>
      </c>
      <c r="I215" s="35"/>
      <c r="J215" s="35"/>
      <c r="K215" s="35"/>
      <c r="L215" s="35"/>
      <c r="M215" s="34">
        <v>84865.09</v>
      </c>
      <c r="N215" s="36">
        <v>259580.62</v>
      </c>
      <c r="O215" s="35"/>
      <c r="P215" s="35"/>
      <c r="Q215" s="36">
        <v>-174715.53</v>
      </c>
      <c r="R215" s="35"/>
      <c r="S215" s="35"/>
      <c r="T215" s="35"/>
      <c r="U215" s="35"/>
      <c r="V215" s="35"/>
      <c r="W215" s="35"/>
      <c r="X215" s="35"/>
      <c r="Y215" s="35"/>
      <c r="Z215" s="39">
        <v>469</v>
      </c>
      <c r="AA215" s="40">
        <v>936</v>
      </c>
      <c r="AB215" s="35"/>
      <c r="AC215" s="35"/>
      <c r="AD215" s="40">
        <v>-467</v>
      </c>
      <c r="AE215" s="35"/>
      <c r="AF215" s="35"/>
      <c r="AG215" s="35"/>
      <c r="AH215" s="35"/>
      <c r="AI215" s="34">
        <v>155.99053304904052</v>
      </c>
      <c r="AJ215" s="36">
        <v>239.07735042735044</v>
      </c>
      <c r="AK215" s="35"/>
      <c r="AL215" s="35"/>
      <c r="AM215" s="36">
        <v>322.52</v>
      </c>
      <c r="AN215" s="35"/>
      <c r="AO215" s="35"/>
      <c r="AP215" s="35"/>
      <c r="AQ215" s="35"/>
      <c r="AR215" s="39">
        <v>3692</v>
      </c>
      <c r="AS215" s="40">
        <v>3692</v>
      </c>
      <c r="AT215" s="35"/>
      <c r="AU215" s="35"/>
      <c r="AV215" s="35"/>
      <c r="AW215" s="35"/>
      <c r="AX215" s="35"/>
      <c r="AY215" s="35"/>
      <c r="AZ215" s="35"/>
    </row>
    <row r="216" spans="1:158" s="41" customFormat="1" x14ac:dyDescent="0.2">
      <c r="A216" s="1" t="s">
        <v>38</v>
      </c>
      <c r="B216" s="1" t="s">
        <v>443</v>
      </c>
      <c r="C216" s="1" t="s">
        <v>444</v>
      </c>
      <c r="D216" s="12">
        <v>9823.5499999999993</v>
      </c>
      <c r="E216" s="2">
        <v>7638.61</v>
      </c>
      <c r="F216" s="2">
        <v>855.61</v>
      </c>
      <c r="G216" s="2">
        <v>1329.33</v>
      </c>
      <c r="H216" s="3"/>
      <c r="I216" s="3"/>
      <c r="J216" s="3"/>
      <c r="K216" s="3"/>
      <c r="L216" s="3"/>
      <c r="M216" s="12">
        <v>11395.32</v>
      </c>
      <c r="N216" s="2">
        <v>8860.7900000000009</v>
      </c>
      <c r="O216" s="2">
        <v>992.51</v>
      </c>
      <c r="P216" s="2">
        <v>1542.02</v>
      </c>
      <c r="Q216" s="3"/>
      <c r="R216" s="3"/>
      <c r="S216" s="3"/>
      <c r="T216" s="3"/>
      <c r="U216" s="3"/>
      <c r="V216" s="3"/>
      <c r="W216" s="3"/>
      <c r="X216" s="3"/>
      <c r="Y216" s="3"/>
      <c r="Z216" s="17"/>
      <c r="AA216" s="3"/>
      <c r="AB216" s="3"/>
      <c r="AC216" s="3"/>
      <c r="AD216" s="3"/>
      <c r="AE216" s="3"/>
      <c r="AF216" s="3"/>
      <c r="AG216" s="3"/>
      <c r="AH216" s="3"/>
      <c r="AI216" s="16" t="s">
        <v>33</v>
      </c>
      <c r="AJ216" s="5" t="s">
        <v>33</v>
      </c>
      <c r="AK216" s="5" t="s">
        <v>33</v>
      </c>
      <c r="AL216" s="5" t="s">
        <v>33</v>
      </c>
      <c r="AM216" s="3"/>
      <c r="AN216" s="3"/>
      <c r="AO216" s="3"/>
      <c r="AP216" s="3"/>
      <c r="AQ216" s="3"/>
      <c r="AR216" s="13">
        <v>198</v>
      </c>
      <c r="AS216" s="4">
        <v>142</v>
      </c>
      <c r="AT216" s="4">
        <v>34</v>
      </c>
      <c r="AU216" s="4">
        <v>22</v>
      </c>
      <c r="AV216" s="3"/>
      <c r="AW216" s="3"/>
      <c r="AX216" s="3"/>
      <c r="AY216" s="3"/>
      <c r="AZ216" s="3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</row>
    <row r="217" spans="1:158" s="52" customFormat="1" x14ac:dyDescent="0.2">
      <c r="A217" s="33" t="s">
        <v>38</v>
      </c>
      <c r="B217" s="33" t="s">
        <v>445</v>
      </c>
      <c r="C217" s="33" t="s">
        <v>446</v>
      </c>
      <c r="D217" s="34">
        <v>122357.36</v>
      </c>
      <c r="E217" s="36">
        <v>120667.72</v>
      </c>
      <c r="F217" s="36">
        <v>1689.64</v>
      </c>
      <c r="G217" s="35"/>
      <c r="H217" s="35"/>
      <c r="I217" s="35"/>
      <c r="J217" s="35"/>
      <c r="K217" s="35"/>
      <c r="L217" s="35"/>
      <c r="M217" s="34">
        <v>141934.54</v>
      </c>
      <c r="N217" s="36">
        <v>139974.56</v>
      </c>
      <c r="O217" s="36">
        <v>1959.98</v>
      </c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42"/>
      <c r="AA217" s="35"/>
      <c r="AB217" s="35"/>
      <c r="AC217" s="35"/>
      <c r="AD217" s="35"/>
      <c r="AE217" s="35"/>
      <c r="AF217" s="35"/>
      <c r="AG217" s="35"/>
      <c r="AH217" s="35"/>
      <c r="AI217" s="37" t="s">
        <v>33</v>
      </c>
      <c r="AJ217" s="38" t="s">
        <v>33</v>
      </c>
      <c r="AK217" s="38" t="s">
        <v>33</v>
      </c>
      <c r="AL217" s="35"/>
      <c r="AM217" s="35"/>
      <c r="AN217" s="35"/>
      <c r="AO217" s="35"/>
      <c r="AP217" s="35"/>
      <c r="AQ217" s="35"/>
      <c r="AR217" s="39">
        <v>16688</v>
      </c>
      <c r="AS217" s="40">
        <v>16484</v>
      </c>
      <c r="AT217" s="40">
        <v>204</v>
      </c>
      <c r="AU217" s="35"/>
      <c r="AV217" s="35"/>
      <c r="AW217" s="35"/>
      <c r="AX217" s="35"/>
      <c r="AY217" s="35"/>
      <c r="AZ217" s="35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</row>
    <row r="218" spans="1:158" x14ac:dyDescent="0.2">
      <c r="A218" s="43" t="s">
        <v>38</v>
      </c>
      <c r="B218" s="43" t="s">
        <v>447</v>
      </c>
      <c r="C218" s="43" t="s">
        <v>448</v>
      </c>
      <c r="D218" s="44">
        <v>-9254.99</v>
      </c>
      <c r="E218" s="45">
        <v>-9254.99</v>
      </c>
      <c r="F218" s="46"/>
      <c r="G218" s="46"/>
      <c r="H218" s="46"/>
      <c r="I218" s="46"/>
      <c r="J218" s="46"/>
      <c r="K218" s="46"/>
      <c r="L218" s="46"/>
      <c r="M218" s="44">
        <v>-9254.99</v>
      </c>
      <c r="N218" s="45">
        <v>-9254.99</v>
      </c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50">
        <v>-1</v>
      </c>
      <c r="AA218" s="51">
        <v>-1</v>
      </c>
      <c r="AB218" s="46"/>
      <c r="AC218" s="46"/>
      <c r="AD218" s="46"/>
      <c r="AE218" s="46"/>
      <c r="AF218" s="46"/>
      <c r="AG218" s="46"/>
      <c r="AH218" s="46"/>
      <c r="AI218" s="44">
        <v>9254.99</v>
      </c>
      <c r="AJ218" s="45">
        <v>9254.99</v>
      </c>
      <c r="AK218" s="46"/>
      <c r="AL218" s="46"/>
      <c r="AM218" s="46"/>
      <c r="AN218" s="46"/>
      <c r="AO218" s="46"/>
      <c r="AP218" s="46"/>
      <c r="AQ218" s="46"/>
      <c r="AR218" s="48"/>
      <c r="AS218" s="46"/>
      <c r="AT218" s="46"/>
      <c r="AU218" s="46"/>
      <c r="AV218" s="46"/>
      <c r="AW218" s="46"/>
      <c r="AX218" s="46"/>
      <c r="AY218" s="46"/>
      <c r="AZ218" s="46"/>
    </row>
    <row r="219" spans="1:158" x14ac:dyDescent="0.2">
      <c r="A219" s="1" t="s">
        <v>38</v>
      </c>
      <c r="B219" s="1" t="s">
        <v>449</v>
      </c>
      <c r="C219" s="1" t="s">
        <v>450</v>
      </c>
      <c r="D219" s="12">
        <v>108119.9</v>
      </c>
      <c r="E219" s="2">
        <v>17942.400000000001</v>
      </c>
      <c r="F219" s="2">
        <v>8906.01</v>
      </c>
      <c r="G219" s="2">
        <v>17834.73</v>
      </c>
      <c r="H219" s="2">
        <v>9354.6200000000008</v>
      </c>
      <c r="I219" s="2">
        <v>17925.63</v>
      </c>
      <c r="J219" s="2">
        <v>18113.46</v>
      </c>
      <c r="K219" s="2">
        <v>18043.05</v>
      </c>
      <c r="L219" s="3"/>
      <c r="M219" s="12">
        <v>125419.07</v>
      </c>
      <c r="N219" s="2">
        <v>20813.18</v>
      </c>
      <c r="O219" s="2">
        <v>10330.969999999999</v>
      </c>
      <c r="P219" s="2">
        <v>20688.29</v>
      </c>
      <c r="Q219" s="2">
        <v>10851.36</v>
      </c>
      <c r="R219" s="2">
        <v>20793.73</v>
      </c>
      <c r="S219" s="2">
        <v>21011.61</v>
      </c>
      <c r="T219" s="2">
        <v>20929.93</v>
      </c>
      <c r="U219" s="3"/>
      <c r="V219" s="3"/>
      <c r="W219" s="3"/>
      <c r="X219" s="3"/>
      <c r="Y219" s="3"/>
      <c r="Z219" s="13">
        <v>36</v>
      </c>
      <c r="AA219" s="4">
        <v>6</v>
      </c>
      <c r="AB219" s="4">
        <v>3</v>
      </c>
      <c r="AC219" s="4">
        <v>6</v>
      </c>
      <c r="AD219" s="4">
        <v>3</v>
      </c>
      <c r="AE219" s="4">
        <v>6</v>
      </c>
      <c r="AF219" s="4">
        <v>6</v>
      </c>
      <c r="AG219" s="4">
        <v>6</v>
      </c>
      <c r="AH219" s="3"/>
      <c r="AI219" s="12">
        <v>3003.3305555555557</v>
      </c>
      <c r="AJ219" s="2">
        <v>2990.4</v>
      </c>
      <c r="AK219" s="2">
        <v>2968.67</v>
      </c>
      <c r="AL219" s="2">
        <v>2972.4549999999999</v>
      </c>
      <c r="AM219" s="2">
        <v>3118.2066666666665</v>
      </c>
      <c r="AN219" s="2">
        <v>2987.605</v>
      </c>
      <c r="AO219" s="2">
        <v>3018.91</v>
      </c>
      <c r="AP219" s="2">
        <v>3007.1750000000002</v>
      </c>
      <c r="AQ219" s="3"/>
      <c r="AR219" s="13">
        <v>118</v>
      </c>
      <c r="AS219" s="4">
        <v>4</v>
      </c>
      <c r="AT219" s="3"/>
      <c r="AU219" s="3"/>
      <c r="AV219" s="4">
        <v>92</v>
      </c>
      <c r="AW219" s="3"/>
      <c r="AX219" s="3"/>
      <c r="AY219" s="4">
        <v>22</v>
      </c>
      <c r="AZ219" s="3"/>
    </row>
    <row r="220" spans="1:158" x14ac:dyDescent="0.2">
      <c r="A220" s="1" t="s">
        <v>38</v>
      </c>
      <c r="B220" s="1" t="s">
        <v>451</v>
      </c>
      <c r="C220" s="1" t="s">
        <v>452</v>
      </c>
      <c r="D220" s="12">
        <v>31986.15</v>
      </c>
      <c r="E220" s="2">
        <v>6771.08</v>
      </c>
      <c r="F220" s="2">
        <v>3129.79</v>
      </c>
      <c r="G220" s="3"/>
      <c r="H220" s="2">
        <v>1187.03</v>
      </c>
      <c r="I220" s="3"/>
      <c r="J220" s="2">
        <v>833.29</v>
      </c>
      <c r="K220" s="2">
        <v>9656.8700000000008</v>
      </c>
      <c r="L220" s="2">
        <v>10408.09</v>
      </c>
      <c r="M220" s="12">
        <v>37103.93</v>
      </c>
      <c r="N220" s="2">
        <v>7854.45</v>
      </c>
      <c r="O220" s="2">
        <v>3630.56</v>
      </c>
      <c r="P220" s="3"/>
      <c r="Q220" s="2">
        <v>1376.95</v>
      </c>
      <c r="R220" s="3"/>
      <c r="S220" s="2">
        <v>966.62</v>
      </c>
      <c r="T220" s="2">
        <v>11201.97</v>
      </c>
      <c r="U220" s="2">
        <v>12073.38</v>
      </c>
      <c r="V220" s="2"/>
      <c r="W220" s="2"/>
      <c r="X220" s="2"/>
      <c r="Y220" s="2"/>
      <c r="Z220" s="13">
        <v>99</v>
      </c>
      <c r="AA220" s="4">
        <v>21</v>
      </c>
      <c r="AB220" s="4">
        <v>11</v>
      </c>
      <c r="AC220" s="3"/>
      <c r="AD220" s="4">
        <v>2</v>
      </c>
      <c r="AE220" s="3"/>
      <c r="AF220" s="4">
        <v>2</v>
      </c>
      <c r="AG220" s="4">
        <v>26</v>
      </c>
      <c r="AH220" s="4">
        <v>37</v>
      </c>
      <c r="AI220" s="12">
        <v>323.09242424242422</v>
      </c>
      <c r="AJ220" s="2">
        <v>322.43238095238092</v>
      </c>
      <c r="AK220" s="2">
        <v>284.52636363636361</v>
      </c>
      <c r="AL220" s="3"/>
      <c r="AM220" s="2">
        <v>593.51499999999999</v>
      </c>
      <c r="AN220" s="3"/>
      <c r="AO220" s="2">
        <v>416.64499999999998</v>
      </c>
      <c r="AP220" s="2">
        <v>371.41807692307691</v>
      </c>
      <c r="AQ220" s="2">
        <v>281.29972972972973</v>
      </c>
      <c r="AR220" s="13">
        <v>1894</v>
      </c>
      <c r="AS220" s="4">
        <v>476</v>
      </c>
      <c r="AT220" s="4">
        <v>154</v>
      </c>
      <c r="AU220" s="3"/>
      <c r="AV220" s="4">
        <v>92</v>
      </c>
      <c r="AW220" s="3"/>
      <c r="AX220" s="4">
        <v>30</v>
      </c>
      <c r="AY220" s="4">
        <v>628</v>
      </c>
      <c r="AZ220" s="4">
        <v>514</v>
      </c>
    </row>
    <row r="221" spans="1:158" x14ac:dyDescent="0.2">
      <c r="A221" s="1" t="s">
        <v>38</v>
      </c>
      <c r="B221" s="1" t="s">
        <v>453</v>
      </c>
      <c r="C221" s="1" t="s">
        <v>454</v>
      </c>
      <c r="D221" s="12">
        <v>30052.53</v>
      </c>
      <c r="E221" s="2">
        <v>3668.44</v>
      </c>
      <c r="F221" s="2">
        <v>2304.9499999999998</v>
      </c>
      <c r="G221" s="2">
        <v>3146.88</v>
      </c>
      <c r="H221" s="2">
        <v>4295.1899999999996</v>
      </c>
      <c r="I221" s="2">
        <v>2553.8000000000002</v>
      </c>
      <c r="J221" s="2">
        <v>7960.96</v>
      </c>
      <c r="K221" s="2">
        <v>6122.31</v>
      </c>
      <c r="L221" s="3"/>
      <c r="M221" s="12">
        <v>34860.93</v>
      </c>
      <c r="N221" s="2">
        <v>4255.3900000000003</v>
      </c>
      <c r="O221" s="2">
        <v>2673.74</v>
      </c>
      <c r="P221" s="2">
        <v>3650.38</v>
      </c>
      <c r="Q221" s="2">
        <v>4982.42</v>
      </c>
      <c r="R221" s="2">
        <v>2962.41</v>
      </c>
      <c r="S221" s="2">
        <v>9234.7099999999991</v>
      </c>
      <c r="T221" s="2">
        <v>7101.88</v>
      </c>
      <c r="U221" s="3"/>
      <c r="V221" s="3"/>
      <c r="W221" s="3"/>
      <c r="X221" s="3"/>
      <c r="Y221" s="3"/>
      <c r="Z221" s="17"/>
      <c r="AA221" s="3"/>
      <c r="AB221" s="3"/>
      <c r="AC221" s="3"/>
      <c r="AD221" s="3"/>
      <c r="AE221" s="3"/>
      <c r="AF221" s="3"/>
      <c r="AG221" s="3"/>
      <c r="AH221" s="3"/>
      <c r="AI221" s="16" t="s">
        <v>33</v>
      </c>
      <c r="AJ221" s="5" t="s">
        <v>33</v>
      </c>
      <c r="AK221" s="5" t="s">
        <v>33</v>
      </c>
      <c r="AL221" s="5" t="s">
        <v>33</v>
      </c>
      <c r="AM221" s="5" t="s">
        <v>33</v>
      </c>
      <c r="AN221" s="5" t="s">
        <v>33</v>
      </c>
      <c r="AO221" s="5" t="s">
        <v>33</v>
      </c>
      <c r="AP221" s="5" t="s">
        <v>33</v>
      </c>
      <c r="AQ221" s="3"/>
      <c r="AR221" s="13">
        <v>822</v>
      </c>
      <c r="AS221" s="4">
        <v>112</v>
      </c>
      <c r="AT221" s="4">
        <v>58</v>
      </c>
      <c r="AU221" s="4">
        <v>96</v>
      </c>
      <c r="AV221" s="4">
        <v>126</v>
      </c>
      <c r="AW221" s="4">
        <v>58</v>
      </c>
      <c r="AX221" s="4">
        <v>210</v>
      </c>
      <c r="AY221" s="4">
        <v>162</v>
      </c>
      <c r="AZ221" s="3"/>
    </row>
    <row r="222" spans="1:158" s="41" customFormat="1" x14ac:dyDescent="0.2">
      <c r="A222" s="1" t="s">
        <v>38</v>
      </c>
      <c r="B222" s="1" t="s">
        <v>455</v>
      </c>
      <c r="C222" s="1" t="s">
        <v>456</v>
      </c>
      <c r="D222" s="12">
        <v>465941.19</v>
      </c>
      <c r="E222" s="2">
        <v>59934.74</v>
      </c>
      <c r="F222" s="2">
        <v>66046.95</v>
      </c>
      <c r="G222" s="3"/>
      <c r="H222" s="2">
        <v>66885.13</v>
      </c>
      <c r="I222" s="2">
        <v>49411.08</v>
      </c>
      <c r="J222" s="2">
        <v>13748.45</v>
      </c>
      <c r="K222" s="2">
        <v>209914.84</v>
      </c>
      <c r="L222" s="3"/>
      <c r="M222" s="12">
        <v>540491.79</v>
      </c>
      <c r="N222" s="2">
        <v>69524.3</v>
      </c>
      <c r="O222" s="2">
        <v>76614.460000000006</v>
      </c>
      <c r="P222" s="3"/>
      <c r="Q222" s="2">
        <v>77586.75</v>
      </c>
      <c r="R222" s="2">
        <v>57316.86</v>
      </c>
      <c r="S222" s="2">
        <v>15948.2</v>
      </c>
      <c r="T222" s="2">
        <v>243501.22</v>
      </c>
      <c r="U222" s="3"/>
      <c r="V222" s="3"/>
      <c r="W222" s="3"/>
      <c r="X222" s="3"/>
      <c r="Y222" s="3"/>
      <c r="Z222" s="13">
        <v>788</v>
      </c>
      <c r="AA222" s="4">
        <v>286</v>
      </c>
      <c r="AB222" s="4">
        <v>36</v>
      </c>
      <c r="AC222" s="3"/>
      <c r="AD222" s="4">
        <v>35</v>
      </c>
      <c r="AE222" s="4">
        <v>33</v>
      </c>
      <c r="AF222" s="4">
        <v>16</v>
      </c>
      <c r="AG222" s="4">
        <v>382</v>
      </c>
      <c r="AH222" s="3"/>
      <c r="AI222" s="12">
        <v>591.29592639593909</v>
      </c>
      <c r="AJ222" s="2">
        <v>209.56202797202798</v>
      </c>
      <c r="AK222" s="2">
        <v>1834.6375</v>
      </c>
      <c r="AL222" s="3"/>
      <c r="AM222" s="2">
        <v>1911.0037142857143</v>
      </c>
      <c r="AN222" s="2">
        <v>1497.3054545454545</v>
      </c>
      <c r="AO222" s="2">
        <v>859.27812500000005</v>
      </c>
      <c r="AP222" s="2">
        <v>549.51528795811521</v>
      </c>
      <c r="AQ222" s="3"/>
      <c r="AR222" s="13">
        <v>3895</v>
      </c>
      <c r="AS222" s="4">
        <v>524</v>
      </c>
      <c r="AT222" s="3"/>
      <c r="AU222" s="3"/>
      <c r="AV222" s="4">
        <v>38</v>
      </c>
      <c r="AW222" s="4">
        <v>26</v>
      </c>
      <c r="AX222" s="4">
        <v>174</v>
      </c>
      <c r="AY222" s="4">
        <v>3133</v>
      </c>
      <c r="AZ222" s="3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</row>
    <row r="223" spans="1:158" s="29" customFormat="1" x14ac:dyDescent="0.2">
      <c r="A223" s="33" t="s">
        <v>38</v>
      </c>
      <c r="B223" s="33" t="s">
        <v>457</v>
      </c>
      <c r="C223" s="33" t="s">
        <v>458</v>
      </c>
      <c r="D223" s="34">
        <v>1145.49</v>
      </c>
      <c r="E223" s="36">
        <v>1145.49</v>
      </c>
      <c r="F223" s="35"/>
      <c r="G223" s="35"/>
      <c r="H223" s="35"/>
      <c r="I223" s="35"/>
      <c r="J223" s="35"/>
      <c r="K223" s="35"/>
      <c r="L223" s="35"/>
      <c r="M223" s="34">
        <v>1191.3</v>
      </c>
      <c r="N223" s="36">
        <v>1191.3</v>
      </c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9">
        <v>2</v>
      </c>
      <c r="AA223" s="40">
        <v>2</v>
      </c>
      <c r="AB223" s="35"/>
      <c r="AC223" s="35"/>
      <c r="AD223" s="35"/>
      <c r="AE223" s="35"/>
      <c r="AF223" s="35"/>
      <c r="AG223" s="35"/>
      <c r="AH223" s="35"/>
      <c r="AI223" s="34">
        <v>572.745</v>
      </c>
      <c r="AJ223" s="36">
        <v>572.745</v>
      </c>
      <c r="AK223" s="35"/>
      <c r="AL223" s="35"/>
      <c r="AM223" s="35"/>
      <c r="AN223" s="35"/>
      <c r="AO223" s="35"/>
      <c r="AP223" s="35"/>
      <c r="AQ223" s="35"/>
      <c r="AR223" s="39">
        <v>4</v>
      </c>
      <c r="AS223" s="40">
        <v>4</v>
      </c>
      <c r="AT223" s="35"/>
      <c r="AU223" s="35"/>
      <c r="AV223" s="35"/>
      <c r="AW223" s="35"/>
      <c r="AX223" s="35"/>
      <c r="AY223" s="35"/>
      <c r="AZ223" s="35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</row>
    <row r="224" spans="1:158" x14ac:dyDescent="0.2">
      <c r="A224" s="23" t="s">
        <v>38</v>
      </c>
      <c r="B224" s="23" t="s">
        <v>459</v>
      </c>
      <c r="C224" s="23" t="s">
        <v>460</v>
      </c>
      <c r="D224" s="24">
        <v>50488.62</v>
      </c>
      <c r="E224" s="25">
        <v>13982.29</v>
      </c>
      <c r="F224" s="25">
        <v>8224.82</v>
      </c>
      <c r="G224" s="25">
        <v>15586.47</v>
      </c>
      <c r="H224" s="25">
        <v>12695.04</v>
      </c>
      <c r="I224" s="26"/>
      <c r="J224" s="26"/>
      <c r="K224" s="26"/>
      <c r="L224" s="26"/>
      <c r="M224" s="24">
        <v>58566.8</v>
      </c>
      <c r="N224" s="25">
        <v>16219.46</v>
      </c>
      <c r="O224" s="25">
        <v>9540.7999999999993</v>
      </c>
      <c r="P224" s="25">
        <v>18080.3</v>
      </c>
      <c r="Q224" s="25">
        <v>14726.24</v>
      </c>
      <c r="R224" s="26"/>
      <c r="S224" s="26"/>
      <c r="T224" s="26"/>
      <c r="U224" s="26"/>
      <c r="V224" s="26"/>
      <c r="W224" s="26"/>
      <c r="X224" s="26"/>
      <c r="Y224" s="26"/>
      <c r="Z224" s="27">
        <v>177</v>
      </c>
      <c r="AA224" s="28">
        <v>52</v>
      </c>
      <c r="AB224" s="28">
        <v>31</v>
      </c>
      <c r="AC224" s="28">
        <v>48</v>
      </c>
      <c r="AD224" s="28">
        <v>46</v>
      </c>
      <c r="AE224" s="26"/>
      <c r="AF224" s="26"/>
      <c r="AG224" s="26"/>
      <c r="AH224" s="26"/>
      <c r="AI224" s="24">
        <v>285.24644067796612</v>
      </c>
      <c r="AJ224" s="25">
        <v>268.8901923076923</v>
      </c>
      <c r="AK224" s="25">
        <v>265.31677419354838</v>
      </c>
      <c r="AL224" s="25">
        <v>324.71812499999999</v>
      </c>
      <c r="AM224" s="25">
        <v>275.97913043478263</v>
      </c>
      <c r="AN224" s="26"/>
      <c r="AO224" s="26"/>
      <c r="AP224" s="26"/>
      <c r="AQ224" s="26"/>
      <c r="AR224" s="27">
        <v>1218</v>
      </c>
      <c r="AS224" s="28">
        <v>250</v>
      </c>
      <c r="AT224" s="28">
        <v>322</v>
      </c>
      <c r="AU224" s="28">
        <v>388</v>
      </c>
      <c r="AV224" s="28">
        <v>258</v>
      </c>
      <c r="AW224" s="26"/>
      <c r="AX224" s="26"/>
      <c r="AY224" s="26"/>
      <c r="AZ224" s="26"/>
    </row>
    <row r="225" spans="1:158" s="41" customFormat="1" x14ac:dyDescent="0.2">
      <c r="A225" s="1" t="s">
        <v>38</v>
      </c>
      <c r="B225" s="1" t="s">
        <v>461</v>
      </c>
      <c r="C225" s="1" t="s">
        <v>462</v>
      </c>
      <c r="D225" s="12">
        <v>109041.12</v>
      </c>
      <c r="E225" s="3"/>
      <c r="F225" s="3"/>
      <c r="G225" s="3"/>
      <c r="H225" s="3"/>
      <c r="I225" s="3"/>
      <c r="J225" s="2">
        <v>68235.070000000007</v>
      </c>
      <c r="K225" s="2">
        <v>40806.050000000003</v>
      </c>
      <c r="L225" s="3"/>
      <c r="M225" s="12">
        <v>126487.7</v>
      </c>
      <c r="N225" s="3"/>
      <c r="O225" s="3"/>
      <c r="P225" s="3"/>
      <c r="Q225" s="3"/>
      <c r="R225" s="3"/>
      <c r="S225" s="2">
        <v>79152.679999999993</v>
      </c>
      <c r="T225" s="2">
        <v>47335.02</v>
      </c>
      <c r="U225" s="3"/>
      <c r="V225" s="3"/>
      <c r="W225" s="3"/>
      <c r="X225" s="3"/>
      <c r="Y225" s="3"/>
      <c r="Z225" s="13">
        <v>250</v>
      </c>
      <c r="AA225" s="3"/>
      <c r="AB225" s="3"/>
      <c r="AC225" s="3"/>
      <c r="AD225" s="3"/>
      <c r="AE225" s="3"/>
      <c r="AF225" s="4">
        <v>158</v>
      </c>
      <c r="AG225" s="4">
        <v>92</v>
      </c>
      <c r="AH225" s="3"/>
      <c r="AI225" s="12">
        <v>436.16448000000003</v>
      </c>
      <c r="AJ225" s="3"/>
      <c r="AK225" s="3"/>
      <c r="AL225" s="3"/>
      <c r="AM225" s="3"/>
      <c r="AN225" s="3"/>
      <c r="AO225" s="2">
        <v>431.86753164556961</v>
      </c>
      <c r="AP225" s="2">
        <v>443.54402173913041</v>
      </c>
      <c r="AQ225" s="3"/>
      <c r="AR225" s="13">
        <v>4226</v>
      </c>
      <c r="AS225" s="3"/>
      <c r="AT225" s="3"/>
      <c r="AU225" s="3"/>
      <c r="AV225" s="3"/>
      <c r="AW225" s="3"/>
      <c r="AX225" s="4">
        <v>2638</v>
      </c>
      <c r="AY225" s="4">
        <v>1588</v>
      </c>
      <c r="AZ225" s="3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</row>
    <row r="226" spans="1:158" s="52" customFormat="1" x14ac:dyDescent="0.2">
      <c r="A226" s="33" t="s">
        <v>38</v>
      </c>
      <c r="B226" s="33" t="s">
        <v>463</v>
      </c>
      <c r="C226" s="33" t="s">
        <v>464</v>
      </c>
      <c r="D226" s="37"/>
      <c r="E226" s="38"/>
      <c r="F226" s="35"/>
      <c r="G226" s="35"/>
      <c r="H226" s="35"/>
      <c r="I226" s="35"/>
      <c r="J226" s="35"/>
      <c r="K226" s="35"/>
      <c r="L226" s="35"/>
      <c r="M226" s="37"/>
      <c r="N226" s="38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42"/>
      <c r="AA226" s="35"/>
      <c r="AB226" s="35"/>
      <c r="AC226" s="35"/>
      <c r="AD226" s="35"/>
      <c r="AE226" s="35"/>
      <c r="AF226" s="35"/>
      <c r="AG226" s="35"/>
      <c r="AH226" s="35"/>
      <c r="AI226" s="37" t="s">
        <v>33</v>
      </c>
      <c r="AJ226" s="38" t="s">
        <v>33</v>
      </c>
      <c r="AK226" s="35"/>
      <c r="AL226" s="35"/>
      <c r="AM226" s="35"/>
      <c r="AN226" s="35"/>
      <c r="AO226" s="35"/>
      <c r="AP226" s="35"/>
      <c r="AQ226" s="35"/>
      <c r="AR226" s="37"/>
      <c r="AS226" s="38"/>
      <c r="AT226" s="35"/>
      <c r="AU226" s="35"/>
      <c r="AV226" s="35"/>
      <c r="AW226" s="35"/>
      <c r="AX226" s="35"/>
      <c r="AY226" s="35"/>
      <c r="AZ226" s="35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</row>
    <row r="227" spans="1:158" x14ac:dyDescent="0.2">
      <c r="A227" s="43" t="s">
        <v>38</v>
      </c>
      <c r="B227" s="43" t="s">
        <v>465</v>
      </c>
      <c r="C227" s="43" t="s">
        <v>466</v>
      </c>
      <c r="D227" s="44">
        <v>276560.56</v>
      </c>
      <c r="E227" s="45">
        <v>119977.08</v>
      </c>
      <c r="F227" s="45">
        <v>-48142.31</v>
      </c>
      <c r="G227" s="45">
        <v>76975.179999999993</v>
      </c>
      <c r="H227" s="45">
        <v>127104.83</v>
      </c>
      <c r="I227" s="45">
        <v>645.78</v>
      </c>
      <c r="J227" s="46"/>
      <c r="K227" s="46"/>
      <c r="L227" s="46"/>
      <c r="M227" s="44">
        <v>286260.99</v>
      </c>
      <c r="N227" s="45">
        <v>122517.99</v>
      </c>
      <c r="O227" s="45">
        <v>-47267.57</v>
      </c>
      <c r="P227" s="45">
        <v>80485.89</v>
      </c>
      <c r="Q227" s="45">
        <v>129878.9</v>
      </c>
      <c r="R227" s="45">
        <v>645.78</v>
      </c>
      <c r="S227" s="46"/>
      <c r="T227" s="46"/>
      <c r="U227" s="46"/>
      <c r="V227" s="46"/>
      <c r="W227" s="46"/>
      <c r="X227" s="46"/>
      <c r="Y227" s="46"/>
      <c r="Z227" s="50">
        <v>247</v>
      </c>
      <c r="AA227" s="51">
        <v>121</v>
      </c>
      <c r="AB227" s="51">
        <v>-31</v>
      </c>
      <c r="AC227" s="51">
        <v>70</v>
      </c>
      <c r="AD227" s="51">
        <v>86</v>
      </c>
      <c r="AE227" s="51">
        <v>1</v>
      </c>
      <c r="AF227" s="46"/>
      <c r="AG227" s="46"/>
      <c r="AH227" s="46"/>
      <c r="AI227" s="44">
        <v>1119.6783805668017</v>
      </c>
      <c r="AJ227" s="45">
        <v>991.54611570247937</v>
      </c>
      <c r="AK227" s="45">
        <v>1552.9777419354839</v>
      </c>
      <c r="AL227" s="45">
        <v>1099.6454285714285</v>
      </c>
      <c r="AM227" s="45">
        <v>1477.9631395348838</v>
      </c>
      <c r="AN227" s="45">
        <v>645.78</v>
      </c>
      <c r="AO227" s="46"/>
      <c r="AP227" s="46"/>
      <c r="AQ227" s="46"/>
      <c r="AR227" s="50">
        <v>2327.1999999999998</v>
      </c>
      <c r="AS227" s="51">
        <v>4678</v>
      </c>
      <c r="AT227" s="51">
        <v>-2670.5</v>
      </c>
      <c r="AU227" s="51">
        <v>134</v>
      </c>
      <c r="AV227" s="51">
        <v>169</v>
      </c>
      <c r="AW227" s="51">
        <v>16.7</v>
      </c>
      <c r="AX227" s="46"/>
      <c r="AY227" s="46"/>
      <c r="AZ227" s="46"/>
    </row>
    <row r="228" spans="1:158" x14ac:dyDescent="0.2">
      <c r="A228" s="1" t="s">
        <v>38</v>
      </c>
      <c r="B228" s="1" t="s">
        <v>467</v>
      </c>
      <c r="C228" s="1" t="s">
        <v>468</v>
      </c>
      <c r="D228" s="12">
        <v>3860.83</v>
      </c>
      <c r="E228" s="3"/>
      <c r="F228" s="2">
        <v>387.96</v>
      </c>
      <c r="G228" s="2">
        <v>919.9</v>
      </c>
      <c r="H228" s="2">
        <v>1207.03</v>
      </c>
      <c r="I228" s="2">
        <v>1208.76</v>
      </c>
      <c r="J228" s="2">
        <v>137.18</v>
      </c>
      <c r="K228" s="3"/>
      <c r="L228" s="3"/>
      <c r="M228" s="12">
        <v>4478.55</v>
      </c>
      <c r="N228" s="3"/>
      <c r="O228" s="2">
        <v>450.03</v>
      </c>
      <c r="P228" s="2">
        <v>1067.08</v>
      </c>
      <c r="Q228" s="2">
        <v>1400.15</v>
      </c>
      <c r="R228" s="2">
        <v>1402.16</v>
      </c>
      <c r="S228" s="2">
        <v>159.13</v>
      </c>
      <c r="T228" s="3"/>
      <c r="U228" s="3"/>
      <c r="V228" s="3"/>
      <c r="W228" s="3"/>
      <c r="X228" s="3"/>
      <c r="Y228" s="3"/>
      <c r="Z228" s="17"/>
      <c r="AA228" s="3"/>
      <c r="AB228" s="3"/>
      <c r="AC228" s="3"/>
      <c r="AD228" s="3"/>
      <c r="AE228" s="3"/>
      <c r="AF228" s="3"/>
      <c r="AG228" s="3"/>
      <c r="AH228" s="3"/>
      <c r="AI228" s="16" t="s">
        <v>33</v>
      </c>
      <c r="AJ228" s="3"/>
      <c r="AK228" s="5" t="s">
        <v>33</v>
      </c>
      <c r="AL228" s="5" t="s">
        <v>33</v>
      </c>
      <c r="AM228" s="5" t="s">
        <v>33</v>
      </c>
      <c r="AN228" s="5" t="s">
        <v>33</v>
      </c>
      <c r="AO228" s="5" t="s">
        <v>33</v>
      </c>
      <c r="AP228" s="3"/>
      <c r="AQ228" s="3"/>
      <c r="AR228" s="13">
        <v>78</v>
      </c>
      <c r="AS228" s="3"/>
      <c r="AT228" s="4">
        <v>4</v>
      </c>
      <c r="AU228" s="4">
        <v>10</v>
      </c>
      <c r="AV228" s="4">
        <v>26</v>
      </c>
      <c r="AW228" s="4">
        <v>34</v>
      </c>
      <c r="AX228" s="4">
        <v>4</v>
      </c>
      <c r="AY228" s="3"/>
      <c r="AZ228" s="3"/>
    </row>
    <row r="229" spans="1:158" x14ac:dyDescent="0.2">
      <c r="A229" s="1" t="s">
        <v>38</v>
      </c>
      <c r="B229" s="1" t="s">
        <v>469</v>
      </c>
      <c r="C229" s="1" t="s">
        <v>470</v>
      </c>
      <c r="D229" s="12">
        <v>2410.48</v>
      </c>
      <c r="E229" s="3"/>
      <c r="F229" s="3"/>
      <c r="G229" s="3"/>
      <c r="H229" s="3"/>
      <c r="I229" s="2">
        <v>262.95</v>
      </c>
      <c r="J229" s="2">
        <v>2147.5300000000002</v>
      </c>
      <c r="K229" s="3"/>
      <c r="L229" s="3"/>
      <c r="M229" s="12">
        <v>2796.15</v>
      </c>
      <c r="N229" s="3"/>
      <c r="O229" s="3"/>
      <c r="P229" s="3"/>
      <c r="Q229" s="3"/>
      <c r="R229" s="2">
        <v>305.02</v>
      </c>
      <c r="S229" s="2">
        <v>2491.13</v>
      </c>
      <c r="T229" s="3"/>
      <c r="U229" s="3"/>
      <c r="V229" s="3"/>
      <c r="W229" s="3"/>
      <c r="X229" s="3"/>
      <c r="Y229" s="3"/>
      <c r="Z229" s="13">
        <v>8</v>
      </c>
      <c r="AA229" s="3"/>
      <c r="AB229" s="3"/>
      <c r="AC229" s="3"/>
      <c r="AD229" s="3"/>
      <c r="AE229" s="4">
        <v>1</v>
      </c>
      <c r="AF229" s="4">
        <v>7</v>
      </c>
      <c r="AG229" s="3"/>
      <c r="AH229" s="3"/>
      <c r="AI229" s="12">
        <v>301.31</v>
      </c>
      <c r="AJ229" s="3"/>
      <c r="AK229" s="3"/>
      <c r="AL229" s="3"/>
      <c r="AM229" s="3"/>
      <c r="AN229" s="2">
        <v>262.95</v>
      </c>
      <c r="AO229" s="2">
        <v>306.79000000000002</v>
      </c>
      <c r="AP229" s="3"/>
      <c r="AQ229" s="3"/>
      <c r="AR229" s="13">
        <v>54</v>
      </c>
      <c r="AS229" s="3"/>
      <c r="AT229" s="3"/>
      <c r="AU229" s="3"/>
      <c r="AV229" s="3"/>
      <c r="AW229" s="4">
        <v>2</v>
      </c>
      <c r="AX229" s="4">
        <v>52</v>
      </c>
      <c r="AY229" s="3"/>
      <c r="AZ229" s="3"/>
    </row>
    <row r="230" spans="1:158" s="29" customFormat="1" x14ac:dyDescent="0.2">
      <c r="A230" s="1" t="s">
        <v>38</v>
      </c>
      <c r="B230" s="1" t="s">
        <v>471</v>
      </c>
      <c r="C230" s="1" t="s">
        <v>472</v>
      </c>
      <c r="D230" s="12">
        <v>2953</v>
      </c>
      <c r="E230" s="3"/>
      <c r="F230" s="3"/>
      <c r="G230" s="2">
        <v>1867.02</v>
      </c>
      <c r="H230" s="3"/>
      <c r="I230" s="2">
        <v>1035.3</v>
      </c>
      <c r="J230" s="2">
        <v>50.68</v>
      </c>
      <c r="K230" s="3"/>
      <c r="L230" s="3"/>
      <c r="M230" s="12">
        <v>3425.48</v>
      </c>
      <c r="N230" s="3"/>
      <c r="O230" s="3"/>
      <c r="P230" s="2">
        <v>2165.7399999999998</v>
      </c>
      <c r="Q230" s="3"/>
      <c r="R230" s="2">
        <v>1200.95</v>
      </c>
      <c r="S230" s="2">
        <v>58.79</v>
      </c>
      <c r="T230" s="3"/>
      <c r="U230" s="3"/>
      <c r="V230" s="3"/>
      <c r="W230" s="3"/>
      <c r="X230" s="3"/>
      <c r="Y230" s="3"/>
      <c r="Z230" s="17"/>
      <c r="AA230" s="3"/>
      <c r="AB230" s="3"/>
      <c r="AC230" s="3"/>
      <c r="AD230" s="3"/>
      <c r="AE230" s="3"/>
      <c r="AF230" s="3"/>
      <c r="AG230" s="3"/>
      <c r="AH230" s="3"/>
      <c r="AI230" s="16" t="s">
        <v>33</v>
      </c>
      <c r="AJ230" s="3"/>
      <c r="AK230" s="3"/>
      <c r="AL230" s="5" t="s">
        <v>33</v>
      </c>
      <c r="AM230" s="3"/>
      <c r="AN230" s="5" t="s">
        <v>33</v>
      </c>
      <c r="AO230" s="5" t="s">
        <v>33</v>
      </c>
      <c r="AP230" s="3"/>
      <c r="AQ230" s="3"/>
      <c r="AR230" s="13">
        <v>96</v>
      </c>
      <c r="AS230" s="3"/>
      <c r="AT230" s="3"/>
      <c r="AU230" s="4">
        <v>74</v>
      </c>
      <c r="AV230" s="3"/>
      <c r="AW230" s="4">
        <v>20</v>
      </c>
      <c r="AX230" s="4">
        <v>2</v>
      </c>
      <c r="AY230" s="3"/>
      <c r="AZ230" s="3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</row>
    <row r="231" spans="1:158" x14ac:dyDescent="0.2">
      <c r="A231" s="23" t="s">
        <v>38</v>
      </c>
      <c r="B231" s="23" t="s">
        <v>473</v>
      </c>
      <c r="C231" s="23" t="s">
        <v>474</v>
      </c>
      <c r="D231" s="24">
        <v>1950763.79</v>
      </c>
      <c r="E231" s="25">
        <v>1448880.31</v>
      </c>
      <c r="F231" s="25">
        <v>501883.48</v>
      </c>
      <c r="G231" s="26"/>
      <c r="H231" s="26"/>
      <c r="I231" s="26"/>
      <c r="J231" s="26"/>
      <c r="K231" s="26"/>
      <c r="L231" s="26"/>
      <c r="M231" s="24">
        <v>2262885.9900000002</v>
      </c>
      <c r="N231" s="25">
        <v>1680701.15</v>
      </c>
      <c r="O231" s="25">
        <v>582184.84</v>
      </c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7">
        <v>19453</v>
      </c>
      <c r="AA231" s="28">
        <v>14636</v>
      </c>
      <c r="AB231" s="28">
        <v>4817</v>
      </c>
      <c r="AC231" s="26"/>
      <c r="AD231" s="26"/>
      <c r="AE231" s="26"/>
      <c r="AF231" s="26"/>
      <c r="AG231" s="26"/>
      <c r="AH231" s="26"/>
      <c r="AI231" s="24">
        <v>100.28087133090013</v>
      </c>
      <c r="AJ231" s="25">
        <v>98.994281907625023</v>
      </c>
      <c r="AK231" s="25">
        <v>104.19005189952252</v>
      </c>
      <c r="AL231" s="26"/>
      <c r="AM231" s="26"/>
      <c r="AN231" s="26"/>
      <c r="AO231" s="26"/>
      <c r="AP231" s="26"/>
      <c r="AQ231" s="26"/>
      <c r="AR231" s="27">
        <v>11410</v>
      </c>
      <c r="AS231" s="28">
        <v>8070</v>
      </c>
      <c r="AT231" s="28">
        <v>3340</v>
      </c>
      <c r="AU231" s="26"/>
      <c r="AV231" s="26"/>
      <c r="AW231" s="26"/>
      <c r="AX231" s="26"/>
      <c r="AY231" s="26"/>
      <c r="AZ231" s="26"/>
    </row>
    <row r="232" spans="1:158" s="41" customFormat="1" x14ac:dyDescent="0.2">
      <c r="A232" s="1" t="s">
        <v>38</v>
      </c>
      <c r="B232" s="1" t="s">
        <v>475</v>
      </c>
      <c r="C232" s="1" t="s">
        <v>476</v>
      </c>
      <c r="D232" s="12">
        <v>2455.63</v>
      </c>
      <c r="E232" s="3"/>
      <c r="F232" s="3"/>
      <c r="G232" s="3"/>
      <c r="H232" s="3"/>
      <c r="I232" s="2">
        <v>3833.27</v>
      </c>
      <c r="J232" s="3"/>
      <c r="K232" s="2">
        <v>-1377.64</v>
      </c>
      <c r="L232" s="3"/>
      <c r="M232" s="12">
        <v>2608.87</v>
      </c>
      <c r="N232" s="3"/>
      <c r="O232" s="3"/>
      <c r="P232" s="3"/>
      <c r="Q232" s="3"/>
      <c r="R232" s="2">
        <v>3986.51</v>
      </c>
      <c r="S232" s="3"/>
      <c r="T232" s="2">
        <v>-1377.64</v>
      </c>
      <c r="U232" s="3"/>
      <c r="V232" s="3"/>
      <c r="W232" s="3"/>
      <c r="X232" s="3"/>
      <c r="Y232" s="3"/>
      <c r="Z232" s="13">
        <v>4</v>
      </c>
      <c r="AA232" s="3"/>
      <c r="AB232" s="3"/>
      <c r="AC232" s="3"/>
      <c r="AD232" s="3"/>
      <c r="AE232" s="4">
        <v>4</v>
      </c>
      <c r="AF232" s="3"/>
      <c r="AG232" s="3"/>
      <c r="AH232" s="3"/>
      <c r="AI232" s="12">
        <v>613.90750000000003</v>
      </c>
      <c r="AJ232" s="3"/>
      <c r="AK232" s="3"/>
      <c r="AL232" s="3"/>
      <c r="AM232" s="3"/>
      <c r="AN232" s="2">
        <v>958.3175</v>
      </c>
      <c r="AO232" s="3"/>
      <c r="AP232" s="5" t="s">
        <v>33</v>
      </c>
      <c r="AQ232" s="3"/>
      <c r="AR232" s="13">
        <v>57</v>
      </c>
      <c r="AS232" s="3"/>
      <c r="AT232" s="3"/>
      <c r="AU232" s="3"/>
      <c r="AV232" s="3"/>
      <c r="AW232" s="4">
        <v>68</v>
      </c>
      <c r="AX232" s="3"/>
      <c r="AY232" s="4">
        <v>-11</v>
      </c>
      <c r="AZ232" s="3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</row>
    <row r="233" spans="1:158" x14ac:dyDescent="0.2">
      <c r="A233" s="33" t="s">
        <v>38</v>
      </c>
      <c r="B233" s="33" t="s">
        <v>477</v>
      </c>
      <c r="C233" s="33" t="s">
        <v>478</v>
      </c>
      <c r="D233" s="34">
        <v>13985.55</v>
      </c>
      <c r="E233" s="36">
        <v>20838.310000000001</v>
      </c>
      <c r="F233" s="36">
        <v>2978.55</v>
      </c>
      <c r="G233" s="36">
        <v>2658.11</v>
      </c>
      <c r="H233" s="36">
        <v>3792.04</v>
      </c>
      <c r="I233" s="36">
        <v>-16281.46</v>
      </c>
      <c r="J233" s="35"/>
      <c r="K233" s="35"/>
      <c r="L233" s="35"/>
      <c r="M233" s="34">
        <v>16223.24</v>
      </c>
      <c r="N233" s="36">
        <v>24172.44</v>
      </c>
      <c r="O233" s="36">
        <v>3455.12</v>
      </c>
      <c r="P233" s="36">
        <v>3083.41</v>
      </c>
      <c r="Q233" s="36">
        <v>4398.7700000000004</v>
      </c>
      <c r="R233" s="36">
        <v>-18886.5</v>
      </c>
      <c r="S233" s="35"/>
      <c r="T233" s="35"/>
      <c r="U233" s="35"/>
      <c r="V233" s="35"/>
      <c r="W233" s="35"/>
      <c r="X233" s="35"/>
      <c r="Y233" s="35"/>
      <c r="Z233" s="37"/>
      <c r="AA233" s="40">
        <v>103</v>
      </c>
      <c r="AB233" s="35"/>
      <c r="AC233" s="35"/>
      <c r="AD233" s="35"/>
      <c r="AE233" s="40">
        <v>-103</v>
      </c>
      <c r="AF233" s="35"/>
      <c r="AG233" s="35"/>
      <c r="AH233" s="35"/>
      <c r="AI233" s="37" t="s">
        <v>33</v>
      </c>
      <c r="AJ233" s="36">
        <v>202.31368932038836</v>
      </c>
      <c r="AK233" s="38" t="s">
        <v>33</v>
      </c>
      <c r="AL233" s="38" t="s">
        <v>33</v>
      </c>
      <c r="AM233" s="38" t="s">
        <v>33</v>
      </c>
      <c r="AN233" s="36">
        <v>158.07242718446602</v>
      </c>
      <c r="AO233" s="35"/>
      <c r="AP233" s="35"/>
      <c r="AQ233" s="35"/>
      <c r="AR233" s="39">
        <v>1676</v>
      </c>
      <c r="AS233" s="40">
        <v>110</v>
      </c>
      <c r="AT233" s="40">
        <v>314</v>
      </c>
      <c r="AU233" s="40">
        <v>338</v>
      </c>
      <c r="AV233" s="40">
        <v>430</v>
      </c>
      <c r="AW233" s="40">
        <v>484</v>
      </c>
      <c r="AX233" s="35"/>
      <c r="AY233" s="35"/>
      <c r="AZ233" s="35"/>
    </row>
    <row r="234" spans="1:158" x14ac:dyDescent="0.2">
      <c r="A234" s="1" t="s">
        <v>38</v>
      </c>
      <c r="B234" s="1" t="s">
        <v>479</v>
      </c>
      <c r="C234" s="1" t="s">
        <v>480</v>
      </c>
      <c r="D234" s="12">
        <v>68825.36</v>
      </c>
      <c r="E234" s="2">
        <v>22270.03</v>
      </c>
      <c r="F234" s="2">
        <v>410.43</v>
      </c>
      <c r="G234" s="2">
        <v>4274.04</v>
      </c>
      <c r="H234" s="2">
        <v>-10101.59</v>
      </c>
      <c r="I234" s="2">
        <v>24717</v>
      </c>
      <c r="J234" s="2">
        <v>725.61</v>
      </c>
      <c r="K234" s="2">
        <v>26529.84</v>
      </c>
      <c r="L234" s="3"/>
      <c r="M234" s="12">
        <v>79837.42</v>
      </c>
      <c r="N234" s="2">
        <v>25833.23</v>
      </c>
      <c r="O234" s="2">
        <v>476.1</v>
      </c>
      <c r="P234" s="2">
        <v>4957.8900000000003</v>
      </c>
      <c r="Q234" s="2">
        <v>-11717.84</v>
      </c>
      <c r="R234" s="2">
        <v>28671.72</v>
      </c>
      <c r="S234" s="2">
        <v>841.71</v>
      </c>
      <c r="T234" s="2">
        <v>30774.61</v>
      </c>
      <c r="U234" s="3"/>
      <c r="V234" s="3"/>
      <c r="W234" s="3"/>
      <c r="X234" s="3"/>
      <c r="Y234" s="3"/>
      <c r="Z234" s="13">
        <v>200</v>
      </c>
      <c r="AA234" s="3"/>
      <c r="AB234" s="3"/>
      <c r="AC234" s="3"/>
      <c r="AD234" s="3"/>
      <c r="AE234" s="4">
        <v>100</v>
      </c>
      <c r="AF234" s="3"/>
      <c r="AG234" s="4">
        <v>100</v>
      </c>
      <c r="AH234" s="3"/>
      <c r="AI234" s="12">
        <v>344.1268</v>
      </c>
      <c r="AJ234" s="5" t="s">
        <v>33</v>
      </c>
      <c r="AK234" s="5" t="s">
        <v>33</v>
      </c>
      <c r="AL234" s="5" t="s">
        <v>33</v>
      </c>
      <c r="AM234" s="5" t="s">
        <v>33</v>
      </c>
      <c r="AN234" s="2">
        <v>247.17</v>
      </c>
      <c r="AO234" s="5" t="s">
        <v>33</v>
      </c>
      <c r="AP234" s="2">
        <v>265.29840000000002</v>
      </c>
      <c r="AQ234" s="3"/>
      <c r="AR234" s="13">
        <v>284</v>
      </c>
      <c r="AS234" s="4">
        <v>318</v>
      </c>
      <c r="AT234" s="4">
        <v>6</v>
      </c>
      <c r="AU234" s="4">
        <v>60</v>
      </c>
      <c r="AV234" s="4">
        <v>-134</v>
      </c>
      <c r="AW234" s="3"/>
      <c r="AX234" s="4">
        <v>10</v>
      </c>
      <c r="AY234" s="4">
        <v>24</v>
      </c>
      <c r="AZ234" s="3"/>
    </row>
    <row r="235" spans="1:158" x14ac:dyDescent="0.2">
      <c r="A235" s="1" t="s">
        <v>38</v>
      </c>
      <c r="B235" s="1" t="s">
        <v>481</v>
      </c>
      <c r="C235" s="1" t="s">
        <v>482</v>
      </c>
      <c r="D235" s="12">
        <v>136402.46</v>
      </c>
      <c r="E235" s="3"/>
      <c r="F235" s="2">
        <v>29591.34</v>
      </c>
      <c r="G235" s="2">
        <v>-11621.32</v>
      </c>
      <c r="H235" s="2">
        <v>14892.96</v>
      </c>
      <c r="I235" s="2">
        <v>13265.44</v>
      </c>
      <c r="J235" s="2">
        <v>15486.74</v>
      </c>
      <c r="K235" s="2">
        <v>74787.3</v>
      </c>
      <c r="L235" s="3"/>
      <c r="M235" s="12">
        <v>158226.85</v>
      </c>
      <c r="N235" s="3"/>
      <c r="O235" s="2">
        <v>34325.949999999997</v>
      </c>
      <c r="P235" s="2">
        <v>-13480.73</v>
      </c>
      <c r="Q235" s="2">
        <v>17275.830000000002</v>
      </c>
      <c r="R235" s="2">
        <v>15387.91</v>
      </c>
      <c r="S235" s="2">
        <v>17964.62</v>
      </c>
      <c r="T235" s="2">
        <v>86753.27</v>
      </c>
      <c r="U235" s="3"/>
      <c r="V235" s="3"/>
      <c r="W235" s="3"/>
      <c r="X235" s="3"/>
      <c r="Y235" s="3"/>
      <c r="Z235" s="17"/>
      <c r="AA235" s="3"/>
      <c r="AB235" s="3"/>
      <c r="AC235" s="3"/>
      <c r="AD235" s="3"/>
      <c r="AE235" s="3"/>
      <c r="AF235" s="3"/>
      <c r="AG235" s="3"/>
      <c r="AH235" s="3"/>
      <c r="AI235" s="16" t="s">
        <v>33</v>
      </c>
      <c r="AJ235" s="3"/>
      <c r="AK235" s="5" t="s">
        <v>33</v>
      </c>
      <c r="AL235" s="5" t="s">
        <v>33</v>
      </c>
      <c r="AM235" s="5" t="s">
        <v>33</v>
      </c>
      <c r="AN235" s="5" t="s">
        <v>33</v>
      </c>
      <c r="AO235" s="5" t="s">
        <v>33</v>
      </c>
      <c r="AP235" s="5" t="s">
        <v>33</v>
      </c>
      <c r="AQ235" s="3"/>
      <c r="AR235" s="13">
        <v>12332</v>
      </c>
      <c r="AS235" s="3"/>
      <c r="AT235" s="4">
        <v>862</v>
      </c>
      <c r="AU235" s="4">
        <v>1488</v>
      </c>
      <c r="AV235" s="4">
        <v>2616</v>
      </c>
      <c r="AW235" s="4">
        <v>2278</v>
      </c>
      <c r="AX235" s="4">
        <v>2572</v>
      </c>
      <c r="AY235" s="4">
        <v>2516</v>
      </c>
      <c r="AZ235" s="3"/>
    </row>
    <row r="236" spans="1:158" s="52" customFormat="1" x14ac:dyDescent="0.2">
      <c r="A236" s="1" t="s">
        <v>38</v>
      </c>
      <c r="B236" s="1" t="s">
        <v>483</v>
      </c>
      <c r="C236" s="1" t="s">
        <v>484</v>
      </c>
      <c r="D236" s="12">
        <v>6717.6</v>
      </c>
      <c r="E236" s="3"/>
      <c r="F236" s="2">
        <v>6417.6</v>
      </c>
      <c r="G236" s="3"/>
      <c r="H236" s="3"/>
      <c r="I236" s="2">
        <v>300</v>
      </c>
      <c r="J236" s="3"/>
      <c r="K236" s="3"/>
      <c r="L236" s="3"/>
      <c r="M236" s="12">
        <v>7792.42</v>
      </c>
      <c r="N236" s="3"/>
      <c r="O236" s="2">
        <v>7444.42</v>
      </c>
      <c r="P236" s="3"/>
      <c r="Q236" s="3"/>
      <c r="R236" s="2">
        <v>348</v>
      </c>
      <c r="S236" s="3"/>
      <c r="T236" s="3"/>
      <c r="U236" s="3"/>
      <c r="V236" s="3"/>
      <c r="W236" s="3"/>
      <c r="X236" s="3"/>
      <c r="Y236" s="3"/>
      <c r="Z236" s="13">
        <v>30</v>
      </c>
      <c r="AA236" s="3"/>
      <c r="AB236" s="4">
        <v>30</v>
      </c>
      <c r="AC236" s="3"/>
      <c r="AD236" s="3"/>
      <c r="AE236" s="3"/>
      <c r="AF236" s="3"/>
      <c r="AG236" s="3"/>
      <c r="AH236" s="3"/>
      <c r="AI236" s="12">
        <v>223.92</v>
      </c>
      <c r="AJ236" s="3"/>
      <c r="AK236" s="2">
        <v>213.92</v>
      </c>
      <c r="AL236" s="3"/>
      <c r="AM236" s="3"/>
      <c r="AN236" s="5" t="s">
        <v>33</v>
      </c>
      <c r="AO236" s="3"/>
      <c r="AP236" s="3"/>
      <c r="AQ236" s="3"/>
      <c r="AR236" s="17"/>
      <c r="AS236" s="3"/>
      <c r="AT236" s="3"/>
      <c r="AU236" s="3"/>
      <c r="AV236" s="3"/>
      <c r="AW236" s="3"/>
      <c r="AX236" s="3"/>
      <c r="AY236" s="3"/>
      <c r="AZ236" s="3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</row>
    <row r="237" spans="1:158" s="41" customFormat="1" x14ac:dyDescent="0.2">
      <c r="A237" s="43" t="s">
        <v>38</v>
      </c>
      <c r="B237" s="43" t="s">
        <v>485</v>
      </c>
      <c r="C237" s="43" t="s">
        <v>486</v>
      </c>
      <c r="D237" s="44">
        <v>-57774.18</v>
      </c>
      <c r="E237" s="46"/>
      <c r="F237" s="46"/>
      <c r="G237" s="46"/>
      <c r="H237" s="46"/>
      <c r="I237" s="46"/>
      <c r="J237" s="45">
        <v>48543.8</v>
      </c>
      <c r="K237" s="45">
        <v>-106317.98</v>
      </c>
      <c r="L237" s="46"/>
      <c r="M237" s="44">
        <v>-67018.039999999994</v>
      </c>
      <c r="N237" s="46"/>
      <c r="O237" s="46"/>
      <c r="P237" s="46"/>
      <c r="Q237" s="46"/>
      <c r="R237" s="46"/>
      <c r="S237" s="45">
        <v>56310.81</v>
      </c>
      <c r="T237" s="45">
        <v>-123328.85</v>
      </c>
      <c r="U237" s="46"/>
      <c r="V237" s="46"/>
      <c r="W237" s="46"/>
      <c r="X237" s="46"/>
      <c r="Y237" s="46"/>
      <c r="Z237" s="49"/>
      <c r="AA237" s="46"/>
      <c r="AB237" s="46"/>
      <c r="AC237" s="46"/>
      <c r="AD237" s="46"/>
      <c r="AE237" s="46"/>
      <c r="AF237" s="51">
        <v>249</v>
      </c>
      <c r="AG237" s="51">
        <v>-249</v>
      </c>
      <c r="AH237" s="46"/>
      <c r="AI237" s="49" t="s">
        <v>33</v>
      </c>
      <c r="AJ237" s="46"/>
      <c r="AK237" s="46"/>
      <c r="AL237" s="46"/>
      <c r="AM237" s="46"/>
      <c r="AN237" s="46"/>
      <c r="AO237" s="45">
        <v>194.95502008032128</v>
      </c>
      <c r="AP237" s="45">
        <v>426.97983935742974</v>
      </c>
      <c r="AQ237" s="46"/>
      <c r="AR237" s="50">
        <v>-1210</v>
      </c>
      <c r="AS237" s="46"/>
      <c r="AT237" s="46"/>
      <c r="AU237" s="46"/>
      <c r="AV237" s="46"/>
      <c r="AW237" s="46"/>
      <c r="AX237" s="51">
        <v>8</v>
      </c>
      <c r="AY237" s="51">
        <v>-1218</v>
      </c>
      <c r="AZ237" s="46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</row>
    <row r="238" spans="1:158" x14ac:dyDescent="0.2">
      <c r="A238" s="33" t="s">
        <v>38</v>
      </c>
      <c r="B238" s="33" t="s">
        <v>487</v>
      </c>
      <c r="C238" s="33" t="s">
        <v>488</v>
      </c>
      <c r="D238" s="34">
        <v>62418.1</v>
      </c>
      <c r="E238" s="36">
        <v>4442.97</v>
      </c>
      <c r="F238" s="35"/>
      <c r="G238" s="36">
        <v>27952.2</v>
      </c>
      <c r="H238" s="36">
        <v>25007.1</v>
      </c>
      <c r="I238" s="35"/>
      <c r="J238" s="36">
        <v>5015.83</v>
      </c>
      <c r="K238" s="35"/>
      <c r="L238" s="35"/>
      <c r="M238" s="34">
        <v>72405</v>
      </c>
      <c r="N238" s="36">
        <v>5153.8500000000004</v>
      </c>
      <c r="O238" s="35"/>
      <c r="P238" s="36">
        <v>32424.55</v>
      </c>
      <c r="Q238" s="36">
        <v>29008.240000000002</v>
      </c>
      <c r="R238" s="35"/>
      <c r="S238" s="36">
        <v>5818.36</v>
      </c>
      <c r="T238" s="35"/>
      <c r="U238" s="35"/>
      <c r="V238" s="35"/>
      <c r="W238" s="35"/>
      <c r="X238" s="35"/>
      <c r="Y238" s="35"/>
      <c r="Z238" s="39">
        <v>13</v>
      </c>
      <c r="AA238" s="40">
        <v>1</v>
      </c>
      <c r="AB238" s="35"/>
      <c r="AC238" s="40">
        <v>6</v>
      </c>
      <c r="AD238" s="40">
        <v>5</v>
      </c>
      <c r="AE238" s="35"/>
      <c r="AF238" s="40">
        <v>1</v>
      </c>
      <c r="AG238" s="35"/>
      <c r="AH238" s="35"/>
      <c r="AI238" s="34">
        <v>4801.3923076923074</v>
      </c>
      <c r="AJ238" s="36">
        <v>4442.97</v>
      </c>
      <c r="AK238" s="35"/>
      <c r="AL238" s="36">
        <v>4658.7</v>
      </c>
      <c r="AM238" s="36">
        <v>5001.42</v>
      </c>
      <c r="AN238" s="35"/>
      <c r="AO238" s="36">
        <v>5015.83</v>
      </c>
      <c r="AP238" s="35"/>
      <c r="AQ238" s="35"/>
      <c r="AR238" s="42"/>
      <c r="AS238" s="35"/>
      <c r="AT238" s="35"/>
      <c r="AU238" s="35"/>
      <c r="AV238" s="35"/>
      <c r="AW238" s="35"/>
      <c r="AX238" s="35"/>
      <c r="AY238" s="35"/>
      <c r="AZ238" s="35"/>
    </row>
    <row r="239" spans="1:158" s="52" customFormat="1" x14ac:dyDescent="0.2">
      <c r="A239" s="1" t="s">
        <v>38</v>
      </c>
      <c r="B239" s="1" t="s">
        <v>489</v>
      </c>
      <c r="C239" s="1" t="s">
        <v>490</v>
      </c>
      <c r="D239" s="12">
        <v>1591.62</v>
      </c>
      <c r="E239" s="2">
        <v>80.010000000000005</v>
      </c>
      <c r="F239" s="2">
        <v>152.16</v>
      </c>
      <c r="G239" s="3"/>
      <c r="H239" s="3"/>
      <c r="I239" s="2">
        <v>576.29999999999995</v>
      </c>
      <c r="J239" s="2">
        <v>783.15</v>
      </c>
      <c r="K239" s="3"/>
      <c r="L239" s="3"/>
      <c r="M239" s="12">
        <v>1846.28</v>
      </c>
      <c r="N239" s="2">
        <v>92.81</v>
      </c>
      <c r="O239" s="2">
        <v>176.51</v>
      </c>
      <c r="P239" s="3"/>
      <c r="Q239" s="3"/>
      <c r="R239" s="2">
        <v>668.51</v>
      </c>
      <c r="S239" s="2">
        <v>908.45</v>
      </c>
      <c r="T239" s="3"/>
      <c r="U239" s="3"/>
      <c r="V239" s="3"/>
      <c r="W239" s="3"/>
      <c r="X239" s="3"/>
      <c r="Y239" s="3"/>
      <c r="Z239" s="17"/>
      <c r="AA239" s="3"/>
      <c r="AB239" s="3"/>
      <c r="AC239" s="3"/>
      <c r="AD239" s="3"/>
      <c r="AE239" s="3"/>
      <c r="AF239" s="3"/>
      <c r="AG239" s="3"/>
      <c r="AH239" s="3"/>
      <c r="AI239" s="16" t="s">
        <v>33</v>
      </c>
      <c r="AJ239" s="5" t="s">
        <v>33</v>
      </c>
      <c r="AK239" s="5" t="s">
        <v>33</v>
      </c>
      <c r="AL239" s="3"/>
      <c r="AM239" s="3"/>
      <c r="AN239" s="5" t="s">
        <v>33</v>
      </c>
      <c r="AO239" s="5" t="s">
        <v>33</v>
      </c>
      <c r="AP239" s="3"/>
      <c r="AQ239" s="3"/>
      <c r="AR239" s="13">
        <v>564</v>
      </c>
      <c r="AS239" s="4">
        <v>42</v>
      </c>
      <c r="AT239" s="4">
        <v>18</v>
      </c>
      <c r="AU239" s="3"/>
      <c r="AV239" s="3"/>
      <c r="AW239" s="4">
        <v>196</v>
      </c>
      <c r="AX239" s="4">
        <v>308</v>
      </c>
      <c r="AY239" s="3"/>
      <c r="AZ239" s="3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</row>
    <row r="240" spans="1:158" s="29" customFormat="1" x14ac:dyDescent="0.2">
      <c r="A240" s="43" t="s">
        <v>38</v>
      </c>
      <c r="B240" s="43" t="s">
        <v>491</v>
      </c>
      <c r="C240" s="43" t="s">
        <v>492</v>
      </c>
      <c r="D240" s="44">
        <v>491574.48</v>
      </c>
      <c r="E240" s="45">
        <v>359997.07</v>
      </c>
      <c r="F240" s="45">
        <v>131577.41</v>
      </c>
      <c r="G240" s="46"/>
      <c r="H240" s="46"/>
      <c r="I240" s="46"/>
      <c r="J240" s="46"/>
      <c r="K240" s="46"/>
      <c r="L240" s="46"/>
      <c r="M240" s="44">
        <v>493128.94</v>
      </c>
      <c r="N240" s="45">
        <v>361030.51</v>
      </c>
      <c r="O240" s="45">
        <v>132098.43</v>
      </c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8"/>
      <c r="AA240" s="46"/>
      <c r="AB240" s="46"/>
      <c r="AC240" s="46"/>
      <c r="AD240" s="46"/>
      <c r="AE240" s="46"/>
      <c r="AF240" s="46"/>
      <c r="AG240" s="46"/>
      <c r="AH240" s="46"/>
      <c r="AI240" s="49" t="s">
        <v>33</v>
      </c>
      <c r="AJ240" s="47" t="s">
        <v>33</v>
      </c>
      <c r="AK240" s="47" t="s">
        <v>33</v>
      </c>
      <c r="AL240" s="46"/>
      <c r="AM240" s="46"/>
      <c r="AN240" s="46"/>
      <c r="AO240" s="46"/>
      <c r="AP240" s="46"/>
      <c r="AQ240" s="46"/>
      <c r="AR240" s="48"/>
      <c r="AS240" s="46"/>
      <c r="AT240" s="46"/>
      <c r="AU240" s="46"/>
      <c r="AV240" s="46"/>
      <c r="AW240" s="46"/>
      <c r="AX240" s="46"/>
      <c r="AY240" s="46"/>
      <c r="AZ240" s="46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</row>
    <row r="241" spans="1:158" x14ac:dyDescent="0.2">
      <c r="A241" s="23" t="s">
        <v>38</v>
      </c>
      <c r="B241" s="23" t="s">
        <v>493</v>
      </c>
      <c r="C241" s="23" t="s">
        <v>494</v>
      </c>
      <c r="D241" s="24">
        <v>3229771.8</v>
      </c>
      <c r="E241" s="25">
        <v>1244012.58</v>
      </c>
      <c r="F241" s="25">
        <v>886563.5</v>
      </c>
      <c r="G241" s="25">
        <v>710902.05</v>
      </c>
      <c r="H241" s="25">
        <v>388293.67</v>
      </c>
      <c r="I241" s="26"/>
      <c r="J241" s="26"/>
      <c r="K241" s="26"/>
      <c r="L241" s="26"/>
      <c r="M241" s="24">
        <v>3746535.28</v>
      </c>
      <c r="N241" s="25">
        <v>1443054.6</v>
      </c>
      <c r="O241" s="25">
        <v>1028413.65</v>
      </c>
      <c r="P241" s="25">
        <v>824646.38</v>
      </c>
      <c r="Q241" s="25">
        <v>450420.65</v>
      </c>
      <c r="R241" s="26"/>
      <c r="S241" s="26"/>
      <c r="T241" s="26"/>
      <c r="U241" s="26"/>
      <c r="V241" s="26"/>
      <c r="W241" s="26"/>
      <c r="X241" s="26"/>
      <c r="Y241" s="26"/>
      <c r="Z241" s="27">
        <v>7451</v>
      </c>
      <c r="AA241" s="28">
        <v>1649</v>
      </c>
      <c r="AB241" s="28">
        <v>2126</v>
      </c>
      <c r="AC241" s="28">
        <v>1676</v>
      </c>
      <c r="AD241" s="28">
        <v>2000</v>
      </c>
      <c r="AE241" s="26"/>
      <c r="AF241" s="26"/>
      <c r="AG241" s="26"/>
      <c r="AH241" s="26"/>
      <c r="AI241" s="24">
        <v>433.46823245201983</v>
      </c>
      <c r="AJ241" s="25">
        <v>754.40423286840507</v>
      </c>
      <c r="AK241" s="25">
        <v>417.01011288805267</v>
      </c>
      <c r="AL241" s="25">
        <v>424.16590095465392</v>
      </c>
      <c r="AM241" s="25">
        <v>194.14683500000001</v>
      </c>
      <c r="AN241" s="26"/>
      <c r="AO241" s="26"/>
      <c r="AP241" s="26"/>
      <c r="AQ241" s="26"/>
      <c r="AR241" s="27">
        <v>121204</v>
      </c>
      <c r="AS241" s="28">
        <v>49586</v>
      </c>
      <c r="AT241" s="28">
        <v>41022</v>
      </c>
      <c r="AU241" s="28">
        <v>30596</v>
      </c>
      <c r="AV241" s="26"/>
      <c r="AW241" s="26"/>
      <c r="AX241" s="26"/>
      <c r="AY241" s="26"/>
      <c r="AZ241" s="26"/>
    </row>
    <row r="242" spans="1:158" x14ac:dyDescent="0.2">
      <c r="A242" s="1" t="s">
        <v>38</v>
      </c>
      <c r="B242" s="1" t="s">
        <v>495</v>
      </c>
      <c r="C242" s="1" t="s">
        <v>496</v>
      </c>
      <c r="D242" s="12">
        <v>324288.14</v>
      </c>
      <c r="E242" s="2">
        <v>12776.78</v>
      </c>
      <c r="F242" s="2">
        <v>20479.52</v>
      </c>
      <c r="G242" s="2">
        <v>13797.41</v>
      </c>
      <c r="H242" s="2">
        <v>17074.55</v>
      </c>
      <c r="I242" s="2">
        <v>78360.88</v>
      </c>
      <c r="J242" s="2">
        <v>920052.25</v>
      </c>
      <c r="K242" s="2">
        <v>-768994.72</v>
      </c>
      <c r="L242" s="2">
        <v>30741.47</v>
      </c>
      <c r="M242" s="12">
        <v>337704.54</v>
      </c>
      <c r="N242" s="2">
        <v>13861.64</v>
      </c>
      <c r="O242" s="2">
        <v>21320.17</v>
      </c>
      <c r="P242" s="2">
        <v>14733.44</v>
      </c>
      <c r="Q242" s="2">
        <v>18768.37</v>
      </c>
      <c r="R242" s="2">
        <v>81875.58</v>
      </c>
      <c r="S242" s="2">
        <v>924190.54</v>
      </c>
      <c r="T242" s="2">
        <v>-767786.67</v>
      </c>
      <c r="U242" s="2">
        <v>30741.47</v>
      </c>
      <c r="V242" s="2"/>
      <c r="W242" s="2"/>
      <c r="X242" s="2"/>
      <c r="Y242" s="2"/>
      <c r="Z242" s="13">
        <v>104</v>
      </c>
      <c r="AA242" s="4">
        <v>5</v>
      </c>
      <c r="AB242" s="4">
        <v>7</v>
      </c>
      <c r="AC242" s="4">
        <v>14</v>
      </c>
      <c r="AD242" s="4">
        <v>6</v>
      </c>
      <c r="AE242" s="4">
        <v>20</v>
      </c>
      <c r="AF242" s="4">
        <v>34</v>
      </c>
      <c r="AG242" s="4">
        <v>14</v>
      </c>
      <c r="AH242" s="4">
        <v>4</v>
      </c>
      <c r="AI242" s="12">
        <v>3118.1551923076922</v>
      </c>
      <c r="AJ242" s="2">
        <v>2555.3560000000002</v>
      </c>
      <c r="AK242" s="2">
        <v>2925.6457142857143</v>
      </c>
      <c r="AL242" s="2">
        <v>985.52928571428572</v>
      </c>
      <c r="AM242" s="2">
        <v>2845.7583333333332</v>
      </c>
      <c r="AN242" s="2">
        <v>3918.0439999999999</v>
      </c>
      <c r="AO242" s="2">
        <v>27060.360294117647</v>
      </c>
      <c r="AP242" s="2">
        <v>-54928.194285714286</v>
      </c>
      <c r="AQ242" s="2">
        <v>7685.3675000000003</v>
      </c>
      <c r="AR242" s="13">
        <v>5300</v>
      </c>
      <c r="AS242" s="4">
        <v>226</v>
      </c>
      <c r="AT242" s="4">
        <v>804</v>
      </c>
      <c r="AU242" s="4">
        <v>556</v>
      </c>
      <c r="AV242" s="4">
        <v>588</v>
      </c>
      <c r="AW242" s="4">
        <v>1204</v>
      </c>
      <c r="AX242" s="4">
        <v>1400</v>
      </c>
      <c r="AY242" s="4">
        <v>522</v>
      </c>
      <c r="AZ242" s="3"/>
    </row>
    <row r="243" spans="1:158" x14ac:dyDescent="0.2">
      <c r="A243" s="1" t="s">
        <v>38</v>
      </c>
      <c r="B243" s="1" t="s">
        <v>497</v>
      </c>
      <c r="C243" s="1" t="s">
        <v>498</v>
      </c>
      <c r="D243" s="12">
        <v>123587.97</v>
      </c>
      <c r="E243" s="2">
        <v>8868.7199999999993</v>
      </c>
      <c r="F243" s="2">
        <v>24775.08</v>
      </c>
      <c r="G243" s="2">
        <v>20018.080000000002</v>
      </c>
      <c r="H243" s="2">
        <v>14630.57</v>
      </c>
      <c r="I243" s="2">
        <v>10595.92</v>
      </c>
      <c r="J243" s="2">
        <v>13088.58</v>
      </c>
      <c r="K243" s="2">
        <v>14085.15</v>
      </c>
      <c r="L243" s="2">
        <v>17525.87</v>
      </c>
      <c r="M243" s="12">
        <v>143362.04</v>
      </c>
      <c r="N243" s="2">
        <v>10287.709999999999</v>
      </c>
      <c r="O243" s="2">
        <v>28739.09</v>
      </c>
      <c r="P243" s="2">
        <v>23220.98</v>
      </c>
      <c r="Q243" s="2">
        <v>16971.46</v>
      </c>
      <c r="R243" s="2">
        <v>12291.26</v>
      </c>
      <c r="S243" s="2">
        <v>15182.75</v>
      </c>
      <c r="T243" s="2">
        <v>16338.78</v>
      </c>
      <c r="U243" s="2">
        <v>20330.009999999998</v>
      </c>
      <c r="V243" s="2"/>
      <c r="W243" s="2"/>
      <c r="X243" s="2"/>
      <c r="Y243" s="2"/>
      <c r="Z243" s="13">
        <v>41</v>
      </c>
      <c r="AA243" s="4">
        <v>2</v>
      </c>
      <c r="AB243" s="4">
        <v>9</v>
      </c>
      <c r="AC243" s="4">
        <v>6</v>
      </c>
      <c r="AD243" s="4">
        <v>3</v>
      </c>
      <c r="AE243" s="4">
        <v>5</v>
      </c>
      <c r="AF243" s="4">
        <v>4</v>
      </c>
      <c r="AG243" s="4">
        <v>6</v>
      </c>
      <c r="AH243" s="4">
        <v>6</v>
      </c>
      <c r="AI243" s="12">
        <v>3014.340731707317</v>
      </c>
      <c r="AJ243" s="2">
        <v>4434.3599999999997</v>
      </c>
      <c r="AK243" s="2">
        <v>2752.7866666666669</v>
      </c>
      <c r="AL243" s="2">
        <v>3336.3466666666668</v>
      </c>
      <c r="AM243" s="2">
        <v>4876.8566666666666</v>
      </c>
      <c r="AN243" s="2">
        <v>2119.1840000000002</v>
      </c>
      <c r="AO243" s="2">
        <v>3272.145</v>
      </c>
      <c r="AP243" s="2">
        <v>2347.5250000000001</v>
      </c>
      <c r="AQ243" s="2">
        <v>2920.9783333333335</v>
      </c>
      <c r="AR243" s="13">
        <v>4018</v>
      </c>
      <c r="AS243" s="4">
        <v>1016</v>
      </c>
      <c r="AT243" s="4">
        <v>800</v>
      </c>
      <c r="AU243" s="4">
        <v>556</v>
      </c>
      <c r="AV243" s="4">
        <v>402</v>
      </c>
      <c r="AW243" s="4">
        <v>198</v>
      </c>
      <c r="AX243" s="4">
        <v>356</v>
      </c>
      <c r="AY243" s="4">
        <v>126</v>
      </c>
      <c r="AZ243" s="4">
        <v>564</v>
      </c>
    </row>
    <row r="244" spans="1:158" x14ac:dyDescent="0.2">
      <c r="A244" s="1" t="s">
        <v>38</v>
      </c>
      <c r="B244" s="1" t="s">
        <v>499</v>
      </c>
      <c r="C244" s="1" t="s">
        <v>500</v>
      </c>
      <c r="D244" s="12">
        <v>183551.3</v>
      </c>
      <c r="E244" s="2">
        <v>40715.53</v>
      </c>
      <c r="F244" s="2">
        <v>16846.810000000001</v>
      </c>
      <c r="G244" s="2">
        <v>17464.62</v>
      </c>
      <c r="H244" s="2">
        <v>55471.87</v>
      </c>
      <c r="I244" s="2">
        <v>12730.9</v>
      </c>
      <c r="J244" s="2">
        <v>12135.72</v>
      </c>
      <c r="K244" s="2">
        <v>26561.53</v>
      </c>
      <c r="L244" s="2">
        <v>1624.32</v>
      </c>
      <c r="M244" s="12">
        <v>193705.79</v>
      </c>
      <c r="N244" s="2">
        <v>45119.79</v>
      </c>
      <c r="O244" s="2">
        <v>19223.41</v>
      </c>
      <c r="P244" s="2">
        <v>18751.919999999998</v>
      </c>
      <c r="Q244" s="2">
        <v>56120.38</v>
      </c>
      <c r="R244" s="2">
        <v>13240.01</v>
      </c>
      <c r="S244" s="2">
        <v>12342.86</v>
      </c>
      <c r="T244" s="2">
        <v>27283.1</v>
      </c>
      <c r="U244" s="2">
        <v>1624.32</v>
      </c>
      <c r="V244" s="2"/>
      <c r="W244" s="2"/>
      <c r="X244" s="2"/>
      <c r="Y244" s="2"/>
      <c r="Z244" s="13">
        <v>134</v>
      </c>
      <c r="AA244" s="4">
        <v>31</v>
      </c>
      <c r="AB244" s="4">
        <v>20</v>
      </c>
      <c r="AC244" s="4">
        <v>22</v>
      </c>
      <c r="AD244" s="4">
        <v>20</v>
      </c>
      <c r="AE244" s="4">
        <v>17</v>
      </c>
      <c r="AF244" s="4">
        <v>7</v>
      </c>
      <c r="AG244" s="4">
        <v>14</v>
      </c>
      <c r="AH244" s="4">
        <v>3</v>
      </c>
      <c r="AI244" s="12">
        <v>1369.7858208955224</v>
      </c>
      <c r="AJ244" s="2">
        <v>1313.4041935483872</v>
      </c>
      <c r="AK244" s="2">
        <v>842.34050000000002</v>
      </c>
      <c r="AL244" s="2">
        <v>793.84636363636366</v>
      </c>
      <c r="AM244" s="2">
        <v>2773.5934999999999</v>
      </c>
      <c r="AN244" s="2">
        <v>748.87647058823529</v>
      </c>
      <c r="AO244" s="2">
        <v>1733.6742857142858</v>
      </c>
      <c r="AP244" s="2">
        <v>1897.2521428571429</v>
      </c>
      <c r="AQ244" s="2">
        <v>541.44000000000005</v>
      </c>
      <c r="AR244" s="13">
        <v>1516</v>
      </c>
      <c r="AS244" s="4">
        <v>82</v>
      </c>
      <c r="AT244" s="4">
        <v>139</v>
      </c>
      <c r="AU244" s="4">
        <v>168</v>
      </c>
      <c r="AV244" s="4">
        <v>467.8</v>
      </c>
      <c r="AW244" s="4">
        <v>366.8</v>
      </c>
      <c r="AX244" s="4">
        <v>104</v>
      </c>
      <c r="AY244" s="4">
        <v>188.4</v>
      </c>
      <c r="AZ244" s="3"/>
    </row>
    <row r="245" spans="1:158" x14ac:dyDescent="0.2">
      <c r="A245" s="1" t="s">
        <v>38</v>
      </c>
      <c r="B245" s="1" t="s">
        <v>501</v>
      </c>
      <c r="C245" s="1" t="s">
        <v>502</v>
      </c>
      <c r="D245" s="12">
        <v>3957</v>
      </c>
      <c r="E245" s="2">
        <v>344.52</v>
      </c>
      <c r="F245" s="2">
        <v>424.2</v>
      </c>
      <c r="G245" s="2">
        <v>709.1</v>
      </c>
      <c r="H245" s="2">
        <v>65.16</v>
      </c>
      <c r="I245" s="2">
        <v>956.32</v>
      </c>
      <c r="J245" s="2">
        <v>569.88</v>
      </c>
      <c r="K245" s="2">
        <v>887.82</v>
      </c>
      <c r="L245" s="3"/>
      <c r="M245" s="12">
        <v>4590.12</v>
      </c>
      <c r="N245" s="2">
        <v>399.64</v>
      </c>
      <c r="O245" s="2">
        <v>492.07</v>
      </c>
      <c r="P245" s="2">
        <v>822.56</v>
      </c>
      <c r="Q245" s="2">
        <v>75.59</v>
      </c>
      <c r="R245" s="2">
        <v>1109.33</v>
      </c>
      <c r="S245" s="2">
        <v>661.06</v>
      </c>
      <c r="T245" s="2">
        <v>1029.8699999999999</v>
      </c>
      <c r="U245" s="3"/>
      <c r="V245" s="3"/>
      <c r="W245" s="3"/>
      <c r="X245" s="3"/>
      <c r="Y245" s="3"/>
      <c r="Z245" s="17"/>
      <c r="AA245" s="3"/>
      <c r="AB245" s="3"/>
      <c r="AC245" s="3"/>
      <c r="AD245" s="3"/>
      <c r="AE245" s="3"/>
      <c r="AF245" s="3"/>
      <c r="AG245" s="3"/>
      <c r="AH245" s="3"/>
      <c r="AI245" s="16" t="s">
        <v>33</v>
      </c>
      <c r="AJ245" s="5" t="s">
        <v>33</v>
      </c>
      <c r="AK245" s="5" t="s">
        <v>33</v>
      </c>
      <c r="AL245" s="5" t="s">
        <v>33</v>
      </c>
      <c r="AM245" s="5" t="s">
        <v>33</v>
      </c>
      <c r="AN245" s="5" t="s">
        <v>33</v>
      </c>
      <c r="AO245" s="5" t="s">
        <v>33</v>
      </c>
      <c r="AP245" s="5" t="s">
        <v>33</v>
      </c>
      <c r="AQ245" s="3"/>
      <c r="AR245" s="13">
        <v>778</v>
      </c>
      <c r="AS245" s="4">
        <v>116</v>
      </c>
      <c r="AT245" s="4">
        <v>84</v>
      </c>
      <c r="AU245" s="4">
        <v>134</v>
      </c>
      <c r="AV245" s="4">
        <v>12</v>
      </c>
      <c r="AW245" s="4">
        <v>184</v>
      </c>
      <c r="AX245" s="4">
        <v>110</v>
      </c>
      <c r="AY245" s="4">
        <v>138</v>
      </c>
      <c r="AZ245" s="3"/>
    </row>
    <row r="246" spans="1:158" x14ac:dyDescent="0.2">
      <c r="A246" s="1" t="s">
        <v>38</v>
      </c>
      <c r="B246" s="1" t="s">
        <v>503</v>
      </c>
      <c r="C246" s="1" t="s">
        <v>504</v>
      </c>
      <c r="D246" s="12">
        <v>101232.86</v>
      </c>
      <c r="E246" s="2">
        <v>7298.66</v>
      </c>
      <c r="F246" s="2">
        <v>15621.4</v>
      </c>
      <c r="G246" s="2">
        <v>9270.66</v>
      </c>
      <c r="H246" s="2">
        <v>8697.17</v>
      </c>
      <c r="I246" s="2">
        <v>2623.25</v>
      </c>
      <c r="J246" s="2">
        <v>5367.38</v>
      </c>
      <c r="K246" s="2">
        <v>15991.66</v>
      </c>
      <c r="L246" s="2">
        <v>36362.68</v>
      </c>
      <c r="M246" s="12">
        <v>117352.92</v>
      </c>
      <c r="N246" s="2">
        <v>8466.4500000000007</v>
      </c>
      <c r="O246" s="2">
        <v>18120.82</v>
      </c>
      <c r="P246" s="2">
        <v>10676.76</v>
      </c>
      <c r="Q246" s="2">
        <v>10088.719999999999</v>
      </c>
      <c r="R246" s="2">
        <v>3042.97</v>
      </c>
      <c r="S246" s="2">
        <v>6226.16</v>
      </c>
      <c r="T246" s="2">
        <v>18550.330000000002</v>
      </c>
      <c r="U246" s="2">
        <v>42180.71</v>
      </c>
      <c r="V246" s="2"/>
      <c r="W246" s="2"/>
      <c r="X246" s="2"/>
      <c r="Y246" s="2"/>
      <c r="Z246" s="13">
        <v>201</v>
      </c>
      <c r="AA246" s="4">
        <v>9</v>
      </c>
      <c r="AB246" s="4">
        <v>26</v>
      </c>
      <c r="AC246" s="4">
        <v>25</v>
      </c>
      <c r="AD246" s="4">
        <v>25</v>
      </c>
      <c r="AE246" s="4">
        <v>12</v>
      </c>
      <c r="AF246" s="4">
        <v>14</v>
      </c>
      <c r="AG246" s="4">
        <v>28</v>
      </c>
      <c r="AH246" s="4">
        <v>62</v>
      </c>
      <c r="AI246" s="12">
        <v>503.6460696517413</v>
      </c>
      <c r="AJ246" s="2">
        <v>810.96222222222218</v>
      </c>
      <c r="AK246" s="2">
        <v>600.82307692307688</v>
      </c>
      <c r="AL246" s="2">
        <v>370.82639999999998</v>
      </c>
      <c r="AM246" s="2">
        <v>347.88679999999999</v>
      </c>
      <c r="AN246" s="2">
        <v>218.60416666666666</v>
      </c>
      <c r="AO246" s="2">
        <v>383.38428571428574</v>
      </c>
      <c r="AP246" s="2">
        <v>571.13071428571425</v>
      </c>
      <c r="AQ246" s="2">
        <v>586.49483870967742</v>
      </c>
      <c r="AR246" s="13">
        <v>1578</v>
      </c>
      <c r="AS246" s="4">
        <v>148</v>
      </c>
      <c r="AT246" s="4">
        <v>202</v>
      </c>
      <c r="AU246" s="4">
        <v>220</v>
      </c>
      <c r="AV246" s="4">
        <v>190</v>
      </c>
      <c r="AW246" s="4">
        <v>-52</v>
      </c>
      <c r="AX246" s="4">
        <v>114</v>
      </c>
      <c r="AY246" s="4">
        <v>184</v>
      </c>
      <c r="AZ246" s="4">
        <v>572</v>
      </c>
    </row>
    <row r="247" spans="1:158" x14ac:dyDescent="0.2">
      <c r="A247" s="1" t="s">
        <v>38</v>
      </c>
      <c r="B247" s="1" t="s">
        <v>505</v>
      </c>
      <c r="C247" s="1" t="s">
        <v>506</v>
      </c>
      <c r="D247" s="12">
        <v>5405.71</v>
      </c>
      <c r="E247" s="3"/>
      <c r="F247" s="3"/>
      <c r="G247" s="3"/>
      <c r="H247" s="2">
        <v>365.86</v>
      </c>
      <c r="I247" s="2">
        <v>3706.23</v>
      </c>
      <c r="J247" s="2">
        <v>1333.62</v>
      </c>
      <c r="K247" s="3"/>
      <c r="L247" s="3"/>
      <c r="M247" s="12">
        <v>6270.63</v>
      </c>
      <c r="N247" s="3"/>
      <c r="O247" s="3"/>
      <c r="P247" s="3"/>
      <c r="Q247" s="2">
        <v>424.4</v>
      </c>
      <c r="R247" s="2">
        <v>4299.2299999999996</v>
      </c>
      <c r="S247" s="2">
        <v>1547</v>
      </c>
      <c r="T247" s="3"/>
      <c r="U247" s="3"/>
      <c r="V247" s="3"/>
      <c r="W247" s="3"/>
      <c r="X247" s="3"/>
      <c r="Y247" s="3"/>
      <c r="Z247" s="13">
        <v>8</v>
      </c>
      <c r="AA247" s="3"/>
      <c r="AB247" s="3"/>
      <c r="AC247" s="3"/>
      <c r="AD247" s="4">
        <v>1</v>
      </c>
      <c r="AE247" s="4">
        <v>3</v>
      </c>
      <c r="AF247" s="4">
        <v>4</v>
      </c>
      <c r="AG247" s="3"/>
      <c r="AH247" s="3"/>
      <c r="AI247" s="12">
        <v>675.71375</v>
      </c>
      <c r="AJ247" s="3"/>
      <c r="AK247" s="3"/>
      <c r="AL247" s="3"/>
      <c r="AM247" s="2">
        <v>365.86</v>
      </c>
      <c r="AN247" s="2">
        <v>1235.4100000000001</v>
      </c>
      <c r="AO247" s="2">
        <v>333.40499999999997</v>
      </c>
      <c r="AP247" s="3"/>
      <c r="AQ247" s="3"/>
      <c r="AR247" s="13">
        <v>80</v>
      </c>
      <c r="AS247" s="3"/>
      <c r="AT247" s="3"/>
      <c r="AU247" s="3"/>
      <c r="AV247" s="4">
        <v>14</v>
      </c>
      <c r="AW247" s="4">
        <v>20</v>
      </c>
      <c r="AX247" s="4">
        <v>46</v>
      </c>
      <c r="AY247" s="3"/>
      <c r="AZ247" s="3"/>
    </row>
    <row r="248" spans="1:158" s="41" customFormat="1" x14ac:dyDescent="0.2">
      <c r="A248" s="1" t="s">
        <v>38</v>
      </c>
      <c r="B248" s="1" t="s">
        <v>507</v>
      </c>
      <c r="C248" s="1" t="s">
        <v>508</v>
      </c>
      <c r="D248" s="12">
        <v>172963.63</v>
      </c>
      <c r="E248" s="2">
        <v>18715.599999999999</v>
      </c>
      <c r="F248" s="2">
        <v>15443.28</v>
      </c>
      <c r="G248" s="2">
        <v>22067.55</v>
      </c>
      <c r="H248" s="2">
        <v>24416.44</v>
      </c>
      <c r="I248" s="2">
        <v>18869.57</v>
      </c>
      <c r="J248" s="2">
        <v>18012.75</v>
      </c>
      <c r="K248" s="2">
        <v>33195.760000000002</v>
      </c>
      <c r="L248" s="2">
        <v>22242.68</v>
      </c>
      <c r="M248" s="12">
        <v>199764.81</v>
      </c>
      <c r="N248" s="2">
        <v>21429.23</v>
      </c>
      <c r="O248" s="2">
        <v>17914.2</v>
      </c>
      <c r="P248" s="2">
        <v>25442.11</v>
      </c>
      <c r="Q248" s="2">
        <v>28226.27</v>
      </c>
      <c r="R248" s="2">
        <v>21780.59</v>
      </c>
      <c r="S248" s="2">
        <v>20785.57</v>
      </c>
      <c r="T248" s="2">
        <v>38385.33</v>
      </c>
      <c r="U248" s="2">
        <v>25801.51</v>
      </c>
      <c r="V248" s="2"/>
      <c r="W248" s="2"/>
      <c r="X248" s="2"/>
      <c r="Y248" s="2"/>
      <c r="Z248" s="13">
        <v>586</v>
      </c>
      <c r="AA248" s="4">
        <v>62</v>
      </c>
      <c r="AB248" s="4">
        <v>55</v>
      </c>
      <c r="AC248" s="4">
        <v>72</v>
      </c>
      <c r="AD248" s="4">
        <v>84</v>
      </c>
      <c r="AE248" s="4">
        <v>66</v>
      </c>
      <c r="AF248" s="4">
        <v>68</v>
      </c>
      <c r="AG248" s="4">
        <v>103</v>
      </c>
      <c r="AH248" s="4">
        <v>76</v>
      </c>
      <c r="AI248" s="12">
        <v>295.15977815699659</v>
      </c>
      <c r="AJ248" s="2">
        <v>301.86451612903227</v>
      </c>
      <c r="AK248" s="2">
        <v>280.78690909090909</v>
      </c>
      <c r="AL248" s="2">
        <v>306.49374999999998</v>
      </c>
      <c r="AM248" s="2">
        <v>290.67190476190478</v>
      </c>
      <c r="AN248" s="2">
        <v>285.90257575757573</v>
      </c>
      <c r="AO248" s="2">
        <v>264.89338235294116</v>
      </c>
      <c r="AP248" s="2">
        <v>322.28893203883496</v>
      </c>
      <c r="AQ248" s="2">
        <v>292.66684210526319</v>
      </c>
      <c r="AR248" s="13">
        <v>697</v>
      </c>
      <c r="AS248" s="4">
        <v>110</v>
      </c>
      <c r="AT248" s="4">
        <v>36</v>
      </c>
      <c r="AU248" s="4">
        <v>81</v>
      </c>
      <c r="AV248" s="4">
        <v>88</v>
      </c>
      <c r="AW248" s="4">
        <v>38</v>
      </c>
      <c r="AX248" s="4">
        <v>4</v>
      </c>
      <c r="AY248" s="4">
        <v>146</v>
      </c>
      <c r="AZ248" s="4">
        <v>194</v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</row>
    <row r="249" spans="1:158" x14ac:dyDescent="0.2">
      <c r="A249" s="33" t="s">
        <v>38</v>
      </c>
      <c r="B249" s="33" t="s">
        <v>509</v>
      </c>
      <c r="C249" s="33" t="s">
        <v>510</v>
      </c>
      <c r="D249" s="34">
        <v>104.28</v>
      </c>
      <c r="E249" s="36">
        <v>2929.86</v>
      </c>
      <c r="F249" s="35"/>
      <c r="G249" s="35"/>
      <c r="H249" s="35"/>
      <c r="I249" s="36">
        <v>-2825.58</v>
      </c>
      <c r="J249" s="35"/>
      <c r="K249" s="35"/>
      <c r="L249" s="35"/>
      <c r="M249" s="34">
        <v>120.97</v>
      </c>
      <c r="N249" s="36">
        <v>3398.64</v>
      </c>
      <c r="O249" s="35"/>
      <c r="P249" s="35"/>
      <c r="Q249" s="35"/>
      <c r="R249" s="36">
        <v>-3277.67</v>
      </c>
      <c r="S249" s="35"/>
      <c r="T249" s="35"/>
      <c r="U249" s="35"/>
      <c r="V249" s="35"/>
      <c r="W249" s="35"/>
      <c r="X249" s="35"/>
      <c r="Y249" s="35"/>
      <c r="Z249" s="39">
        <v>1</v>
      </c>
      <c r="AA249" s="40">
        <v>27</v>
      </c>
      <c r="AB249" s="35"/>
      <c r="AC249" s="35"/>
      <c r="AD249" s="35"/>
      <c r="AE249" s="40">
        <v>-26</v>
      </c>
      <c r="AF249" s="35"/>
      <c r="AG249" s="35"/>
      <c r="AH249" s="35"/>
      <c r="AI249" s="34">
        <v>104.28</v>
      </c>
      <c r="AJ249" s="36">
        <v>108.51333333333334</v>
      </c>
      <c r="AK249" s="35"/>
      <c r="AL249" s="35"/>
      <c r="AM249" s="35"/>
      <c r="AN249" s="36">
        <v>108.67615384615385</v>
      </c>
      <c r="AO249" s="35"/>
      <c r="AP249" s="35"/>
      <c r="AQ249" s="35"/>
      <c r="AR249" s="39">
        <v>-26</v>
      </c>
      <c r="AS249" s="35"/>
      <c r="AT249" s="35"/>
      <c r="AU249" s="35"/>
      <c r="AV249" s="35"/>
      <c r="AW249" s="40">
        <v>-26</v>
      </c>
      <c r="AX249" s="35"/>
      <c r="AY249" s="35"/>
      <c r="AZ249" s="35"/>
    </row>
    <row r="250" spans="1:158" s="29" customFormat="1" x14ac:dyDescent="0.2">
      <c r="A250" s="1" t="s">
        <v>38</v>
      </c>
      <c r="B250" s="1" t="s">
        <v>511</v>
      </c>
      <c r="C250" s="1" t="s">
        <v>512</v>
      </c>
      <c r="D250" s="12">
        <v>6539.61</v>
      </c>
      <c r="E250" s="3"/>
      <c r="F250" s="3"/>
      <c r="G250" s="2">
        <v>197.7</v>
      </c>
      <c r="H250" s="2">
        <v>635.88</v>
      </c>
      <c r="I250" s="2">
        <v>531.70000000000005</v>
      </c>
      <c r="J250" s="2">
        <v>3363.49</v>
      </c>
      <c r="K250" s="3"/>
      <c r="L250" s="2">
        <v>1810.84</v>
      </c>
      <c r="M250" s="12">
        <v>7585.94</v>
      </c>
      <c r="N250" s="3"/>
      <c r="O250" s="3"/>
      <c r="P250" s="2">
        <v>229.33</v>
      </c>
      <c r="Q250" s="2">
        <v>737.62</v>
      </c>
      <c r="R250" s="2">
        <v>616.77</v>
      </c>
      <c r="S250" s="2">
        <v>3901.65</v>
      </c>
      <c r="T250" s="3"/>
      <c r="U250" s="2">
        <v>2100.5700000000002</v>
      </c>
      <c r="V250" s="2"/>
      <c r="W250" s="2"/>
      <c r="X250" s="2"/>
      <c r="Y250" s="2"/>
      <c r="Z250" s="17"/>
      <c r="AA250" s="3"/>
      <c r="AB250" s="3"/>
      <c r="AC250" s="3"/>
      <c r="AD250" s="3"/>
      <c r="AE250" s="3"/>
      <c r="AF250" s="3"/>
      <c r="AG250" s="3"/>
      <c r="AH250" s="3"/>
      <c r="AI250" s="16" t="s">
        <v>33</v>
      </c>
      <c r="AJ250" s="3"/>
      <c r="AK250" s="3"/>
      <c r="AL250" s="5" t="s">
        <v>33</v>
      </c>
      <c r="AM250" s="5" t="s">
        <v>33</v>
      </c>
      <c r="AN250" s="5" t="s">
        <v>33</v>
      </c>
      <c r="AO250" s="5" t="s">
        <v>33</v>
      </c>
      <c r="AP250" s="3"/>
      <c r="AQ250" s="5" t="s">
        <v>33</v>
      </c>
      <c r="AR250" s="13">
        <v>128</v>
      </c>
      <c r="AS250" s="3"/>
      <c r="AT250" s="3"/>
      <c r="AU250" s="4">
        <v>4</v>
      </c>
      <c r="AV250" s="4">
        <v>12</v>
      </c>
      <c r="AW250" s="4">
        <v>10</v>
      </c>
      <c r="AX250" s="4">
        <v>68</v>
      </c>
      <c r="AY250" s="3"/>
      <c r="AZ250" s="4">
        <v>34</v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</row>
    <row r="251" spans="1:158" s="41" customFormat="1" x14ac:dyDescent="0.2">
      <c r="A251" s="23" t="s">
        <v>38</v>
      </c>
      <c r="B251" s="23" t="s">
        <v>513</v>
      </c>
      <c r="C251" s="23" t="s">
        <v>514</v>
      </c>
      <c r="D251" s="24">
        <v>46907.03</v>
      </c>
      <c r="E251" s="25">
        <v>17659.18</v>
      </c>
      <c r="F251" s="25">
        <v>13918.73</v>
      </c>
      <c r="G251" s="25">
        <v>15329.12</v>
      </c>
      <c r="H251" s="26"/>
      <c r="I251" s="26"/>
      <c r="J251" s="26"/>
      <c r="K251" s="26"/>
      <c r="L251" s="26"/>
      <c r="M251" s="24">
        <v>54412.160000000003</v>
      </c>
      <c r="N251" s="25">
        <v>20484.650000000001</v>
      </c>
      <c r="O251" s="25">
        <v>16145.73</v>
      </c>
      <c r="P251" s="25">
        <v>17781.78</v>
      </c>
      <c r="Q251" s="26"/>
      <c r="R251" s="26"/>
      <c r="S251" s="26"/>
      <c r="T251" s="26"/>
      <c r="U251" s="26"/>
      <c r="V251" s="26"/>
      <c r="W251" s="26"/>
      <c r="X251" s="26"/>
      <c r="Y251" s="26"/>
      <c r="Z251" s="27">
        <v>469</v>
      </c>
      <c r="AA251" s="28">
        <v>184</v>
      </c>
      <c r="AB251" s="28">
        <v>136</v>
      </c>
      <c r="AC251" s="28">
        <v>149</v>
      </c>
      <c r="AD251" s="26"/>
      <c r="AE251" s="26"/>
      <c r="AF251" s="26"/>
      <c r="AG251" s="26"/>
      <c r="AH251" s="26"/>
      <c r="AI251" s="24">
        <v>100.01498933901919</v>
      </c>
      <c r="AJ251" s="25">
        <v>95.973804347826089</v>
      </c>
      <c r="AK251" s="25">
        <v>102.34360294117647</v>
      </c>
      <c r="AL251" s="25">
        <v>102.88</v>
      </c>
      <c r="AM251" s="26"/>
      <c r="AN251" s="26"/>
      <c r="AO251" s="26"/>
      <c r="AP251" s="26"/>
      <c r="AQ251" s="26"/>
      <c r="AR251" s="32"/>
      <c r="AS251" s="26"/>
      <c r="AT251" s="26"/>
      <c r="AU251" s="26"/>
      <c r="AV251" s="26"/>
      <c r="AW251" s="26"/>
      <c r="AX251" s="26"/>
      <c r="AY251" s="26"/>
      <c r="AZ251" s="26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</row>
    <row r="252" spans="1:158" x14ac:dyDescent="0.2">
      <c r="A252" s="33" t="s">
        <v>38</v>
      </c>
      <c r="B252" s="33" t="s">
        <v>515</v>
      </c>
      <c r="C252" s="33" t="s">
        <v>516</v>
      </c>
      <c r="D252" s="34">
        <v>146682.9</v>
      </c>
      <c r="E252" s="36">
        <v>49186.47</v>
      </c>
      <c r="F252" s="36">
        <v>16731.25</v>
      </c>
      <c r="G252" s="36">
        <v>18779.330000000002</v>
      </c>
      <c r="H252" s="36">
        <v>14522.34</v>
      </c>
      <c r="I252" s="36">
        <v>17606.939999999999</v>
      </c>
      <c r="J252" s="36">
        <v>9286.42</v>
      </c>
      <c r="K252" s="36">
        <v>20570.150000000001</v>
      </c>
      <c r="L252" s="35"/>
      <c r="M252" s="34">
        <v>170152.16</v>
      </c>
      <c r="N252" s="36">
        <v>57056.31</v>
      </c>
      <c r="O252" s="36">
        <v>19408.25</v>
      </c>
      <c r="P252" s="36">
        <v>21784.02</v>
      </c>
      <c r="Q252" s="36">
        <v>16845.91</v>
      </c>
      <c r="R252" s="36">
        <v>20424.05</v>
      </c>
      <c r="S252" s="36">
        <v>10772.25</v>
      </c>
      <c r="T252" s="36">
        <v>23861.37</v>
      </c>
      <c r="U252" s="35"/>
      <c r="V252" s="35"/>
      <c r="W252" s="35"/>
      <c r="X252" s="35"/>
      <c r="Y252" s="35"/>
      <c r="Z252" s="39">
        <v>551</v>
      </c>
      <c r="AA252" s="40">
        <v>180</v>
      </c>
      <c r="AB252" s="40">
        <v>64</v>
      </c>
      <c r="AC252" s="40">
        <v>75</v>
      </c>
      <c r="AD252" s="40">
        <v>62</v>
      </c>
      <c r="AE252" s="40">
        <v>71</v>
      </c>
      <c r="AF252" s="40">
        <v>39</v>
      </c>
      <c r="AG252" s="40">
        <v>60</v>
      </c>
      <c r="AH252" s="35"/>
      <c r="AI252" s="34">
        <v>266.21215970961885</v>
      </c>
      <c r="AJ252" s="36">
        <v>273.25816666666668</v>
      </c>
      <c r="AK252" s="36">
        <v>261.42578125</v>
      </c>
      <c r="AL252" s="36">
        <v>250.39106666666666</v>
      </c>
      <c r="AM252" s="36">
        <v>234.23129032258066</v>
      </c>
      <c r="AN252" s="36">
        <v>247.98507042253522</v>
      </c>
      <c r="AO252" s="36">
        <v>238.11333333333334</v>
      </c>
      <c r="AP252" s="36">
        <v>342.83583333333331</v>
      </c>
      <c r="AQ252" s="35"/>
      <c r="AR252" s="39">
        <v>7968</v>
      </c>
      <c r="AS252" s="40">
        <v>2272</v>
      </c>
      <c r="AT252" s="40">
        <v>778</v>
      </c>
      <c r="AU252" s="40">
        <v>1034</v>
      </c>
      <c r="AV252" s="40">
        <v>862</v>
      </c>
      <c r="AW252" s="40">
        <v>882</v>
      </c>
      <c r="AX252" s="40">
        <v>528</v>
      </c>
      <c r="AY252" s="40">
        <v>1612</v>
      </c>
      <c r="AZ252" s="35"/>
    </row>
    <row r="253" spans="1:158" x14ac:dyDescent="0.2">
      <c r="A253" s="1" t="s">
        <v>38</v>
      </c>
      <c r="B253" s="1" t="s">
        <v>517</v>
      </c>
      <c r="C253" s="1" t="s">
        <v>518</v>
      </c>
      <c r="D253" s="12">
        <v>65680.02</v>
      </c>
      <c r="E253" s="2">
        <v>3397.91</v>
      </c>
      <c r="F253" s="2">
        <v>3604.93</v>
      </c>
      <c r="G253" s="2">
        <v>10732.45</v>
      </c>
      <c r="H253" s="2">
        <v>12277.94</v>
      </c>
      <c r="I253" s="2">
        <v>9259.5</v>
      </c>
      <c r="J253" s="2">
        <v>7553.65</v>
      </c>
      <c r="K253" s="2">
        <v>9258.42</v>
      </c>
      <c r="L253" s="2">
        <v>9595.2199999999993</v>
      </c>
      <c r="M253" s="12">
        <v>76188.83</v>
      </c>
      <c r="N253" s="2">
        <v>3941.58</v>
      </c>
      <c r="O253" s="2">
        <v>4181.72</v>
      </c>
      <c r="P253" s="2">
        <v>12449.64</v>
      </c>
      <c r="Q253" s="2">
        <v>14242.41</v>
      </c>
      <c r="R253" s="2">
        <v>10741.02</v>
      </c>
      <c r="S253" s="2">
        <v>8762.23</v>
      </c>
      <c r="T253" s="2">
        <v>10739.77</v>
      </c>
      <c r="U253" s="2">
        <v>11130.46</v>
      </c>
      <c r="V253" s="2"/>
      <c r="W253" s="2"/>
      <c r="X253" s="2"/>
      <c r="Y253" s="2"/>
      <c r="Z253" s="13">
        <v>152</v>
      </c>
      <c r="AA253" s="4">
        <v>9</v>
      </c>
      <c r="AB253" s="4">
        <v>10</v>
      </c>
      <c r="AC253" s="4">
        <v>27</v>
      </c>
      <c r="AD253" s="4">
        <v>29</v>
      </c>
      <c r="AE253" s="4">
        <v>18</v>
      </c>
      <c r="AF253" s="4">
        <v>19</v>
      </c>
      <c r="AG253" s="4">
        <v>19</v>
      </c>
      <c r="AH253" s="4">
        <v>21</v>
      </c>
      <c r="AI253" s="12">
        <v>432.10539473684213</v>
      </c>
      <c r="AJ253" s="2">
        <v>377.54555555555555</v>
      </c>
      <c r="AK253" s="2">
        <v>360.49299999999999</v>
      </c>
      <c r="AL253" s="2">
        <v>397.49814814814818</v>
      </c>
      <c r="AM253" s="2">
        <v>423.37724137931036</v>
      </c>
      <c r="AN253" s="2">
        <v>514.41666666666663</v>
      </c>
      <c r="AO253" s="2">
        <v>397.56052631578945</v>
      </c>
      <c r="AP253" s="2">
        <v>487.28526315789475</v>
      </c>
      <c r="AQ253" s="2">
        <v>456.91523809523812</v>
      </c>
      <c r="AR253" s="13">
        <v>1928</v>
      </c>
      <c r="AS253" s="4">
        <v>88</v>
      </c>
      <c r="AT253" s="4">
        <v>28</v>
      </c>
      <c r="AU253" s="4">
        <v>354</v>
      </c>
      <c r="AV253" s="4">
        <v>422</v>
      </c>
      <c r="AW253" s="4">
        <v>356</v>
      </c>
      <c r="AX253" s="4">
        <v>124</v>
      </c>
      <c r="AY253" s="4">
        <v>304</v>
      </c>
      <c r="AZ253" s="4">
        <v>252</v>
      </c>
    </row>
    <row r="254" spans="1:158" s="52" customFormat="1" x14ac:dyDescent="0.2">
      <c r="A254" s="1" t="s">
        <v>38</v>
      </c>
      <c r="B254" s="1" t="s">
        <v>519</v>
      </c>
      <c r="C254" s="1" t="s">
        <v>520</v>
      </c>
      <c r="D254" s="12">
        <v>44114.96</v>
      </c>
      <c r="E254" s="2">
        <v>4581.97</v>
      </c>
      <c r="F254" s="2">
        <v>9973.15</v>
      </c>
      <c r="G254" s="2">
        <v>5759.16</v>
      </c>
      <c r="H254" s="2">
        <v>4908.82</v>
      </c>
      <c r="I254" s="2">
        <v>5495.92</v>
      </c>
      <c r="J254" s="2">
        <v>8071.57</v>
      </c>
      <c r="K254" s="2">
        <v>5324.37</v>
      </c>
      <c r="L254" s="3"/>
      <c r="M254" s="12">
        <v>51173.36</v>
      </c>
      <c r="N254" s="2">
        <v>5315.09</v>
      </c>
      <c r="O254" s="2">
        <v>11568.85</v>
      </c>
      <c r="P254" s="2">
        <v>6680.63</v>
      </c>
      <c r="Q254" s="2">
        <v>5694.23</v>
      </c>
      <c r="R254" s="2">
        <v>6375.27</v>
      </c>
      <c r="S254" s="2">
        <v>9363.02</v>
      </c>
      <c r="T254" s="2">
        <v>6176.27</v>
      </c>
      <c r="U254" s="3"/>
      <c r="V254" s="3"/>
      <c r="W254" s="3"/>
      <c r="X254" s="3"/>
      <c r="Y254" s="3"/>
      <c r="Z254" s="13">
        <v>139</v>
      </c>
      <c r="AA254" s="4">
        <v>15</v>
      </c>
      <c r="AB254" s="4">
        <v>32</v>
      </c>
      <c r="AC254" s="4">
        <v>17</v>
      </c>
      <c r="AD254" s="4">
        <v>13</v>
      </c>
      <c r="AE254" s="4">
        <v>18</v>
      </c>
      <c r="AF254" s="4">
        <v>27</v>
      </c>
      <c r="AG254" s="4">
        <v>17</v>
      </c>
      <c r="AH254" s="3"/>
      <c r="AI254" s="12">
        <v>317.3738129496403</v>
      </c>
      <c r="AJ254" s="2">
        <v>305.46466666666669</v>
      </c>
      <c r="AK254" s="2">
        <v>311.66093749999999</v>
      </c>
      <c r="AL254" s="2">
        <v>338.7741176470588</v>
      </c>
      <c r="AM254" s="2">
        <v>377.60153846153844</v>
      </c>
      <c r="AN254" s="2">
        <v>305.32888888888891</v>
      </c>
      <c r="AO254" s="2">
        <v>298.94703703703703</v>
      </c>
      <c r="AP254" s="2">
        <v>313.19823529411764</v>
      </c>
      <c r="AQ254" s="3"/>
      <c r="AR254" s="13">
        <v>88</v>
      </c>
      <c r="AS254" s="3"/>
      <c r="AT254" s="4">
        <v>10</v>
      </c>
      <c r="AU254" s="3"/>
      <c r="AV254" s="4">
        <v>78</v>
      </c>
      <c r="AW254" s="3"/>
      <c r="AX254" s="3"/>
      <c r="AY254" s="3"/>
      <c r="AZ254" s="3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</row>
    <row r="255" spans="1:158" x14ac:dyDescent="0.2">
      <c r="A255" s="43" t="s">
        <v>38</v>
      </c>
      <c r="B255" s="43" t="s">
        <v>521</v>
      </c>
      <c r="C255" s="43" t="s">
        <v>522</v>
      </c>
      <c r="D255" s="44">
        <v>-9414.15</v>
      </c>
      <c r="E255" s="45">
        <v>2852.23</v>
      </c>
      <c r="F255" s="46"/>
      <c r="G255" s="46"/>
      <c r="H255" s="46"/>
      <c r="I255" s="45">
        <v>-12266.38</v>
      </c>
      <c r="J255" s="46"/>
      <c r="K255" s="46"/>
      <c r="L255" s="46"/>
      <c r="M255" s="44">
        <v>-10920.41</v>
      </c>
      <c r="N255" s="45">
        <v>3308.59</v>
      </c>
      <c r="O255" s="46"/>
      <c r="P255" s="46"/>
      <c r="Q255" s="46"/>
      <c r="R255" s="45">
        <v>-14229</v>
      </c>
      <c r="S255" s="46"/>
      <c r="T255" s="46"/>
      <c r="U255" s="46"/>
      <c r="V255" s="46"/>
      <c r="W255" s="46"/>
      <c r="X255" s="46"/>
      <c r="Y255" s="46"/>
      <c r="Z255" s="50">
        <v>13</v>
      </c>
      <c r="AA255" s="51">
        <v>13</v>
      </c>
      <c r="AB255" s="46"/>
      <c r="AC255" s="46"/>
      <c r="AD255" s="46"/>
      <c r="AE255" s="46"/>
      <c r="AF255" s="46"/>
      <c r="AG255" s="46"/>
      <c r="AH255" s="46"/>
      <c r="AI255" s="44">
        <v>-724.1653846153846</v>
      </c>
      <c r="AJ255" s="45">
        <v>219.40230769230769</v>
      </c>
      <c r="AK255" s="46"/>
      <c r="AL255" s="46"/>
      <c r="AM255" s="46"/>
      <c r="AN255" s="47" t="s">
        <v>33</v>
      </c>
      <c r="AO255" s="46"/>
      <c r="AP255" s="46"/>
      <c r="AQ255" s="46"/>
      <c r="AR255" s="50">
        <v>-308</v>
      </c>
      <c r="AS255" s="46"/>
      <c r="AT255" s="46"/>
      <c r="AU255" s="46"/>
      <c r="AV255" s="46"/>
      <c r="AW255" s="51">
        <v>-308</v>
      </c>
      <c r="AX255" s="46"/>
      <c r="AY255" s="46"/>
      <c r="AZ255" s="46"/>
    </row>
    <row r="256" spans="1:158" x14ac:dyDescent="0.2">
      <c r="A256" s="1" t="s">
        <v>38</v>
      </c>
      <c r="B256" s="1" t="s">
        <v>523</v>
      </c>
      <c r="C256" s="1" t="s">
        <v>524</v>
      </c>
      <c r="D256" s="12">
        <v>33001.339999999997</v>
      </c>
      <c r="E256" s="2">
        <v>5387.1</v>
      </c>
      <c r="F256" s="2">
        <v>7056.91</v>
      </c>
      <c r="G256" s="2">
        <v>5041.72</v>
      </c>
      <c r="H256" s="2">
        <v>3837.39</v>
      </c>
      <c r="I256" s="2">
        <v>3882.69</v>
      </c>
      <c r="J256" s="2">
        <v>3072.82</v>
      </c>
      <c r="K256" s="2">
        <v>4722.71</v>
      </c>
      <c r="L256" s="3"/>
      <c r="M256" s="12">
        <v>38281.56</v>
      </c>
      <c r="N256" s="2">
        <v>6249.04</v>
      </c>
      <c r="O256" s="2">
        <v>8186.02</v>
      </c>
      <c r="P256" s="2">
        <v>5848.4</v>
      </c>
      <c r="Q256" s="2">
        <v>4451.37</v>
      </c>
      <c r="R256" s="2">
        <v>4503.92</v>
      </c>
      <c r="S256" s="2">
        <v>3564.47</v>
      </c>
      <c r="T256" s="2">
        <v>5478.34</v>
      </c>
      <c r="U256" s="3"/>
      <c r="V256" s="3"/>
      <c r="W256" s="3"/>
      <c r="X256" s="3"/>
      <c r="Y256" s="3"/>
      <c r="Z256" s="13">
        <v>177</v>
      </c>
      <c r="AA256" s="4">
        <v>27</v>
      </c>
      <c r="AB256" s="4">
        <v>38</v>
      </c>
      <c r="AC256" s="4">
        <v>28</v>
      </c>
      <c r="AD256" s="4">
        <v>21</v>
      </c>
      <c r="AE256" s="4">
        <v>21</v>
      </c>
      <c r="AF256" s="4">
        <v>16</v>
      </c>
      <c r="AG256" s="4">
        <v>26</v>
      </c>
      <c r="AH256" s="3"/>
      <c r="AI256" s="12">
        <v>186.44824858757062</v>
      </c>
      <c r="AJ256" s="2">
        <v>199.52222222222221</v>
      </c>
      <c r="AK256" s="2">
        <v>185.70815789473684</v>
      </c>
      <c r="AL256" s="2">
        <v>180.06142857142856</v>
      </c>
      <c r="AM256" s="2">
        <v>182.73285714285714</v>
      </c>
      <c r="AN256" s="2">
        <v>184.89</v>
      </c>
      <c r="AO256" s="2">
        <v>192.05125000000001</v>
      </c>
      <c r="AP256" s="2">
        <v>181.6426923076923</v>
      </c>
      <c r="AQ256" s="3"/>
      <c r="AR256" s="13">
        <v>468</v>
      </c>
      <c r="AS256" s="4">
        <v>176</v>
      </c>
      <c r="AT256" s="4">
        <v>30</v>
      </c>
      <c r="AU256" s="4">
        <v>58</v>
      </c>
      <c r="AV256" s="4">
        <v>58</v>
      </c>
      <c r="AW256" s="4">
        <v>44</v>
      </c>
      <c r="AX256" s="4">
        <v>40</v>
      </c>
      <c r="AY256" s="4">
        <v>62</v>
      </c>
      <c r="AZ256" s="3"/>
    </row>
    <row r="257" spans="1:158" x14ac:dyDescent="0.2">
      <c r="A257" s="1" t="s">
        <v>38</v>
      </c>
      <c r="B257" s="1" t="s">
        <v>525</v>
      </c>
      <c r="C257" s="1" t="s">
        <v>526</v>
      </c>
      <c r="D257" s="12">
        <v>581960.79</v>
      </c>
      <c r="E257" s="2">
        <v>26684.92</v>
      </c>
      <c r="F257" s="2">
        <v>17760.400000000001</v>
      </c>
      <c r="G257" s="2">
        <v>14311.76</v>
      </c>
      <c r="H257" s="2">
        <v>3511.7</v>
      </c>
      <c r="I257" s="2">
        <v>71131.5</v>
      </c>
      <c r="J257" s="2">
        <v>98968.17</v>
      </c>
      <c r="K257" s="2">
        <v>349592.34</v>
      </c>
      <c r="L257" s="3"/>
      <c r="M257" s="12">
        <v>675074.52</v>
      </c>
      <c r="N257" s="2">
        <v>30954.51</v>
      </c>
      <c r="O257" s="2">
        <v>20602.07</v>
      </c>
      <c r="P257" s="2">
        <v>16601.64</v>
      </c>
      <c r="Q257" s="2">
        <v>4073.57</v>
      </c>
      <c r="R257" s="2">
        <v>82512.539999999994</v>
      </c>
      <c r="S257" s="2">
        <v>114803.08</v>
      </c>
      <c r="T257" s="2">
        <v>405527.11</v>
      </c>
      <c r="U257" s="3"/>
      <c r="V257" s="3"/>
      <c r="W257" s="3"/>
      <c r="X257" s="3"/>
      <c r="Y257" s="3"/>
      <c r="Z257" s="13">
        <v>1388</v>
      </c>
      <c r="AA257" s="4">
        <v>25</v>
      </c>
      <c r="AB257" s="4">
        <v>17</v>
      </c>
      <c r="AC257" s="4">
        <v>15</v>
      </c>
      <c r="AD257" s="4">
        <v>4</v>
      </c>
      <c r="AE257" s="4">
        <v>26</v>
      </c>
      <c r="AF257" s="4">
        <v>17</v>
      </c>
      <c r="AG257" s="4">
        <v>1284</v>
      </c>
      <c r="AH257" s="3"/>
      <c r="AI257" s="12">
        <v>419.28010806916427</v>
      </c>
      <c r="AJ257" s="2">
        <v>1067.3968</v>
      </c>
      <c r="AK257" s="2">
        <v>1044.7294117647059</v>
      </c>
      <c r="AL257" s="2">
        <v>954.11733333333336</v>
      </c>
      <c r="AM257" s="2">
        <v>877.92499999999995</v>
      </c>
      <c r="AN257" s="2">
        <v>2735.8269230769229</v>
      </c>
      <c r="AO257" s="2">
        <v>5821.657058823529</v>
      </c>
      <c r="AP257" s="2">
        <v>272.26817757009348</v>
      </c>
      <c r="AQ257" s="3"/>
      <c r="AR257" s="13">
        <v>33290.199999999997</v>
      </c>
      <c r="AS257" s="4">
        <v>2148</v>
      </c>
      <c r="AT257" s="4">
        <v>556</v>
      </c>
      <c r="AU257" s="4">
        <v>590</v>
      </c>
      <c r="AV257" s="4">
        <v>396</v>
      </c>
      <c r="AW257" s="4">
        <v>1186</v>
      </c>
      <c r="AX257" s="4">
        <v>10718</v>
      </c>
      <c r="AY257" s="4">
        <v>17696.2</v>
      </c>
      <c r="AZ257" s="3"/>
    </row>
    <row r="258" spans="1:158" s="41" customFormat="1" x14ac:dyDescent="0.2">
      <c r="A258" s="1" t="s">
        <v>38</v>
      </c>
      <c r="B258" s="1" t="s">
        <v>527</v>
      </c>
      <c r="C258" s="1" t="s">
        <v>528</v>
      </c>
      <c r="D258" s="12">
        <v>2823366.24</v>
      </c>
      <c r="E258" s="2">
        <v>534686.47</v>
      </c>
      <c r="F258" s="2">
        <v>754796.38</v>
      </c>
      <c r="G258" s="2">
        <v>72850.899999999994</v>
      </c>
      <c r="H258" s="2">
        <v>372456.45</v>
      </c>
      <c r="I258" s="2">
        <v>280140.13</v>
      </c>
      <c r="J258" s="2">
        <v>410815.55</v>
      </c>
      <c r="K258" s="2">
        <v>397620.36</v>
      </c>
      <c r="L258" s="3"/>
      <c r="M258" s="12">
        <v>3275104.86</v>
      </c>
      <c r="N258" s="2">
        <v>620236.31000000006</v>
      </c>
      <c r="O258" s="2">
        <v>875563.81</v>
      </c>
      <c r="P258" s="2">
        <v>84507.05</v>
      </c>
      <c r="Q258" s="2">
        <v>432049.48</v>
      </c>
      <c r="R258" s="2">
        <v>324962.55</v>
      </c>
      <c r="S258" s="2">
        <v>476546.04</v>
      </c>
      <c r="T258" s="2">
        <v>461239.62</v>
      </c>
      <c r="U258" s="3"/>
      <c r="V258" s="3"/>
      <c r="W258" s="3"/>
      <c r="X258" s="3"/>
      <c r="Y258" s="3"/>
      <c r="Z258" s="13">
        <v>12581</v>
      </c>
      <c r="AA258" s="4">
        <v>2091</v>
      </c>
      <c r="AB258" s="4">
        <v>2446</v>
      </c>
      <c r="AC258" s="4">
        <v>296</v>
      </c>
      <c r="AD258" s="4">
        <v>1728</v>
      </c>
      <c r="AE258" s="4">
        <v>1502</v>
      </c>
      <c r="AF258" s="4">
        <v>2296</v>
      </c>
      <c r="AG258" s="4">
        <v>2222</v>
      </c>
      <c r="AH258" s="3"/>
      <c r="AI258" s="12">
        <v>224.41508942055481</v>
      </c>
      <c r="AJ258" s="2">
        <v>255.70849832615974</v>
      </c>
      <c r="AK258" s="2">
        <v>308.58396565821749</v>
      </c>
      <c r="AL258" s="2">
        <v>246.11790540540542</v>
      </c>
      <c r="AM258" s="2">
        <v>215.54192708333332</v>
      </c>
      <c r="AN258" s="2">
        <v>186.51140479360853</v>
      </c>
      <c r="AO258" s="2">
        <v>178.92663327526131</v>
      </c>
      <c r="AP258" s="2">
        <v>178.94705670567058</v>
      </c>
      <c r="AQ258" s="3"/>
      <c r="AR258" s="13">
        <v>278774</v>
      </c>
      <c r="AS258" s="4">
        <v>46410</v>
      </c>
      <c r="AT258" s="4">
        <v>68154</v>
      </c>
      <c r="AU258" s="4">
        <v>5270</v>
      </c>
      <c r="AV258" s="4">
        <v>46484</v>
      </c>
      <c r="AW258" s="4">
        <v>29854</v>
      </c>
      <c r="AX258" s="4">
        <v>41286</v>
      </c>
      <c r="AY258" s="4">
        <v>41316</v>
      </c>
      <c r="AZ258" s="3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</row>
    <row r="259" spans="1:158" s="41" customFormat="1" x14ac:dyDescent="0.2">
      <c r="A259" s="33" t="s">
        <v>38</v>
      </c>
      <c r="B259" s="33" t="s">
        <v>529</v>
      </c>
      <c r="C259" s="33" t="s">
        <v>530</v>
      </c>
      <c r="D259" s="34">
        <v>24947.41</v>
      </c>
      <c r="E259" s="36">
        <v>24947.41</v>
      </c>
      <c r="F259" s="35"/>
      <c r="G259" s="35"/>
      <c r="H259" s="35"/>
      <c r="I259" s="35"/>
      <c r="J259" s="35"/>
      <c r="K259" s="35"/>
      <c r="L259" s="35"/>
      <c r="M259" s="34">
        <v>28939</v>
      </c>
      <c r="N259" s="36">
        <v>28939</v>
      </c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9">
        <v>31</v>
      </c>
      <c r="AA259" s="40">
        <v>31</v>
      </c>
      <c r="AB259" s="35"/>
      <c r="AC259" s="35"/>
      <c r="AD259" s="35"/>
      <c r="AE259" s="35"/>
      <c r="AF259" s="35"/>
      <c r="AG259" s="35"/>
      <c r="AH259" s="35"/>
      <c r="AI259" s="34">
        <v>804.75516129032258</v>
      </c>
      <c r="AJ259" s="36">
        <v>804.75516129032258</v>
      </c>
      <c r="AK259" s="35"/>
      <c r="AL259" s="35"/>
      <c r="AM259" s="35"/>
      <c r="AN259" s="35"/>
      <c r="AO259" s="35"/>
      <c r="AP259" s="35"/>
      <c r="AQ259" s="35"/>
      <c r="AR259" s="39">
        <v>1714</v>
      </c>
      <c r="AS259" s="40">
        <v>1714</v>
      </c>
      <c r="AT259" s="35"/>
      <c r="AU259" s="35"/>
      <c r="AV259" s="35"/>
      <c r="AW259" s="35"/>
      <c r="AX259" s="35"/>
      <c r="AY259" s="35"/>
      <c r="AZ259" s="35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</row>
    <row r="260" spans="1:158" s="41" customFormat="1" x14ac:dyDescent="0.2">
      <c r="A260" s="33" t="s">
        <v>38</v>
      </c>
      <c r="B260" s="33" t="s">
        <v>531</v>
      </c>
      <c r="C260" s="33" t="s">
        <v>532</v>
      </c>
      <c r="D260" s="34">
        <v>3295.96</v>
      </c>
      <c r="E260" s="36">
        <v>720.79</v>
      </c>
      <c r="F260" s="36">
        <v>822.84</v>
      </c>
      <c r="G260" s="36">
        <v>1752.33</v>
      </c>
      <c r="H260" s="35"/>
      <c r="I260" s="35"/>
      <c r="J260" s="35"/>
      <c r="K260" s="35"/>
      <c r="L260" s="35"/>
      <c r="M260" s="34">
        <v>3823.31</v>
      </c>
      <c r="N260" s="36">
        <v>836.12</v>
      </c>
      <c r="O260" s="36">
        <v>954.49</v>
      </c>
      <c r="P260" s="36">
        <v>2032.7</v>
      </c>
      <c r="Q260" s="35"/>
      <c r="R260" s="35"/>
      <c r="S260" s="35"/>
      <c r="T260" s="35"/>
      <c r="U260" s="35"/>
      <c r="V260" s="35"/>
      <c r="W260" s="35"/>
      <c r="X260" s="35"/>
      <c r="Y260" s="35"/>
      <c r="Z260" s="42"/>
      <c r="AA260" s="35"/>
      <c r="AB260" s="35"/>
      <c r="AC260" s="35"/>
      <c r="AD260" s="35"/>
      <c r="AE260" s="35"/>
      <c r="AF260" s="35"/>
      <c r="AG260" s="35"/>
      <c r="AH260" s="35"/>
      <c r="AI260" s="37" t="s">
        <v>33</v>
      </c>
      <c r="AJ260" s="38" t="s">
        <v>33</v>
      </c>
      <c r="AK260" s="38" t="s">
        <v>33</v>
      </c>
      <c r="AL260" s="38" t="s">
        <v>33</v>
      </c>
      <c r="AM260" s="35"/>
      <c r="AN260" s="35"/>
      <c r="AO260" s="35"/>
      <c r="AP260" s="35"/>
      <c r="AQ260" s="35"/>
      <c r="AR260" s="39">
        <v>736</v>
      </c>
      <c r="AS260" s="40">
        <v>154</v>
      </c>
      <c r="AT260" s="40">
        <v>222</v>
      </c>
      <c r="AU260" s="40">
        <v>360</v>
      </c>
      <c r="AV260" s="35"/>
      <c r="AW260" s="35"/>
      <c r="AX260" s="35"/>
      <c r="AY260" s="35"/>
      <c r="AZ260" s="35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</row>
    <row r="261" spans="1:158" s="41" customFormat="1" x14ac:dyDescent="0.2">
      <c r="A261" s="33" t="s">
        <v>38</v>
      </c>
      <c r="B261" s="33" t="s">
        <v>533</v>
      </c>
      <c r="C261" s="33" t="s">
        <v>534</v>
      </c>
      <c r="D261" s="34">
        <v>12253.25</v>
      </c>
      <c r="E261" s="36">
        <v>8.5299999999999994</v>
      </c>
      <c r="F261" s="36">
        <v>9365.76</v>
      </c>
      <c r="G261" s="36">
        <v>2225.62</v>
      </c>
      <c r="H261" s="36">
        <v>653.34</v>
      </c>
      <c r="I261" s="35"/>
      <c r="J261" s="35"/>
      <c r="K261" s="35"/>
      <c r="L261" s="35"/>
      <c r="M261" s="34">
        <v>14213.76</v>
      </c>
      <c r="N261" s="36">
        <v>9.89</v>
      </c>
      <c r="O261" s="36">
        <v>10864.28</v>
      </c>
      <c r="P261" s="36">
        <v>2581.7199999999998</v>
      </c>
      <c r="Q261" s="36">
        <v>757.87</v>
      </c>
      <c r="R261" s="35"/>
      <c r="S261" s="35"/>
      <c r="T261" s="35"/>
      <c r="U261" s="35"/>
      <c r="V261" s="35"/>
      <c r="W261" s="35"/>
      <c r="X261" s="35"/>
      <c r="Y261" s="35"/>
      <c r="Z261" s="42"/>
      <c r="AA261" s="35"/>
      <c r="AB261" s="35"/>
      <c r="AC261" s="35"/>
      <c r="AD261" s="35"/>
      <c r="AE261" s="35"/>
      <c r="AF261" s="35"/>
      <c r="AG261" s="35"/>
      <c r="AH261" s="35"/>
      <c r="AI261" s="37" t="s">
        <v>33</v>
      </c>
      <c r="AJ261" s="38" t="s">
        <v>33</v>
      </c>
      <c r="AK261" s="38" t="s">
        <v>33</v>
      </c>
      <c r="AL261" s="38" t="s">
        <v>33</v>
      </c>
      <c r="AM261" s="38" t="s">
        <v>33</v>
      </c>
      <c r="AN261" s="35"/>
      <c r="AO261" s="35"/>
      <c r="AP261" s="35"/>
      <c r="AQ261" s="35"/>
      <c r="AR261" s="39">
        <v>996</v>
      </c>
      <c r="AS261" s="40">
        <v>2</v>
      </c>
      <c r="AT261" s="40">
        <v>672</v>
      </c>
      <c r="AU261" s="40">
        <v>232</v>
      </c>
      <c r="AV261" s="40">
        <v>90</v>
      </c>
      <c r="AW261" s="35"/>
      <c r="AX261" s="35"/>
      <c r="AY261" s="35"/>
      <c r="AZ261" s="35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</row>
    <row r="262" spans="1:158" s="41" customFormat="1" x14ac:dyDescent="0.2">
      <c r="A262" s="33" t="s">
        <v>38</v>
      </c>
      <c r="B262" s="33" t="s">
        <v>535</v>
      </c>
      <c r="C262" s="33" t="s">
        <v>536</v>
      </c>
      <c r="D262" s="34">
        <v>-3034.1</v>
      </c>
      <c r="E262" s="35"/>
      <c r="F262" s="35"/>
      <c r="G262" s="35"/>
      <c r="H262" s="35"/>
      <c r="I262" s="35"/>
      <c r="J262" s="36">
        <v>-3034.1</v>
      </c>
      <c r="K262" s="35"/>
      <c r="L262" s="35"/>
      <c r="M262" s="34">
        <v>-3519.56</v>
      </c>
      <c r="N262" s="35"/>
      <c r="O262" s="35"/>
      <c r="P262" s="35"/>
      <c r="Q262" s="35"/>
      <c r="R262" s="35"/>
      <c r="S262" s="36">
        <v>-3519.56</v>
      </c>
      <c r="T262" s="35"/>
      <c r="U262" s="35"/>
      <c r="V262" s="35"/>
      <c r="W262" s="35"/>
      <c r="X262" s="35"/>
      <c r="Y262" s="35"/>
      <c r="Z262" s="39">
        <v>-23</v>
      </c>
      <c r="AA262" s="35"/>
      <c r="AB262" s="35"/>
      <c r="AC262" s="35"/>
      <c r="AD262" s="35"/>
      <c r="AE262" s="35"/>
      <c r="AF262" s="40">
        <v>-23</v>
      </c>
      <c r="AG262" s="35"/>
      <c r="AH262" s="35"/>
      <c r="AI262" s="34">
        <v>131.91739130434783</v>
      </c>
      <c r="AJ262" s="35"/>
      <c r="AK262" s="35"/>
      <c r="AL262" s="35"/>
      <c r="AM262" s="35"/>
      <c r="AN262" s="35"/>
      <c r="AO262" s="36">
        <v>131.91739130434783</v>
      </c>
      <c r="AP262" s="35"/>
      <c r="AQ262" s="35"/>
      <c r="AR262" s="39">
        <v>-10</v>
      </c>
      <c r="AS262" s="35"/>
      <c r="AT262" s="35"/>
      <c r="AU262" s="35"/>
      <c r="AV262" s="35"/>
      <c r="AW262" s="35"/>
      <c r="AX262" s="40">
        <v>-10</v>
      </c>
      <c r="AY262" s="35"/>
      <c r="AZ262" s="35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</row>
    <row r="263" spans="1:158" x14ac:dyDescent="0.2">
      <c r="A263" s="1" t="s">
        <v>38</v>
      </c>
      <c r="B263" s="1" t="s">
        <v>537</v>
      </c>
      <c r="C263" s="1" t="s">
        <v>538</v>
      </c>
      <c r="D263" s="12">
        <v>197749.42</v>
      </c>
      <c r="E263" s="2">
        <v>44631.41</v>
      </c>
      <c r="F263" s="2">
        <v>14074.75</v>
      </c>
      <c r="G263" s="2">
        <v>26304.26</v>
      </c>
      <c r="H263" s="2">
        <v>23135.93</v>
      </c>
      <c r="I263" s="2">
        <v>33887.79</v>
      </c>
      <c r="J263" s="2">
        <v>26480.44</v>
      </c>
      <c r="K263" s="2">
        <v>29234.84</v>
      </c>
      <c r="L263" s="3"/>
      <c r="M263" s="12">
        <v>229389.32</v>
      </c>
      <c r="N263" s="2">
        <v>51772.43</v>
      </c>
      <c r="O263" s="2">
        <v>16326.71</v>
      </c>
      <c r="P263" s="2">
        <v>30512.94</v>
      </c>
      <c r="Q263" s="2">
        <v>26837.68</v>
      </c>
      <c r="R263" s="2">
        <v>39309.839999999997</v>
      </c>
      <c r="S263" s="2">
        <v>30717.31</v>
      </c>
      <c r="T263" s="2">
        <v>33912.410000000003</v>
      </c>
      <c r="U263" s="3"/>
      <c r="V263" s="3"/>
      <c r="W263" s="3"/>
      <c r="X263" s="3"/>
      <c r="Y263" s="3"/>
      <c r="Z263" s="13">
        <v>789</v>
      </c>
      <c r="AA263" s="4">
        <v>191</v>
      </c>
      <c r="AB263" s="4">
        <v>58</v>
      </c>
      <c r="AC263" s="4">
        <v>109</v>
      </c>
      <c r="AD263" s="4">
        <v>92</v>
      </c>
      <c r="AE263" s="4">
        <v>130</v>
      </c>
      <c r="AF263" s="4">
        <v>89</v>
      </c>
      <c r="AG263" s="4">
        <v>120</v>
      </c>
      <c r="AH263" s="3"/>
      <c r="AI263" s="12">
        <v>250.6329784537389</v>
      </c>
      <c r="AJ263" s="2">
        <v>233.67230366492146</v>
      </c>
      <c r="AK263" s="2">
        <v>242.66810344827587</v>
      </c>
      <c r="AL263" s="2">
        <v>241.3234862385321</v>
      </c>
      <c r="AM263" s="2">
        <v>251.47749999999999</v>
      </c>
      <c r="AN263" s="2">
        <v>260.67530769230768</v>
      </c>
      <c r="AO263" s="2">
        <v>297.53303370786517</v>
      </c>
      <c r="AP263" s="2">
        <v>243.62366666666668</v>
      </c>
      <c r="AQ263" s="3"/>
      <c r="AR263" s="13">
        <v>6720</v>
      </c>
      <c r="AS263" s="4">
        <v>1500</v>
      </c>
      <c r="AT263" s="4">
        <v>262</v>
      </c>
      <c r="AU263" s="4">
        <v>904</v>
      </c>
      <c r="AV263" s="4">
        <v>622</v>
      </c>
      <c r="AW263" s="4">
        <v>1336</v>
      </c>
      <c r="AX263" s="4">
        <v>1240</v>
      </c>
      <c r="AY263" s="4">
        <v>856</v>
      </c>
      <c r="AZ263" s="3"/>
    </row>
    <row r="264" spans="1:158" s="41" customFormat="1" x14ac:dyDescent="0.2">
      <c r="A264" s="33" t="s">
        <v>38</v>
      </c>
      <c r="B264" s="33" t="s">
        <v>539</v>
      </c>
      <c r="C264" s="33" t="s">
        <v>540</v>
      </c>
      <c r="D264" s="34">
        <v>259651.6</v>
      </c>
      <c r="E264" s="36">
        <v>250051.6</v>
      </c>
      <c r="F264" s="36">
        <v>9600</v>
      </c>
      <c r="G264" s="35"/>
      <c r="H264" s="35"/>
      <c r="I264" s="35"/>
      <c r="J264" s="35"/>
      <c r="K264" s="35"/>
      <c r="L264" s="35"/>
      <c r="M264" s="34">
        <v>301195.86</v>
      </c>
      <c r="N264" s="36">
        <v>290059.86</v>
      </c>
      <c r="O264" s="36">
        <v>11136</v>
      </c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42"/>
      <c r="AA264" s="35"/>
      <c r="AB264" s="35"/>
      <c r="AC264" s="35"/>
      <c r="AD264" s="35"/>
      <c r="AE264" s="35"/>
      <c r="AF264" s="35"/>
      <c r="AG264" s="35"/>
      <c r="AH264" s="35"/>
      <c r="AI264" s="37" t="s">
        <v>33</v>
      </c>
      <c r="AJ264" s="38" t="s">
        <v>33</v>
      </c>
      <c r="AK264" s="38" t="s">
        <v>33</v>
      </c>
      <c r="AL264" s="35"/>
      <c r="AM264" s="35"/>
      <c r="AN264" s="35"/>
      <c r="AO264" s="35"/>
      <c r="AP264" s="35"/>
      <c r="AQ264" s="35"/>
      <c r="AR264" s="39">
        <v>27376</v>
      </c>
      <c r="AS264" s="40">
        <v>27376</v>
      </c>
      <c r="AT264" s="35"/>
      <c r="AU264" s="35"/>
      <c r="AV264" s="35"/>
      <c r="AW264" s="35"/>
      <c r="AX264" s="35"/>
      <c r="AY264" s="35"/>
      <c r="AZ264" s="35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</row>
    <row r="265" spans="1:158" s="41" customFormat="1" x14ac:dyDescent="0.2">
      <c r="A265" s="33" t="s">
        <v>38</v>
      </c>
      <c r="B265" s="33" t="s">
        <v>541</v>
      </c>
      <c r="C265" s="33" t="s">
        <v>542</v>
      </c>
      <c r="D265" s="34">
        <v>392243.54</v>
      </c>
      <c r="E265" s="36">
        <v>64242.85</v>
      </c>
      <c r="F265" s="36">
        <v>312685.06</v>
      </c>
      <c r="G265" s="36">
        <v>7959.63</v>
      </c>
      <c r="H265" s="36">
        <v>7356</v>
      </c>
      <c r="I265" s="35"/>
      <c r="J265" s="35"/>
      <c r="K265" s="35"/>
      <c r="L265" s="35"/>
      <c r="M265" s="34">
        <v>455002.51</v>
      </c>
      <c r="N265" s="36">
        <v>74521.710000000006</v>
      </c>
      <c r="O265" s="36">
        <v>362714.67</v>
      </c>
      <c r="P265" s="36">
        <v>9233.17</v>
      </c>
      <c r="Q265" s="36">
        <v>8532.9599999999991</v>
      </c>
      <c r="R265" s="35"/>
      <c r="S265" s="35"/>
      <c r="T265" s="35"/>
      <c r="U265" s="35"/>
      <c r="V265" s="35"/>
      <c r="W265" s="35"/>
      <c r="X265" s="35"/>
      <c r="Y265" s="35"/>
      <c r="Z265" s="42"/>
      <c r="AA265" s="35"/>
      <c r="AB265" s="35"/>
      <c r="AC265" s="35"/>
      <c r="AD265" s="35"/>
      <c r="AE265" s="35"/>
      <c r="AF265" s="35"/>
      <c r="AG265" s="35"/>
      <c r="AH265" s="35"/>
      <c r="AI265" s="37" t="s">
        <v>33</v>
      </c>
      <c r="AJ265" s="38" t="s">
        <v>33</v>
      </c>
      <c r="AK265" s="38" t="s">
        <v>33</v>
      </c>
      <c r="AL265" s="38" t="s">
        <v>33</v>
      </c>
      <c r="AM265" s="38" t="s">
        <v>33</v>
      </c>
      <c r="AN265" s="35"/>
      <c r="AO265" s="35"/>
      <c r="AP265" s="35"/>
      <c r="AQ265" s="35"/>
      <c r="AR265" s="39">
        <v>92964</v>
      </c>
      <c r="AS265" s="35"/>
      <c r="AT265" s="40">
        <v>89326</v>
      </c>
      <c r="AU265" s="40">
        <v>2650</v>
      </c>
      <c r="AV265" s="40">
        <v>988</v>
      </c>
      <c r="AW265" s="35"/>
      <c r="AX265" s="35"/>
      <c r="AY265" s="35"/>
      <c r="AZ265" s="3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</row>
    <row r="266" spans="1:158" x14ac:dyDescent="0.2">
      <c r="A266" s="1" t="s">
        <v>38</v>
      </c>
      <c r="B266" s="1" t="s">
        <v>543</v>
      </c>
      <c r="C266" s="1" t="s">
        <v>544</v>
      </c>
      <c r="D266" s="12">
        <v>664771.65</v>
      </c>
      <c r="E266" s="2">
        <v>85892.4</v>
      </c>
      <c r="F266" s="2">
        <v>82395.429999999993</v>
      </c>
      <c r="G266" s="2">
        <v>63800.38</v>
      </c>
      <c r="H266" s="2">
        <v>49644.01</v>
      </c>
      <c r="I266" s="2">
        <v>86277.48</v>
      </c>
      <c r="J266" s="2">
        <v>96923.01</v>
      </c>
      <c r="K266" s="2">
        <v>106535.74</v>
      </c>
      <c r="L266" s="2">
        <v>93303.2</v>
      </c>
      <c r="M266" s="12">
        <v>771135.1</v>
      </c>
      <c r="N266" s="2">
        <v>99635.18</v>
      </c>
      <c r="O266" s="2">
        <v>95578.69</v>
      </c>
      <c r="P266" s="2">
        <v>74008.44</v>
      </c>
      <c r="Q266" s="2">
        <v>57587.05</v>
      </c>
      <c r="R266" s="2">
        <v>100081.87</v>
      </c>
      <c r="S266" s="2">
        <v>112430.7</v>
      </c>
      <c r="T266" s="2">
        <v>123581.46</v>
      </c>
      <c r="U266" s="2">
        <v>108231.71</v>
      </c>
      <c r="V266" s="2"/>
      <c r="W266" s="2"/>
      <c r="X266" s="2"/>
      <c r="Y266" s="2"/>
      <c r="Z266" s="13">
        <v>1167</v>
      </c>
      <c r="AA266" s="4">
        <v>137</v>
      </c>
      <c r="AB266" s="4">
        <v>155</v>
      </c>
      <c r="AC266" s="4">
        <v>121</v>
      </c>
      <c r="AD266" s="4">
        <v>102</v>
      </c>
      <c r="AE266" s="4">
        <v>157</v>
      </c>
      <c r="AF266" s="4">
        <v>178</v>
      </c>
      <c r="AG266" s="4">
        <v>146</v>
      </c>
      <c r="AH266" s="4">
        <v>171</v>
      </c>
      <c r="AI266" s="12">
        <v>569.64151670951162</v>
      </c>
      <c r="AJ266" s="2">
        <v>626.95182481751829</v>
      </c>
      <c r="AK266" s="2">
        <v>531.58341935483872</v>
      </c>
      <c r="AL266" s="2">
        <v>527.27586776859505</v>
      </c>
      <c r="AM266" s="2">
        <v>486.70598039215685</v>
      </c>
      <c r="AN266" s="2">
        <v>549.53808917197455</v>
      </c>
      <c r="AO266" s="2">
        <v>544.51129213483148</v>
      </c>
      <c r="AP266" s="2">
        <v>729.69684931506845</v>
      </c>
      <c r="AQ266" s="2">
        <v>545.6327485380117</v>
      </c>
      <c r="AR266" s="13">
        <v>17412</v>
      </c>
      <c r="AS266" s="4">
        <v>1818</v>
      </c>
      <c r="AT266" s="4">
        <v>2716</v>
      </c>
      <c r="AU266" s="4">
        <v>1396</v>
      </c>
      <c r="AV266" s="4">
        <v>1340</v>
      </c>
      <c r="AW266" s="4">
        <v>2136</v>
      </c>
      <c r="AX266" s="4">
        <v>3278</v>
      </c>
      <c r="AY266" s="4">
        <v>2004</v>
      </c>
      <c r="AZ266" s="4">
        <v>2724</v>
      </c>
    </row>
    <row r="267" spans="1:158" s="29" customFormat="1" x14ac:dyDescent="0.2">
      <c r="A267" s="23" t="s">
        <v>38</v>
      </c>
      <c r="B267" s="23" t="s">
        <v>545</v>
      </c>
      <c r="C267" s="23" t="s">
        <v>546</v>
      </c>
      <c r="D267" s="24">
        <v>12958.7</v>
      </c>
      <c r="E267" s="25">
        <v>5475.46</v>
      </c>
      <c r="F267" s="25">
        <v>4170.16</v>
      </c>
      <c r="G267" s="25">
        <v>2809.3</v>
      </c>
      <c r="H267" s="25">
        <v>503.78</v>
      </c>
      <c r="I267" s="26"/>
      <c r="J267" s="26"/>
      <c r="K267" s="26"/>
      <c r="L267" s="26"/>
      <c r="M267" s="24">
        <v>15032.09</v>
      </c>
      <c r="N267" s="25">
        <v>6351.54</v>
      </c>
      <c r="O267" s="25">
        <v>4837.38</v>
      </c>
      <c r="P267" s="25">
        <v>3258.79</v>
      </c>
      <c r="Q267" s="25">
        <v>584.38</v>
      </c>
      <c r="R267" s="26"/>
      <c r="S267" s="26"/>
      <c r="T267" s="26"/>
      <c r="U267" s="26"/>
      <c r="V267" s="26"/>
      <c r="W267" s="26"/>
      <c r="X267" s="26"/>
      <c r="Y267" s="26"/>
      <c r="Z267" s="27">
        <v>42</v>
      </c>
      <c r="AA267" s="28">
        <v>16</v>
      </c>
      <c r="AB267" s="28">
        <v>15</v>
      </c>
      <c r="AC267" s="28">
        <v>10</v>
      </c>
      <c r="AD267" s="28">
        <v>1</v>
      </c>
      <c r="AE267" s="26"/>
      <c r="AF267" s="26"/>
      <c r="AG267" s="26"/>
      <c r="AH267" s="26"/>
      <c r="AI267" s="24">
        <v>308.54047619047617</v>
      </c>
      <c r="AJ267" s="25">
        <v>342.21625</v>
      </c>
      <c r="AK267" s="25">
        <v>278.01066666666668</v>
      </c>
      <c r="AL267" s="25">
        <v>280.93</v>
      </c>
      <c r="AM267" s="25">
        <v>503.78</v>
      </c>
      <c r="AN267" s="26"/>
      <c r="AO267" s="26"/>
      <c r="AP267" s="26"/>
      <c r="AQ267" s="26"/>
      <c r="AR267" s="27">
        <v>436</v>
      </c>
      <c r="AS267" s="28">
        <v>268</v>
      </c>
      <c r="AT267" s="28">
        <v>72</v>
      </c>
      <c r="AU267" s="28">
        <v>22</v>
      </c>
      <c r="AV267" s="28">
        <v>74</v>
      </c>
      <c r="AW267" s="26"/>
      <c r="AX267" s="26"/>
      <c r="AY267" s="26"/>
      <c r="AZ267" s="26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</row>
    <row r="268" spans="1:158" s="41" customFormat="1" x14ac:dyDescent="0.2">
      <c r="A268" s="33" t="s">
        <v>38</v>
      </c>
      <c r="B268" s="33" t="s">
        <v>547</v>
      </c>
      <c r="C268" s="33" t="s">
        <v>548</v>
      </c>
      <c r="D268" s="34">
        <v>3924.96</v>
      </c>
      <c r="E268" s="36">
        <v>1319.52</v>
      </c>
      <c r="F268" s="36">
        <v>1925.76</v>
      </c>
      <c r="G268" s="36">
        <v>679.68</v>
      </c>
      <c r="H268" s="35"/>
      <c r="I268" s="35"/>
      <c r="J268" s="35"/>
      <c r="K268" s="35"/>
      <c r="L268" s="35"/>
      <c r="M268" s="34">
        <v>4552.95</v>
      </c>
      <c r="N268" s="36">
        <v>1530.64</v>
      </c>
      <c r="O268" s="36">
        <v>2233.88</v>
      </c>
      <c r="P268" s="36">
        <v>788.43</v>
      </c>
      <c r="Q268" s="35"/>
      <c r="R268" s="35"/>
      <c r="S268" s="35"/>
      <c r="T268" s="35"/>
      <c r="U268" s="35"/>
      <c r="V268" s="35"/>
      <c r="W268" s="35"/>
      <c r="X268" s="35"/>
      <c r="Y268" s="35"/>
      <c r="Z268" s="42"/>
      <c r="AA268" s="35"/>
      <c r="AB268" s="35"/>
      <c r="AC268" s="35"/>
      <c r="AD268" s="35"/>
      <c r="AE268" s="35"/>
      <c r="AF268" s="35"/>
      <c r="AG268" s="35"/>
      <c r="AH268" s="35"/>
      <c r="AI268" s="37" t="s">
        <v>33</v>
      </c>
      <c r="AJ268" s="38" t="s">
        <v>33</v>
      </c>
      <c r="AK268" s="38" t="s">
        <v>33</v>
      </c>
      <c r="AL268" s="38" t="s">
        <v>33</v>
      </c>
      <c r="AM268" s="35"/>
      <c r="AN268" s="35"/>
      <c r="AO268" s="35"/>
      <c r="AP268" s="35"/>
      <c r="AQ268" s="35"/>
      <c r="AR268" s="42"/>
      <c r="AS268" s="35"/>
      <c r="AT268" s="35"/>
      <c r="AU268" s="35"/>
      <c r="AV268" s="35"/>
      <c r="AW268" s="35"/>
      <c r="AX268" s="35"/>
      <c r="AY268" s="35"/>
      <c r="AZ268" s="35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</row>
    <row r="269" spans="1:158" s="41" customFormat="1" x14ac:dyDescent="0.2">
      <c r="A269" s="33" t="s">
        <v>38</v>
      </c>
      <c r="B269" s="33" t="s">
        <v>549</v>
      </c>
      <c r="C269" s="33" t="s">
        <v>550</v>
      </c>
      <c r="D269" s="34">
        <v>11335.58</v>
      </c>
      <c r="E269" s="36">
        <v>3664.95</v>
      </c>
      <c r="F269" s="36">
        <v>7670.63</v>
      </c>
      <c r="G269" s="35"/>
      <c r="H269" s="35"/>
      <c r="I269" s="35"/>
      <c r="J269" s="35"/>
      <c r="K269" s="35"/>
      <c r="L269" s="35"/>
      <c r="M269" s="34">
        <v>13149.27</v>
      </c>
      <c r="N269" s="36">
        <v>4251.34</v>
      </c>
      <c r="O269" s="36">
        <v>8897.93</v>
      </c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42"/>
      <c r="AA269" s="35"/>
      <c r="AB269" s="35"/>
      <c r="AC269" s="35"/>
      <c r="AD269" s="35"/>
      <c r="AE269" s="35"/>
      <c r="AF269" s="35"/>
      <c r="AG269" s="35"/>
      <c r="AH269" s="35"/>
      <c r="AI269" s="37" t="s">
        <v>33</v>
      </c>
      <c r="AJ269" s="38" t="s">
        <v>33</v>
      </c>
      <c r="AK269" s="38" t="s">
        <v>33</v>
      </c>
      <c r="AL269" s="35"/>
      <c r="AM269" s="35"/>
      <c r="AN269" s="35"/>
      <c r="AO269" s="35"/>
      <c r="AP269" s="35"/>
      <c r="AQ269" s="35"/>
      <c r="AR269" s="39">
        <v>1924</v>
      </c>
      <c r="AS269" s="40">
        <v>530</v>
      </c>
      <c r="AT269" s="40">
        <v>1394</v>
      </c>
      <c r="AU269" s="35"/>
      <c r="AV269" s="35"/>
      <c r="AW269" s="35"/>
      <c r="AX269" s="35"/>
      <c r="AY269" s="35"/>
      <c r="AZ269" s="35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</row>
    <row r="270" spans="1:158" s="52" customFormat="1" x14ac:dyDescent="0.2">
      <c r="A270" s="43" t="s">
        <v>38</v>
      </c>
      <c r="B270" s="43" t="s">
        <v>551</v>
      </c>
      <c r="C270" s="43" t="s">
        <v>552</v>
      </c>
      <c r="D270" s="44">
        <v>283256.38</v>
      </c>
      <c r="E270" s="45">
        <v>19266</v>
      </c>
      <c r="F270" s="46"/>
      <c r="G270" s="45">
        <v>11241</v>
      </c>
      <c r="H270" s="45">
        <v>77624.52</v>
      </c>
      <c r="I270" s="45">
        <v>174908.38</v>
      </c>
      <c r="J270" s="45">
        <v>216.48</v>
      </c>
      <c r="K270" s="46"/>
      <c r="L270" s="46"/>
      <c r="M270" s="44">
        <v>328577.40000000002</v>
      </c>
      <c r="N270" s="45">
        <v>22348.560000000001</v>
      </c>
      <c r="O270" s="46"/>
      <c r="P270" s="45">
        <v>13039.56</v>
      </c>
      <c r="Q270" s="45">
        <v>90044.44</v>
      </c>
      <c r="R270" s="45">
        <v>202893.72</v>
      </c>
      <c r="S270" s="45">
        <v>251.12</v>
      </c>
      <c r="T270" s="46"/>
      <c r="U270" s="46"/>
      <c r="V270" s="46"/>
      <c r="W270" s="46"/>
      <c r="X270" s="46"/>
      <c r="Y270" s="46"/>
      <c r="Z270" s="48"/>
      <c r="AA270" s="46"/>
      <c r="AB270" s="46"/>
      <c r="AC270" s="46"/>
      <c r="AD270" s="46"/>
      <c r="AE270" s="46"/>
      <c r="AF270" s="46"/>
      <c r="AG270" s="46"/>
      <c r="AH270" s="46"/>
      <c r="AI270" s="49" t="s">
        <v>33</v>
      </c>
      <c r="AJ270" s="47" t="s">
        <v>33</v>
      </c>
      <c r="AK270" s="46"/>
      <c r="AL270" s="47" t="s">
        <v>33</v>
      </c>
      <c r="AM270" s="47" t="s">
        <v>33</v>
      </c>
      <c r="AN270" s="47" t="s">
        <v>33</v>
      </c>
      <c r="AO270" s="47" t="s">
        <v>33</v>
      </c>
      <c r="AP270" s="46"/>
      <c r="AQ270" s="46"/>
      <c r="AR270" s="50">
        <v>149624</v>
      </c>
      <c r="AS270" s="51">
        <v>6422</v>
      </c>
      <c r="AT270" s="46"/>
      <c r="AU270" s="51">
        <v>3747</v>
      </c>
      <c r="AV270" s="51">
        <v>33993</v>
      </c>
      <c r="AW270" s="51">
        <v>105330</v>
      </c>
      <c r="AX270" s="51">
        <v>132</v>
      </c>
      <c r="AY270" s="46"/>
      <c r="AZ270" s="46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</row>
    <row r="271" spans="1:158" x14ac:dyDescent="0.2">
      <c r="A271" s="1" t="s">
        <v>38</v>
      </c>
      <c r="B271" s="1" t="s">
        <v>553</v>
      </c>
      <c r="C271" s="1" t="s">
        <v>554</v>
      </c>
      <c r="D271" s="12">
        <v>154761.29</v>
      </c>
      <c r="E271" s="2">
        <v>40391.230000000003</v>
      </c>
      <c r="F271" s="2">
        <v>24454.86</v>
      </c>
      <c r="G271" s="2">
        <v>20682.490000000002</v>
      </c>
      <c r="H271" s="2">
        <v>18659.689999999999</v>
      </c>
      <c r="I271" s="2">
        <v>-5290.5</v>
      </c>
      <c r="J271" s="2">
        <v>22787.41</v>
      </c>
      <c r="K271" s="2">
        <v>33076.11</v>
      </c>
      <c r="L271" s="3"/>
      <c r="M271" s="12">
        <v>179523.1</v>
      </c>
      <c r="N271" s="2">
        <v>46853.83</v>
      </c>
      <c r="O271" s="2">
        <v>28367.64</v>
      </c>
      <c r="P271" s="2">
        <v>23991.69</v>
      </c>
      <c r="Q271" s="2">
        <v>21645.24</v>
      </c>
      <c r="R271" s="2">
        <v>-6136.98</v>
      </c>
      <c r="S271" s="2">
        <v>26433.39</v>
      </c>
      <c r="T271" s="2">
        <v>38368.29</v>
      </c>
      <c r="U271" s="3"/>
      <c r="V271" s="3"/>
      <c r="W271" s="3"/>
      <c r="X271" s="3"/>
      <c r="Y271" s="3"/>
      <c r="Z271" s="13">
        <v>240</v>
      </c>
      <c r="AA271" s="4">
        <v>28</v>
      </c>
      <c r="AB271" s="4">
        <v>50</v>
      </c>
      <c r="AC271" s="4">
        <v>35</v>
      </c>
      <c r="AD271" s="4">
        <v>36</v>
      </c>
      <c r="AE271" s="4">
        <v>20</v>
      </c>
      <c r="AF271" s="4">
        <v>46</v>
      </c>
      <c r="AG271" s="4">
        <v>25</v>
      </c>
      <c r="AH271" s="3"/>
      <c r="AI271" s="12">
        <v>644.83870833333333</v>
      </c>
      <c r="AJ271" s="2">
        <v>1442.5439285714285</v>
      </c>
      <c r="AK271" s="2">
        <v>489.09719999999999</v>
      </c>
      <c r="AL271" s="2">
        <v>590.92828571428572</v>
      </c>
      <c r="AM271" s="2">
        <v>518.32472222222225</v>
      </c>
      <c r="AN271" s="2">
        <v>-264.52499999999998</v>
      </c>
      <c r="AO271" s="2">
        <v>495.37847826086954</v>
      </c>
      <c r="AP271" s="2">
        <v>1323.0444</v>
      </c>
      <c r="AQ271" s="3"/>
      <c r="AR271" s="13">
        <v>3842</v>
      </c>
      <c r="AS271" s="4">
        <v>112</v>
      </c>
      <c r="AT271" s="4">
        <v>448</v>
      </c>
      <c r="AU271" s="4">
        <v>672</v>
      </c>
      <c r="AV271" s="4">
        <v>878</v>
      </c>
      <c r="AW271" s="4">
        <v>620</v>
      </c>
      <c r="AX271" s="4">
        <v>768</v>
      </c>
      <c r="AY271" s="4">
        <v>344</v>
      </c>
      <c r="AZ271" s="3"/>
    </row>
    <row r="272" spans="1:158" x14ac:dyDescent="0.2">
      <c r="A272" s="1" t="s">
        <v>38</v>
      </c>
      <c r="B272" s="1" t="s">
        <v>555</v>
      </c>
      <c r="C272" s="1" t="s">
        <v>556</v>
      </c>
      <c r="D272" s="12">
        <v>28390.81</v>
      </c>
      <c r="E272" s="2">
        <v>3349.68</v>
      </c>
      <c r="F272" s="2">
        <v>3895.38</v>
      </c>
      <c r="G272" s="2">
        <v>5677.72</v>
      </c>
      <c r="H272" s="2">
        <v>4303.6099999999997</v>
      </c>
      <c r="I272" s="2">
        <v>3446.68</v>
      </c>
      <c r="J272" s="2">
        <v>1771.23</v>
      </c>
      <c r="K272" s="2">
        <v>2758.01</v>
      </c>
      <c r="L272" s="2">
        <v>3188.5</v>
      </c>
      <c r="M272" s="12">
        <v>32933.339999999997</v>
      </c>
      <c r="N272" s="2">
        <v>3885.63</v>
      </c>
      <c r="O272" s="2">
        <v>4518.6400000000003</v>
      </c>
      <c r="P272" s="2">
        <v>6586.16</v>
      </c>
      <c r="Q272" s="2">
        <v>4992.1899999999996</v>
      </c>
      <c r="R272" s="2">
        <v>3998.14</v>
      </c>
      <c r="S272" s="2">
        <v>2054.63</v>
      </c>
      <c r="T272" s="2">
        <v>3199.29</v>
      </c>
      <c r="U272" s="2">
        <v>3698.66</v>
      </c>
      <c r="V272" s="2"/>
      <c r="W272" s="2"/>
      <c r="X272" s="2"/>
      <c r="Y272" s="2"/>
      <c r="Z272" s="13">
        <v>79</v>
      </c>
      <c r="AA272" s="4">
        <v>10</v>
      </c>
      <c r="AB272" s="4">
        <v>11</v>
      </c>
      <c r="AC272" s="4">
        <v>16</v>
      </c>
      <c r="AD272" s="4">
        <v>12</v>
      </c>
      <c r="AE272" s="4">
        <v>9</v>
      </c>
      <c r="AF272" s="4">
        <v>6</v>
      </c>
      <c r="AG272" s="4">
        <v>6</v>
      </c>
      <c r="AH272" s="4">
        <v>9</v>
      </c>
      <c r="AI272" s="12">
        <v>359.37734177215191</v>
      </c>
      <c r="AJ272" s="2">
        <v>334.96800000000002</v>
      </c>
      <c r="AK272" s="2">
        <v>354.12545454545455</v>
      </c>
      <c r="AL272" s="2">
        <v>354.85750000000002</v>
      </c>
      <c r="AM272" s="2">
        <v>358.63416666666666</v>
      </c>
      <c r="AN272" s="2">
        <v>382.96444444444444</v>
      </c>
      <c r="AO272" s="2">
        <v>295.20499999999998</v>
      </c>
      <c r="AP272" s="2">
        <v>459.66833333333335</v>
      </c>
      <c r="AQ272" s="2">
        <v>354.27777777777777</v>
      </c>
      <c r="AR272" s="13">
        <v>518</v>
      </c>
      <c r="AS272" s="4">
        <v>80</v>
      </c>
      <c r="AT272" s="4">
        <v>80</v>
      </c>
      <c r="AU272" s="4">
        <v>110</v>
      </c>
      <c r="AV272" s="4">
        <v>88</v>
      </c>
      <c r="AW272" s="4">
        <v>84</v>
      </c>
      <c r="AX272" s="4">
        <v>2</v>
      </c>
      <c r="AY272" s="4">
        <v>58</v>
      </c>
      <c r="AZ272" s="4">
        <v>16</v>
      </c>
    </row>
    <row r="273" spans="1:158" x14ac:dyDescent="0.2">
      <c r="A273" s="1" t="s">
        <v>38</v>
      </c>
      <c r="B273" s="1" t="s">
        <v>557</v>
      </c>
      <c r="C273" s="1" t="s">
        <v>558</v>
      </c>
      <c r="D273" s="12">
        <v>5532.1</v>
      </c>
      <c r="E273" s="2">
        <v>5532.1</v>
      </c>
      <c r="F273" s="3"/>
      <c r="G273" s="3"/>
      <c r="H273" s="3"/>
      <c r="I273" s="3"/>
      <c r="J273" s="3"/>
      <c r="K273" s="3"/>
      <c r="L273" s="3"/>
      <c r="M273" s="12">
        <v>5755.49</v>
      </c>
      <c r="N273" s="2">
        <v>5755.49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13">
        <v>2</v>
      </c>
      <c r="AA273" s="4">
        <v>2</v>
      </c>
      <c r="AB273" s="3"/>
      <c r="AC273" s="3"/>
      <c r="AD273" s="3"/>
      <c r="AE273" s="3"/>
      <c r="AF273" s="3"/>
      <c r="AG273" s="3"/>
      <c r="AH273" s="3"/>
      <c r="AI273" s="12">
        <v>2766.05</v>
      </c>
      <c r="AJ273" s="2">
        <v>2766.05</v>
      </c>
      <c r="AK273" s="3"/>
      <c r="AL273" s="3"/>
      <c r="AM273" s="3"/>
      <c r="AN273" s="3"/>
      <c r="AO273" s="3"/>
      <c r="AP273" s="3"/>
      <c r="AQ273" s="3"/>
      <c r="AR273" s="13">
        <v>218.6</v>
      </c>
      <c r="AS273" s="4">
        <v>218.6</v>
      </c>
      <c r="AT273" s="3"/>
      <c r="AU273" s="3"/>
      <c r="AV273" s="3"/>
      <c r="AW273" s="3"/>
      <c r="AX273" s="3"/>
      <c r="AY273" s="3"/>
      <c r="AZ273" s="3"/>
    </row>
    <row r="274" spans="1:158" s="29" customFormat="1" x14ac:dyDescent="0.2">
      <c r="A274" s="23" t="s">
        <v>38</v>
      </c>
      <c r="B274" s="23" t="s">
        <v>559</v>
      </c>
      <c r="C274" s="23" t="s">
        <v>560</v>
      </c>
      <c r="D274" s="24">
        <v>14886.1</v>
      </c>
      <c r="E274" s="25">
        <v>6744.78</v>
      </c>
      <c r="F274" s="25">
        <v>2702.31</v>
      </c>
      <c r="G274" s="25">
        <v>1168.9000000000001</v>
      </c>
      <c r="H274" s="25">
        <v>204.55</v>
      </c>
      <c r="I274" s="25">
        <v>1211.2</v>
      </c>
      <c r="J274" s="25">
        <v>1128.5899999999999</v>
      </c>
      <c r="K274" s="25">
        <v>1725.77</v>
      </c>
      <c r="L274" s="26"/>
      <c r="M274" s="24">
        <v>17267.87</v>
      </c>
      <c r="N274" s="25">
        <v>7823.95</v>
      </c>
      <c r="O274" s="25">
        <v>3134.68</v>
      </c>
      <c r="P274" s="25">
        <v>1355.92</v>
      </c>
      <c r="Q274" s="25">
        <v>237.28</v>
      </c>
      <c r="R274" s="25">
        <v>1404.99</v>
      </c>
      <c r="S274" s="25">
        <v>1309.1600000000001</v>
      </c>
      <c r="T274" s="25">
        <v>2001.89</v>
      </c>
      <c r="U274" s="26"/>
      <c r="V274" s="26"/>
      <c r="W274" s="26"/>
      <c r="X274" s="26"/>
      <c r="Y274" s="26"/>
      <c r="Z274" s="27">
        <v>73</v>
      </c>
      <c r="AA274" s="28">
        <v>31</v>
      </c>
      <c r="AB274" s="28">
        <v>14</v>
      </c>
      <c r="AC274" s="28">
        <v>6</v>
      </c>
      <c r="AD274" s="28">
        <v>1</v>
      </c>
      <c r="AE274" s="28">
        <v>6</v>
      </c>
      <c r="AF274" s="28">
        <v>6</v>
      </c>
      <c r="AG274" s="28">
        <v>9</v>
      </c>
      <c r="AH274" s="26"/>
      <c r="AI274" s="24">
        <v>203.91917808219179</v>
      </c>
      <c r="AJ274" s="25">
        <v>217.57354838709676</v>
      </c>
      <c r="AK274" s="25">
        <v>193.02214285714285</v>
      </c>
      <c r="AL274" s="25">
        <v>194.81666666666666</v>
      </c>
      <c r="AM274" s="25">
        <v>204.55</v>
      </c>
      <c r="AN274" s="25">
        <v>201.86666666666667</v>
      </c>
      <c r="AO274" s="25">
        <v>188.09833333333333</v>
      </c>
      <c r="AP274" s="25">
        <v>191.75222222222223</v>
      </c>
      <c r="AQ274" s="26"/>
      <c r="AR274" s="27">
        <v>112</v>
      </c>
      <c r="AS274" s="28">
        <v>108</v>
      </c>
      <c r="AT274" s="28">
        <v>4</v>
      </c>
      <c r="AU274" s="26"/>
      <c r="AV274" s="26"/>
      <c r="AW274" s="26"/>
      <c r="AX274" s="26"/>
      <c r="AY274" s="26"/>
      <c r="AZ274" s="26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</row>
    <row r="275" spans="1:158" x14ac:dyDescent="0.2">
      <c r="A275" s="1" t="s">
        <v>38</v>
      </c>
      <c r="B275" s="1" t="s">
        <v>561</v>
      </c>
      <c r="C275" s="1" t="s">
        <v>562</v>
      </c>
      <c r="D275" s="12">
        <v>72556.960000000006</v>
      </c>
      <c r="E275" s="2">
        <v>15048.02</v>
      </c>
      <c r="F275" s="3"/>
      <c r="G275" s="2">
        <v>34165.620000000003</v>
      </c>
      <c r="H275" s="2">
        <v>23343.32</v>
      </c>
      <c r="I275" s="3"/>
      <c r="J275" s="3"/>
      <c r="K275" s="3"/>
      <c r="L275" s="3"/>
      <c r="M275" s="12">
        <v>72599.600000000006</v>
      </c>
      <c r="N275" s="2">
        <v>15090.66</v>
      </c>
      <c r="O275" s="3"/>
      <c r="P275" s="2">
        <v>34165.620000000003</v>
      </c>
      <c r="Q275" s="2">
        <v>23343.32</v>
      </c>
      <c r="R275" s="3"/>
      <c r="S275" s="3"/>
      <c r="T275" s="3"/>
      <c r="U275" s="3"/>
      <c r="V275" s="3"/>
      <c r="W275" s="3"/>
      <c r="X275" s="3"/>
      <c r="Y275" s="3"/>
      <c r="Z275" s="13">
        <v>14</v>
      </c>
      <c r="AA275" s="4">
        <v>4</v>
      </c>
      <c r="AB275" s="3"/>
      <c r="AC275" s="4">
        <v>6</v>
      </c>
      <c r="AD275" s="4">
        <v>4</v>
      </c>
      <c r="AE275" s="3"/>
      <c r="AF275" s="3"/>
      <c r="AG275" s="3"/>
      <c r="AH275" s="3"/>
      <c r="AI275" s="12">
        <v>5182.6400000000003</v>
      </c>
      <c r="AJ275" s="2">
        <v>3762.0050000000001</v>
      </c>
      <c r="AK275" s="3"/>
      <c r="AL275" s="2">
        <v>5694.27</v>
      </c>
      <c r="AM275" s="2">
        <v>5835.83</v>
      </c>
      <c r="AN275" s="3"/>
      <c r="AO275" s="3"/>
      <c r="AP275" s="3"/>
      <c r="AQ275" s="3"/>
      <c r="AR275" s="17"/>
      <c r="AS275" s="3"/>
      <c r="AT275" s="3"/>
      <c r="AU275" s="3"/>
      <c r="AV275" s="3"/>
      <c r="AW275" s="3"/>
      <c r="AX275" s="3"/>
      <c r="AY275" s="3"/>
      <c r="AZ275" s="3"/>
    </row>
    <row r="276" spans="1:158" x14ac:dyDescent="0.2">
      <c r="A276" s="1" t="s">
        <v>38</v>
      </c>
      <c r="B276" s="1" t="s">
        <v>563</v>
      </c>
      <c r="C276" s="1" t="s">
        <v>564</v>
      </c>
      <c r="D276" s="12">
        <v>1305.3399999999999</v>
      </c>
      <c r="E276" s="2">
        <v>920.95</v>
      </c>
      <c r="F276" s="3"/>
      <c r="G276" s="3"/>
      <c r="H276" s="2">
        <v>361.48</v>
      </c>
      <c r="I276" s="2">
        <v>113.28</v>
      </c>
      <c r="J276" s="3"/>
      <c r="K276" s="2">
        <v>-90.37</v>
      </c>
      <c r="L276" s="3"/>
      <c r="M276" s="12">
        <v>1403.66</v>
      </c>
      <c r="N276" s="2">
        <v>957.77</v>
      </c>
      <c r="O276" s="3"/>
      <c r="P276" s="3"/>
      <c r="Q276" s="2">
        <v>419.32</v>
      </c>
      <c r="R276" s="2">
        <v>131.4</v>
      </c>
      <c r="S276" s="3"/>
      <c r="T276" s="2">
        <v>-104.83</v>
      </c>
      <c r="U276" s="3"/>
      <c r="V276" s="3"/>
      <c r="W276" s="3"/>
      <c r="X276" s="3"/>
      <c r="Y276" s="3"/>
      <c r="Z276" s="13">
        <v>2</v>
      </c>
      <c r="AA276" s="4">
        <v>2</v>
      </c>
      <c r="AB276" s="3"/>
      <c r="AC276" s="3"/>
      <c r="AD276" s="3"/>
      <c r="AE276" s="3"/>
      <c r="AF276" s="3"/>
      <c r="AG276" s="3"/>
      <c r="AH276" s="3"/>
      <c r="AI276" s="12">
        <v>652.66999999999996</v>
      </c>
      <c r="AJ276" s="2">
        <v>460.47500000000002</v>
      </c>
      <c r="AK276" s="3"/>
      <c r="AL276" s="3"/>
      <c r="AM276" s="5" t="s">
        <v>33</v>
      </c>
      <c r="AN276" s="5" t="s">
        <v>33</v>
      </c>
      <c r="AO276" s="3"/>
      <c r="AP276" s="5" t="s">
        <v>33</v>
      </c>
      <c r="AQ276" s="3"/>
      <c r="AR276" s="13">
        <v>10</v>
      </c>
      <c r="AS276" s="4">
        <v>4</v>
      </c>
      <c r="AT276" s="3"/>
      <c r="AU276" s="3"/>
      <c r="AV276" s="4">
        <v>8</v>
      </c>
      <c r="AW276" s="3"/>
      <c r="AX276" s="3"/>
      <c r="AY276" s="4">
        <v>-2</v>
      </c>
      <c r="AZ276" s="3"/>
    </row>
    <row r="277" spans="1:158" s="52" customFormat="1" x14ac:dyDescent="0.2">
      <c r="A277" s="43" t="s">
        <v>38</v>
      </c>
      <c r="B277" s="43" t="s">
        <v>565</v>
      </c>
      <c r="C277" s="43" t="s">
        <v>566</v>
      </c>
      <c r="D277" s="44">
        <v>73951.210000000006</v>
      </c>
      <c r="E277" s="45">
        <v>320.3</v>
      </c>
      <c r="F277" s="45">
        <v>540.53</v>
      </c>
      <c r="G277" s="46"/>
      <c r="H277" s="45">
        <v>3876.21</v>
      </c>
      <c r="I277" s="45">
        <v>530.29</v>
      </c>
      <c r="J277" s="45">
        <v>68547.62</v>
      </c>
      <c r="K277" s="45">
        <v>136.26</v>
      </c>
      <c r="L277" s="46"/>
      <c r="M277" s="44">
        <v>85783.4</v>
      </c>
      <c r="N277" s="45">
        <v>371.55</v>
      </c>
      <c r="O277" s="45">
        <v>627.01</v>
      </c>
      <c r="P277" s="46"/>
      <c r="Q277" s="45">
        <v>4496.3999999999996</v>
      </c>
      <c r="R277" s="45">
        <v>615.14</v>
      </c>
      <c r="S277" s="45">
        <v>79515.240000000005</v>
      </c>
      <c r="T277" s="45">
        <v>158.06</v>
      </c>
      <c r="U277" s="46"/>
      <c r="V277" s="46"/>
      <c r="W277" s="46"/>
      <c r="X277" s="46"/>
      <c r="Y277" s="46"/>
      <c r="Z277" s="50">
        <v>200</v>
      </c>
      <c r="AA277" s="46"/>
      <c r="AB277" s="46"/>
      <c r="AC277" s="46"/>
      <c r="AD277" s="46"/>
      <c r="AE277" s="46"/>
      <c r="AF277" s="51">
        <v>200</v>
      </c>
      <c r="AG277" s="46"/>
      <c r="AH277" s="46"/>
      <c r="AI277" s="44">
        <v>369.75605000000002</v>
      </c>
      <c r="AJ277" s="47" t="s">
        <v>33</v>
      </c>
      <c r="AK277" s="47" t="s">
        <v>33</v>
      </c>
      <c r="AL277" s="46"/>
      <c r="AM277" s="47" t="s">
        <v>33</v>
      </c>
      <c r="AN277" s="47" t="s">
        <v>33</v>
      </c>
      <c r="AO277" s="45">
        <v>342.73809999999997</v>
      </c>
      <c r="AP277" s="47" t="s">
        <v>33</v>
      </c>
      <c r="AQ277" s="46"/>
      <c r="AR277" s="50">
        <v>406</v>
      </c>
      <c r="AS277" s="51">
        <v>14</v>
      </c>
      <c r="AT277" s="51">
        <v>22</v>
      </c>
      <c r="AU277" s="46"/>
      <c r="AV277" s="51">
        <v>300</v>
      </c>
      <c r="AW277" s="51">
        <v>34</v>
      </c>
      <c r="AX277" s="51">
        <v>18</v>
      </c>
      <c r="AY277" s="51">
        <v>18</v>
      </c>
      <c r="AZ277" s="46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</row>
    <row r="278" spans="1:158" x14ac:dyDescent="0.2">
      <c r="A278" s="1" t="s">
        <v>38</v>
      </c>
      <c r="B278" s="1" t="s">
        <v>567</v>
      </c>
      <c r="C278" s="1" t="s">
        <v>568</v>
      </c>
      <c r="D278" s="12">
        <v>1340370.68</v>
      </c>
      <c r="E278" s="3"/>
      <c r="F278" s="3"/>
      <c r="G278" s="3"/>
      <c r="H278" s="2">
        <v>186194.58</v>
      </c>
      <c r="I278" s="2">
        <v>2071.96</v>
      </c>
      <c r="J278" s="2">
        <v>430821</v>
      </c>
      <c r="K278" s="2">
        <v>328043.62</v>
      </c>
      <c r="L278" s="2">
        <v>393239.52</v>
      </c>
      <c r="M278" s="12">
        <v>1554829.99</v>
      </c>
      <c r="N278" s="3"/>
      <c r="O278" s="3"/>
      <c r="P278" s="3"/>
      <c r="Q278" s="2">
        <v>215985.71</v>
      </c>
      <c r="R278" s="2">
        <v>2403.4699999999998</v>
      </c>
      <c r="S278" s="2">
        <v>499752.36</v>
      </c>
      <c r="T278" s="2">
        <v>380530.6</v>
      </c>
      <c r="U278" s="2">
        <v>456157.85</v>
      </c>
      <c r="V278" s="2"/>
      <c r="W278" s="2"/>
      <c r="X278" s="2"/>
      <c r="Y278" s="2"/>
      <c r="Z278" s="13">
        <v>14409</v>
      </c>
      <c r="AA278" s="3"/>
      <c r="AB278" s="3"/>
      <c r="AC278" s="3"/>
      <c r="AD278" s="4">
        <v>1670</v>
      </c>
      <c r="AE278" s="4">
        <v>13</v>
      </c>
      <c r="AF278" s="4">
        <v>4525</v>
      </c>
      <c r="AG278" s="4">
        <v>3669</v>
      </c>
      <c r="AH278" s="4">
        <v>4532</v>
      </c>
      <c r="AI278" s="12">
        <v>93.02315774862933</v>
      </c>
      <c r="AJ278" s="3"/>
      <c r="AK278" s="3"/>
      <c r="AL278" s="3"/>
      <c r="AM278" s="2">
        <v>111.49376047904192</v>
      </c>
      <c r="AN278" s="2">
        <v>159.38153846153847</v>
      </c>
      <c r="AO278" s="2">
        <v>95.209060773480658</v>
      </c>
      <c r="AP278" s="2">
        <v>89.409544835104924</v>
      </c>
      <c r="AQ278" s="2">
        <v>86.769532215357458</v>
      </c>
      <c r="AR278" s="13">
        <v>317376</v>
      </c>
      <c r="AS278" s="3"/>
      <c r="AT278" s="3"/>
      <c r="AU278" s="3"/>
      <c r="AV278" s="4">
        <v>38880</v>
      </c>
      <c r="AW278" s="4">
        <v>130</v>
      </c>
      <c r="AX278" s="4">
        <v>99640</v>
      </c>
      <c r="AY278" s="4">
        <v>87560</v>
      </c>
      <c r="AZ278" s="4">
        <v>91166</v>
      </c>
    </row>
    <row r="279" spans="1:158" x14ac:dyDescent="0.2">
      <c r="A279" s="1" t="s">
        <v>38</v>
      </c>
      <c r="B279" s="1" t="s">
        <v>569</v>
      </c>
      <c r="C279" s="1" t="s">
        <v>570</v>
      </c>
      <c r="D279" s="12">
        <v>7685.31</v>
      </c>
      <c r="E279" s="2">
        <v>7087.1</v>
      </c>
      <c r="F279" s="2">
        <v>90.72</v>
      </c>
      <c r="G279" s="2">
        <v>155.61000000000001</v>
      </c>
      <c r="H279" s="2">
        <v>286.68</v>
      </c>
      <c r="I279" s="2">
        <v>65.2</v>
      </c>
      <c r="J279" s="3"/>
      <c r="K279" s="3"/>
      <c r="L279" s="3"/>
      <c r="M279" s="12">
        <v>8914.9699999999993</v>
      </c>
      <c r="N279" s="2">
        <v>8221.0400000000009</v>
      </c>
      <c r="O279" s="2">
        <v>105.24</v>
      </c>
      <c r="P279" s="2">
        <v>180.51</v>
      </c>
      <c r="Q279" s="2">
        <v>332.55</v>
      </c>
      <c r="R279" s="2">
        <v>75.63</v>
      </c>
      <c r="S279" s="3"/>
      <c r="T279" s="3"/>
      <c r="U279" s="3"/>
      <c r="V279" s="3"/>
      <c r="W279" s="3"/>
      <c r="X279" s="3"/>
      <c r="Y279" s="3"/>
      <c r="Z279" s="13">
        <v>50</v>
      </c>
      <c r="AA279" s="4">
        <v>50</v>
      </c>
      <c r="AB279" s="3"/>
      <c r="AC279" s="3"/>
      <c r="AD279" s="3"/>
      <c r="AE279" s="3"/>
      <c r="AF279" s="3"/>
      <c r="AG279" s="3"/>
      <c r="AH279" s="3"/>
      <c r="AI279" s="12">
        <v>153.7062</v>
      </c>
      <c r="AJ279" s="2">
        <v>141.74199999999999</v>
      </c>
      <c r="AK279" s="5" t="s">
        <v>33</v>
      </c>
      <c r="AL279" s="5" t="s">
        <v>33</v>
      </c>
      <c r="AM279" s="5" t="s">
        <v>33</v>
      </c>
      <c r="AN279" s="5" t="s">
        <v>33</v>
      </c>
      <c r="AO279" s="3"/>
      <c r="AP279" s="3"/>
      <c r="AQ279" s="3"/>
      <c r="AR279" s="13">
        <v>108</v>
      </c>
      <c r="AS279" s="4">
        <v>16</v>
      </c>
      <c r="AT279" s="4">
        <v>14</v>
      </c>
      <c r="AU279" s="4">
        <v>24</v>
      </c>
      <c r="AV279" s="4">
        <v>44</v>
      </c>
      <c r="AW279" s="4">
        <v>10</v>
      </c>
      <c r="AX279" s="3"/>
      <c r="AY279" s="3"/>
      <c r="AZ279" s="3"/>
    </row>
    <row r="280" spans="1:158" s="52" customFormat="1" x14ac:dyDescent="0.2">
      <c r="A280" s="43" t="s">
        <v>38</v>
      </c>
      <c r="B280" s="43" t="s">
        <v>571</v>
      </c>
      <c r="C280" s="43" t="s">
        <v>572</v>
      </c>
      <c r="D280" s="44">
        <v>11786.04</v>
      </c>
      <c r="E280" s="46"/>
      <c r="F280" s="45">
        <v>11786.04</v>
      </c>
      <c r="G280" s="46"/>
      <c r="H280" s="46"/>
      <c r="I280" s="46"/>
      <c r="J280" s="46"/>
      <c r="K280" s="46"/>
      <c r="L280" s="46"/>
      <c r="M280" s="44">
        <v>13671.81</v>
      </c>
      <c r="N280" s="46"/>
      <c r="O280" s="45">
        <v>13671.81</v>
      </c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8"/>
      <c r="AA280" s="46"/>
      <c r="AB280" s="46"/>
      <c r="AC280" s="46"/>
      <c r="AD280" s="46"/>
      <c r="AE280" s="46"/>
      <c r="AF280" s="46"/>
      <c r="AG280" s="46"/>
      <c r="AH280" s="46"/>
      <c r="AI280" s="49" t="s">
        <v>33</v>
      </c>
      <c r="AJ280" s="46"/>
      <c r="AK280" s="47" t="s">
        <v>33</v>
      </c>
      <c r="AL280" s="46"/>
      <c r="AM280" s="46"/>
      <c r="AN280" s="46"/>
      <c r="AO280" s="46"/>
      <c r="AP280" s="46"/>
      <c r="AQ280" s="46"/>
      <c r="AR280" s="50">
        <v>3118</v>
      </c>
      <c r="AS280" s="46"/>
      <c r="AT280" s="51">
        <v>3118</v>
      </c>
      <c r="AU280" s="46"/>
      <c r="AV280" s="46"/>
      <c r="AW280" s="46"/>
      <c r="AX280" s="46"/>
      <c r="AY280" s="46"/>
      <c r="AZ280" s="46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</row>
    <row r="281" spans="1:158" x14ac:dyDescent="0.2">
      <c r="A281" s="1" t="s">
        <v>38</v>
      </c>
      <c r="B281" s="1" t="s">
        <v>573</v>
      </c>
      <c r="C281" s="1" t="s">
        <v>574</v>
      </c>
      <c r="D281" s="12">
        <v>103448.21</v>
      </c>
      <c r="E281" s="3"/>
      <c r="F281" s="2">
        <v>152</v>
      </c>
      <c r="G281" s="2">
        <v>130</v>
      </c>
      <c r="H281" s="3"/>
      <c r="I281" s="2">
        <v>6922.21</v>
      </c>
      <c r="J281" s="2">
        <v>46078.02</v>
      </c>
      <c r="K281" s="2">
        <v>39013.08</v>
      </c>
      <c r="L281" s="2">
        <v>11152.9</v>
      </c>
      <c r="M281" s="12">
        <v>110803.6</v>
      </c>
      <c r="N281" s="3"/>
      <c r="O281" s="2">
        <v>176.32</v>
      </c>
      <c r="P281" s="2">
        <v>150.80000000000001</v>
      </c>
      <c r="Q281" s="3"/>
      <c r="R281" s="2">
        <v>7600.14</v>
      </c>
      <c r="S281" s="2">
        <v>48168.28</v>
      </c>
      <c r="T281" s="2">
        <v>41770.699999999997</v>
      </c>
      <c r="U281" s="2">
        <v>12937.36</v>
      </c>
      <c r="V281" s="2"/>
      <c r="W281" s="2"/>
      <c r="X281" s="2"/>
      <c r="Y281" s="2"/>
      <c r="Z281" s="13">
        <v>90</v>
      </c>
      <c r="AA281" s="3"/>
      <c r="AB281" s="4">
        <v>1</v>
      </c>
      <c r="AC281" s="4">
        <v>1</v>
      </c>
      <c r="AD281" s="3"/>
      <c r="AE281" s="4">
        <v>13</v>
      </c>
      <c r="AF281" s="4">
        <v>13</v>
      </c>
      <c r="AG281" s="4">
        <v>34</v>
      </c>
      <c r="AH281" s="4">
        <v>28</v>
      </c>
      <c r="AI281" s="12">
        <v>1149.4245555555556</v>
      </c>
      <c r="AJ281" s="3"/>
      <c r="AK281" s="2">
        <v>152</v>
      </c>
      <c r="AL281" s="2">
        <v>130</v>
      </c>
      <c r="AM281" s="3"/>
      <c r="AN281" s="2">
        <v>532.47769230769234</v>
      </c>
      <c r="AO281" s="2">
        <v>3544.4630769230771</v>
      </c>
      <c r="AP281" s="2">
        <v>1147.4435294117648</v>
      </c>
      <c r="AQ281" s="2">
        <v>398.31785714285712</v>
      </c>
      <c r="AR281" s="13">
        <v>2843</v>
      </c>
      <c r="AS281" s="3"/>
      <c r="AT281" s="3"/>
      <c r="AU281" s="3"/>
      <c r="AV281" s="3"/>
      <c r="AW281" s="4">
        <v>127.2</v>
      </c>
      <c r="AX281" s="4">
        <v>1076</v>
      </c>
      <c r="AY281" s="4">
        <v>1571.8</v>
      </c>
      <c r="AZ281" s="4">
        <v>68</v>
      </c>
    </row>
    <row r="282" spans="1:158" x14ac:dyDescent="0.2">
      <c r="A282" s="1" t="s">
        <v>38</v>
      </c>
      <c r="B282" s="1" t="s">
        <v>575</v>
      </c>
      <c r="C282" s="1" t="s">
        <v>576</v>
      </c>
      <c r="D282" s="12">
        <v>85454.23</v>
      </c>
      <c r="E282" s="2">
        <v>10273.36</v>
      </c>
      <c r="F282" s="2">
        <v>18981.169999999998</v>
      </c>
      <c r="G282" s="2">
        <v>13593.95</v>
      </c>
      <c r="H282" s="2">
        <v>10075.219999999999</v>
      </c>
      <c r="I282" s="2">
        <v>8220.36</v>
      </c>
      <c r="J282" s="2">
        <v>15020.94</v>
      </c>
      <c r="K282" s="2">
        <v>9289.23</v>
      </c>
      <c r="L282" s="3"/>
      <c r="M282" s="12">
        <v>99126.92</v>
      </c>
      <c r="N282" s="2">
        <v>11917.1</v>
      </c>
      <c r="O282" s="2">
        <v>22018.16</v>
      </c>
      <c r="P282" s="2">
        <v>15768.98</v>
      </c>
      <c r="Q282" s="2">
        <v>11687.26</v>
      </c>
      <c r="R282" s="2">
        <v>9535.6200000000008</v>
      </c>
      <c r="S282" s="2">
        <v>17424.29</v>
      </c>
      <c r="T282" s="2">
        <v>10775.51</v>
      </c>
      <c r="U282" s="3"/>
      <c r="V282" s="3"/>
      <c r="W282" s="3"/>
      <c r="X282" s="3"/>
      <c r="Y282" s="3"/>
      <c r="Z282" s="13">
        <v>209</v>
      </c>
      <c r="AA282" s="4">
        <v>26</v>
      </c>
      <c r="AB282" s="4">
        <v>21</v>
      </c>
      <c r="AC282" s="4">
        <v>41</v>
      </c>
      <c r="AD282" s="4">
        <v>31</v>
      </c>
      <c r="AE282" s="4">
        <v>21</v>
      </c>
      <c r="AF282" s="4">
        <v>45</v>
      </c>
      <c r="AG282" s="4">
        <v>24</v>
      </c>
      <c r="AH282" s="3"/>
      <c r="AI282" s="12">
        <v>408.87191387559807</v>
      </c>
      <c r="AJ282" s="2">
        <v>395.12923076923079</v>
      </c>
      <c r="AK282" s="2">
        <v>903.86523809523806</v>
      </c>
      <c r="AL282" s="2">
        <v>331.55975609756098</v>
      </c>
      <c r="AM282" s="2">
        <v>325.00709677419354</v>
      </c>
      <c r="AN282" s="2">
        <v>391.4457142857143</v>
      </c>
      <c r="AO282" s="2">
        <v>333.79866666666669</v>
      </c>
      <c r="AP282" s="2">
        <v>387.05124999999998</v>
      </c>
      <c r="AQ282" s="3"/>
      <c r="AR282" s="13">
        <v>2476</v>
      </c>
      <c r="AS282" s="4">
        <v>338</v>
      </c>
      <c r="AT282" s="4">
        <v>428</v>
      </c>
      <c r="AU282" s="4">
        <v>426</v>
      </c>
      <c r="AV282" s="4">
        <v>306</v>
      </c>
      <c r="AW282" s="4">
        <v>222</v>
      </c>
      <c r="AX282" s="4">
        <v>484</v>
      </c>
      <c r="AY282" s="4">
        <v>272</v>
      </c>
      <c r="AZ282" s="3"/>
    </row>
    <row r="283" spans="1:158" s="41" customFormat="1" x14ac:dyDescent="0.2">
      <c r="A283" s="33" t="s">
        <v>38</v>
      </c>
      <c r="B283" s="33" t="s">
        <v>577</v>
      </c>
      <c r="C283" s="33" t="s">
        <v>578</v>
      </c>
      <c r="D283" s="34">
        <v>1222.03</v>
      </c>
      <c r="E283" s="35"/>
      <c r="F283" s="35"/>
      <c r="G283" s="35"/>
      <c r="H283" s="35"/>
      <c r="I283" s="35"/>
      <c r="J283" s="38"/>
      <c r="K283" s="36">
        <v>1222.03</v>
      </c>
      <c r="L283" s="35"/>
      <c r="M283" s="34">
        <v>1417.55</v>
      </c>
      <c r="N283" s="35"/>
      <c r="O283" s="35"/>
      <c r="P283" s="35"/>
      <c r="Q283" s="35"/>
      <c r="R283" s="35"/>
      <c r="S283" s="38"/>
      <c r="T283" s="36">
        <v>1417.55</v>
      </c>
      <c r="U283" s="35"/>
      <c r="V283" s="35"/>
      <c r="W283" s="35"/>
      <c r="X283" s="35"/>
      <c r="Y283" s="35"/>
      <c r="Z283" s="39">
        <v>3</v>
      </c>
      <c r="AA283" s="35"/>
      <c r="AB283" s="35"/>
      <c r="AC283" s="35"/>
      <c r="AD283" s="35"/>
      <c r="AE283" s="35"/>
      <c r="AF283" s="35"/>
      <c r="AG283" s="40">
        <v>3</v>
      </c>
      <c r="AH283" s="35"/>
      <c r="AI283" s="34">
        <v>407.34333333333331</v>
      </c>
      <c r="AJ283" s="35"/>
      <c r="AK283" s="35"/>
      <c r="AL283" s="35"/>
      <c r="AM283" s="35"/>
      <c r="AN283" s="35"/>
      <c r="AO283" s="38" t="s">
        <v>33</v>
      </c>
      <c r="AP283" s="36">
        <v>407.34333333333331</v>
      </c>
      <c r="AQ283" s="35"/>
      <c r="AR283" s="39">
        <v>44</v>
      </c>
      <c r="AS283" s="35"/>
      <c r="AT283" s="35"/>
      <c r="AU283" s="35"/>
      <c r="AV283" s="35"/>
      <c r="AW283" s="35"/>
      <c r="AX283" s="35"/>
      <c r="AY283" s="40">
        <v>44</v>
      </c>
      <c r="AZ283" s="35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</row>
    <row r="284" spans="1:158" x14ac:dyDescent="0.2">
      <c r="A284" s="1" t="s">
        <v>38</v>
      </c>
      <c r="B284" s="1" t="s">
        <v>579</v>
      </c>
      <c r="C284" s="1" t="s">
        <v>580</v>
      </c>
      <c r="D284" s="12">
        <v>21766.39</v>
      </c>
      <c r="E284" s="3"/>
      <c r="F284" s="3"/>
      <c r="G284" s="3"/>
      <c r="H284" s="5"/>
      <c r="I284" s="2">
        <v>9980.65</v>
      </c>
      <c r="J284" s="2">
        <v>4912.32</v>
      </c>
      <c r="K284" s="2">
        <v>6873.42</v>
      </c>
      <c r="L284" s="3"/>
      <c r="M284" s="12">
        <v>25249.01</v>
      </c>
      <c r="N284" s="3"/>
      <c r="O284" s="3"/>
      <c r="P284" s="3"/>
      <c r="Q284" s="5"/>
      <c r="R284" s="2">
        <v>11577.55</v>
      </c>
      <c r="S284" s="2">
        <v>5698.29</v>
      </c>
      <c r="T284" s="2">
        <v>7973.17</v>
      </c>
      <c r="U284" s="3"/>
      <c r="V284" s="3"/>
      <c r="W284" s="3"/>
      <c r="X284" s="3"/>
      <c r="Y284" s="3"/>
      <c r="Z284" s="13">
        <v>59</v>
      </c>
      <c r="AA284" s="3"/>
      <c r="AB284" s="3"/>
      <c r="AC284" s="3"/>
      <c r="AD284" s="3"/>
      <c r="AE284" s="4">
        <v>24</v>
      </c>
      <c r="AF284" s="4">
        <v>15</v>
      </c>
      <c r="AG284" s="4">
        <v>20</v>
      </c>
      <c r="AH284" s="3"/>
      <c r="AI284" s="12">
        <v>368.92186440677966</v>
      </c>
      <c r="AJ284" s="3"/>
      <c r="AK284" s="3"/>
      <c r="AL284" s="3"/>
      <c r="AM284" s="5" t="s">
        <v>33</v>
      </c>
      <c r="AN284" s="2">
        <v>415.86041666666665</v>
      </c>
      <c r="AO284" s="2">
        <v>327.488</v>
      </c>
      <c r="AP284" s="2">
        <v>343.67099999999999</v>
      </c>
      <c r="AQ284" s="3"/>
      <c r="AR284" s="13">
        <v>272</v>
      </c>
      <c r="AS284" s="3"/>
      <c r="AT284" s="3"/>
      <c r="AU284" s="3"/>
      <c r="AV284" s="3"/>
      <c r="AW284" s="4">
        <v>178</v>
      </c>
      <c r="AX284" s="4">
        <v>16</v>
      </c>
      <c r="AY284" s="4">
        <v>78</v>
      </c>
      <c r="AZ284" s="3"/>
    </row>
    <row r="285" spans="1:158" s="52" customFormat="1" x14ac:dyDescent="0.2">
      <c r="A285" s="43" t="s">
        <v>38</v>
      </c>
      <c r="B285" s="43" t="s">
        <v>581</v>
      </c>
      <c r="C285" s="43" t="s">
        <v>582</v>
      </c>
      <c r="D285" s="44">
        <v>484842.6</v>
      </c>
      <c r="E285" s="45">
        <v>70444.37</v>
      </c>
      <c r="F285" s="45">
        <v>101823.03</v>
      </c>
      <c r="G285" s="45">
        <v>156630.54</v>
      </c>
      <c r="H285" s="45">
        <v>130731.8</v>
      </c>
      <c r="I285" s="45">
        <v>5364.08</v>
      </c>
      <c r="J285" s="45">
        <v>1948.35</v>
      </c>
      <c r="K285" s="45">
        <v>17900.43</v>
      </c>
      <c r="L285" s="46"/>
      <c r="M285" s="44">
        <v>562417.42000000004</v>
      </c>
      <c r="N285" s="45">
        <v>81715.47</v>
      </c>
      <c r="O285" s="45">
        <v>118114.71</v>
      </c>
      <c r="P285" s="45">
        <v>181691.43</v>
      </c>
      <c r="Q285" s="45">
        <v>151648.89000000001</v>
      </c>
      <c r="R285" s="45">
        <v>6222.33</v>
      </c>
      <c r="S285" s="45">
        <v>2260.09</v>
      </c>
      <c r="T285" s="45">
        <v>20764.5</v>
      </c>
      <c r="U285" s="46"/>
      <c r="V285" s="46"/>
      <c r="W285" s="46"/>
      <c r="X285" s="46"/>
      <c r="Y285" s="46"/>
      <c r="Z285" s="48"/>
      <c r="AA285" s="46"/>
      <c r="AB285" s="46"/>
      <c r="AC285" s="46"/>
      <c r="AD285" s="46"/>
      <c r="AE285" s="46"/>
      <c r="AF285" s="46"/>
      <c r="AG285" s="46"/>
      <c r="AH285" s="46"/>
      <c r="AI285" s="49" t="s">
        <v>33</v>
      </c>
      <c r="AJ285" s="47" t="s">
        <v>33</v>
      </c>
      <c r="AK285" s="47" t="s">
        <v>33</v>
      </c>
      <c r="AL285" s="47" t="s">
        <v>33</v>
      </c>
      <c r="AM285" s="47" t="s">
        <v>33</v>
      </c>
      <c r="AN285" s="47" t="s">
        <v>33</v>
      </c>
      <c r="AO285" s="47" t="s">
        <v>33</v>
      </c>
      <c r="AP285" s="47" t="s">
        <v>33</v>
      </c>
      <c r="AQ285" s="46"/>
      <c r="AR285" s="50">
        <v>20520</v>
      </c>
      <c r="AS285" s="51">
        <v>4338</v>
      </c>
      <c r="AT285" s="51">
        <v>4516</v>
      </c>
      <c r="AU285" s="51">
        <v>7368</v>
      </c>
      <c r="AV285" s="51">
        <v>3658</v>
      </c>
      <c r="AW285" s="51">
        <v>104</v>
      </c>
      <c r="AX285" s="51">
        <v>40</v>
      </c>
      <c r="AY285" s="51">
        <v>496</v>
      </c>
      <c r="AZ285" s="46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</row>
    <row r="286" spans="1:158" s="29" customFormat="1" ht="26.25" customHeight="1" x14ac:dyDescent="0.2">
      <c r="A286" s="23" t="s">
        <v>38</v>
      </c>
      <c r="B286" s="23" t="s">
        <v>583</v>
      </c>
      <c r="C286" s="23" t="s">
        <v>584</v>
      </c>
      <c r="D286" s="24">
        <v>216113.79</v>
      </c>
      <c r="E286" s="25">
        <v>71378.59</v>
      </c>
      <c r="F286" s="25">
        <v>47620.08</v>
      </c>
      <c r="G286" s="25">
        <v>25452.75</v>
      </c>
      <c r="H286" s="25">
        <v>39455.440000000002</v>
      </c>
      <c r="I286" s="25">
        <v>26268.07</v>
      </c>
      <c r="J286" s="25">
        <v>5938.86</v>
      </c>
      <c r="K286" s="26"/>
      <c r="L286" s="26"/>
      <c r="M286" s="24">
        <v>250692</v>
      </c>
      <c r="N286" s="25">
        <v>82799.17</v>
      </c>
      <c r="O286" s="25">
        <v>55239.29</v>
      </c>
      <c r="P286" s="25">
        <v>29525.19</v>
      </c>
      <c r="Q286" s="25">
        <v>45768.31</v>
      </c>
      <c r="R286" s="25">
        <v>30470.959999999999</v>
      </c>
      <c r="S286" s="25">
        <v>6889.08</v>
      </c>
      <c r="T286" s="26"/>
      <c r="U286" s="26"/>
      <c r="V286" s="26"/>
      <c r="W286" s="26"/>
      <c r="X286" s="26"/>
      <c r="Y286" s="26"/>
      <c r="Z286" s="27">
        <v>1894</v>
      </c>
      <c r="AA286" s="28">
        <v>266</v>
      </c>
      <c r="AB286" s="28">
        <v>526</v>
      </c>
      <c r="AC286" s="28">
        <v>300</v>
      </c>
      <c r="AD286" s="28">
        <v>460</v>
      </c>
      <c r="AE286" s="28">
        <v>284</v>
      </c>
      <c r="AF286" s="28">
        <v>58</v>
      </c>
      <c r="AG286" s="26"/>
      <c r="AH286" s="26"/>
      <c r="AI286" s="24">
        <v>114.10442977824709</v>
      </c>
      <c r="AJ286" s="25">
        <v>268.34056390977446</v>
      </c>
      <c r="AK286" s="25">
        <v>90.532471482889733</v>
      </c>
      <c r="AL286" s="25">
        <v>84.842500000000001</v>
      </c>
      <c r="AM286" s="25">
        <v>85.772695652173908</v>
      </c>
      <c r="AN286" s="25">
        <v>92.493204225352116</v>
      </c>
      <c r="AO286" s="25">
        <v>102.39413793103448</v>
      </c>
      <c r="AP286" s="26"/>
      <c r="AQ286" s="26"/>
      <c r="AR286" s="27">
        <v>11006</v>
      </c>
      <c r="AS286" s="28">
        <v>1428</v>
      </c>
      <c r="AT286" s="28">
        <v>2542</v>
      </c>
      <c r="AU286" s="28">
        <v>1958</v>
      </c>
      <c r="AV286" s="28">
        <v>2428</v>
      </c>
      <c r="AW286" s="28">
        <v>1924</v>
      </c>
      <c r="AX286" s="28">
        <v>726</v>
      </c>
      <c r="AY286" s="26"/>
      <c r="AZ286" s="2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</row>
    <row r="287" spans="1:158" x14ac:dyDescent="0.2">
      <c r="A287" s="1" t="s">
        <v>38</v>
      </c>
      <c r="B287" s="1" t="s">
        <v>585</v>
      </c>
      <c r="C287" s="1" t="s">
        <v>586</v>
      </c>
      <c r="D287" s="12">
        <v>37956.1</v>
      </c>
      <c r="E287" s="2">
        <v>6277.32</v>
      </c>
      <c r="F287" s="2">
        <v>6859.1</v>
      </c>
      <c r="G287" s="2">
        <v>7656.16</v>
      </c>
      <c r="H287" s="2">
        <v>4697.4399999999996</v>
      </c>
      <c r="I287" s="2">
        <v>4622.55</v>
      </c>
      <c r="J287" s="2">
        <v>3643.63</v>
      </c>
      <c r="K287" s="2">
        <v>4199.8999999999996</v>
      </c>
      <c r="L287" s="3"/>
      <c r="M287" s="12">
        <v>44029.08</v>
      </c>
      <c r="N287" s="2">
        <v>7281.69</v>
      </c>
      <c r="O287" s="2">
        <v>7956.56</v>
      </c>
      <c r="P287" s="2">
        <v>8881.15</v>
      </c>
      <c r="Q287" s="2">
        <v>5449.03</v>
      </c>
      <c r="R287" s="2">
        <v>5362.16</v>
      </c>
      <c r="S287" s="2">
        <v>4226.6099999999997</v>
      </c>
      <c r="T287" s="2">
        <v>4871.88</v>
      </c>
      <c r="U287" s="3"/>
      <c r="V287" s="3"/>
      <c r="W287" s="3"/>
      <c r="X287" s="3"/>
      <c r="Y287" s="3"/>
      <c r="Z287" s="13">
        <v>135</v>
      </c>
      <c r="AA287" s="4">
        <v>24</v>
      </c>
      <c r="AB287" s="4">
        <v>27</v>
      </c>
      <c r="AC287" s="4">
        <v>29</v>
      </c>
      <c r="AD287" s="4">
        <v>17</v>
      </c>
      <c r="AE287" s="4">
        <v>13</v>
      </c>
      <c r="AF287" s="4">
        <v>13</v>
      </c>
      <c r="AG287" s="4">
        <v>12</v>
      </c>
      <c r="AH287" s="3"/>
      <c r="AI287" s="12">
        <v>281.15629629629632</v>
      </c>
      <c r="AJ287" s="2">
        <v>261.55500000000001</v>
      </c>
      <c r="AK287" s="2">
        <v>254.04074074074074</v>
      </c>
      <c r="AL287" s="2">
        <v>264.00551724137932</v>
      </c>
      <c r="AM287" s="2">
        <v>276.32</v>
      </c>
      <c r="AN287" s="2">
        <v>355.58076923076925</v>
      </c>
      <c r="AO287" s="2">
        <v>280.27923076923076</v>
      </c>
      <c r="AP287" s="2">
        <v>349.99166666666667</v>
      </c>
      <c r="AQ287" s="3"/>
      <c r="AR287" s="13">
        <v>444</v>
      </c>
      <c r="AS287" s="4">
        <v>68</v>
      </c>
      <c r="AT287" s="4">
        <v>54</v>
      </c>
      <c r="AU287" s="4">
        <v>102</v>
      </c>
      <c r="AV287" s="4">
        <v>64</v>
      </c>
      <c r="AW287" s="4">
        <v>58</v>
      </c>
      <c r="AX287" s="4">
        <v>30</v>
      </c>
      <c r="AY287" s="4">
        <v>68</v>
      </c>
      <c r="AZ287" s="3"/>
    </row>
    <row r="288" spans="1:158" x14ac:dyDescent="0.2">
      <c r="A288" s="1" t="s">
        <v>38</v>
      </c>
      <c r="B288" s="1" t="s">
        <v>587</v>
      </c>
      <c r="C288" s="1" t="s">
        <v>588</v>
      </c>
      <c r="D288" s="12">
        <v>64439.6</v>
      </c>
      <c r="E288" s="2">
        <v>6071.73</v>
      </c>
      <c r="F288" s="2">
        <v>5848.5</v>
      </c>
      <c r="G288" s="2">
        <v>29346.77</v>
      </c>
      <c r="H288" s="2">
        <v>2804.81</v>
      </c>
      <c r="I288" s="2">
        <v>2186.8200000000002</v>
      </c>
      <c r="J288" s="2">
        <v>7288.52</v>
      </c>
      <c r="K288" s="2">
        <v>6307.61</v>
      </c>
      <c r="L288" s="2">
        <v>4584.84</v>
      </c>
      <c r="M288" s="12">
        <v>74065.95</v>
      </c>
      <c r="N288" s="2">
        <v>6359.22</v>
      </c>
      <c r="O288" s="2">
        <v>6784.26</v>
      </c>
      <c r="P288" s="2">
        <v>34042.25</v>
      </c>
      <c r="Q288" s="2">
        <v>3253.58</v>
      </c>
      <c r="R288" s="2">
        <v>2536.71</v>
      </c>
      <c r="S288" s="2">
        <v>8454.68</v>
      </c>
      <c r="T288" s="2">
        <v>7316.83</v>
      </c>
      <c r="U288" s="2">
        <v>5318.42</v>
      </c>
      <c r="V288" s="2"/>
      <c r="W288" s="2"/>
      <c r="X288" s="2"/>
      <c r="Y288" s="2"/>
      <c r="Z288" s="13">
        <v>212</v>
      </c>
      <c r="AA288" s="4">
        <v>13</v>
      </c>
      <c r="AB288" s="4">
        <v>23</v>
      </c>
      <c r="AC288" s="4">
        <v>88</v>
      </c>
      <c r="AD288" s="4">
        <v>9</v>
      </c>
      <c r="AE288" s="4">
        <v>7</v>
      </c>
      <c r="AF288" s="4">
        <v>25</v>
      </c>
      <c r="AG288" s="4">
        <v>22</v>
      </c>
      <c r="AH288" s="4">
        <v>25</v>
      </c>
      <c r="AI288" s="12">
        <v>303.96037735849058</v>
      </c>
      <c r="AJ288" s="2">
        <v>467.05615384615385</v>
      </c>
      <c r="AK288" s="2">
        <v>254.28260869565216</v>
      </c>
      <c r="AL288" s="2">
        <v>333.48602272727271</v>
      </c>
      <c r="AM288" s="2">
        <v>311.64555555555557</v>
      </c>
      <c r="AN288" s="2">
        <v>312.40285714285716</v>
      </c>
      <c r="AO288" s="2">
        <v>291.54079999999999</v>
      </c>
      <c r="AP288" s="2">
        <v>286.70954545454543</v>
      </c>
      <c r="AQ288" s="2">
        <v>183.39359999999999</v>
      </c>
      <c r="AR288" s="13">
        <v>2816</v>
      </c>
      <c r="AS288" s="4">
        <v>62</v>
      </c>
      <c r="AT288" s="4">
        <v>288</v>
      </c>
      <c r="AU288" s="4">
        <v>1590</v>
      </c>
      <c r="AV288" s="4">
        <v>58</v>
      </c>
      <c r="AW288" s="4">
        <v>62</v>
      </c>
      <c r="AX288" s="4">
        <v>442</v>
      </c>
      <c r="AY288" s="4">
        <v>160</v>
      </c>
      <c r="AZ288" s="4">
        <v>154</v>
      </c>
    </row>
    <row r="289" spans="1:158" x14ac:dyDescent="0.2">
      <c r="A289" s="1" t="s">
        <v>38</v>
      </c>
      <c r="B289" s="1" t="s">
        <v>589</v>
      </c>
      <c r="C289" s="1" t="s">
        <v>590</v>
      </c>
      <c r="D289" s="12">
        <v>91053.34</v>
      </c>
      <c r="E289" s="2">
        <v>10808.16</v>
      </c>
      <c r="F289" s="2">
        <v>14326.95</v>
      </c>
      <c r="G289" s="2">
        <v>13880.09</v>
      </c>
      <c r="H289" s="2">
        <v>13328.63</v>
      </c>
      <c r="I289" s="2">
        <v>7933.73</v>
      </c>
      <c r="J289" s="2">
        <v>9225.2999999999993</v>
      </c>
      <c r="K289" s="2">
        <v>12257.51</v>
      </c>
      <c r="L289" s="2">
        <v>9292.9699999999993</v>
      </c>
      <c r="M289" s="12">
        <v>105621.88</v>
      </c>
      <c r="N289" s="2">
        <v>12537.47</v>
      </c>
      <c r="O289" s="2">
        <v>16619.259999999998</v>
      </c>
      <c r="P289" s="2">
        <v>16100.9</v>
      </c>
      <c r="Q289" s="2">
        <v>15461.21</v>
      </c>
      <c r="R289" s="2">
        <v>9203.1299999999992</v>
      </c>
      <c r="S289" s="2">
        <v>10701.35</v>
      </c>
      <c r="T289" s="2">
        <v>14218.71</v>
      </c>
      <c r="U289" s="2">
        <v>10779.85</v>
      </c>
      <c r="V289" s="2"/>
      <c r="W289" s="2"/>
      <c r="X289" s="2"/>
      <c r="Y289" s="2"/>
      <c r="Z289" s="13">
        <v>253</v>
      </c>
      <c r="AA289" s="4">
        <v>31</v>
      </c>
      <c r="AB289" s="4">
        <v>38</v>
      </c>
      <c r="AC289" s="4">
        <v>39</v>
      </c>
      <c r="AD289" s="4">
        <v>36</v>
      </c>
      <c r="AE289" s="4">
        <v>27</v>
      </c>
      <c r="AF289" s="4">
        <v>28</v>
      </c>
      <c r="AG289" s="4">
        <v>28</v>
      </c>
      <c r="AH289" s="4">
        <v>26</v>
      </c>
      <c r="AI289" s="12">
        <v>359.89462450592885</v>
      </c>
      <c r="AJ289" s="2">
        <v>348.65032258064514</v>
      </c>
      <c r="AK289" s="2">
        <v>377.02499999999998</v>
      </c>
      <c r="AL289" s="2">
        <v>355.89974358974359</v>
      </c>
      <c r="AM289" s="2">
        <v>370.23972222222221</v>
      </c>
      <c r="AN289" s="2">
        <v>293.84185185185186</v>
      </c>
      <c r="AO289" s="2">
        <v>329.47500000000002</v>
      </c>
      <c r="AP289" s="2">
        <v>437.76821428571429</v>
      </c>
      <c r="AQ289" s="2">
        <v>357.42192307692306</v>
      </c>
      <c r="AR289" s="13">
        <v>1354</v>
      </c>
      <c r="AS289" s="4">
        <v>160</v>
      </c>
      <c r="AT289" s="4">
        <v>282</v>
      </c>
      <c r="AU289" s="4">
        <v>142</v>
      </c>
      <c r="AV289" s="4">
        <v>142</v>
      </c>
      <c r="AW289" s="4">
        <v>66</v>
      </c>
      <c r="AX289" s="4">
        <v>130</v>
      </c>
      <c r="AY289" s="4">
        <v>242</v>
      </c>
      <c r="AZ289" s="4">
        <v>190</v>
      </c>
    </row>
    <row r="290" spans="1:158" s="41" customFormat="1" x14ac:dyDescent="0.2">
      <c r="A290" s="33" t="s">
        <v>38</v>
      </c>
      <c r="B290" s="33" t="s">
        <v>591</v>
      </c>
      <c r="C290" s="33" t="s">
        <v>592</v>
      </c>
      <c r="D290" s="34">
        <v>8536.42</v>
      </c>
      <c r="E290" s="36">
        <v>2634.9</v>
      </c>
      <c r="F290" s="36">
        <v>4699.38</v>
      </c>
      <c r="G290" s="36">
        <v>1202.1400000000001</v>
      </c>
      <c r="H290" s="35"/>
      <c r="I290" s="35"/>
      <c r="J290" s="35"/>
      <c r="K290" s="35"/>
      <c r="L290" s="35"/>
      <c r="M290" s="34">
        <v>9902.24</v>
      </c>
      <c r="N290" s="36">
        <v>3056.48</v>
      </c>
      <c r="O290" s="36">
        <v>5451.28</v>
      </c>
      <c r="P290" s="36">
        <v>1394.48</v>
      </c>
      <c r="Q290" s="35"/>
      <c r="R290" s="35"/>
      <c r="S290" s="35"/>
      <c r="T290" s="35"/>
      <c r="U290" s="35"/>
      <c r="V290" s="35"/>
      <c r="W290" s="35"/>
      <c r="X290" s="35"/>
      <c r="Y290" s="35"/>
      <c r="Z290" s="42"/>
      <c r="AA290" s="35"/>
      <c r="AB290" s="35"/>
      <c r="AC290" s="35"/>
      <c r="AD290" s="35"/>
      <c r="AE290" s="35"/>
      <c r="AF290" s="35"/>
      <c r="AG290" s="35"/>
      <c r="AH290" s="35"/>
      <c r="AI290" s="37" t="s">
        <v>33</v>
      </c>
      <c r="AJ290" s="38" t="s">
        <v>33</v>
      </c>
      <c r="AK290" s="38" t="s">
        <v>33</v>
      </c>
      <c r="AL290" s="38" t="s">
        <v>33</v>
      </c>
      <c r="AM290" s="35"/>
      <c r="AN290" s="35"/>
      <c r="AO290" s="35"/>
      <c r="AP290" s="35"/>
      <c r="AQ290" s="35"/>
      <c r="AR290" s="39">
        <v>348</v>
      </c>
      <c r="AS290" s="40">
        <v>92</v>
      </c>
      <c r="AT290" s="40">
        <v>210</v>
      </c>
      <c r="AU290" s="40">
        <v>46</v>
      </c>
      <c r="AV290" s="35"/>
      <c r="AW290" s="35"/>
      <c r="AX290" s="35"/>
      <c r="AY290" s="35"/>
      <c r="AZ290" s="35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</row>
    <row r="291" spans="1:158" x14ac:dyDescent="0.2">
      <c r="A291" s="1" t="s">
        <v>38</v>
      </c>
      <c r="B291" s="1" t="s">
        <v>593</v>
      </c>
      <c r="C291" s="1" t="s">
        <v>594</v>
      </c>
      <c r="D291" s="12">
        <v>123937.38</v>
      </c>
      <c r="E291" s="2">
        <v>14513.91</v>
      </c>
      <c r="F291" s="2">
        <v>22882.25</v>
      </c>
      <c r="G291" s="2">
        <v>27051.94</v>
      </c>
      <c r="H291" s="2">
        <v>17920.810000000001</v>
      </c>
      <c r="I291" s="2">
        <v>21441.64</v>
      </c>
      <c r="J291" s="2">
        <v>8853.0400000000009</v>
      </c>
      <c r="K291" s="2">
        <v>4443.91</v>
      </c>
      <c r="L291" s="2">
        <v>6829.88</v>
      </c>
      <c r="M291" s="12">
        <v>143767.37</v>
      </c>
      <c r="N291" s="2">
        <v>16836.14</v>
      </c>
      <c r="O291" s="2">
        <v>26543.41</v>
      </c>
      <c r="P291" s="2">
        <v>31380.25</v>
      </c>
      <c r="Q291" s="2">
        <v>20788.14</v>
      </c>
      <c r="R291" s="2">
        <v>24872.3</v>
      </c>
      <c r="S291" s="2">
        <v>10269.530000000001</v>
      </c>
      <c r="T291" s="2">
        <v>5154.9399999999996</v>
      </c>
      <c r="U291" s="2">
        <v>7922.66</v>
      </c>
      <c r="V291" s="2"/>
      <c r="W291" s="2"/>
      <c r="X291" s="2"/>
      <c r="Y291" s="2"/>
      <c r="Z291" s="13">
        <v>145</v>
      </c>
      <c r="AA291" s="4">
        <v>22</v>
      </c>
      <c r="AB291" s="4">
        <v>19</v>
      </c>
      <c r="AC291" s="4">
        <v>25</v>
      </c>
      <c r="AD291" s="4">
        <v>27</v>
      </c>
      <c r="AE291" s="4">
        <v>23</v>
      </c>
      <c r="AF291" s="4">
        <v>11</v>
      </c>
      <c r="AG291" s="4">
        <v>7</v>
      </c>
      <c r="AH291" s="4">
        <v>11</v>
      </c>
      <c r="AI291" s="12">
        <v>854.74055172413796</v>
      </c>
      <c r="AJ291" s="2">
        <v>659.72318181818184</v>
      </c>
      <c r="AK291" s="2">
        <v>1204.328947368421</v>
      </c>
      <c r="AL291" s="2">
        <v>1082.0776000000001</v>
      </c>
      <c r="AM291" s="2">
        <v>663.73370370370367</v>
      </c>
      <c r="AN291" s="2">
        <v>932.24521739130432</v>
      </c>
      <c r="AO291" s="2">
        <v>804.82181818181823</v>
      </c>
      <c r="AP291" s="2">
        <v>634.84428571428566</v>
      </c>
      <c r="AQ291" s="2">
        <v>620.8981818181818</v>
      </c>
      <c r="AR291" s="13">
        <v>1762</v>
      </c>
      <c r="AS291" s="4">
        <v>204</v>
      </c>
      <c r="AT291" s="4">
        <v>324</v>
      </c>
      <c r="AU291" s="4">
        <v>518</v>
      </c>
      <c r="AV291" s="4">
        <v>184</v>
      </c>
      <c r="AW291" s="4">
        <v>290</v>
      </c>
      <c r="AX291" s="4">
        <v>106</v>
      </c>
      <c r="AY291" s="4">
        <v>70</v>
      </c>
      <c r="AZ291" s="4">
        <v>66</v>
      </c>
    </row>
    <row r="292" spans="1:158" x14ac:dyDescent="0.2">
      <c r="A292" s="1" t="s">
        <v>38</v>
      </c>
      <c r="B292" s="1" t="s">
        <v>595</v>
      </c>
      <c r="C292" s="1" t="s">
        <v>596</v>
      </c>
      <c r="D292" s="12">
        <v>172358.6</v>
      </c>
      <c r="E292" s="2">
        <v>8131.96</v>
      </c>
      <c r="F292" s="2">
        <v>15067.76</v>
      </c>
      <c r="G292" s="3"/>
      <c r="H292" s="2">
        <v>30541.5</v>
      </c>
      <c r="I292" s="2">
        <v>30883.68</v>
      </c>
      <c r="J292" s="2">
        <v>13134.08</v>
      </c>
      <c r="K292" s="2">
        <v>42369.96</v>
      </c>
      <c r="L292" s="2">
        <v>32229.66</v>
      </c>
      <c r="M292" s="12">
        <v>199935.97</v>
      </c>
      <c r="N292" s="2">
        <v>9433.07</v>
      </c>
      <c r="O292" s="2">
        <v>17478.599999999999</v>
      </c>
      <c r="P292" s="3"/>
      <c r="Q292" s="2">
        <v>35428.14</v>
      </c>
      <c r="R292" s="2">
        <v>35825.07</v>
      </c>
      <c r="S292" s="2">
        <v>15235.53</v>
      </c>
      <c r="T292" s="2">
        <v>49149.15</v>
      </c>
      <c r="U292" s="2">
        <v>37386.410000000003</v>
      </c>
      <c r="V292" s="2"/>
      <c r="W292" s="2"/>
      <c r="X292" s="2"/>
      <c r="Y292" s="2"/>
      <c r="Z292" s="13">
        <v>44</v>
      </c>
      <c r="AA292" s="4">
        <v>2</v>
      </c>
      <c r="AB292" s="4">
        <v>4</v>
      </c>
      <c r="AC292" s="3"/>
      <c r="AD292" s="4">
        <v>8</v>
      </c>
      <c r="AE292" s="4">
        <v>8</v>
      </c>
      <c r="AF292" s="4">
        <v>4</v>
      </c>
      <c r="AG292" s="4">
        <v>10</v>
      </c>
      <c r="AH292" s="4">
        <v>8</v>
      </c>
      <c r="AI292" s="12">
        <v>3917.2409090909091</v>
      </c>
      <c r="AJ292" s="2">
        <v>4065.98</v>
      </c>
      <c r="AK292" s="2">
        <v>3766.94</v>
      </c>
      <c r="AL292" s="3"/>
      <c r="AM292" s="2">
        <v>3817.6875</v>
      </c>
      <c r="AN292" s="2">
        <v>3860.46</v>
      </c>
      <c r="AO292" s="2">
        <v>3283.52</v>
      </c>
      <c r="AP292" s="2">
        <v>4236.9960000000001</v>
      </c>
      <c r="AQ292" s="2">
        <v>4028.7075</v>
      </c>
      <c r="AR292" s="17"/>
      <c r="AS292" s="3"/>
      <c r="AT292" s="3"/>
      <c r="AU292" s="3"/>
      <c r="AV292" s="3"/>
      <c r="AW292" s="3"/>
      <c r="AX292" s="3"/>
      <c r="AY292" s="3"/>
      <c r="AZ292" s="3"/>
    </row>
    <row r="293" spans="1:158" x14ac:dyDescent="0.2">
      <c r="A293" s="1" t="s">
        <v>38</v>
      </c>
      <c r="B293" s="1" t="s">
        <v>597</v>
      </c>
      <c r="C293" s="1" t="s">
        <v>598</v>
      </c>
      <c r="D293" s="12">
        <v>29286.17</v>
      </c>
      <c r="E293" s="2">
        <v>145.29</v>
      </c>
      <c r="F293" s="3"/>
      <c r="G293" s="3"/>
      <c r="H293" s="3"/>
      <c r="I293" s="3"/>
      <c r="J293" s="3"/>
      <c r="K293" s="2">
        <v>82.14</v>
      </c>
      <c r="L293" s="2">
        <v>29058.74</v>
      </c>
      <c r="M293" s="12">
        <v>33971.96</v>
      </c>
      <c r="N293" s="2">
        <v>168.54</v>
      </c>
      <c r="O293" s="3"/>
      <c r="P293" s="3"/>
      <c r="Q293" s="3"/>
      <c r="R293" s="3"/>
      <c r="S293" s="3"/>
      <c r="T293" s="2">
        <v>95.28</v>
      </c>
      <c r="U293" s="2">
        <v>33708.14</v>
      </c>
      <c r="V293" s="2"/>
      <c r="W293" s="2"/>
      <c r="X293" s="2"/>
      <c r="Y293" s="2"/>
      <c r="Z293" s="13">
        <v>100</v>
      </c>
      <c r="AA293" s="3"/>
      <c r="AB293" s="3"/>
      <c r="AC293" s="3"/>
      <c r="AD293" s="3"/>
      <c r="AE293" s="3"/>
      <c r="AF293" s="3"/>
      <c r="AG293" s="3"/>
      <c r="AH293" s="4">
        <v>100</v>
      </c>
      <c r="AI293" s="12">
        <v>292.86169999999998</v>
      </c>
      <c r="AJ293" s="5" t="s">
        <v>33</v>
      </c>
      <c r="AK293" s="3"/>
      <c r="AL293" s="3"/>
      <c r="AM293" s="3"/>
      <c r="AN293" s="3"/>
      <c r="AO293" s="3"/>
      <c r="AP293" s="5" t="s">
        <v>33</v>
      </c>
      <c r="AQ293" s="2">
        <v>290.5874</v>
      </c>
      <c r="AR293" s="13">
        <v>12</v>
      </c>
      <c r="AS293" s="4">
        <v>10</v>
      </c>
      <c r="AT293" s="3"/>
      <c r="AU293" s="3"/>
      <c r="AV293" s="3"/>
      <c r="AW293" s="3"/>
      <c r="AX293" s="3"/>
      <c r="AY293" s="4">
        <v>2</v>
      </c>
      <c r="AZ293" s="3"/>
    </row>
    <row r="294" spans="1:158" s="41" customFormat="1" x14ac:dyDescent="0.2">
      <c r="A294" s="33" t="s">
        <v>38</v>
      </c>
      <c r="B294" s="33" t="s">
        <v>599</v>
      </c>
      <c r="C294" s="33" t="s">
        <v>600</v>
      </c>
      <c r="D294" s="34">
        <v>3677.35</v>
      </c>
      <c r="E294" s="36">
        <v>844.09</v>
      </c>
      <c r="F294" s="36">
        <v>394.96</v>
      </c>
      <c r="G294" s="36">
        <v>682.76</v>
      </c>
      <c r="H294" s="36">
        <v>1207.97</v>
      </c>
      <c r="I294" s="36">
        <v>334.09</v>
      </c>
      <c r="J294" s="36">
        <v>213.48</v>
      </c>
      <c r="K294" s="35"/>
      <c r="L294" s="35"/>
      <c r="M294" s="34">
        <v>4265.74</v>
      </c>
      <c r="N294" s="36">
        <v>979.15</v>
      </c>
      <c r="O294" s="36">
        <v>458.15</v>
      </c>
      <c r="P294" s="36">
        <v>792</v>
      </c>
      <c r="Q294" s="36">
        <v>1401.25</v>
      </c>
      <c r="R294" s="36">
        <v>387.55</v>
      </c>
      <c r="S294" s="36">
        <v>247.64</v>
      </c>
      <c r="T294" s="35"/>
      <c r="U294" s="35"/>
      <c r="V294" s="35"/>
      <c r="W294" s="35"/>
      <c r="X294" s="35"/>
      <c r="Y294" s="35"/>
      <c r="Z294" s="39">
        <v>10</v>
      </c>
      <c r="AA294" s="40">
        <v>5</v>
      </c>
      <c r="AB294" s="40">
        <v>1</v>
      </c>
      <c r="AC294" s="35"/>
      <c r="AD294" s="35"/>
      <c r="AE294" s="40">
        <v>1</v>
      </c>
      <c r="AF294" s="40">
        <v>3</v>
      </c>
      <c r="AG294" s="35"/>
      <c r="AH294" s="35"/>
      <c r="AI294" s="34">
        <v>367.73500000000001</v>
      </c>
      <c r="AJ294" s="36">
        <v>168.81800000000001</v>
      </c>
      <c r="AK294" s="36">
        <v>394.96</v>
      </c>
      <c r="AL294" s="38" t="s">
        <v>33</v>
      </c>
      <c r="AM294" s="38" t="s">
        <v>33</v>
      </c>
      <c r="AN294" s="36">
        <v>334.09</v>
      </c>
      <c r="AO294" s="36">
        <v>71.16</v>
      </c>
      <c r="AP294" s="35"/>
      <c r="AQ294" s="35"/>
      <c r="AR294" s="39">
        <v>80</v>
      </c>
      <c r="AS294" s="40">
        <v>16</v>
      </c>
      <c r="AT294" s="40">
        <v>10</v>
      </c>
      <c r="AU294" s="40">
        <v>16</v>
      </c>
      <c r="AV294" s="40">
        <v>26</v>
      </c>
      <c r="AW294" s="40">
        <v>12</v>
      </c>
      <c r="AX294" s="35"/>
      <c r="AY294" s="35"/>
      <c r="AZ294" s="35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</row>
    <row r="295" spans="1:158" x14ac:dyDescent="0.2">
      <c r="A295" s="1" t="s">
        <v>38</v>
      </c>
      <c r="B295" s="1" t="s">
        <v>601</v>
      </c>
      <c r="C295" s="1" t="s">
        <v>602</v>
      </c>
      <c r="D295" s="12">
        <v>3498.56</v>
      </c>
      <c r="E295" s="3"/>
      <c r="F295" s="3"/>
      <c r="G295" s="3"/>
      <c r="H295" s="2">
        <v>3498.56</v>
      </c>
      <c r="I295" s="3"/>
      <c r="J295" s="3"/>
      <c r="K295" s="3"/>
      <c r="L295" s="3"/>
      <c r="M295" s="12">
        <v>4058.33</v>
      </c>
      <c r="N295" s="3"/>
      <c r="O295" s="3"/>
      <c r="P295" s="3"/>
      <c r="Q295" s="2">
        <v>4058.33</v>
      </c>
      <c r="R295" s="3"/>
      <c r="S295" s="3"/>
      <c r="T295" s="3"/>
      <c r="U295" s="3"/>
      <c r="V295" s="3"/>
      <c r="W295" s="3"/>
      <c r="X295" s="3"/>
      <c r="Y295" s="3"/>
      <c r="Z295" s="13">
        <v>19</v>
      </c>
      <c r="AA295" s="3"/>
      <c r="AB295" s="3"/>
      <c r="AC295" s="3"/>
      <c r="AD295" s="4">
        <v>19</v>
      </c>
      <c r="AE295" s="3"/>
      <c r="AF295" s="3"/>
      <c r="AG295" s="3"/>
      <c r="AH295" s="3"/>
      <c r="AI295" s="12">
        <v>184.13473684210527</v>
      </c>
      <c r="AJ295" s="3"/>
      <c r="AK295" s="3"/>
      <c r="AL295" s="3"/>
      <c r="AM295" s="2">
        <v>184.13473684210527</v>
      </c>
      <c r="AN295" s="3"/>
      <c r="AO295" s="3"/>
      <c r="AP295" s="3"/>
      <c r="AQ295" s="3"/>
      <c r="AR295" s="13">
        <v>38</v>
      </c>
      <c r="AS295" s="3"/>
      <c r="AT295" s="3"/>
      <c r="AU295" s="3"/>
      <c r="AV295" s="4">
        <v>38</v>
      </c>
      <c r="AW295" s="3"/>
      <c r="AX295" s="3"/>
      <c r="AY295" s="3"/>
      <c r="AZ295" s="3"/>
    </row>
    <row r="296" spans="1:158" x14ac:dyDescent="0.2">
      <c r="A296" s="1" t="s">
        <v>38</v>
      </c>
      <c r="B296" s="1" t="s">
        <v>603</v>
      </c>
      <c r="C296" s="1" t="s">
        <v>604</v>
      </c>
      <c r="D296" s="12">
        <v>2232872.73</v>
      </c>
      <c r="E296" s="2">
        <v>306576.34999999998</v>
      </c>
      <c r="F296" s="2">
        <v>368990.66</v>
      </c>
      <c r="G296" s="2">
        <v>276356.18</v>
      </c>
      <c r="H296" s="2">
        <v>304124.51</v>
      </c>
      <c r="I296" s="2">
        <v>362680.65</v>
      </c>
      <c r="J296" s="2">
        <v>273189.39</v>
      </c>
      <c r="K296" s="2">
        <v>340954.99</v>
      </c>
      <c r="L296" s="3"/>
      <c r="M296" s="12">
        <v>2589914.5499999998</v>
      </c>
      <c r="N296" s="2">
        <v>355628.56</v>
      </c>
      <c r="O296" s="2">
        <v>428029.17</v>
      </c>
      <c r="P296" s="2">
        <v>320573.17</v>
      </c>
      <c r="Q296" s="2">
        <v>352784.44</v>
      </c>
      <c r="R296" s="2">
        <v>420709.55</v>
      </c>
      <c r="S296" s="2">
        <v>316899.7</v>
      </c>
      <c r="T296" s="2">
        <v>395289.96</v>
      </c>
      <c r="U296" s="3"/>
      <c r="V296" s="3"/>
      <c r="W296" s="3"/>
      <c r="X296" s="3"/>
      <c r="Y296" s="3"/>
      <c r="Z296" s="13">
        <v>2474</v>
      </c>
      <c r="AA296" s="4">
        <v>336</v>
      </c>
      <c r="AB296" s="4">
        <v>396</v>
      </c>
      <c r="AC296" s="4">
        <v>348</v>
      </c>
      <c r="AD296" s="4">
        <v>340</v>
      </c>
      <c r="AE296" s="4">
        <v>382</v>
      </c>
      <c r="AF296" s="4">
        <v>316</v>
      </c>
      <c r="AG296" s="4">
        <v>356</v>
      </c>
      <c r="AH296" s="3"/>
      <c r="AI296" s="12">
        <v>902.53546079223929</v>
      </c>
      <c r="AJ296" s="2">
        <v>912.4296130952381</v>
      </c>
      <c r="AK296" s="2">
        <v>931.79459595959599</v>
      </c>
      <c r="AL296" s="2">
        <v>794.12695402298846</v>
      </c>
      <c r="AM296" s="2">
        <v>894.48385294117645</v>
      </c>
      <c r="AN296" s="2">
        <v>949.42578534031418</v>
      </c>
      <c r="AO296" s="2">
        <v>864.52338607594936</v>
      </c>
      <c r="AP296" s="2">
        <v>957.7387359550562</v>
      </c>
      <c r="AQ296" s="3"/>
      <c r="AR296" s="13">
        <v>21652</v>
      </c>
      <c r="AS296" s="4">
        <v>3142</v>
      </c>
      <c r="AT296" s="4">
        <v>3700</v>
      </c>
      <c r="AU296" s="4">
        <v>3104</v>
      </c>
      <c r="AV296" s="4">
        <v>2668</v>
      </c>
      <c r="AW296" s="4">
        <v>3422</v>
      </c>
      <c r="AX296" s="4">
        <v>2242</v>
      </c>
      <c r="AY296" s="4">
        <v>3374</v>
      </c>
      <c r="AZ296" s="3"/>
    </row>
    <row r="297" spans="1:158" x14ac:dyDescent="0.2">
      <c r="A297" s="1" t="s">
        <v>38</v>
      </c>
      <c r="B297" s="1" t="s">
        <v>605</v>
      </c>
      <c r="C297" s="1" t="s">
        <v>606</v>
      </c>
      <c r="D297" s="12">
        <v>81433.960000000006</v>
      </c>
      <c r="E297" s="2">
        <v>13182.34</v>
      </c>
      <c r="F297" s="2">
        <v>15270.99</v>
      </c>
      <c r="G297" s="2">
        <v>8314.2099999999991</v>
      </c>
      <c r="H297" s="2">
        <v>7054.88</v>
      </c>
      <c r="I297" s="2">
        <v>8431.19</v>
      </c>
      <c r="J297" s="2">
        <v>8799.24</v>
      </c>
      <c r="K297" s="2">
        <v>6222.64</v>
      </c>
      <c r="L297" s="2">
        <v>14158.47</v>
      </c>
      <c r="M297" s="12">
        <v>94463.39</v>
      </c>
      <c r="N297" s="2">
        <v>15291.51</v>
      </c>
      <c r="O297" s="2">
        <v>17714.349999999999</v>
      </c>
      <c r="P297" s="2">
        <v>9644.48</v>
      </c>
      <c r="Q297" s="2">
        <v>8183.66</v>
      </c>
      <c r="R297" s="2">
        <v>9780.18</v>
      </c>
      <c r="S297" s="2">
        <v>10207.120000000001</v>
      </c>
      <c r="T297" s="2">
        <v>7218.26</v>
      </c>
      <c r="U297" s="2">
        <v>16423.830000000002</v>
      </c>
      <c r="V297" s="2"/>
      <c r="W297" s="2"/>
      <c r="X297" s="2"/>
      <c r="Y297" s="2"/>
      <c r="Z297" s="13">
        <v>205</v>
      </c>
      <c r="AA297" s="4">
        <v>34</v>
      </c>
      <c r="AB297" s="4">
        <v>32</v>
      </c>
      <c r="AC297" s="4">
        <v>27</v>
      </c>
      <c r="AD297" s="4">
        <v>22</v>
      </c>
      <c r="AE297" s="4">
        <v>24</v>
      </c>
      <c r="AF297" s="4">
        <v>22</v>
      </c>
      <c r="AG297" s="4">
        <v>11</v>
      </c>
      <c r="AH297" s="4">
        <v>33</v>
      </c>
      <c r="AI297" s="12">
        <v>397.2388292682927</v>
      </c>
      <c r="AJ297" s="2">
        <v>387.71588235294121</v>
      </c>
      <c r="AK297" s="2">
        <v>477.21843749999999</v>
      </c>
      <c r="AL297" s="2">
        <v>307.93370370370371</v>
      </c>
      <c r="AM297" s="2">
        <v>320.67636363636365</v>
      </c>
      <c r="AN297" s="2">
        <v>351.29958333333332</v>
      </c>
      <c r="AO297" s="2">
        <v>399.96545454545458</v>
      </c>
      <c r="AP297" s="2">
        <v>565.6945454545455</v>
      </c>
      <c r="AQ297" s="2">
        <v>429.04454545454547</v>
      </c>
      <c r="AR297" s="13">
        <v>2210</v>
      </c>
      <c r="AS297" s="4">
        <v>456</v>
      </c>
      <c r="AT297" s="4">
        <v>464</v>
      </c>
      <c r="AU297" s="4">
        <v>152</v>
      </c>
      <c r="AV297" s="4">
        <v>162</v>
      </c>
      <c r="AW297" s="4">
        <v>212</v>
      </c>
      <c r="AX297" s="4">
        <v>220</v>
      </c>
      <c r="AY297" s="4">
        <v>160</v>
      </c>
      <c r="AZ297" s="4">
        <v>384</v>
      </c>
    </row>
    <row r="298" spans="1:158" s="52" customFormat="1" x14ac:dyDescent="0.2">
      <c r="A298" s="43" t="s">
        <v>38</v>
      </c>
      <c r="B298" s="43" t="s">
        <v>607</v>
      </c>
      <c r="C298" s="43" t="s">
        <v>608</v>
      </c>
      <c r="D298" s="44">
        <v>60173.17</v>
      </c>
      <c r="E298" s="46"/>
      <c r="F298" s="46"/>
      <c r="G298" s="45">
        <v>50485.68</v>
      </c>
      <c r="H298" s="45">
        <v>1606.33</v>
      </c>
      <c r="I298" s="45">
        <v>5144.05</v>
      </c>
      <c r="J298" s="46"/>
      <c r="K298" s="45">
        <v>2937.11</v>
      </c>
      <c r="L298" s="46"/>
      <c r="M298" s="44">
        <v>60173.17</v>
      </c>
      <c r="N298" s="46"/>
      <c r="O298" s="46"/>
      <c r="P298" s="45">
        <v>50485.68</v>
      </c>
      <c r="Q298" s="45">
        <v>1606.33</v>
      </c>
      <c r="R298" s="45">
        <v>5144.05</v>
      </c>
      <c r="S298" s="46"/>
      <c r="T298" s="45">
        <v>2937.11</v>
      </c>
      <c r="U298" s="46"/>
      <c r="V298" s="46"/>
      <c r="W298" s="46"/>
      <c r="X298" s="46"/>
      <c r="Y298" s="46"/>
      <c r="Z298" s="50">
        <v>4</v>
      </c>
      <c r="AA298" s="46"/>
      <c r="AB298" s="46"/>
      <c r="AC298" s="51">
        <v>2</v>
      </c>
      <c r="AD298" s="47"/>
      <c r="AE298" s="51">
        <v>1</v>
      </c>
      <c r="AF298" s="46"/>
      <c r="AG298" s="51">
        <v>1</v>
      </c>
      <c r="AH298" s="46"/>
      <c r="AI298" s="44">
        <v>15043.2925</v>
      </c>
      <c r="AJ298" s="46"/>
      <c r="AK298" s="46"/>
      <c r="AL298" s="45">
        <v>25242.84</v>
      </c>
      <c r="AM298" s="47" t="s">
        <v>33</v>
      </c>
      <c r="AN298" s="45">
        <v>5144.05</v>
      </c>
      <c r="AO298" s="46"/>
      <c r="AP298" s="45">
        <v>2937.11</v>
      </c>
      <c r="AQ298" s="46"/>
      <c r="AR298" s="48"/>
      <c r="AS298" s="46"/>
      <c r="AT298" s="46"/>
      <c r="AU298" s="46"/>
      <c r="AV298" s="46"/>
      <c r="AW298" s="46"/>
      <c r="AX298" s="46"/>
      <c r="AY298" s="46"/>
      <c r="AZ298" s="46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</row>
    <row r="299" spans="1:158" x14ac:dyDescent="0.2">
      <c r="A299" s="1" t="s">
        <v>38</v>
      </c>
      <c r="B299" s="1" t="s">
        <v>609</v>
      </c>
      <c r="C299" s="1" t="s">
        <v>610</v>
      </c>
      <c r="D299" s="12">
        <v>182190.57</v>
      </c>
      <c r="E299" s="45">
        <v>30083.22</v>
      </c>
      <c r="F299" s="45">
        <v>52675.25</v>
      </c>
      <c r="G299" s="45">
        <v>19540.87</v>
      </c>
      <c r="H299" s="45">
        <v>111873.06</v>
      </c>
      <c r="I299" s="2">
        <v>65826</v>
      </c>
      <c r="J299" s="2">
        <v>96882.34</v>
      </c>
      <c r="K299" s="2">
        <v>49044.91</v>
      </c>
      <c r="L299" s="3"/>
      <c r="M299" s="12">
        <v>211341.06</v>
      </c>
      <c r="N299" s="3"/>
      <c r="O299" s="3"/>
      <c r="P299" s="3"/>
      <c r="Q299" s="3"/>
      <c r="R299" s="2">
        <v>42065.45</v>
      </c>
      <c r="S299" s="2">
        <v>112383.51</v>
      </c>
      <c r="T299" s="2">
        <v>56892.1</v>
      </c>
      <c r="U299" s="3"/>
      <c r="V299" s="3"/>
      <c r="W299" s="3"/>
      <c r="X299" s="3"/>
      <c r="Y299" s="3"/>
      <c r="Z299" s="13">
        <v>318</v>
      </c>
      <c r="AA299" s="3"/>
      <c r="AB299" s="3"/>
      <c r="AC299" s="3"/>
      <c r="AD299" s="3"/>
      <c r="AE299" s="4">
        <v>61</v>
      </c>
      <c r="AF299" s="4">
        <v>166</v>
      </c>
      <c r="AG299" s="4">
        <v>91</v>
      </c>
      <c r="AH299" s="3"/>
      <c r="AI299" s="12">
        <v>572.92632075471693</v>
      </c>
      <c r="AJ299" s="3"/>
      <c r="AK299" s="3"/>
      <c r="AL299" s="3"/>
      <c r="AM299" s="3"/>
      <c r="AN299" s="2">
        <v>594.48065573770486</v>
      </c>
      <c r="AO299" s="2">
        <v>583.62855421686743</v>
      </c>
      <c r="AP299" s="2">
        <v>538.95505494505494</v>
      </c>
      <c r="AQ299" s="3"/>
      <c r="AR299" s="13">
        <v>5768</v>
      </c>
      <c r="AS299" s="3"/>
      <c r="AT299" s="3"/>
      <c r="AU299" s="3"/>
      <c r="AV299" s="3"/>
      <c r="AW299" s="4">
        <v>1940</v>
      </c>
      <c r="AX299" s="4">
        <v>2080</v>
      </c>
      <c r="AY299" s="4">
        <v>1748</v>
      </c>
      <c r="AZ299" s="3"/>
    </row>
    <row r="300" spans="1:158" x14ac:dyDescent="0.2">
      <c r="A300" s="1" t="s">
        <v>38</v>
      </c>
      <c r="B300" s="1" t="s">
        <v>611</v>
      </c>
      <c r="C300" s="1" t="s">
        <v>612</v>
      </c>
      <c r="D300" s="12">
        <v>178836.28</v>
      </c>
      <c r="E300" s="2">
        <v>35400.46</v>
      </c>
      <c r="F300" s="2">
        <v>16650.560000000001</v>
      </c>
      <c r="G300" s="2">
        <v>22867.06</v>
      </c>
      <c r="H300" s="2">
        <v>25588.76</v>
      </c>
      <c r="I300" s="2">
        <v>22479.24</v>
      </c>
      <c r="J300" s="2">
        <v>20415.080000000002</v>
      </c>
      <c r="K300" s="2">
        <v>19760.04</v>
      </c>
      <c r="L300" s="2">
        <v>15675.08</v>
      </c>
      <c r="M300" s="12">
        <v>207450.1</v>
      </c>
      <c r="N300" s="2">
        <v>41064.54</v>
      </c>
      <c r="O300" s="2">
        <v>19314.650000000001</v>
      </c>
      <c r="P300" s="2">
        <v>26525.79</v>
      </c>
      <c r="Q300" s="2">
        <v>29682.959999999999</v>
      </c>
      <c r="R300" s="2">
        <v>26075.919999999998</v>
      </c>
      <c r="S300" s="2">
        <v>23681.49</v>
      </c>
      <c r="T300" s="2">
        <v>22921.65</v>
      </c>
      <c r="U300" s="2">
        <v>18183.099999999999</v>
      </c>
      <c r="V300" s="2"/>
      <c r="W300" s="2"/>
      <c r="X300" s="2"/>
      <c r="Y300" s="2"/>
      <c r="Z300" s="13">
        <v>439</v>
      </c>
      <c r="AA300" s="4">
        <v>95</v>
      </c>
      <c r="AB300" s="4">
        <v>44</v>
      </c>
      <c r="AC300" s="4">
        <v>46</v>
      </c>
      <c r="AD300" s="4">
        <v>57</v>
      </c>
      <c r="AE300" s="4">
        <v>55</v>
      </c>
      <c r="AF300" s="4">
        <v>52</v>
      </c>
      <c r="AG300" s="4">
        <v>47</v>
      </c>
      <c r="AH300" s="4">
        <v>43</v>
      </c>
      <c r="AI300" s="12">
        <v>407.3719362186788</v>
      </c>
      <c r="AJ300" s="2">
        <v>372.63642105263159</v>
      </c>
      <c r="AK300" s="2">
        <v>378.4218181818182</v>
      </c>
      <c r="AL300" s="2">
        <v>497.11</v>
      </c>
      <c r="AM300" s="2">
        <v>448.92561403508773</v>
      </c>
      <c r="AN300" s="2">
        <v>408.71345454545457</v>
      </c>
      <c r="AO300" s="2">
        <v>392.59769230769228</v>
      </c>
      <c r="AP300" s="2">
        <v>420.42638297872338</v>
      </c>
      <c r="AQ300" s="2">
        <v>364.53674418604652</v>
      </c>
      <c r="AR300" s="13">
        <v>2154</v>
      </c>
      <c r="AS300" s="4">
        <v>448</v>
      </c>
      <c r="AT300" s="4">
        <v>178</v>
      </c>
      <c r="AU300" s="4">
        <v>344</v>
      </c>
      <c r="AV300" s="4">
        <v>314</v>
      </c>
      <c r="AW300" s="4">
        <v>274</v>
      </c>
      <c r="AX300" s="4">
        <v>222</v>
      </c>
      <c r="AY300" s="4">
        <v>234</v>
      </c>
      <c r="AZ300" s="4">
        <v>140</v>
      </c>
    </row>
    <row r="301" spans="1:158" s="41" customFormat="1" x14ac:dyDescent="0.2">
      <c r="A301" s="33" t="s">
        <v>38</v>
      </c>
      <c r="B301" s="33" t="s">
        <v>613</v>
      </c>
      <c r="C301" s="33" t="s">
        <v>614</v>
      </c>
      <c r="D301" s="34">
        <v>1428.25</v>
      </c>
      <c r="E301" s="35"/>
      <c r="F301" s="36">
        <v>1428.25</v>
      </c>
      <c r="G301" s="35"/>
      <c r="H301" s="35"/>
      <c r="I301" s="35"/>
      <c r="J301" s="35"/>
      <c r="K301" s="35"/>
      <c r="L301" s="35"/>
      <c r="M301" s="34">
        <v>1656.77</v>
      </c>
      <c r="N301" s="35"/>
      <c r="O301" s="36">
        <v>1656.77</v>
      </c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9">
        <v>3</v>
      </c>
      <c r="AA301" s="35"/>
      <c r="AB301" s="40">
        <v>3</v>
      </c>
      <c r="AC301" s="35"/>
      <c r="AD301" s="35"/>
      <c r="AE301" s="35"/>
      <c r="AF301" s="35"/>
      <c r="AG301" s="35"/>
      <c r="AH301" s="35"/>
      <c r="AI301" s="34">
        <v>476.08333333333331</v>
      </c>
      <c r="AJ301" s="35"/>
      <c r="AK301" s="36">
        <v>476.08333333333331</v>
      </c>
      <c r="AL301" s="35"/>
      <c r="AM301" s="35"/>
      <c r="AN301" s="35"/>
      <c r="AO301" s="35"/>
      <c r="AP301" s="35"/>
      <c r="AQ301" s="35"/>
      <c r="AR301" s="39">
        <v>100</v>
      </c>
      <c r="AS301" s="35"/>
      <c r="AT301" s="40">
        <v>100</v>
      </c>
      <c r="AU301" s="35"/>
      <c r="AV301" s="35"/>
      <c r="AW301" s="35"/>
      <c r="AX301" s="35"/>
      <c r="AY301" s="35"/>
      <c r="AZ301" s="35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</row>
    <row r="302" spans="1:158" x14ac:dyDescent="0.2">
      <c r="A302" s="1" t="s">
        <v>38</v>
      </c>
      <c r="B302" s="1" t="s">
        <v>615</v>
      </c>
      <c r="C302" s="1" t="s">
        <v>616</v>
      </c>
      <c r="D302" s="12">
        <v>2657897.92</v>
      </c>
      <c r="E302" s="2">
        <v>263555.61</v>
      </c>
      <c r="F302" s="2">
        <v>592284.54</v>
      </c>
      <c r="G302" s="2">
        <v>385113.42</v>
      </c>
      <c r="H302" s="2">
        <v>496858.05</v>
      </c>
      <c r="I302" s="2">
        <v>332272.95</v>
      </c>
      <c r="J302" s="2">
        <v>293675.06</v>
      </c>
      <c r="K302" s="2">
        <v>127316.93</v>
      </c>
      <c r="L302" s="2">
        <v>166821.35999999999</v>
      </c>
      <c r="M302" s="12">
        <v>3073691.02</v>
      </c>
      <c r="N302" s="2">
        <v>305609.68</v>
      </c>
      <c r="O302" s="2">
        <v>682074.57</v>
      </c>
      <c r="P302" s="2">
        <v>446731.56</v>
      </c>
      <c r="Q302" s="2">
        <v>573017.78</v>
      </c>
      <c r="R302" s="2">
        <v>385436.63</v>
      </c>
      <c r="S302" s="2">
        <v>339620.39</v>
      </c>
      <c r="T302" s="2">
        <v>147687.64000000001</v>
      </c>
      <c r="U302" s="2">
        <v>193512.77</v>
      </c>
      <c r="V302" s="2"/>
      <c r="W302" s="2"/>
      <c r="X302" s="2"/>
      <c r="Y302" s="2"/>
      <c r="Z302" s="13">
        <v>6712</v>
      </c>
      <c r="AA302" s="4">
        <v>646</v>
      </c>
      <c r="AB302" s="4">
        <v>1076</v>
      </c>
      <c r="AC302" s="4">
        <v>906</v>
      </c>
      <c r="AD302" s="4">
        <v>923</v>
      </c>
      <c r="AE302" s="4">
        <v>856</v>
      </c>
      <c r="AF302" s="4">
        <v>1089</v>
      </c>
      <c r="AG302" s="4">
        <v>655</v>
      </c>
      <c r="AH302" s="4">
        <v>561</v>
      </c>
      <c r="AI302" s="12">
        <v>395.99194278903457</v>
      </c>
      <c r="AJ302" s="2">
        <v>407.98082043343652</v>
      </c>
      <c r="AK302" s="2">
        <v>550.45031598513015</v>
      </c>
      <c r="AL302" s="2">
        <v>425.07</v>
      </c>
      <c r="AM302" s="2">
        <v>538.30774647887324</v>
      </c>
      <c r="AN302" s="2">
        <v>388.16933411214956</v>
      </c>
      <c r="AO302" s="2">
        <v>269.67406795224974</v>
      </c>
      <c r="AP302" s="2">
        <v>194.3769923664122</v>
      </c>
      <c r="AQ302" s="2">
        <v>297.36427807486632</v>
      </c>
      <c r="AR302" s="13">
        <v>88764.2</v>
      </c>
      <c r="AS302" s="4">
        <v>6740</v>
      </c>
      <c r="AT302" s="4">
        <v>15658.2</v>
      </c>
      <c r="AU302" s="4">
        <v>15836</v>
      </c>
      <c r="AV302" s="4">
        <v>16442</v>
      </c>
      <c r="AW302" s="4">
        <v>9226</v>
      </c>
      <c r="AX302" s="4">
        <v>13658</v>
      </c>
      <c r="AY302" s="4">
        <v>4342</v>
      </c>
      <c r="AZ302" s="4">
        <v>6862</v>
      </c>
    </row>
    <row r="303" spans="1:158" x14ac:dyDescent="0.2">
      <c r="A303" s="1" t="s">
        <v>38</v>
      </c>
      <c r="B303" s="1" t="s">
        <v>617</v>
      </c>
      <c r="C303" s="1" t="s">
        <v>618</v>
      </c>
      <c r="D303" s="12">
        <v>2967.26</v>
      </c>
      <c r="E303" s="2">
        <v>607.37</v>
      </c>
      <c r="F303" s="2">
        <v>201.22</v>
      </c>
      <c r="G303" s="3"/>
      <c r="H303" s="2">
        <v>1799.66</v>
      </c>
      <c r="I303" s="3"/>
      <c r="J303" s="3"/>
      <c r="K303" s="2">
        <v>359.01</v>
      </c>
      <c r="L303" s="3"/>
      <c r="M303" s="12">
        <v>3442.03</v>
      </c>
      <c r="N303" s="2">
        <v>704.55</v>
      </c>
      <c r="O303" s="2">
        <v>233.42</v>
      </c>
      <c r="P303" s="3"/>
      <c r="Q303" s="2">
        <v>2087.61</v>
      </c>
      <c r="R303" s="3"/>
      <c r="S303" s="3"/>
      <c r="T303" s="2">
        <v>416.45</v>
      </c>
      <c r="U303" s="3"/>
      <c r="V303" s="3"/>
      <c r="W303" s="3"/>
      <c r="X303" s="3"/>
      <c r="Y303" s="3"/>
      <c r="Z303" s="13">
        <v>11</v>
      </c>
      <c r="AA303" s="4">
        <v>2</v>
      </c>
      <c r="AB303" s="4">
        <v>1</v>
      </c>
      <c r="AC303" s="3"/>
      <c r="AD303" s="4">
        <v>7</v>
      </c>
      <c r="AE303" s="3"/>
      <c r="AF303" s="3"/>
      <c r="AG303" s="4">
        <v>1</v>
      </c>
      <c r="AH303" s="3"/>
      <c r="AI303" s="12">
        <v>269.75090909090909</v>
      </c>
      <c r="AJ303" s="2">
        <v>303.685</v>
      </c>
      <c r="AK303" s="2">
        <v>201.22</v>
      </c>
      <c r="AL303" s="3"/>
      <c r="AM303" s="2">
        <v>257.09428571428572</v>
      </c>
      <c r="AN303" s="3"/>
      <c r="AO303" s="3"/>
      <c r="AP303" s="2">
        <v>359.01</v>
      </c>
      <c r="AQ303" s="3"/>
      <c r="AR303" s="13">
        <v>24</v>
      </c>
      <c r="AS303" s="3"/>
      <c r="AT303" s="3"/>
      <c r="AU303" s="3"/>
      <c r="AV303" s="4">
        <v>14</v>
      </c>
      <c r="AW303" s="3"/>
      <c r="AX303" s="3"/>
      <c r="AY303" s="4">
        <v>10</v>
      </c>
      <c r="AZ303" s="3"/>
    </row>
    <row r="304" spans="1:158" s="52" customFormat="1" x14ac:dyDescent="0.2">
      <c r="A304" s="43" t="s">
        <v>38</v>
      </c>
      <c r="B304" s="43" t="s">
        <v>619</v>
      </c>
      <c r="C304" s="43" t="s">
        <v>620</v>
      </c>
      <c r="D304" s="44">
        <v>435780.55</v>
      </c>
      <c r="E304" s="45">
        <v>35182</v>
      </c>
      <c r="F304" s="46"/>
      <c r="G304" s="46"/>
      <c r="H304" s="45">
        <v>308678.58</v>
      </c>
      <c r="I304" s="45">
        <v>41055.599999999999</v>
      </c>
      <c r="J304" s="45">
        <v>-4064.1</v>
      </c>
      <c r="K304" s="45">
        <v>26486.52</v>
      </c>
      <c r="L304" s="45">
        <v>28441.95</v>
      </c>
      <c r="M304" s="44">
        <v>505505.44</v>
      </c>
      <c r="N304" s="45">
        <v>40811.120000000003</v>
      </c>
      <c r="O304" s="46"/>
      <c r="P304" s="46"/>
      <c r="Q304" s="45">
        <v>358067.16</v>
      </c>
      <c r="R304" s="45">
        <v>47624.5</v>
      </c>
      <c r="S304" s="45">
        <v>-4714.3599999999997</v>
      </c>
      <c r="T304" s="45">
        <v>30724.36</v>
      </c>
      <c r="U304" s="45">
        <v>32992.660000000003</v>
      </c>
      <c r="V304" s="45"/>
      <c r="W304" s="45"/>
      <c r="X304" s="45"/>
      <c r="Y304" s="45"/>
      <c r="Z304" s="50">
        <v>-328</v>
      </c>
      <c r="AA304" s="46"/>
      <c r="AB304" s="46"/>
      <c r="AC304" s="46"/>
      <c r="AD304" s="46"/>
      <c r="AE304" s="46"/>
      <c r="AF304" s="51">
        <v>-328</v>
      </c>
      <c r="AG304" s="46"/>
      <c r="AH304" s="46"/>
      <c r="AI304" s="44">
        <v>-1328.5992378048782</v>
      </c>
      <c r="AJ304" s="47" t="s">
        <v>33</v>
      </c>
      <c r="AK304" s="46"/>
      <c r="AL304" s="46"/>
      <c r="AM304" s="47" t="s">
        <v>33</v>
      </c>
      <c r="AN304" s="47" t="s">
        <v>33</v>
      </c>
      <c r="AO304" s="45">
        <v>12.3905487804878</v>
      </c>
      <c r="AP304" s="47" t="s">
        <v>33</v>
      </c>
      <c r="AQ304" s="47" t="s">
        <v>33</v>
      </c>
      <c r="AR304" s="50">
        <v>131818</v>
      </c>
      <c r="AS304" s="51">
        <v>19336</v>
      </c>
      <c r="AT304" s="46"/>
      <c r="AU304" s="46"/>
      <c r="AV304" s="51">
        <v>68288</v>
      </c>
      <c r="AW304" s="51">
        <v>15640</v>
      </c>
      <c r="AX304" s="51">
        <v>10436</v>
      </c>
      <c r="AY304" s="51">
        <v>9016</v>
      </c>
      <c r="AZ304" s="51">
        <v>9102</v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</row>
    <row r="305" spans="1:158" s="52" customFormat="1" x14ac:dyDescent="0.2">
      <c r="A305" s="43" t="s">
        <v>38</v>
      </c>
      <c r="B305" s="43" t="s">
        <v>621</v>
      </c>
      <c r="C305" s="43" t="s">
        <v>622</v>
      </c>
      <c r="D305" s="44">
        <v>82637.649999999994</v>
      </c>
      <c r="E305" s="46"/>
      <c r="F305" s="46"/>
      <c r="G305" s="45">
        <v>81515.61</v>
      </c>
      <c r="H305" s="45">
        <v>1122.04</v>
      </c>
      <c r="I305" s="46"/>
      <c r="J305" s="46"/>
      <c r="K305" s="46"/>
      <c r="L305" s="46"/>
      <c r="M305" s="44">
        <v>95859.68</v>
      </c>
      <c r="N305" s="46"/>
      <c r="O305" s="46"/>
      <c r="P305" s="45">
        <v>94558.11</v>
      </c>
      <c r="Q305" s="45">
        <v>1301.57</v>
      </c>
      <c r="R305" s="46"/>
      <c r="S305" s="46"/>
      <c r="T305" s="46"/>
      <c r="U305" s="46"/>
      <c r="V305" s="46"/>
      <c r="W305" s="46"/>
      <c r="X305" s="46"/>
      <c r="Y305" s="46"/>
      <c r="Z305" s="50">
        <v>125</v>
      </c>
      <c r="AA305" s="46"/>
      <c r="AB305" s="46"/>
      <c r="AC305" s="51">
        <v>124</v>
      </c>
      <c r="AD305" s="51">
        <v>1</v>
      </c>
      <c r="AE305" s="46"/>
      <c r="AF305" s="46"/>
      <c r="AG305" s="46"/>
      <c r="AH305" s="46"/>
      <c r="AI305" s="44">
        <v>661.10119999999995</v>
      </c>
      <c r="AJ305" s="46"/>
      <c r="AK305" s="46"/>
      <c r="AL305" s="45">
        <v>657.38395161290327</v>
      </c>
      <c r="AM305" s="45">
        <v>1122.04</v>
      </c>
      <c r="AN305" s="46"/>
      <c r="AO305" s="46"/>
      <c r="AP305" s="46"/>
      <c r="AQ305" s="46"/>
      <c r="AR305" s="50">
        <v>1330</v>
      </c>
      <c r="AS305" s="46"/>
      <c r="AT305" s="46"/>
      <c r="AU305" s="51">
        <v>1298</v>
      </c>
      <c r="AV305" s="51">
        <v>32</v>
      </c>
      <c r="AW305" s="46"/>
      <c r="AX305" s="46"/>
      <c r="AY305" s="46"/>
      <c r="AZ305" s="46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</row>
    <row r="306" spans="1:158" x14ac:dyDescent="0.2">
      <c r="A306" s="1" t="s">
        <v>38</v>
      </c>
      <c r="B306" s="1" t="s">
        <v>623</v>
      </c>
      <c r="C306" s="1" t="s">
        <v>624</v>
      </c>
      <c r="D306" s="12">
        <v>347669.46</v>
      </c>
      <c r="E306" s="2">
        <v>31969.88</v>
      </c>
      <c r="F306" s="2">
        <v>29408.78</v>
      </c>
      <c r="G306" s="2">
        <v>118541.57</v>
      </c>
      <c r="H306" s="2">
        <v>18835.8</v>
      </c>
      <c r="I306" s="2">
        <v>24588.560000000001</v>
      </c>
      <c r="J306" s="2">
        <v>30569.25</v>
      </c>
      <c r="K306" s="2">
        <v>55904.73</v>
      </c>
      <c r="L306" s="2">
        <v>37850.89</v>
      </c>
      <c r="M306" s="12">
        <v>403296.57</v>
      </c>
      <c r="N306" s="2">
        <v>37085.06</v>
      </c>
      <c r="O306" s="2">
        <v>34114.18</v>
      </c>
      <c r="P306" s="2">
        <v>137508.22</v>
      </c>
      <c r="Q306" s="2">
        <v>21849.53</v>
      </c>
      <c r="R306" s="2">
        <v>28522.73</v>
      </c>
      <c r="S306" s="2">
        <v>35460.33</v>
      </c>
      <c r="T306" s="2">
        <v>64849.49</v>
      </c>
      <c r="U306" s="2">
        <v>43907.03</v>
      </c>
      <c r="V306" s="2"/>
      <c r="W306" s="2"/>
      <c r="X306" s="2"/>
      <c r="Y306" s="2"/>
      <c r="Z306" s="13">
        <v>1039</v>
      </c>
      <c r="AA306" s="4">
        <v>6</v>
      </c>
      <c r="AB306" s="4">
        <v>6</v>
      </c>
      <c r="AC306" s="4">
        <v>1000</v>
      </c>
      <c r="AD306" s="4">
        <v>2</v>
      </c>
      <c r="AE306" s="4">
        <v>6</v>
      </c>
      <c r="AF306" s="4">
        <v>6</v>
      </c>
      <c r="AG306" s="4">
        <v>8</v>
      </c>
      <c r="AH306" s="4">
        <v>5</v>
      </c>
      <c r="AI306" s="12">
        <v>334.61930702598653</v>
      </c>
      <c r="AJ306" s="2">
        <v>5328.3133333333335</v>
      </c>
      <c r="AK306" s="2">
        <v>4901.4633333333331</v>
      </c>
      <c r="AL306" s="2">
        <v>118.54156999999999</v>
      </c>
      <c r="AM306" s="2">
        <v>9417.9</v>
      </c>
      <c r="AN306" s="2">
        <v>4098.0933333333332</v>
      </c>
      <c r="AO306" s="2">
        <v>5094.875</v>
      </c>
      <c r="AP306" s="2">
        <v>6988.0912500000004</v>
      </c>
      <c r="AQ306" s="2">
        <v>7570.1779999999999</v>
      </c>
      <c r="AR306" s="13">
        <v>17270</v>
      </c>
      <c r="AS306" s="4">
        <v>1280</v>
      </c>
      <c r="AT306" s="4">
        <v>2122</v>
      </c>
      <c r="AU306" s="4">
        <v>2362</v>
      </c>
      <c r="AV306" s="4">
        <v>2532</v>
      </c>
      <c r="AW306" s="4">
        <v>1812</v>
      </c>
      <c r="AX306" s="4">
        <v>3472</v>
      </c>
      <c r="AY306" s="4">
        <v>1742</v>
      </c>
      <c r="AZ306" s="4">
        <v>1948</v>
      </c>
    </row>
    <row r="307" spans="1:158" s="41" customFormat="1" x14ac:dyDescent="0.2">
      <c r="A307" s="33" t="s">
        <v>38</v>
      </c>
      <c r="B307" s="33" t="s">
        <v>625</v>
      </c>
      <c r="C307" s="33" t="s">
        <v>626</v>
      </c>
      <c r="D307" s="34">
        <v>2906.42</v>
      </c>
      <c r="E307" s="36">
        <v>2704.32</v>
      </c>
      <c r="F307" s="36">
        <v>202.1</v>
      </c>
      <c r="G307" s="35"/>
      <c r="H307" s="35"/>
      <c r="I307" s="35"/>
      <c r="J307" s="35"/>
      <c r="K307" s="35"/>
      <c r="L307" s="35"/>
      <c r="M307" s="34">
        <v>3371.45</v>
      </c>
      <c r="N307" s="36">
        <v>3137.01</v>
      </c>
      <c r="O307" s="36">
        <v>234.44</v>
      </c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42"/>
      <c r="AA307" s="35"/>
      <c r="AB307" s="35"/>
      <c r="AC307" s="35"/>
      <c r="AD307" s="35"/>
      <c r="AE307" s="35"/>
      <c r="AF307" s="35"/>
      <c r="AG307" s="35"/>
      <c r="AH307" s="35"/>
      <c r="AI307" s="37" t="s">
        <v>33</v>
      </c>
      <c r="AJ307" s="38" t="s">
        <v>33</v>
      </c>
      <c r="AK307" s="38" t="s">
        <v>33</v>
      </c>
      <c r="AL307" s="35"/>
      <c r="AM307" s="35"/>
      <c r="AN307" s="35"/>
      <c r="AO307" s="35"/>
      <c r="AP307" s="35"/>
      <c r="AQ307" s="35"/>
      <c r="AR307" s="39">
        <v>64</v>
      </c>
      <c r="AS307" s="40">
        <v>62</v>
      </c>
      <c r="AT307" s="40">
        <v>2</v>
      </c>
      <c r="AU307" s="35"/>
      <c r="AV307" s="35"/>
      <c r="AW307" s="35"/>
      <c r="AX307" s="35"/>
      <c r="AY307" s="35"/>
      <c r="AZ307" s="35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</row>
    <row r="308" spans="1:158" s="41" customFormat="1" x14ac:dyDescent="0.2">
      <c r="A308" s="33" t="s">
        <v>38</v>
      </c>
      <c r="B308" s="33" t="s">
        <v>627</v>
      </c>
      <c r="C308" s="33" t="s">
        <v>628</v>
      </c>
      <c r="D308" s="34">
        <v>817.35</v>
      </c>
      <c r="E308" s="36">
        <v>196.84</v>
      </c>
      <c r="F308" s="36">
        <v>115.84</v>
      </c>
      <c r="G308" s="36">
        <v>81.069999999999993</v>
      </c>
      <c r="H308" s="36">
        <v>421.52</v>
      </c>
      <c r="I308" s="36">
        <v>2.08</v>
      </c>
      <c r="J308" s="35"/>
      <c r="K308" s="35"/>
      <c r="L308" s="35"/>
      <c r="M308" s="34">
        <v>948.12</v>
      </c>
      <c r="N308" s="36">
        <v>228.33</v>
      </c>
      <c r="O308" s="36">
        <v>134.37</v>
      </c>
      <c r="P308" s="36">
        <v>94.04</v>
      </c>
      <c r="Q308" s="36">
        <v>488.96</v>
      </c>
      <c r="R308" s="36">
        <v>2.42</v>
      </c>
      <c r="S308" s="35"/>
      <c r="T308" s="35"/>
      <c r="U308" s="35"/>
      <c r="V308" s="35"/>
      <c r="W308" s="35"/>
      <c r="X308" s="35"/>
      <c r="Y308" s="35"/>
      <c r="Z308" s="42"/>
      <c r="AA308" s="35"/>
      <c r="AB308" s="35"/>
      <c r="AC308" s="35"/>
      <c r="AD308" s="35"/>
      <c r="AE308" s="35"/>
      <c r="AF308" s="35"/>
      <c r="AG308" s="35"/>
      <c r="AH308" s="35"/>
      <c r="AI308" s="37" t="s">
        <v>33</v>
      </c>
      <c r="AJ308" s="38" t="s">
        <v>33</v>
      </c>
      <c r="AK308" s="38" t="s">
        <v>33</v>
      </c>
      <c r="AL308" s="38" t="s">
        <v>33</v>
      </c>
      <c r="AM308" s="38" t="s">
        <v>33</v>
      </c>
      <c r="AN308" s="38" t="s">
        <v>33</v>
      </c>
      <c r="AO308" s="35"/>
      <c r="AP308" s="35"/>
      <c r="AQ308" s="35"/>
      <c r="AR308" s="39">
        <v>72</v>
      </c>
      <c r="AS308" s="40">
        <v>4</v>
      </c>
      <c r="AT308" s="40">
        <v>32</v>
      </c>
      <c r="AU308" s="40">
        <v>22</v>
      </c>
      <c r="AV308" s="40">
        <v>14</v>
      </c>
      <c r="AW308" s="38"/>
      <c r="AX308" s="35"/>
      <c r="AY308" s="35"/>
      <c r="AZ308" s="35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</row>
    <row r="309" spans="1:158" x14ac:dyDescent="0.2">
      <c r="A309" s="1" t="s">
        <v>38</v>
      </c>
      <c r="B309" s="1" t="s">
        <v>629</v>
      </c>
      <c r="C309" s="1" t="s">
        <v>630</v>
      </c>
      <c r="D309" s="12">
        <v>27242.32</v>
      </c>
      <c r="E309" s="2">
        <v>2241.3200000000002</v>
      </c>
      <c r="F309" s="2">
        <v>7250.21</v>
      </c>
      <c r="G309" s="3"/>
      <c r="H309" s="2">
        <v>2946.69</v>
      </c>
      <c r="I309" s="2">
        <v>10375.18</v>
      </c>
      <c r="J309" s="2">
        <v>2296.0300000000002</v>
      </c>
      <c r="K309" s="2">
        <v>458.23</v>
      </c>
      <c r="L309" s="2">
        <v>1674.66</v>
      </c>
      <c r="M309" s="12">
        <v>31601.09</v>
      </c>
      <c r="N309" s="2">
        <v>2599.9299999999998</v>
      </c>
      <c r="O309" s="2">
        <v>8410.24</v>
      </c>
      <c r="P309" s="3"/>
      <c r="Q309" s="2">
        <v>3418.16</v>
      </c>
      <c r="R309" s="2">
        <v>12035.21</v>
      </c>
      <c r="S309" s="2">
        <v>2663.39</v>
      </c>
      <c r="T309" s="2">
        <v>531.54999999999995</v>
      </c>
      <c r="U309" s="2">
        <v>1942.61</v>
      </c>
      <c r="V309" s="2"/>
      <c r="W309" s="2"/>
      <c r="X309" s="2"/>
      <c r="Y309" s="2"/>
      <c r="Z309" s="13">
        <v>53</v>
      </c>
      <c r="AA309" s="4">
        <v>4</v>
      </c>
      <c r="AB309" s="4">
        <v>12</v>
      </c>
      <c r="AC309" s="3"/>
      <c r="AD309" s="4">
        <v>7</v>
      </c>
      <c r="AE309" s="4">
        <v>19</v>
      </c>
      <c r="AF309" s="4">
        <v>6</v>
      </c>
      <c r="AG309" s="4">
        <v>1</v>
      </c>
      <c r="AH309" s="4">
        <v>4</v>
      </c>
      <c r="AI309" s="12">
        <v>514.00603773584908</v>
      </c>
      <c r="AJ309" s="2">
        <v>560.33000000000004</v>
      </c>
      <c r="AK309" s="2">
        <v>604.18416666666667</v>
      </c>
      <c r="AL309" s="3"/>
      <c r="AM309" s="2">
        <v>420.95571428571429</v>
      </c>
      <c r="AN309" s="2">
        <v>546.06210526315795</v>
      </c>
      <c r="AO309" s="2">
        <v>382.67166666666668</v>
      </c>
      <c r="AP309" s="2">
        <v>458.23</v>
      </c>
      <c r="AQ309" s="2">
        <v>418.66500000000002</v>
      </c>
      <c r="AR309" s="13">
        <v>904</v>
      </c>
      <c r="AS309" s="4">
        <v>112</v>
      </c>
      <c r="AT309" s="4">
        <v>358</v>
      </c>
      <c r="AU309" s="3"/>
      <c r="AV309" s="4">
        <v>30</v>
      </c>
      <c r="AW309" s="4">
        <v>354</v>
      </c>
      <c r="AX309" s="4">
        <v>30</v>
      </c>
      <c r="AY309" s="4">
        <v>6</v>
      </c>
      <c r="AZ309" s="4">
        <v>14</v>
      </c>
    </row>
    <row r="310" spans="1:158" s="52" customFormat="1" x14ac:dyDescent="0.2">
      <c r="A310" s="43" t="s">
        <v>38</v>
      </c>
      <c r="B310" s="43" t="s">
        <v>631</v>
      </c>
      <c r="C310" s="43" t="s">
        <v>632</v>
      </c>
      <c r="D310" s="44">
        <v>4277379.54</v>
      </c>
      <c r="E310" s="45">
        <v>26916.99</v>
      </c>
      <c r="F310" s="46"/>
      <c r="G310" s="46"/>
      <c r="H310" s="45">
        <v>3033430.75</v>
      </c>
      <c r="I310" s="45">
        <v>3347904.3</v>
      </c>
      <c r="J310" s="45">
        <v>-2687081.27</v>
      </c>
      <c r="K310" s="45">
        <v>556208.77</v>
      </c>
      <c r="L310" s="46"/>
      <c r="M310" s="44">
        <v>4961760.2699999996</v>
      </c>
      <c r="N310" s="45">
        <v>31223.71</v>
      </c>
      <c r="O310" s="46"/>
      <c r="P310" s="46"/>
      <c r="Q310" s="45">
        <v>3518779.67</v>
      </c>
      <c r="R310" s="45">
        <v>3883568.99</v>
      </c>
      <c r="S310" s="45">
        <v>-3117014.27</v>
      </c>
      <c r="T310" s="45">
        <v>645202.17000000004</v>
      </c>
      <c r="U310" s="46"/>
      <c r="V310" s="46"/>
      <c r="W310" s="46"/>
      <c r="X310" s="46"/>
      <c r="Y310" s="46"/>
      <c r="Z310" s="50">
        <v>35000</v>
      </c>
      <c r="AA310" s="46"/>
      <c r="AB310" s="46"/>
      <c r="AC310" s="46"/>
      <c r="AD310" s="46"/>
      <c r="AE310" s="51">
        <v>35000</v>
      </c>
      <c r="AF310" s="46"/>
      <c r="AG310" s="46"/>
      <c r="AH310" s="46"/>
      <c r="AI310" s="44">
        <v>122.21084399999999</v>
      </c>
      <c r="AJ310" s="47" t="s">
        <v>33</v>
      </c>
      <c r="AK310" s="46"/>
      <c r="AL310" s="46"/>
      <c r="AM310" s="47" t="s">
        <v>33</v>
      </c>
      <c r="AN310" s="45">
        <v>95.654408571428576</v>
      </c>
      <c r="AO310" s="47" t="s">
        <v>33</v>
      </c>
      <c r="AP310" s="47" t="s">
        <v>33</v>
      </c>
      <c r="AQ310" s="46"/>
      <c r="AR310" s="50">
        <v>577094</v>
      </c>
      <c r="AS310" s="51">
        <v>12368</v>
      </c>
      <c r="AT310" s="46"/>
      <c r="AU310" s="46"/>
      <c r="AV310" s="51">
        <v>1334398</v>
      </c>
      <c r="AW310" s="51">
        <v>118464</v>
      </c>
      <c r="AX310" s="51">
        <v>-1149086</v>
      </c>
      <c r="AY310" s="51">
        <v>260950</v>
      </c>
      <c r="AZ310" s="46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</row>
    <row r="311" spans="1:158" x14ac:dyDescent="0.2">
      <c r="A311" s="1" t="s">
        <v>38</v>
      </c>
      <c r="B311" s="1" t="s">
        <v>633</v>
      </c>
      <c r="C311" s="1" t="s">
        <v>634</v>
      </c>
      <c r="D311" s="12">
        <v>36890.97</v>
      </c>
      <c r="E311" s="2">
        <v>4396.82</v>
      </c>
      <c r="F311" s="2">
        <v>4099.8999999999996</v>
      </c>
      <c r="G311" s="2">
        <v>6247.43</v>
      </c>
      <c r="H311" s="2">
        <v>4529.3900000000003</v>
      </c>
      <c r="I311" s="2">
        <v>3229.68</v>
      </c>
      <c r="J311" s="2">
        <v>5003.5600000000004</v>
      </c>
      <c r="K311" s="2">
        <v>4450.3900000000003</v>
      </c>
      <c r="L311" s="2">
        <v>4933.8</v>
      </c>
      <c r="M311" s="12">
        <v>42793.52</v>
      </c>
      <c r="N311" s="2">
        <v>5100.3100000000004</v>
      </c>
      <c r="O311" s="2">
        <v>4755.88</v>
      </c>
      <c r="P311" s="2">
        <v>7247.02</v>
      </c>
      <c r="Q311" s="2">
        <v>5254.09</v>
      </c>
      <c r="R311" s="2">
        <v>3746.43</v>
      </c>
      <c r="S311" s="2">
        <v>5804.13</v>
      </c>
      <c r="T311" s="2">
        <v>5162.45</v>
      </c>
      <c r="U311" s="2">
        <v>5723.21</v>
      </c>
      <c r="V311" s="2"/>
      <c r="W311" s="2"/>
      <c r="X311" s="2"/>
      <c r="Y311" s="2"/>
      <c r="Z311" s="13">
        <v>118</v>
      </c>
      <c r="AA311" s="4">
        <v>9</v>
      </c>
      <c r="AB311" s="4">
        <v>7</v>
      </c>
      <c r="AC311" s="4">
        <v>21</v>
      </c>
      <c r="AD311" s="4">
        <v>15</v>
      </c>
      <c r="AE311" s="4">
        <v>9</v>
      </c>
      <c r="AF311" s="4">
        <v>17</v>
      </c>
      <c r="AG311" s="4">
        <v>18</v>
      </c>
      <c r="AH311" s="4">
        <v>22</v>
      </c>
      <c r="AI311" s="12">
        <v>312.63533898305087</v>
      </c>
      <c r="AJ311" s="2">
        <v>488.53555555555556</v>
      </c>
      <c r="AK311" s="2">
        <v>585.70000000000005</v>
      </c>
      <c r="AL311" s="2">
        <v>297.49666666666667</v>
      </c>
      <c r="AM311" s="2">
        <v>301.95933333333335</v>
      </c>
      <c r="AN311" s="2">
        <v>358.85333333333335</v>
      </c>
      <c r="AO311" s="2">
        <v>294.3270588235294</v>
      </c>
      <c r="AP311" s="2">
        <v>247.2438888888889</v>
      </c>
      <c r="AQ311" s="2">
        <v>224.26363636363635</v>
      </c>
      <c r="AR311" s="13">
        <v>1420</v>
      </c>
      <c r="AS311" s="4">
        <v>22</v>
      </c>
      <c r="AT311" s="4">
        <v>80</v>
      </c>
      <c r="AU311" s="4">
        <v>150</v>
      </c>
      <c r="AV311" s="4">
        <v>118</v>
      </c>
      <c r="AW311" s="4">
        <v>236</v>
      </c>
      <c r="AX311" s="4">
        <v>240</v>
      </c>
      <c r="AY311" s="4">
        <v>224</v>
      </c>
      <c r="AZ311" s="4">
        <v>350</v>
      </c>
    </row>
    <row r="312" spans="1:158" x14ac:dyDescent="0.2">
      <c r="A312" s="1" t="s">
        <v>38</v>
      </c>
      <c r="B312" s="1" t="s">
        <v>635</v>
      </c>
      <c r="C312" s="1" t="s">
        <v>636</v>
      </c>
      <c r="D312" s="12">
        <v>45577.73</v>
      </c>
      <c r="E312" s="2">
        <v>4482.5</v>
      </c>
      <c r="F312" s="2">
        <v>8021.53</v>
      </c>
      <c r="G312" s="2">
        <v>7575.47</v>
      </c>
      <c r="H312" s="2">
        <v>8418.16</v>
      </c>
      <c r="I312" s="2">
        <v>7045.49</v>
      </c>
      <c r="J312" s="2">
        <v>6650.23</v>
      </c>
      <c r="K312" s="2">
        <v>3384.35</v>
      </c>
      <c r="L312" s="3"/>
      <c r="M312" s="12">
        <v>45629.86</v>
      </c>
      <c r="N312" s="2">
        <v>4482.5</v>
      </c>
      <c r="O312" s="2">
        <v>8053.79</v>
      </c>
      <c r="P312" s="2">
        <v>7575.47</v>
      </c>
      <c r="Q312" s="2">
        <v>8418.16</v>
      </c>
      <c r="R312" s="2">
        <v>7045.49</v>
      </c>
      <c r="S312" s="2">
        <v>6670.1</v>
      </c>
      <c r="T312" s="2">
        <v>3384.35</v>
      </c>
      <c r="U312" s="3"/>
      <c r="V312" s="3"/>
      <c r="W312" s="3"/>
      <c r="X312" s="3"/>
      <c r="Y312" s="3"/>
      <c r="Z312" s="13">
        <v>86</v>
      </c>
      <c r="AA312" s="4">
        <v>8</v>
      </c>
      <c r="AB312" s="4">
        <v>16</v>
      </c>
      <c r="AC312" s="4">
        <v>17</v>
      </c>
      <c r="AD312" s="4">
        <v>15</v>
      </c>
      <c r="AE312" s="4">
        <v>15</v>
      </c>
      <c r="AF312" s="4">
        <v>10</v>
      </c>
      <c r="AG312" s="4">
        <v>5</v>
      </c>
      <c r="AH312" s="3"/>
      <c r="AI312" s="12">
        <v>529.97360465116276</v>
      </c>
      <c r="AJ312" s="2">
        <v>560.3125</v>
      </c>
      <c r="AK312" s="2">
        <v>501.34562499999998</v>
      </c>
      <c r="AL312" s="2">
        <v>445.61588235294118</v>
      </c>
      <c r="AM312" s="2">
        <v>561.21066666666673</v>
      </c>
      <c r="AN312" s="2">
        <v>469.69933333333336</v>
      </c>
      <c r="AO312" s="2">
        <v>665.02300000000002</v>
      </c>
      <c r="AP312" s="2">
        <v>676.87</v>
      </c>
      <c r="AQ312" s="3"/>
      <c r="AR312" s="13">
        <v>518</v>
      </c>
      <c r="AS312" s="4">
        <v>41.7</v>
      </c>
      <c r="AT312" s="4">
        <v>137.5</v>
      </c>
      <c r="AU312" s="4">
        <v>88.8</v>
      </c>
      <c r="AV312" s="4">
        <v>97.1</v>
      </c>
      <c r="AW312" s="4">
        <v>89.7</v>
      </c>
      <c r="AX312" s="4">
        <v>41.9</v>
      </c>
      <c r="AY312" s="4">
        <v>21.3</v>
      </c>
      <c r="AZ312" s="3"/>
    </row>
    <row r="313" spans="1:158" s="41" customFormat="1" x14ac:dyDescent="0.2">
      <c r="A313" s="33" t="s">
        <v>38</v>
      </c>
      <c r="B313" s="33" t="s">
        <v>637</v>
      </c>
      <c r="C313" s="33" t="s">
        <v>638</v>
      </c>
      <c r="D313" s="34">
        <v>333.36</v>
      </c>
      <c r="E313" s="36">
        <v>54.1</v>
      </c>
      <c r="F313" s="35"/>
      <c r="G313" s="35"/>
      <c r="H313" s="36">
        <v>124.28</v>
      </c>
      <c r="I313" s="36">
        <v>154.97999999999999</v>
      </c>
      <c r="J313" s="35"/>
      <c r="K313" s="35"/>
      <c r="L313" s="35"/>
      <c r="M313" s="34">
        <v>386.7</v>
      </c>
      <c r="N313" s="36">
        <v>62.76</v>
      </c>
      <c r="O313" s="35"/>
      <c r="P313" s="35"/>
      <c r="Q313" s="36">
        <v>144.16</v>
      </c>
      <c r="R313" s="36">
        <v>179.78</v>
      </c>
      <c r="S313" s="35"/>
      <c r="T313" s="35"/>
      <c r="U313" s="35"/>
      <c r="V313" s="35"/>
      <c r="W313" s="35"/>
      <c r="X313" s="35"/>
      <c r="Y313" s="35"/>
      <c r="Z313" s="42"/>
      <c r="AA313" s="35"/>
      <c r="AB313" s="35"/>
      <c r="AC313" s="35"/>
      <c r="AD313" s="35"/>
      <c r="AE313" s="35"/>
      <c r="AF313" s="35"/>
      <c r="AG313" s="35"/>
      <c r="AH313" s="35"/>
      <c r="AI313" s="37" t="s">
        <v>33</v>
      </c>
      <c r="AJ313" s="38" t="s">
        <v>33</v>
      </c>
      <c r="AK313" s="35"/>
      <c r="AL313" s="35"/>
      <c r="AM313" s="38" t="s">
        <v>33</v>
      </c>
      <c r="AN313" s="38" t="s">
        <v>33</v>
      </c>
      <c r="AO313" s="35"/>
      <c r="AP313" s="35"/>
      <c r="AQ313" s="35"/>
      <c r="AR313" s="39">
        <v>40</v>
      </c>
      <c r="AS313" s="40">
        <v>10</v>
      </c>
      <c r="AT313" s="35"/>
      <c r="AU313" s="35"/>
      <c r="AV313" s="40">
        <v>2</v>
      </c>
      <c r="AW313" s="40">
        <v>28</v>
      </c>
      <c r="AX313" s="35"/>
      <c r="AY313" s="35"/>
      <c r="AZ313" s="35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</row>
    <row r="314" spans="1:158" s="41" customFormat="1" x14ac:dyDescent="0.2">
      <c r="A314" s="33" t="s">
        <v>38</v>
      </c>
      <c r="B314" s="33" t="s">
        <v>639</v>
      </c>
      <c r="C314" s="33" t="s">
        <v>640</v>
      </c>
      <c r="D314" s="34">
        <v>322444.5</v>
      </c>
      <c r="E314" s="36">
        <v>317164.5</v>
      </c>
      <c r="F314" s="36">
        <v>5280</v>
      </c>
      <c r="G314" s="35"/>
      <c r="H314" s="35"/>
      <c r="I314" s="35"/>
      <c r="J314" s="35"/>
      <c r="K314" s="35"/>
      <c r="L314" s="35"/>
      <c r="M314" s="34">
        <v>374035.62</v>
      </c>
      <c r="N314" s="36">
        <v>367910.82</v>
      </c>
      <c r="O314" s="36">
        <v>6124.8</v>
      </c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42"/>
      <c r="AA314" s="35"/>
      <c r="AB314" s="35"/>
      <c r="AC314" s="35"/>
      <c r="AD314" s="35"/>
      <c r="AE314" s="35"/>
      <c r="AF314" s="35"/>
      <c r="AG314" s="35"/>
      <c r="AH314" s="35"/>
      <c r="AI314" s="37" t="s">
        <v>33</v>
      </c>
      <c r="AJ314" s="38" t="s">
        <v>33</v>
      </c>
      <c r="AK314" s="38" t="s">
        <v>33</v>
      </c>
      <c r="AL314" s="35"/>
      <c r="AM314" s="35"/>
      <c r="AN314" s="35"/>
      <c r="AO314" s="35"/>
      <c r="AP314" s="35"/>
      <c r="AQ314" s="35"/>
      <c r="AR314" s="39">
        <v>39290</v>
      </c>
      <c r="AS314" s="40">
        <v>39290</v>
      </c>
      <c r="AT314" s="35"/>
      <c r="AU314" s="35"/>
      <c r="AV314" s="35"/>
      <c r="AW314" s="35"/>
      <c r="AX314" s="35"/>
      <c r="AY314" s="35"/>
      <c r="AZ314" s="35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</row>
    <row r="315" spans="1:158" x14ac:dyDescent="0.2">
      <c r="A315" s="1" t="s">
        <v>38</v>
      </c>
      <c r="B315" s="1" t="s">
        <v>641</v>
      </c>
      <c r="C315" s="1" t="s">
        <v>642</v>
      </c>
      <c r="D315" s="12">
        <v>213202.85</v>
      </c>
      <c r="E315" s="3"/>
      <c r="F315" s="3"/>
      <c r="G315" s="3"/>
      <c r="H315" s="3"/>
      <c r="I315" s="2">
        <v>4569.5</v>
      </c>
      <c r="J315" s="2">
        <v>95877.5</v>
      </c>
      <c r="K315" s="2">
        <v>112755.85</v>
      </c>
      <c r="L315" s="3"/>
      <c r="M315" s="12">
        <v>247315.31</v>
      </c>
      <c r="N315" s="3"/>
      <c r="O315" s="3"/>
      <c r="P315" s="3"/>
      <c r="Q315" s="3"/>
      <c r="R315" s="2">
        <v>5300.62</v>
      </c>
      <c r="S315" s="2">
        <v>111217.9</v>
      </c>
      <c r="T315" s="2">
        <v>130796.79</v>
      </c>
      <c r="U315" s="3"/>
      <c r="V315" s="3"/>
      <c r="W315" s="3"/>
      <c r="X315" s="3"/>
      <c r="Y315" s="3"/>
      <c r="Z315" s="13">
        <v>769</v>
      </c>
      <c r="AA315" s="3"/>
      <c r="AB315" s="3"/>
      <c r="AC315" s="3"/>
      <c r="AD315" s="3"/>
      <c r="AE315" s="4">
        <v>18</v>
      </c>
      <c r="AF315" s="4">
        <v>333</v>
      </c>
      <c r="AG315" s="4">
        <v>418</v>
      </c>
      <c r="AH315" s="3"/>
      <c r="AI315" s="12">
        <v>277.24687906371912</v>
      </c>
      <c r="AJ315" s="3"/>
      <c r="AK315" s="3"/>
      <c r="AL315" s="3"/>
      <c r="AM315" s="3"/>
      <c r="AN315" s="2">
        <v>253.86111111111111</v>
      </c>
      <c r="AO315" s="2">
        <v>287.92042042042044</v>
      </c>
      <c r="AP315" s="2">
        <v>269.75083732057413</v>
      </c>
      <c r="AQ315" s="3"/>
      <c r="AR315" s="16"/>
      <c r="AS315" s="3"/>
      <c r="AT315" s="3"/>
      <c r="AU315" s="3"/>
      <c r="AV315" s="3"/>
      <c r="AW315" s="4">
        <v>624</v>
      </c>
      <c r="AX315" s="4">
        <v>-624</v>
      </c>
      <c r="AY315" s="3"/>
      <c r="AZ315" s="3"/>
    </row>
    <row r="316" spans="1:158" x14ac:dyDescent="0.2">
      <c r="A316" s="1" t="s">
        <v>38</v>
      </c>
      <c r="B316" s="1" t="s">
        <v>643</v>
      </c>
      <c r="C316" s="1" t="s">
        <v>644</v>
      </c>
      <c r="D316" s="12">
        <v>7226.27</v>
      </c>
      <c r="E316" s="2">
        <v>239.65</v>
      </c>
      <c r="F316" s="2">
        <v>639.89</v>
      </c>
      <c r="G316" s="2">
        <v>387.72</v>
      </c>
      <c r="H316" s="2">
        <v>368.1</v>
      </c>
      <c r="I316" s="2">
        <v>413.91</v>
      </c>
      <c r="J316" s="2">
        <v>4097.6499999999996</v>
      </c>
      <c r="K316" s="2">
        <v>968.23</v>
      </c>
      <c r="L316" s="2">
        <v>111.12</v>
      </c>
      <c r="M316" s="12">
        <v>8382.48</v>
      </c>
      <c r="N316" s="2">
        <v>277.99</v>
      </c>
      <c r="O316" s="2">
        <v>742.27</v>
      </c>
      <c r="P316" s="2">
        <v>449.76</v>
      </c>
      <c r="Q316" s="2">
        <v>427</v>
      </c>
      <c r="R316" s="2">
        <v>480.14</v>
      </c>
      <c r="S316" s="2">
        <v>4753.2700000000004</v>
      </c>
      <c r="T316" s="2">
        <v>1123.1500000000001</v>
      </c>
      <c r="U316" s="2">
        <v>128.9</v>
      </c>
      <c r="V316" s="2"/>
      <c r="W316" s="2"/>
      <c r="X316" s="2"/>
      <c r="Y316" s="2"/>
      <c r="Z316" s="17"/>
      <c r="AA316" s="3"/>
      <c r="AB316" s="3"/>
      <c r="AC316" s="3"/>
      <c r="AD316" s="3"/>
      <c r="AE316" s="3"/>
      <c r="AF316" s="3"/>
      <c r="AG316" s="3"/>
      <c r="AH316" s="3"/>
      <c r="AI316" s="16" t="s">
        <v>33</v>
      </c>
      <c r="AJ316" s="5" t="s">
        <v>33</v>
      </c>
      <c r="AK316" s="5" t="s">
        <v>33</v>
      </c>
      <c r="AL316" s="5" t="s">
        <v>33</v>
      </c>
      <c r="AM316" s="5" t="s">
        <v>33</v>
      </c>
      <c r="AN316" s="5" t="s">
        <v>33</v>
      </c>
      <c r="AO316" s="5" t="s">
        <v>33</v>
      </c>
      <c r="AP316" s="5" t="s">
        <v>33</v>
      </c>
      <c r="AQ316" s="5" t="s">
        <v>33</v>
      </c>
      <c r="AR316" s="13">
        <v>352</v>
      </c>
      <c r="AS316" s="4">
        <v>6</v>
      </c>
      <c r="AT316" s="4">
        <v>30</v>
      </c>
      <c r="AU316" s="4">
        <v>14</v>
      </c>
      <c r="AV316" s="4">
        <v>48</v>
      </c>
      <c r="AW316" s="4">
        <v>10</v>
      </c>
      <c r="AX316" s="4">
        <v>186</v>
      </c>
      <c r="AY316" s="4">
        <v>52</v>
      </c>
      <c r="AZ316" s="4">
        <v>6</v>
      </c>
    </row>
    <row r="317" spans="1:158" s="41" customFormat="1" x14ac:dyDescent="0.2">
      <c r="A317" s="33" t="s">
        <v>38</v>
      </c>
      <c r="B317" s="33" t="s">
        <v>645</v>
      </c>
      <c r="C317" s="33" t="s">
        <v>646</v>
      </c>
      <c r="D317" s="34">
        <v>29422.12</v>
      </c>
      <c r="E317" s="36">
        <v>12227.61</v>
      </c>
      <c r="F317" s="36">
        <v>-537.64</v>
      </c>
      <c r="G317" s="36">
        <v>10443.1</v>
      </c>
      <c r="H317" s="36">
        <v>1665.68</v>
      </c>
      <c r="I317" s="36">
        <v>4804.43</v>
      </c>
      <c r="J317" s="36">
        <v>818.94</v>
      </c>
      <c r="K317" s="35"/>
      <c r="L317" s="35"/>
      <c r="M317" s="34">
        <v>34129.67</v>
      </c>
      <c r="N317" s="36">
        <v>14184.03</v>
      </c>
      <c r="O317" s="36">
        <v>-623.66</v>
      </c>
      <c r="P317" s="36">
        <v>12114</v>
      </c>
      <c r="Q317" s="36">
        <v>1932.19</v>
      </c>
      <c r="R317" s="36">
        <v>5573.14</v>
      </c>
      <c r="S317" s="36">
        <v>949.97</v>
      </c>
      <c r="T317" s="35"/>
      <c r="U317" s="35"/>
      <c r="V317" s="35"/>
      <c r="W317" s="35"/>
      <c r="X317" s="35"/>
      <c r="Y317" s="35"/>
      <c r="Z317" s="39">
        <v>162</v>
      </c>
      <c r="AA317" s="40">
        <v>70</v>
      </c>
      <c r="AB317" s="40">
        <v>3</v>
      </c>
      <c r="AC317" s="40">
        <v>51</v>
      </c>
      <c r="AD317" s="40">
        <v>9</v>
      </c>
      <c r="AE317" s="40">
        <v>25</v>
      </c>
      <c r="AF317" s="40">
        <v>4</v>
      </c>
      <c r="AG317" s="35"/>
      <c r="AH317" s="35"/>
      <c r="AI317" s="34">
        <v>181.61802469135802</v>
      </c>
      <c r="AJ317" s="36">
        <v>174.68014285714287</v>
      </c>
      <c r="AK317" s="36">
        <v>-179.21333333333334</v>
      </c>
      <c r="AL317" s="36">
        <v>204.76666666666668</v>
      </c>
      <c r="AM317" s="36">
        <v>185.07555555555555</v>
      </c>
      <c r="AN317" s="36">
        <v>192.1772</v>
      </c>
      <c r="AO317" s="36">
        <v>204.73500000000001</v>
      </c>
      <c r="AP317" s="35"/>
      <c r="AQ317" s="35"/>
      <c r="AR317" s="39">
        <v>106</v>
      </c>
      <c r="AS317" s="40">
        <v>552</v>
      </c>
      <c r="AT317" s="40">
        <v>-548</v>
      </c>
      <c r="AU317" s="40">
        <v>78</v>
      </c>
      <c r="AV317" s="40">
        <v>8</v>
      </c>
      <c r="AW317" s="40">
        <v>12</v>
      </c>
      <c r="AX317" s="40">
        <v>4</v>
      </c>
      <c r="AY317" s="35"/>
      <c r="AZ317" s="35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</row>
    <row r="318" spans="1:158" x14ac:dyDescent="0.2">
      <c r="A318" s="1" t="s">
        <v>38</v>
      </c>
      <c r="B318" s="1" t="s">
        <v>647</v>
      </c>
      <c r="C318" s="1" t="s">
        <v>648</v>
      </c>
      <c r="D318" s="12">
        <v>11063.5</v>
      </c>
      <c r="E318" s="2">
        <v>1413.98</v>
      </c>
      <c r="F318" s="3"/>
      <c r="G318" s="2">
        <v>-2990.22</v>
      </c>
      <c r="H318" s="3"/>
      <c r="I318" s="2">
        <v>1529.54</v>
      </c>
      <c r="J318" s="2">
        <v>8315.19</v>
      </c>
      <c r="K318" s="2">
        <v>1124.9000000000001</v>
      </c>
      <c r="L318" s="2">
        <v>1670.11</v>
      </c>
      <c r="M318" s="12">
        <v>12833.66</v>
      </c>
      <c r="N318" s="2">
        <v>1640.22</v>
      </c>
      <c r="O318" s="3"/>
      <c r="P318" s="2">
        <v>-3468.66</v>
      </c>
      <c r="Q318" s="3"/>
      <c r="R318" s="2">
        <v>1774.27</v>
      </c>
      <c r="S318" s="2">
        <v>9645.6200000000008</v>
      </c>
      <c r="T318" s="2">
        <v>1304.8800000000001</v>
      </c>
      <c r="U318" s="2">
        <v>1937.33</v>
      </c>
      <c r="V318" s="2"/>
      <c r="W318" s="2"/>
      <c r="X318" s="2"/>
      <c r="Y318" s="2"/>
      <c r="Z318" s="13">
        <v>60</v>
      </c>
      <c r="AA318" s="3"/>
      <c r="AB318" s="3"/>
      <c r="AC318" s="3"/>
      <c r="AD318" s="3"/>
      <c r="AE318" s="4">
        <v>10</v>
      </c>
      <c r="AF318" s="4">
        <v>50</v>
      </c>
      <c r="AG318" s="3"/>
      <c r="AH318" s="3"/>
      <c r="AI318" s="12">
        <v>184.39166666666668</v>
      </c>
      <c r="AJ318" s="5" t="s">
        <v>33</v>
      </c>
      <c r="AK318" s="3"/>
      <c r="AL318" s="5" t="s">
        <v>33</v>
      </c>
      <c r="AM318" s="3"/>
      <c r="AN318" s="2">
        <v>152.95400000000001</v>
      </c>
      <c r="AO318" s="2">
        <v>166.3038</v>
      </c>
      <c r="AP318" s="5" t="s">
        <v>33</v>
      </c>
      <c r="AQ318" s="5" t="s">
        <v>33</v>
      </c>
      <c r="AR318" s="13">
        <v>1694</v>
      </c>
      <c r="AS318" s="4">
        <v>244</v>
      </c>
      <c r="AT318" s="3"/>
      <c r="AU318" s="4">
        <v>-516</v>
      </c>
      <c r="AV318" s="3"/>
      <c r="AW318" s="4">
        <v>54</v>
      </c>
      <c r="AX318" s="4">
        <v>320</v>
      </c>
      <c r="AY318" s="4">
        <v>976</v>
      </c>
      <c r="AZ318" s="4">
        <v>616</v>
      </c>
    </row>
    <row r="319" spans="1:158" x14ac:dyDescent="0.2">
      <c r="A319" s="1" t="s">
        <v>38</v>
      </c>
      <c r="B319" s="1" t="s">
        <v>649</v>
      </c>
      <c r="C319" s="1" t="s">
        <v>650</v>
      </c>
      <c r="D319" s="12">
        <v>386453.75</v>
      </c>
      <c r="E319" s="2">
        <v>12470.3</v>
      </c>
      <c r="F319" s="2">
        <v>51918.239999999998</v>
      </c>
      <c r="G319" s="2">
        <v>51522.03</v>
      </c>
      <c r="H319" s="2">
        <v>43856.73</v>
      </c>
      <c r="I319" s="2">
        <v>58723.65</v>
      </c>
      <c r="J319" s="2">
        <v>77197.070000000007</v>
      </c>
      <c r="K319" s="2">
        <v>50118.2</v>
      </c>
      <c r="L319" s="2">
        <v>40647.53</v>
      </c>
      <c r="M319" s="12">
        <v>448286.34</v>
      </c>
      <c r="N319" s="2">
        <v>14465.55</v>
      </c>
      <c r="O319" s="2">
        <v>60225.16</v>
      </c>
      <c r="P319" s="2">
        <v>59765.55</v>
      </c>
      <c r="Q319" s="2">
        <v>50873.81</v>
      </c>
      <c r="R319" s="2">
        <v>68119.429999999993</v>
      </c>
      <c r="S319" s="2">
        <v>89548.6</v>
      </c>
      <c r="T319" s="2">
        <v>58137.11</v>
      </c>
      <c r="U319" s="2">
        <v>47151.13</v>
      </c>
      <c r="V319" s="2"/>
      <c r="W319" s="2"/>
      <c r="X319" s="2"/>
      <c r="Y319" s="2"/>
      <c r="Z319" s="13">
        <v>1603</v>
      </c>
      <c r="AA319" s="4">
        <v>40</v>
      </c>
      <c r="AB319" s="4">
        <v>165</v>
      </c>
      <c r="AC319" s="4">
        <v>202</v>
      </c>
      <c r="AD319" s="4">
        <v>192</v>
      </c>
      <c r="AE319" s="4">
        <v>262</v>
      </c>
      <c r="AF319" s="4">
        <v>359</v>
      </c>
      <c r="AG319" s="4">
        <v>216</v>
      </c>
      <c r="AH319" s="4">
        <v>167</v>
      </c>
      <c r="AI319" s="12">
        <v>241.08156581409858</v>
      </c>
      <c r="AJ319" s="2">
        <v>311.75749999999999</v>
      </c>
      <c r="AK319" s="2">
        <v>314.65600000000001</v>
      </c>
      <c r="AL319" s="2">
        <v>255.05955445544555</v>
      </c>
      <c r="AM319" s="2">
        <v>228.42046875</v>
      </c>
      <c r="AN319" s="2">
        <v>224.13606870229009</v>
      </c>
      <c r="AO319" s="2">
        <v>215.03362116991644</v>
      </c>
      <c r="AP319" s="2">
        <v>232.02870370370371</v>
      </c>
      <c r="AQ319" s="2">
        <v>243.39838323353294</v>
      </c>
      <c r="AR319" s="13">
        <v>5168</v>
      </c>
      <c r="AS319" s="4">
        <v>324</v>
      </c>
      <c r="AT319" s="4">
        <v>496</v>
      </c>
      <c r="AU319" s="4">
        <v>854</v>
      </c>
      <c r="AV319" s="4">
        <v>256</v>
      </c>
      <c r="AW319" s="4">
        <v>708</v>
      </c>
      <c r="AX319" s="4">
        <v>1338</v>
      </c>
      <c r="AY319" s="4">
        <v>470</v>
      </c>
      <c r="AZ319" s="4">
        <v>722</v>
      </c>
    </row>
    <row r="320" spans="1:158" s="52" customFormat="1" x14ac:dyDescent="0.2">
      <c r="A320" s="43" t="s">
        <v>38</v>
      </c>
      <c r="B320" s="43" t="s">
        <v>651</v>
      </c>
      <c r="C320" s="43" t="s">
        <v>652</v>
      </c>
      <c r="D320" s="44">
        <v>20680.05</v>
      </c>
      <c r="E320" s="45">
        <v>6214.79</v>
      </c>
      <c r="F320" s="45">
        <v>2343.48</v>
      </c>
      <c r="G320" s="45">
        <v>150</v>
      </c>
      <c r="H320" s="45">
        <v>263.27999999999997</v>
      </c>
      <c r="I320" s="45">
        <v>12125.98</v>
      </c>
      <c r="J320" s="45">
        <v>-7873.63</v>
      </c>
      <c r="K320" s="45">
        <v>7456.15</v>
      </c>
      <c r="L320" s="46"/>
      <c r="M320" s="44">
        <v>23988.86</v>
      </c>
      <c r="N320" s="45">
        <v>7209.16</v>
      </c>
      <c r="O320" s="45">
        <v>2718.44</v>
      </c>
      <c r="P320" s="45">
        <v>174</v>
      </c>
      <c r="Q320" s="45">
        <v>305.39999999999998</v>
      </c>
      <c r="R320" s="45">
        <v>14066.14</v>
      </c>
      <c r="S320" s="45">
        <v>-9133.41</v>
      </c>
      <c r="T320" s="45">
        <v>8649.1299999999992</v>
      </c>
      <c r="U320" s="46"/>
      <c r="V320" s="46"/>
      <c r="W320" s="46"/>
      <c r="X320" s="46"/>
      <c r="Y320" s="46"/>
      <c r="Z320" s="48"/>
      <c r="AA320" s="46"/>
      <c r="AB320" s="46"/>
      <c r="AC320" s="46"/>
      <c r="AD320" s="46"/>
      <c r="AE320" s="46"/>
      <c r="AF320" s="46"/>
      <c r="AG320" s="46"/>
      <c r="AH320" s="46"/>
      <c r="AI320" s="49" t="s">
        <v>33</v>
      </c>
      <c r="AJ320" s="47" t="s">
        <v>33</v>
      </c>
      <c r="AK320" s="47" t="s">
        <v>33</v>
      </c>
      <c r="AL320" s="47" t="s">
        <v>33</v>
      </c>
      <c r="AM320" s="47" t="s">
        <v>33</v>
      </c>
      <c r="AN320" s="47" t="s">
        <v>33</v>
      </c>
      <c r="AO320" s="47" t="s">
        <v>33</v>
      </c>
      <c r="AP320" s="47" t="s">
        <v>33</v>
      </c>
      <c r="AQ320" s="46"/>
      <c r="AR320" s="50">
        <v>452</v>
      </c>
      <c r="AS320" s="51">
        <v>150</v>
      </c>
      <c r="AT320" s="51">
        <v>52</v>
      </c>
      <c r="AU320" s="46"/>
      <c r="AV320" s="46"/>
      <c r="AW320" s="51">
        <v>274</v>
      </c>
      <c r="AX320" s="51">
        <v>-188</v>
      </c>
      <c r="AY320" s="51">
        <v>164</v>
      </c>
      <c r="AZ320" s="46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</row>
    <row r="321" spans="1:158" s="41" customFormat="1" x14ac:dyDescent="0.2">
      <c r="A321" s="33" t="s">
        <v>38</v>
      </c>
      <c r="B321" s="33" t="s">
        <v>653</v>
      </c>
      <c r="C321" s="33" t="s">
        <v>654</v>
      </c>
      <c r="D321" s="34">
        <v>-27000</v>
      </c>
      <c r="E321" s="36">
        <v>-27000</v>
      </c>
      <c r="F321" s="35"/>
      <c r="G321" s="35"/>
      <c r="H321" s="35"/>
      <c r="I321" s="35"/>
      <c r="J321" s="35"/>
      <c r="K321" s="35"/>
      <c r="L321" s="35"/>
      <c r="M321" s="34">
        <v>-31320</v>
      </c>
      <c r="N321" s="36">
        <v>-31320</v>
      </c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9">
        <v>-150</v>
      </c>
      <c r="AA321" s="40">
        <v>-150</v>
      </c>
      <c r="AB321" s="35"/>
      <c r="AC321" s="35"/>
      <c r="AD321" s="35"/>
      <c r="AE321" s="35"/>
      <c r="AF321" s="35"/>
      <c r="AG321" s="35"/>
      <c r="AH321" s="35"/>
      <c r="AI321" s="34">
        <v>180</v>
      </c>
      <c r="AJ321" s="36">
        <v>180</v>
      </c>
      <c r="AK321" s="35"/>
      <c r="AL321" s="35"/>
      <c r="AM321" s="35"/>
      <c r="AN321" s="35"/>
      <c r="AO321" s="35"/>
      <c r="AP321" s="35"/>
      <c r="AQ321" s="35"/>
      <c r="AR321" s="42"/>
      <c r="AS321" s="35"/>
      <c r="AT321" s="35"/>
      <c r="AU321" s="35"/>
      <c r="AV321" s="35"/>
      <c r="AW321" s="35"/>
      <c r="AX321" s="35"/>
      <c r="AY321" s="35"/>
      <c r="AZ321" s="35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</row>
    <row r="322" spans="1:158" s="29" customFormat="1" x14ac:dyDescent="0.2">
      <c r="A322" s="23" t="s">
        <v>38</v>
      </c>
      <c r="B322" s="23" t="s">
        <v>655</v>
      </c>
      <c r="C322" s="23" t="s">
        <v>656</v>
      </c>
      <c r="D322" s="24">
        <v>3359042.02</v>
      </c>
      <c r="E322" s="25">
        <v>1824699.27</v>
      </c>
      <c r="F322" s="25">
        <v>1534342.75</v>
      </c>
      <c r="G322" s="26"/>
      <c r="H322" s="26"/>
      <c r="I322" s="26"/>
      <c r="J322" s="26"/>
      <c r="K322" s="26"/>
      <c r="L322" s="26"/>
      <c r="M322" s="24">
        <v>3895484.57</v>
      </c>
      <c r="N322" s="25">
        <v>2116049.54</v>
      </c>
      <c r="O322" s="25">
        <v>1779435.03</v>
      </c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7">
        <v>34984</v>
      </c>
      <c r="AA322" s="28">
        <v>19844</v>
      </c>
      <c r="AB322" s="28">
        <v>15140</v>
      </c>
      <c r="AC322" s="26"/>
      <c r="AD322" s="26"/>
      <c r="AE322" s="26"/>
      <c r="AF322" s="26"/>
      <c r="AG322" s="26"/>
      <c r="AH322" s="26"/>
      <c r="AI322" s="24">
        <v>96.016522410244676</v>
      </c>
      <c r="AJ322" s="25">
        <v>91.952190586575284</v>
      </c>
      <c r="AK322" s="25">
        <v>101.343642668428</v>
      </c>
      <c r="AL322" s="26"/>
      <c r="AM322" s="26"/>
      <c r="AN322" s="26"/>
      <c r="AO322" s="26"/>
      <c r="AP322" s="26"/>
      <c r="AQ322" s="26"/>
      <c r="AR322" s="27">
        <v>16829.599999999999</v>
      </c>
      <c r="AS322" s="28">
        <v>7594.2</v>
      </c>
      <c r="AT322" s="28">
        <v>9235.4</v>
      </c>
      <c r="AU322" s="26"/>
      <c r="AV322" s="26"/>
      <c r="AW322" s="26"/>
      <c r="AX322" s="26"/>
      <c r="AY322" s="26"/>
      <c r="AZ322" s="26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</row>
    <row r="323" spans="1:158" x14ac:dyDescent="0.2">
      <c r="A323" s="1" t="s">
        <v>38</v>
      </c>
      <c r="B323" s="1" t="s">
        <v>657</v>
      </c>
      <c r="C323" s="1" t="s">
        <v>658</v>
      </c>
      <c r="D323" s="12">
        <v>9685.5499999999993</v>
      </c>
      <c r="E323" s="3"/>
      <c r="F323" s="3"/>
      <c r="G323" s="3"/>
      <c r="H323" s="3"/>
      <c r="I323" s="3"/>
      <c r="J323" s="2">
        <v>3560.21</v>
      </c>
      <c r="K323" s="2">
        <v>6125.34</v>
      </c>
      <c r="L323" s="3"/>
      <c r="M323" s="12">
        <v>11235.23</v>
      </c>
      <c r="N323" s="3"/>
      <c r="O323" s="3"/>
      <c r="P323" s="3"/>
      <c r="Q323" s="3"/>
      <c r="R323" s="3"/>
      <c r="S323" s="2">
        <v>4129.84</v>
      </c>
      <c r="T323" s="2">
        <v>7105.39</v>
      </c>
      <c r="U323" s="3"/>
      <c r="V323" s="3"/>
      <c r="W323" s="3"/>
      <c r="X323" s="3"/>
      <c r="Y323" s="3"/>
      <c r="Z323" s="13">
        <v>33</v>
      </c>
      <c r="AA323" s="3"/>
      <c r="AB323" s="3"/>
      <c r="AC323" s="3"/>
      <c r="AD323" s="3"/>
      <c r="AE323" s="3"/>
      <c r="AF323" s="4">
        <v>7</v>
      </c>
      <c r="AG323" s="4">
        <v>26</v>
      </c>
      <c r="AH323" s="3"/>
      <c r="AI323" s="12">
        <v>293.50151515151515</v>
      </c>
      <c r="AJ323" s="3"/>
      <c r="AK323" s="3"/>
      <c r="AL323" s="3"/>
      <c r="AM323" s="3"/>
      <c r="AN323" s="3"/>
      <c r="AO323" s="2">
        <v>508.60142857142858</v>
      </c>
      <c r="AP323" s="2">
        <v>235.59</v>
      </c>
      <c r="AQ323" s="3"/>
      <c r="AR323" s="13">
        <v>58</v>
      </c>
      <c r="AS323" s="3"/>
      <c r="AT323" s="3"/>
      <c r="AU323" s="3"/>
      <c r="AV323" s="3"/>
      <c r="AW323" s="3"/>
      <c r="AX323" s="4">
        <v>48</v>
      </c>
      <c r="AY323" s="4">
        <v>10</v>
      </c>
      <c r="AZ323" s="3"/>
    </row>
    <row r="324" spans="1:158" x14ac:dyDescent="0.2">
      <c r="A324" s="1" t="s">
        <v>38</v>
      </c>
      <c r="B324" s="1" t="s">
        <v>659</v>
      </c>
      <c r="C324" s="1" t="s">
        <v>660</v>
      </c>
      <c r="D324" s="12">
        <v>14737.37</v>
      </c>
      <c r="E324" s="2">
        <v>505.49</v>
      </c>
      <c r="F324" s="2">
        <v>42.84</v>
      </c>
      <c r="G324" s="2">
        <v>182.28</v>
      </c>
      <c r="H324" s="2">
        <v>183.26</v>
      </c>
      <c r="I324" s="3"/>
      <c r="J324" s="3"/>
      <c r="K324" s="3"/>
      <c r="L324" s="2">
        <v>13823.5</v>
      </c>
      <c r="M324" s="12">
        <v>17095.34</v>
      </c>
      <c r="N324" s="2">
        <v>586.37</v>
      </c>
      <c r="O324" s="2">
        <v>49.69</v>
      </c>
      <c r="P324" s="2">
        <v>211.44</v>
      </c>
      <c r="Q324" s="2">
        <v>212.58</v>
      </c>
      <c r="R324" s="3"/>
      <c r="S324" s="3"/>
      <c r="T324" s="3"/>
      <c r="U324" s="2">
        <v>16035.26</v>
      </c>
      <c r="V324" s="2"/>
      <c r="W324" s="2"/>
      <c r="X324" s="2"/>
      <c r="Y324" s="2"/>
      <c r="Z324" s="13">
        <v>50</v>
      </c>
      <c r="AA324" s="3"/>
      <c r="AB324" s="3"/>
      <c r="AC324" s="3"/>
      <c r="AD324" s="3"/>
      <c r="AE324" s="3"/>
      <c r="AF324" s="3"/>
      <c r="AG324" s="3"/>
      <c r="AH324" s="4">
        <v>50</v>
      </c>
      <c r="AI324" s="12">
        <v>294.74740000000003</v>
      </c>
      <c r="AJ324" s="5" t="s">
        <v>33</v>
      </c>
      <c r="AK324" s="5" t="s">
        <v>33</v>
      </c>
      <c r="AL324" s="5" t="s">
        <v>33</v>
      </c>
      <c r="AM324" s="5" t="s">
        <v>33</v>
      </c>
      <c r="AN324" s="3"/>
      <c r="AO324" s="3"/>
      <c r="AP324" s="3"/>
      <c r="AQ324" s="2">
        <v>276.47000000000003</v>
      </c>
      <c r="AR324" s="13">
        <v>182</v>
      </c>
      <c r="AS324" s="4">
        <v>106</v>
      </c>
      <c r="AT324" s="4">
        <v>8</v>
      </c>
      <c r="AU324" s="4">
        <v>34</v>
      </c>
      <c r="AV324" s="4">
        <v>34</v>
      </c>
      <c r="AW324" s="3"/>
      <c r="AX324" s="3"/>
      <c r="AY324" s="3"/>
      <c r="AZ324" s="3"/>
    </row>
    <row r="325" spans="1:158" x14ac:dyDescent="0.2">
      <c r="A325" s="1" t="s">
        <v>38</v>
      </c>
      <c r="B325" s="1" t="s">
        <v>661</v>
      </c>
      <c r="C325" s="1" t="s">
        <v>662</v>
      </c>
      <c r="D325" s="12">
        <v>163711.99</v>
      </c>
      <c r="E325" s="2">
        <v>1187.6199999999999</v>
      </c>
      <c r="F325" s="2">
        <v>28800.79</v>
      </c>
      <c r="G325" s="2">
        <v>15274.11</v>
      </c>
      <c r="H325" s="2">
        <v>39926.089999999997</v>
      </c>
      <c r="I325" s="2">
        <v>18017</v>
      </c>
      <c r="J325" s="2">
        <v>17260.14</v>
      </c>
      <c r="K325" s="2">
        <v>10411.24</v>
      </c>
      <c r="L325" s="2">
        <v>32835</v>
      </c>
      <c r="M325" s="12">
        <v>189905.91</v>
      </c>
      <c r="N325" s="2">
        <v>1377.64</v>
      </c>
      <c r="O325" s="2">
        <v>33408.92</v>
      </c>
      <c r="P325" s="2">
        <v>17717.97</v>
      </c>
      <c r="Q325" s="2">
        <v>46314.26</v>
      </c>
      <c r="R325" s="2">
        <v>20899.72</v>
      </c>
      <c r="S325" s="2">
        <v>20021.759999999998</v>
      </c>
      <c r="T325" s="2">
        <v>12077.04</v>
      </c>
      <c r="U325" s="2">
        <v>38088.6</v>
      </c>
      <c r="V325" s="2"/>
      <c r="W325" s="2"/>
      <c r="X325" s="2"/>
      <c r="Y325" s="2"/>
      <c r="Z325" s="13">
        <v>200</v>
      </c>
      <c r="AA325" s="3"/>
      <c r="AB325" s="3"/>
      <c r="AC325" s="3"/>
      <c r="AD325" s="4">
        <v>100</v>
      </c>
      <c r="AE325" s="3"/>
      <c r="AF325" s="3"/>
      <c r="AG325" s="3"/>
      <c r="AH325" s="4">
        <v>100</v>
      </c>
      <c r="AI325" s="12">
        <v>818.55994999999996</v>
      </c>
      <c r="AJ325" s="5" t="s">
        <v>33</v>
      </c>
      <c r="AK325" s="5" t="s">
        <v>33</v>
      </c>
      <c r="AL325" s="5" t="s">
        <v>33</v>
      </c>
      <c r="AM325" s="2">
        <v>399.26089999999999</v>
      </c>
      <c r="AN325" s="5" t="s">
        <v>33</v>
      </c>
      <c r="AO325" s="5" t="s">
        <v>33</v>
      </c>
      <c r="AP325" s="5" t="s">
        <v>33</v>
      </c>
      <c r="AQ325" s="2">
        <v>328.35</v>
      </c>
      <c r="AR325" s="13">
        <v>2034</v>
      </c>
      <c r="AS325" s="4">
        <v>62</v>
      </c>
      <c r="AT325" s="4">
        <v>658</v>
      </c>
      <c r="AU325" s="4">
        <v>298</v>
      </c>
      <c r="AV325" s="4">
        <v>114</v>
      </c>
      <c r="AW325" s="4">
        <v>364</v>
      </c>
      <c r="AX325" s="4">
        <v>332</v>
      </c>
      <c r="AY325" s="4">
        <v>206</v>
      </c>
      <c r="AZ325" s="3"/>
    </row>
    <row r="326" spans="1:158" x14ac:dyDescent="0.2">
      <c r="A326" s="1" t="s">
        <v>38</v>
      </c>
      <c r="B326" s="1" t="s">
        <v>663</v>
      </c>
      <c r="C326" s="1" t="s">
        <v>664</v>
      </c>
      <c r="D326" s="12">
        <v>101833.57</v>
      </c>
      <c r="E326" s="2">
        <v>14925.44</v>
      </c>
      <c r="F326" s="2">
        <v>2628.26</v>
      </c>
      <c r="G326" s="2">
        <v>8557.1299999999992</v>
      </c>
      <c r="H326" s="2">
        <v>11716.09</v>
      </c>
      <c r="I326" s="2">
        <v>15977.45</v>
      </c>
      <c r="J326" s="2">
        <v>31160.36</v>
      </c>
      <c r="K326" s="2">
        <v>5029.7700000000004</v>
      </c>
      <c r="L326" s="2">
        <v>11839.07</v>
      </c>
      <c r="M326" s="12">
        <v>118126.92</v>
      </c>
      <c r="N326" s="2">
        <v>17313.5</v>
      </c>
      <c r="O326" s="2">
        <v>3048.78</v>
      </c>
      <c r="P326" s="2">
        <v>9926.27</v>
      </c>
      <c r="Q326" s="2">
        <v>13590.66</v>
      </c>
      <c r="R326" s="2">
        <v>18533.84</v>
      </c>
      <c r="S326" s="2">
        <v>36146.019999999997</v>
      </c>
      <c r="T326" s="2">
        <v>5834.53</v>
      </c>
      <c r="U326" s="2">
        <v>13733.32</v>
      </c>
      <c r="V326" s="2"/>
      <c r="W326" s="2"/>
      <c r="X326" s="2"/>
      <c r="Y326" s="2"/>
      <c r="Z326" s="13">
        <v>22</v>
      </c>
      <c r="AA326" s="4">
        <v>3</v>
      </c>
      <c r="AB326" s="3"/>
      <c r="AC326" s="4">
        <v>3</v>
      </c>
      <c r="AD326" s="4">
        <v>3</v>
      </c>
      <c r="AE326" s="4">
        <v>2</v>
      </c>
      <c r="AF326" s="4">
        <v>8</v>
      </c>
      <c r="AG326" s="4">
        <v>1</v>
      </c>
      <c r="AH326" s="4">
        <v>2</v>
      </c>
      <c r="AI326" s="12">
        <v>4628.7986363636364</v>
      </c>
      <c r="AJ326" s="2">
        <v>4975.1466666666665</v>
      </c>
      <c r="AK326" s="5" t="s">
        <v>33</v>
      </c>
      <c r="AL326" s="2">
        <v>2852.3766666666666</v>
      </c>
      <c r="AM326" s="2">
        <v>3905.3633333333332</v>
      </c>
      <c r="AN326" s="2">
        <v>7988.7250000000004</v>
      </c>
      <c r="AO326" s="2">
        <v>3895.0450000000001</v>
      </c>
      <c r="AP326" s="2">
        <v>5029.7700000000004</v>
      </c>
      <c r="AQ326" s="2">
        <v>5919.5349999999999</v>
      </c>
      <c r="AR326" s="13">
        <v>3934</v>
      </c>
      <c r="AS326" s="4">
        <v>736</v>
      </c>
      <c r="AT326" s="4">
        <v>588</v>
      </c>
      <c r="AU326" s="4">
        <v>464</v>
      </c>
      <c r="AV326" s="4">
        <v>140</v>
      </c>
      <c r="AW326" s="4">
        <v>716</v>
      </c>
      <c r="AX326" s="4">
        <v>262</v>
      </c>
      <c r="AY326" s="4">
        <v>258</v>
      </c>
      <c r="AZ326" s="4">
        <v>770</v>
      </c>
    </row>
    <row r="327" spans="1:158" x14ac:dyDescent="0.2">
      <c r="A327" s="1" t="s">
        <v>38</v>
      </c>
      <c r="B327" s="1" t="s">
        <v>665</v>
      </c>
      <c r="C327" s="1" t="s">
        <v>666</v>
      </c>
      <c r="D327" s="12">
        <v>14636</v>
      </c>
      <c r="E327" s="3"/>
      <c r="F327" s="3"/>
      <c r="G327" s="3"/>
      <c r="H327" s="3"/>
      <c r="I327" s="3"/>
      <c r="J327" s="2">
        <v>14636</v>
      </c>
      <c r="K327" s="3"/>
      <c r="L327" s="3"/>
      <c r="M327" s="12">
        <v>16977.759999999998</v>
      </c>
      <c r="N327" s="3"/>
      <c r="O327" s="3"/>
      <c r="P327" s="3"/>
      <c r="Q327" s="3"/>
      <c r="R327" s="3"/>
      <c r="S327" s="2">
        <v>16977.759999999998</v>
      </c>
      <c r="T327" s="3"/>
      <c r="U327" s="3"/>
      <c r="V327" s="3"/>
      <c r="W327" s="3"/>
      <c r="X327" s="3"/>
      <c r="Y327" s="3"/>
      <c r="Z327" s="13">
        <v>100</v>
      </c>
      <c r="AA327" s="3"/>
      <c r="AB327" s="3"/>
      <c r="AC327" s="3"/>
      <c r="AD327" s="3"/>
      <c r="AE327" s="3"/>
      <c r="AF327" s="4">
        <v>100</v>
      </c>
      <c r="AG327" s="3"/>
      <c r="AH327" s="3"/>
      <c r="AI327" s="12">
        <v>146.36000000000001</v>
      </c>
      <c r="AJ327" s="3"/>
      <c r="AK327" s="3"/>
      <c r="AL327" s="3"/>
      <c r="AM327" s="3"/>
      <c r="AN327" s="3"/>
      <c r="AO327" s="2">
        <v>146.36000000000001</v>
      </c>
      <c r="AP327" s="3"/>
      <c r="AQ327" s="3"/>
      <c r="AR327" s="17"/>
      <c r="AS327" s="3"/>
      <c r="AT327" s="3"/>
      <c r="AU327" s="3"/>
      <c r="AV327" s="3"/>
      <c r="AW327" s="3"/>
      <c r="AX327" s="3"/>
      <c r="AY327" s="3"/>
      <c r="AZ327" s="3"/>
    </row>
    <row r="328" spans="1:158" x14ac:dyDescent="0.2">
      <c r="A328" s="1" t="s">
        <v>38</v>
      </c>
      <c r="B328" s="1" t="s">
        <v>667</v>
      </c>
      <c r="C328" s="1" t="s">
        <v>668</v>
      </c>
      <c r="D328" s="12">
        <v>83586.09</v>
      </c>
      <c r="E328" s="2">
        <v>1258.24</v>
      </c>
      <c r="F328" s="2">
        <v>4908.1400000000003</v>
      </c>
      <c r="G328" s="2">
        <v>6855.41</v>
      </c>
      <c r="H328" s="2">
        <v>18783.669999999998</v>
      </c>
      <c r="I328" s="2">
        <v>17190.919999999998</v>
      </c>
      <c r="J328" s="2">
        <v>16105.86</v>
      </c>
      <c r="K328" s="2">
        <v>12308.89</v>
      </c>
      <c r="L328" s="2">
        <v>6174.96</v>
      </c>
      <c r="M328" s="12">
        <v>96959.86</v>
      </c>
      <c r="N328" s="2">
        <v>1459.55</v>
      </c>
      <c r="O328" s="2">
        <v>5693.44</v>
      </c>
      <c r="P328" s="2">
        <v>7952.28</v>
      </c>
      <c r="Q328" s="2">
        <v>21789.06</v>
      </c>
      <c r="R328" s="2">
        <v>19941.47</v>
      </c>
      <c r="S328" s="2">
        <v>18682.8</v>
      </c>
      <c r="T328" s="2">
        <v>14278.31</v>
      </c>
      <c r="U328" s="2">
        <v>7162.95</v>
      </c>
      <c r="V328" s="2"/>
      <c r="W328" s="2"/>
      <c r="X328" s="2"/>
      <c r="Y328" s="2"/>
      <c r="Z328" s="13">
        <v>331</v>
      </c>
      <c r="AA328" s="4">
        <v>8</v>
      </c>
      <c r="AB328" s="4">
        <v>22</v>
      </c>
      <c r="AC328" s="4">
        <v>34</v>
      </c>
      <c r="AD328" s="4">
        <v>77</v>
      </c>
      <c r="AE328" s="4">
        <v>48</v>
      </c>
      <c r="AF328" s="4">
        <v>66</v>
      </c>
      <c r="AG328" s="4">
        <v>48</v>
      </c>
      <c r="AH328" s="4">
        <v>28</v>
      </c>
      <c r="AI328" s="12">
        <v>252.52595166163141</v>
      </c>
      <c r="AJ328" s="2">
        <v>157.28</v>
      </c>
      <c r="AK328" s="2">
        <v>223.09727272727272</v>
      </c>
      <c r="AL328" s="2">
        <v>201.62970588235294</v>
      </c>
      <c r="AM328" s="2">
        <v>243.94376623376624</v>
      </c>
      <c r="AN328" s="2">
        <v>358.14416666666665</v>
      </c>
      <c r="AO328" s="2">
        <v>244.02818181818182</v>
      </c>
      <c r="AP328" s="2">
        <v>256.43520833333332</v>
      </c>
      <c r="AQ328" s="2">
        <v>220.53428571428572</v>
      </c>
      <c r="AR328" s="13">
        <v>1658</v>
      </c>
      <c r="AS328" s="4">
        <v>10</v>
      </c>
      <c r="AT328" s="4">
        <v>262</v>
      </c>
      <c r="AU328" s="4">
        <v>78</v>
      </c>
      <c r="AV328" s="4">
        <v>232</v>
      </c>
      <c r="AW328" s="4">
        <v>368</v>
      </c>
      <c r="AX328" s="4">
        <v>324</v>
      </c>
      <c r="AY328" s="4">
        <v>298</v>
      </c>
      <c r="AZ328" s="4">
        <v>86</v>
      </c>
    </row>
    <row r="329" spans="1:158" s="52" customFormat="1" x14ac:dyDescent="0.2">
      <c r="A329" s="43" t="s">
        <v>38</v>
      </c>
      <c r="B329" s="43" t="s">
        <v>669</v>
      </c>
      <c r="C329" s="43" t="s">
        <v>670</v>
      </c>
      <c r="D329" s="44">
        <v>4250.66</v>
      </c>
      <c r="E329" s="45">
        <v>4250.66</v>
      </c>
      <c r="F329" s="46"/>
      <c r="G329" s="46"/>
      <c r="H329" s="46"/>
      <c r="I329" s="46"/>
      <c r="J329" s="46"/>
      <c r="K329" s="46"/>
      <c r="L329" s="46"/>
      <c r="M329" s="44">
        <v>4930.76</v>
      </c>
      <c r="N329" s="45">
        <v>4930.76</v>
      </c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50">
        <v>16</v>
      </c>
      <c r="AA329" s="51">
        <v>16</v>
      </c>
      <c r="AB329" s="46"/>
      <c r="AC329" s="46"/>
      <c r="AD329" s="46"/>
      <c r="AE329" s="46"/>
      <c r="AF329" s="46"/>
      <c r="AG329" s="46"/>
      <c r="AH329" s="46"/>
      <c r="AI329" s="44">
        <v>265.66624999999999</v>
      </c>
      <c r="AJ329" s="45">
        <v>265.66624999999999</v>
      </c>
      <c r="AK329" s="46"/>
      <c r="AL329" s="46"/>
      <c r="AM329" s="46"/>
      <c r="AN329" s="46"/>
      <c r="AO329" s="46"/>
      <c r="AP329" s="46"/>
      <c r="AQ329" s="46"/>
      <c r="AR329" s="50">
        <v>338</v>
      </c>
      <c r="AS329" s="51">
        <v>338</v>
      </c>
      <c r="AT329" s="46"/>
      <c r="AU329" s="46"/>
      <c r="AV329" s="46"/>
      <c r="AW329" s="46"/>
      <c r="AX329" s="46"/>
      <c r="AY329" s="46"/>
      <c r="AZ329" s="46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</row>
    <row r="330" spans="1:158" x14ac:dyDescent="0.2">
      <c r="A330" s="1" t="s">
        <v>38</v>
      </c>
      <c r="B330" s="1" t="s">
        <v>671</v>
      </c>
      <c r="C330" s="1" t="s">
        <v>672</v>
      </c>
      <c r="D330" s="12">
        <v>33534.93</v>
      </c>
      <c r="E330" s="2">
        <v>6880.92</v>
      </c>
      <c r="F330" s="2">
        <v>3272.54</v>
      </c>
      <c r="G330" s="2">
        <v>3554.39</v>
      </c>
      <c r="H330" s="2">
        <v>3721.98</v>
      </c>
      <c r="I330" s="2">
        <v>6645.44</v>
      </c>
      <c r="J330" s="2">
        <v>4685.5200000000004</v>
      </c>
      <c r="K330" s="2">
        <v>4774.1400000000003</v>
      </c>
      <c r="L330" s="3"/>
      <c r="M330" s="12">
        <v>38900.519999999997</v>
      </c>
      <c r="N330" s="2">
        <v>7981.87</v>
      </c>
      <c r="O330" s="2">
        <v>3796.15</v>
      </c>
      <c r="P330" s="2">
        <v>4123.09</v>
      </c>
      <c r="Q330" s="2">
        <v>4317.5</v>
      </c>
      <c r="R330" s="2">
        <v>7708.71</v>
      </c>
      <c r="S330" s="2">
        <v>5435.2</v>
      </c>
      <c r="T330" s="2">
        <v>5538</v>
      </c>
      <c r="U330" s="3"/>
      <c r="V330" s="3"/>
      <c r="W330" s="3"/>
      <c r="X330" s="3"/>
      <c r="Y330" s="3"/>
      <c r="Z330" s="13">
        <v>161</v>
      </c>
      <c r="AA330" s="4">
        <v>32</v>
      </c>
      <c r="AB330" s="4">
        <v>16</v>
      </c>
      <c r="AC330" s="4">
        <v>18</v>
      </c>
      <c r="AD330" s="4">
        <v>21</v>
      </c>
      <c r="AE330" s="4">
        <v>32</v>
      </c>
      <c r="AF330" s="4">
        <v>19</v>
      </c>
      <c r="AG330" s="4">
        <v>23</v>
      </c>
      <c r="AH330" s="3"/>
      <c r="AI330" s="12">
        <v>208.2914906832298</v>
      </c>
      <c r="AJ330" s="2">
        <v>215.02875</v>
      </c>
      <c r="AK330" s="2">
        <v>204.53375</v>
      </c>
      <c r="AL330" s="2">
        <v>197.4661111111111</v>
      </c>
      <c r="AM330" s="2">
        <v>177.23714285714286</v>
      </c>
      <c r="AN330" s="2">
        <v>207.67</v>
      </c>
      <c r="AO330" s="2">
        <v>246.60631578947368</v>
      </c>
      <c r="AP330" s="2">
        <v>207.5713043478261</v>
      </c>
      <c r="AQ330" s="3"/>
      <c r="AR330" s="13">
        <v>426</v>
      </c>
      <c r="AS330" s="4">
        <v>110</v>
      </c>
      <c r="AT330" s="4">
        <v>26</v>
      </c>
      <c r="AU330" s="4">
        <v>20</v>
      </c>
      <c r="AV330" s="4">
        <v>30</v>
      </c>
      <c r="AW330" s="4">
        <v>58</v>
      </c>
      <c r="AX330" s="4">
        <v>156</v>
      </c>
      <c r="AY330" s="4">
        <v>26</v>
      </c>
      <c r="AZ330" s="3"/>
    </row>
    <row r="331" spans="1:158" s="41" customFormat="1" x14ac:dyDescent="0.2">
      <c r="A331" s="33" t="s">
        <v>38</v>
      </c>
      <c r="B331" s="33" t="s">
        <v>673</v>
      </c>
      <c r="C331" s="33" t="s">
        <v>674</v>
      </c>
      <c r="D331" s="34">
        <v>5380.06</v>
      </c>
      <c r="E331" s="35"/>
      <c r="F331" s="35"/>
      <c r="G331" s="35"/>
      <c r="H331" s="35"/>
      <c r="I331" s="36">
        <v>5380.06</v>
      </c>
      <c r="J331" s="35"/>
      <c r="K331" s="35"/>
      <c r="L331" s="35"/>
      <c r="M331" s="34">
        <v>6240.87</v>
      </c>
      <c r="N331" s="35"/>
      <c r="O331" s="35"/>
      <c r="P331" s="35"/>
      <c r="Q331" s="35"/>
      <c r="R331" s="36">
        <v>6240.87</v>
      </c>
      <c r="S331" s="35"/>
      <c r="T331" s="35"/>
      <c r="U331" s="35"/>
      <c r="V331" s="35"/>
      <c r="W331" s="35"/>
      <c r="X331" s="35"/>
      <c r="Y331" s="35"/>
      <c r="Z331" s="37"/>
      <c r="AA331" s="35"/>
      <c r="AB331" s="35"/>
      <c r="AC331" s="35"/>
      <c r="AD331" s="35"/>
      <c r="AE331" s="38"/>
      <c r="AF331" s="35"/>
      <c r="AG331" s="35"/>
      <c r="AH331" s="35"/>
      <c r="AI331" s="37" t="s">
        <v>33</v>
      </c>
      <c r="AJ331" s="35"/>
      <c r="AK331" s="35"/>
      <c r="AL331" s="35"/>
      <c r="AM331" s="35"/>
      <c r="AN331" s="38" t="s">
        <v>33</v>
      </c>
      <c r="AO331" s="35"/>
      <c r="AP331" s="35"/>
      <c r="AQ331" s="35"/>
      <c r="AR331" s="39">
        <v>370</v>
      </c>
      <c r="AS331" s="35"/>
      <c r="AT331" s="35"/>
      <c r="AU331" s="35"/>
      <c r="AV331" s="35"/>
      <c r="AW331" s="40">
        <v>370</v>
      </c>
      <c r="AX331" s="35"/>
      <c r="AY331" s="35"/>
      <c r="AZ331" s="35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</row>
    <row r="332" spans="1:158" s="41" customFormat="1" x14ac:dyDescent="0.2">
      <c r="A332" s="33" t="s">
        <v>38</v>
      </c>
      <c r="B332" s="33" t="s">
        <v>675</v>
      </c>
      <c r="C332" s="33" t="s">
        <v>676</v>
      </c>
      <c r="D332" s="34">
        <v>14488.93</v>
      </c>
      <c r="E332" s="36">
        <v>6631.11</v>
      </c>
      <c r="F332" s="36">
        <v>7488.46</v>
      </c>
      <c r="G332" s="35"/>
      <c r="H332" s="36">
        <v>369.36</v>
      </c>
      <c r="I332" s="35"/>
      <c r="J332" s="35"/>
      <c r="K332" s="35"/>
      <c r="L332" s="35"/>
      <c r="M332" s="34">
        <v>16807.16</v>
      </c>
      <c r="N332" s="36">
        <v>7692.09</v>
      </c>
      <c r="O332" s="36">
        <v>8686.61</v>
      </c>
      <c r="P332" s="35"/>
      <c r="Q332" s="36">
        <v>428.46</v>
      </c>
      <c r="R332" s="35"/>
      <c r="S332" s="35"/>
      <c r="T332" s="35"/>
      <c r="U332" s="35"/>
      <c r="V332" s="35"/>
      <c r="W332" s="35"/>
      <c r="X332" s="35"/>
      <c r="Y332" s="35"/>
      <c r="Z332" s="39">
        <v>72</v>
      </c>
      <c r="AA332" s="40">
        <v>36</v>
      </c>
      <c r="AB332" s="40">
        <v>34</v>
      </c>
      <c r="AC332" s="35"/>
      <c r="AD332" s="40">
        <v>2</v>
      </c>
      <c r="AE332" s="35"/>
      <c r="AF332" s="35"/>
      <c r="AG332" s="35"/>
      <c r="AH332" s="35"/>
      <c r="AI332" s="34">
        <v>201.23513888888888</v>
      </c>
      <c r="AJ332" s="36">
        <v>184.19749999999999</v>
      </c>
      <c r="AK332" s="36">
        <v>220.24882352941177</v>
      </c>
      <c r="AL332" s="35"/>
      <c r="AM332" s="36">
        <v>184.68</v>
      </c>
      <c r="AN332" s="35"/>
      <c r="AO332" s="35"/>
      <c r="AP332" s="35"/>
      <c r="AQ332" s="35"/>
      <c r="AR332" s="39">
        <v>222</v>
      </c>
      <c r="AS332" s="40">
        <v>14</v>
      </c>
      <c r="AT332" s="40">
        <v>208</v>
      </c>
      <c r="AU332" s="35"/>
      <c r="AV332" s="35"/>
      <c r="AW332" s="35"/>
      <c r="AX332" s="35"/>
      <c r="AY332" s="35"/>
      <c r="AZ332" s="35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</row>
    <row r="333" spans="1:158" s="41" customFormat="1" x14ac:dyDescent="0.2">
      <c r="A333" s="33" t="s">
        <v>38</v>
      </c>
      <c r="B333" s="33" t="s">
        <v>677</v>
      </c>
      <c r="C333" s="33" t="s">
        <v>678</v>
      </c>
      <c r="D333" s="34">
        <v>150</v>
      </c>
      <c r="E333" s="35"/>
      <c r="F333" s="36">
        <v>150</v>
      </c>
      <c r="G333" s="35"/>
      <c r="H333" s="35"/>
      <c r="I333" s="35"/>
      <c r="J333" s="35"/>
      <c r="K333" s="35"/>
      <c r="L333" s="35"/>
      <c r="M333" s="34">
        <v>174</v>
      </c>
      <c r="N333" s="35"/>
      <c r="O333" s="36">
        <v>174</v>
      </c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42"/>
      <c r="AA333" s="35"/>
      <c r="AB333" s="35"/>
      <c r="AC333" s="35"/>
      <c r="AD333" s="35"/>
      <c r="AE333" s="35"/>
      <c r="AF333" s="35"/>
      <c r="AG333" s="35"/>
      <c r="AH333" s="35"/>
      <c r="AI333" s="37" t="s">
        <v>33</v>
      </c>
      <c r="AJ333" s="35"/>
      <c r="AK333" s="38" t="s">
        <v>33</v>
      </c>
      <c r="AL333" s="35"/>
      <c r="AM333" s="35"/>
      <c r="AN333" s="35"/>
      <c r="AO333" s="35"/>
      <c r="AP333" s="35"/>
      <c r="AQ333" s="35"/>
      <c r="AR333" s="42"/>
      <c r="AS333" s="35"/>
      <c r="AT333" s="35"/>
      <c r="AU333" s="35"/>
      <c r="AV333" s="35"/>
      <c r="AW333" s="35"/>
      <c r="AX333" s="35"/>
      <c r="AY333" s="35"/>
      <c r="AZ333" s="35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</row>
    <row r="334" spans="1:158" s="29" customFormat="1" x14ac:dyDescent="0.2">
      <c r="A334" s="23" t="s">
        <v>38</v>
      </c>
      <c r="B334" s="23" t="s">
        <v>679</v>
      </c>
      <c r="C334" s="23" t="s">
        <v>680</v>
      </c>
      <c r="D334" s="24">
        <v>7492.57</v>
      </c>
      <c r="E334" s="25">
        <v>876.5</v>
      </c>
      <c r="F334" s="25">
        <v>6616.07</v>
      </c>
      <c r="G334" s="26"/>
      <c r="H334" s="26"/>
      <c r="I334" s="26"/>
      <c r="J334" s="26"/>
      <c r="K334" s="26"/>
      <c r="L334" s="26"/>
      <c r="M334" s="24">
        <v>7632.81</v>
      </c>
      <c r="N334" s="25">
        <v>1016.74</v>
      </c>
      <c r="O334" s="25">
        <v>6616.07</v>
      </c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7">
        <v>9</v>
      </c>
      <c r="AA334" s="28">
        <v>5</v>
      </c>
      <c r="AB334" s="28">
        <v>4</v>
      </c>
      <c r="AC334" s="26"/>
      <c r="AD334" s="26"/>
      <c r="AE334" s="26"/>
      <c r="AF334" s="26"/>
      <c r="AG334" s="26"/>
      <c r="AH334" s="26"/>
      <c r="AI334" s="24">
        <v>832.50777777777773</v>
      </c>
      <c r="AJ334" s="25">
        <v>175.3</v>
      </c>
      <c r="AK334" s="25">
        <v>1654.0174999999999</v>
      </c>
      <c r="AL334" s="26"/>
      <c r="AM334" s="26"/>
      <c r="AN334" s="26"/>
      <c r="AO334" s="26"/>
      <c r="AP334" s="26"/>
      <c r="AQ334" s="26"/>
      <c r="AR334" s="30"/>
      <c r="AS334" s="26"/>
      <c r="AT334" s="31"/>
      <c r="AU334" s="26"/>
      <c r="AV334" s="26"/>
      <c r="AW334" s="26"/>
      <c r="AX334" s="26"/>
      <c r="AY334" s="26"/>
      <c r="AZ334" s="26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</row>
    <row r="335" spans="1:158" s="52" customFormat="1" x14ac:dyDescent="0.2">
      <c r="A335" s="43" t="s">
        <v>38</v>
      </c>
      <c r="B335" s="43" t="s">
        <v>681</v>
      </c>
      <c r="C335" s="43" t="s">
        <v>682</v>
      </c>
      <c r="D335" s="44">
        <v>40766.82</v>
      </c>
      <c r="E335" s="46"/>
      <c r="F335" s="46"/>
      <c r="G335" s="46"/>
      <c r="H335" s="46"/>
      <c r="I335" s="47"/>
      <c r="J335" s="45">
        <v>40766.82</v>
      </c>
      <c r="K335" s="47"/>
      <c r="L335" s="46"/>
      <c r="M335" s="44">
        <v>47289.51</v>
      </c>
      <c r="N335" s="46"/>
      <c r="O335" s="46"/>
      <c r="P335" s="46"/>
      <c r="Q335" s="46"/>
      <c r="R335" s="47"/>
      <c r="S335" s="45">
        <v>47289.51</v>
      </c>
      <c r="T335" s="47"/>
      <c r="U335" s="46"/>
      <c r="V335" s="46"/>
      <c r="W335" s="46"/>
      <c r="X335" s="46"/>
      <c r="Y335" s="46"/>
      <c r="Z335" s="50">
        <v>402</v>
      </c>
      <c r="AA335" s="46"/>
      <c r="AB335" s="46"/>
      <c r="AC335" s="46"/>
      <c r="AD335" s="46"/>
      <c r="AE335" s="47"/>
      <c r="AF335" s="51">
        <v>402</v>
      </c>
      <c r="AG335" s="47"/>
      <c r="AH335" s="46"/>
      <c r="AI335" s="44">
        <v>101.41</v>
      </c>
      <c r="AJ335" s="46"/>
      <c r="AK335" s="46"/>
      <c r="AL335" s="46"/>
      <c r="AM335" s="46"/>
      <c r="AN335" s="47" t="s">
        <v>33</v>
      </c>
      <c r="AO335" s="45">
        <v>101.41</v>
      </c>
      <c r="AP335" s="47" t="s">
        <v>33</v>
      </c>
      <c r="AQ335" s="46"/>
      <c r="AR335" s="48"/>
      <c r="AS335" s="46"/>
      <c r="AT335" s="46"/>
      <c r="AU335" s="46"/>
      <c r="AV335" s="46"/>
      <c r="AW335" s="46"/>
      <c r="AX335" s="46"/>
      <c r="AY335" s="46"/>
      <c r="AZ335" s="46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</row>
    <row r="336" spans="1:158" s="41" customFormat="1" x14ac:dyDescent="0.2">
      <c r="A336" s="33" t="s">
        <v>38</v>
      </c>
      <c r="B336" s="33" t="s">
        <v>683</v>
      </c>
      <c r="C336" s="33" t="s">
        <v>684</v>
      </c>
      <c r="D336" s="34">
        <v>15642.81</v>
      </c>
      <c r="E336" s="36">
        <v>13208.63</v>
      </c>
      <c r="F336" s="36">
        <v>2194.2399999999998</v>
      </c>
      <c r="G336" s="36">
        <v>239.94</v>
      </c>
      <c r="H336" s="35"/>
      <c r="I336" s="35"/>
      <c r="J336" s="35"/>
      <c r="K336" s="35"/>
      <c r="L336" s="35"/>
      <c r="M336" s="34">
        <v>17495.599999999999</v>
      </c>
      <c r="N336" s="36">
        <v>14771.88</v>
      </c>
      <c r="O336" s="36">
        <v>2445.39</v>
      </c>
      <c r="P336" s="36">
        <v>278.33</v>
      </c>
      <c r="Q336" s="35"/>
      <c r="R336" s="35"/>
      <c r="S336" s="35"/>
      <c r="T336" s="35"/>
      <c r="U336" s="35"/>
      <c r="V336" s="35"/>
      <c r="W336" s="35"/>
      <c r="X336" s="35"/>
      <c r="Y336" s="35"/>
      <c r="Z336" s="39">
        <v>12</v>
      </c>
      <c r="AA336" s="40">
        <v>10</v>
      </c>
      <c r="AB336" s="40">
        <v>2</v>
      </c>
      <c r="AC336" s="35"/>
      <c r="AD336" s="35"/>
      <c r="AE336" s="35"/>
      <c r="AF336" s="35"/>
      <c r="AG336" s="35"/>
      <c r="AH336" s="35"/>
      <c r="AI336" s="34">
        <v>1303.5675000000001</v>
      </c>
      <c r="AJ336" s="36">
        <v>1320.8630000000001</v>
      </c>
      <c r="AK336" s="36">
        <v>1097.1199999999999</v>
      </c>
      <c r="AL336" s="38" t="s">
        <v>33</v>
      </c>
      <c r="AM336" s="35"/>
      <c r="AN336" s="35"/>
      <c r="AO336" s="35"/>
      <c r="AP336" s="35"/>
      <c r="AQ336" s="35"/>
      <c r="AR336" s="39">
        <v>494</v>
      </c>
      <c r="AS336" s="40">
        <v>410</v>
      </c>
      <c r="AT336" s="40">
        <v>82</v>
      </c>
      <c r="AU336" s="40">
        <v>2</v>
      </c>
      <c r="AV336" s="35"/>
      <c r="AW336" s="35"/>
      <c r="AX336" s="35"/>
      <c r="AY336" s="35"/>
      <c r="AZ336" s="35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</row>
    <row r="337" spans="1:158" s="41" customFormat="1" x14ac:dyDescent="0.2">
      <c r="A337" s="33" t="s">
        <v>38</v>
      </c>
      <c r="B337" s="33" t="s">
        <v>685</v>
      </c>
      <c r="C337" s="33" t="s">
        <v>686</v>
      </c>
      <c r="D337" s="34">
        <v>377.94</v>
      </c>
      <c r="E337" s="35"/>
      <c r="F337" s="35"/>
      <c r="G337" s="35"/>
      <c r="H337" s="36">
        <v>377.94</v>
      </c>
      <c r="I337" s="35"/>
      <c r="J337" s="35"/>
      <c r="K337" s="35"/>
      <c r="L337" s="35"/>
      <c r="M337" s="34">
        <v>438.41</v>
      </c>
      <c r="N337" s="35"/>
      <c r="O337" s="35"/>
      <c r="P337" s="35"/>
      <c r="Q337" s="36">
        <v>438.41</v>
      </c>
      <c r="R337" s="35"/>
      <c r="S337" s="35"/>
      <c r="T337" s="35"/>
      <c r="U337" s="35"/>
      <c r="V337" s="35"/>
      <c r="W337" s="35"/>
      <c r="X337" s="35"/>
      <c r="Y337" s="35"/>
      <c r="Z337" s="42"/>
      <c r="AA337" s="35"/>
      <c r="AB337" s="35"/>
      <c r="AC337" s="35"/>
      <c r="AD337" s="35"/>
      <c r="AE337" s="35"/>
      <c r="AF337" s="35"/>
      <c r="AG337" s="35"/>
      <c r="AH337" s="35"/>
      <c r="AI337" s="37" t="s">
        <v>33</v>
      </c>
      <c r="AJ337" s="35"/>
      <c r="AK337" s="35"/>
      <c r="AL337" s="35"/>
      <c r="AM337" s="38" t="s">
        <v>33</v>
      </c>
      <c r="AN337" s="35"/>
      <c r="AO337" s="35"/>
      <c r="AP337" s="35"/>
      <c r="AQ337" s="35"/>
      <c r="AR337" s="39">
        <v>6</v>
      </c>
      <c r="AS337" s="35"/>
      <c r="AT337" s="35"/>
      <c r="AU337" s="35"/>
      <c r="AV337" s="40">
        <v>6</v>
      </c>
      <c r="AW337" s="35"/>
      <c r="AX337" s="35"/>
      <c r="AY337" s="35"/>
      <c r="AZ337" s="35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</row>
    <row r="338" spans="1:158" s="41" customFormat="1" x14ac:dyDescent="0.2">
      <c r="A338" s="33" t="s">
        <v>38</v>
      </c>
      <c r="B338" s="33" t="s">
        <v>687</v>
      </c>
      <c r="C338" s="33" t="s">
        <v>688</v>
      </c>
      <c r="D338" s="34">
        <v>21015.47</v>
      </c>
      <c r="E338" s="36">
        <v>1264.22</v>
      </c>
      <c r="F338" s="36">
        <v>2129.41</v>
      </c>
      <c r="G338" s="35"/>
      <c r="H338" s="35"/>
      <c r="I338" s="35"/>
      <c r="J338" s="36">
        <v>17621.84</v>
      </c>
      <c r="K338" s="35"/>
      <c r="L338" s="35"/>
      <c r="M338" s="34">
        <v>24377.95</v>
      </c>
      <c r="N338" s="36">
        <v>1466.5</v>
      </c>
      <c r="O338" s="36">
        <v>2470.12</v>
      </c>
      <c r="P338" s="35"/>
      <c r="Q338" s="35"/>
      <c r="R338" s="35"/>
      <c r="S338" s="36">
        <v>20441.330000000002</v>
      </c>
      <c r="T338" s="35"/>
      <c r="U338" s="35"/>
      <c r="V338" s="35"/>
      <c r="W338" s="35"/>
      <c r="X338" s="35"/>
      <c r="Y338" s="35"/>
      <c r="Z338" s="39">
        <v>68</v>
      </c>
      <c r="AA338" s="40">
        <v>4</v>
      </c>
      <c r="AB338" s="40">
        <v>5</v>
      </c>
      <c r="AC338" s="35"/>
      <c r="AD338" s="35"/>
      <c r="AE338" s="35"/>
      <c r="AF338" s="40">
        <v>59</v>
      </c>
      <c r="AG338" s="35"/>
      <c r="AH338" s="35"/>
      <c r="AI338" s="34">
        <v>309.05102941176472</v>
      </c>
      <c r="AJ338" s="36">
        <v>316.05500000000001</v>
      </c>
      <c r="AK338" s="36">
        <v>425.88200000000001</v>
      </c>
      <c r="AL338" s="35"/>
      <c r="AM338" s="35"/>
      <c r="AN338" s="35"/>
      <c r="AO338" s="36">
        <v>298.67525423728813</v>
      </c>
      <c r="AP338" s="35"/>
      <c r="AQ338" s="35"/>
      <c r="AR338" s="39">
        <v>78</v>
      </c>
      <c r="AS338" s="40">
        <v>2</v>
      </c>
      <c r="AT338" s="40">
        <v>14</v>
      </c>
      <c r="AU338" s="35"/>
      <c r="AV338" s="35"/>
      <c r="AW338" s="35"/>
      <c r="AX338" s="40">
        <v>62</v>
      </c>
      <c r="AY338" s="35"/>
      <c r="AZ338" s="35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</row>
    <row r="339" spans="1:158" s="52" customFormat="1" x14ac:dyDescent="0.2">
      <c r="A339" s="43" t="s">
        <v>38</v>
      </c>
      <c r="B339" s="43" t="s">
        <v>689</v>
      </c>
      <c r="C339" s="43" t="s">
        <v>690</v>
      </c>
      <c r="D339" s="44">
        <v>3732.54</v>
      </c>
      <c r="E339" s="45">
        <v>3840.81</v>
      </c>
      <c r="F339" s="46"/>
      <c r="G339" s="45">
        <v>3024.45</v>
      </c>
      <c r="H339" s="45">
        <v>218</v>
      </c>
      <c r="I339" s="45">
        <v>2087.88</v>
      </c>
      <c r="J339" s="47"/>
      <c r="K339" s="46"/>
      <c r="L339" s="45">
        <v>-5438.6</v>
      </c>
      <c r="M339" s="44">
        <v>4329.74</v>
      </c>
      <c r="N339" s="45">
        <v>4455.34</v>
      </c>
      <c r="O339" s="46"/>
      <c r="P339" s="45">
        <v>3508.36</v>
      </c>
      <c r="Q339" s="45">
        <v>252.88</v>
      </c>
      <c r="R339" s="45">
        <v>2421.94</v>
      </c>
      <c r="S339" s="47"/>
      <c r="T339" s="46"/>
      <c r="U339" s="45">
        <v>-6308.78</v>
      </c>
      <c r="V339" s="45"/>
      <c r="W339" s="45"/>
      <c r="X339" s="45"/>
      <c r="Y339" s="45"/>
      <c r="Z339" s="48"/>
      <c r="AA339" s="46"/>
      <c r="AB339" s="46"/>
      <c r="AC339" s="46"/>
      <c r="AD339" s="46"/>
      <c r="AE339" s="46"/>
      <c r="AF339" s="46"/>
      <c r="AG339" s="46"/>
      <c r="AH339" s="46"/>
      <c r="AI339" s="49" t="s">
        <v>33</v>
      </c>
      <c r="AJ339" s="47" t="s">
        <v>33</v>
      </c>
      <c r="AK339" s="46"/>
      <c r="AL339" s="47" t="s">
        <v>33</v>
      </c>
      <c r="AM339" s="47" t="s">
        <v>33</v>
      </c>
      <c r="AN339" s="47" t="s">
        <v>33</v>
      </c>
      <c r="AO339" s="47" t="s">
        <v>33</v>
      </c>
      <c r="AP339" s="46"/>
      <c r="AQ339" s="47" t="s">
        <v>33</v>
      </c>
      <c r="AR339" s="50">
        <v>130</v>
      </c>
      <c r="AS339" s="51">
        <v>106</v>
      </c>
      <c r="AT339" s="46"/>
      <c r="AU339" s="51">
        <v>110</v>
      </c>
      <c r="AV339" s="51">
        <v>8</v>
      </c>
      <c r="AW339" s="51">
        <v>72</v>
      </c>
      <c r="AX339" s="47"/>
      <c r="AY339" s="46"/>
      <c r="AZ339" s="51">
        <v>-166</v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</row>
    <row r="340" spans="1:158" x14ac:dyDescent="0.2">
      <c r="A340" s="1" t="s">
        <v>38</v>
      </c>
      <c r="B340" s="1" t="s">
        <v>691</v>
      </c>
      <c r="C340" s="1" t="s">
        <v>692</v>
      </c>
      <c r="D340" s="12">
        <v>89164.64</v>
      </c>
      <c r="E340" s="2">
        <v>83723</v>
      </c>
      <c r="F340" s="2">
        <v>5441.64</v>
      </c>
      <c r="G340" s="3"/>
      <c r="H340" s="3"/>
      <c r="I340" s="3"/>
      <c r="J340" s="3"/>
      <c r="K340" s="3"/>
      <c r="L340" s="3"/>
      <c r="M340" s="12">
        <v>103430.97</v>
      </c>
      <c r="N340" s="2">
        <v>97118.67</v>
      </c>
      <c r="O340" s="2">
        <v>6312.3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13">
        <v>828</v>
      </c>
      <c r="AA340" s="4">
        <v>810</v>
      </c>
      <c r="AB340" s="4">
        <v>18</v>
      </c>
      <c r="AC340" s="3"/>
      <c r="AD340" s="3"/>
      <c r="AE340" s="3"/>
      <c r="AF340" s="3"/>
      <c r="AG340" s="3"/>
      <c r="AH340" s="3"/>
      <c r="AI340" s="12">
        <v>107.68676328502416</v>
      </c>
      <c r="AJ340" s="2">
        <v>103.36172839506173</v>
      </c>
      <c r="AK340" s="2">
        <v>302.31333333333333</v>
      </c>
      <c r="AL340" s="3"/>
      <c r="AM340" s="3"/>
      <c r="AN340" s="3"/>
      <c r="AO340" s="3"/>
      <c r="AP340" s="3"/>
      <c r="AQ340" s="3"/>
      <c r="AR340" s="13">
        <v>70</v>
      </c>
      <c r="AS340" s="4">
        <v>70</v>
      </c>
      <c r="AT340" s="3"/>
      <c r="AU340" s="3"/>
      <c r="AV340" s="3"/>
      <c r="AW340" s="3"/>
      <c r="AX340" s="3"/>
      <c r="AY340" s="3"/>
      <c r="AZ340" s="3"/>
    </row>
    <row r="341" spans="1:158" s="41" customFormat="1" x14ac:dyDescent="0.2">
      <c r="A341" s="33" t="s">
        <v>38</v>
      </c>
      <c r="B341" s="33" t="s">
        <v>693</v>
      </c>
      <c r="C341" s="33" t="s">
        <v>694</v>
      </c>
      <c r="D341" s="34">
        <v>1269.53</v>
      </c>
      <c r="E341" s="36">
        <v>1269.53</v>
      </c>
      <c r="F341" s="38"/>
      <c r="G341" s="38"/>
      <c r="H341" s="35"/>
      <c r="I341" s="35"/>
      <c r="J341" s="35"/>
      <c r="K341" s="35"/>
      <c r="L341" s="35"/>
      <c r="M341" s="34">
        <v>1472.66</v>
      </c>
      <c r="N341" s="36">
        <v>1472.66</v>
      </c>
      <c r="O341" s="38"/>
      <c r="P341" s="38"/>
      <c r="Q341" s="35"/>
      <c r="R341" s="35"/>
      <c r="S341" s="35"/>
      <c r="T341" s="35"/>
      <c r="U341" s="35"/>
      <c r="V341" s="35"/>
      <c r="W341" s="35"/>
      <c r="X341" s="35"/>
      <c r="Y341" s="35"/>
      <c r="Z341" s="39">
        <v>3</v>
      </c>
      <c r="AA341" s="40">
        <v>3</v>
      </c>
      <c r="AB341" s="38"/>
      <c r="AC341" s="38"/>
      <c r="AD341" s="35"/>
      <c r="AE341" s="35"/>
      <c r="AF341" s="35"/>
      <c r="AG341" s="35"/>
      <c r="AH341" s="35"/>
      <c r="AI341" s="34">
        <v>423.17666666666668</v>
      </c>
      <c r="AJ341" s="36">
        <v>423.17666666666668</v>
      </c>
      <c r="AK341" s="38" t="s">
        <v>33</v>
      </c>
      <c r="AL341" s="38" t="s">
        <v>33</v>
      </c>
      <c r="AM341" s="35"/>
      <c r="AN341" s="35"/>
      <c r="AO341" s="35"/>
      <c r="AP341" s="35"/>
      <c r="AQ341" s="35"/>
      <c r="AR341" s="39">
        <v>8</v>
      </c>
      <c r="AS341" s="40">
        <v>8</v>
      </c>
      <c r="AT341" s="38"/>
      <c r="AU341" s="38"/>
      <c r="AV341" s="35"/>
      <c r="AW341" s="35"/>
      <c r="AX341" s="35"/>
      <c r="AY341" s="35"/>
      <c r="AZ341" s="35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</row>
    <row r="342" spans="1:158" s="41" customFormat="1" x14ac:dyDescent="0.2">
      <c r="A342" s="33" t="s">
        <v>38</v>
      </c>
      <c r="B342" s="33" t="s">
        <v>695</v>
      </c>
      <c r="C342" s="33" t="s">
        <v>696</v>
      </c>
      <c r="D342" s="34">
        <v>57111.96</v>
      </c>
      <c r="E342" s="36">
        <v>16687.27</v>
      </c>
      <c r="F342" s="36">
        <v>20737.48</v>
      </c>
      <c r="G342" s="36">
        <v>17868.060000000001</v>
      </c>
      <c r="H342" s="36">
        <v>1819.15</v>
      </c>
      <c r="I342" s="35"/>
      <c r="J342" s="35"/>
      <c r="K342" s="35"/>
      <c r="L342" s="35"/>
      <c r="M342" s="34">
        <v>66249.87</v>
      </c>
      <c r="N342" s="36">
        <v>19357.23</v>
      </c>
      <c r="O342" s="36">
        <v>24055.48</v>
      </c>
      <c r="P342" s="36">
        <v>20726.95</v>
      </c>
      <c r="Q342" s="36">
        <v>2110.21</v>
      </c>
      <c r="R342" s="35"/>
      <c r="S342" s="35"/>
      <c r="T342" s="35"/>
      <c r="U342" s="35"/>
      <c r="V342" s="35"/>
      <c r="W342" s="35"/>
      <c r="X342" s="35"/>
      <c r="Y342" s="35"/>
      <c r="Z342" s="39">
        <v>247</v>
      </c>
      <c r="AA342" s="40">
        <v>74</v>
      </c>
      <c r="AB342" s="40">
        <v>85</v>
      </c>
      <c r="AC342" s="40">
        <v>81</v>
      </c>
      <c r="AD342" s="40">
        <v>7</v>
      </c>
      <c r="AE342" s="35"/>
      <c r="AF342" s="35"/>
      <c r="AG342" s="35"/>
      <c r="AH342" s="35"/>
      <c r="AI342" s="34">
        <v>231.2225101214575</v>
      </c>
      <c r="AJ342" s="36">
        <v>225.50364864864866</v>
      </c>
      <c r="AK342" s="36">
        <v>243.97035294117646</v>
      </c>
      <c r="AL342" s="36">
        <v>220.59333333333333</v>
      </c>
      <c r="AM342" s="36">
        <v>259.87857142857143</v>
      </c>
      <c r="AN342" s="35"/>
      <c r="AO342" s="35"/>
      <c r="AP342" s="35"/>
      <c r="AQ342" s="35"/>
      <c r="AR342" s="39">
        <v>1854</v>
      </c>
      <c r="AS342" s="40">
        <v>566</v>
      </c>
      <c r="AT342" s="40">
        <v>756</v>
      </c>
      <c r="AU342" s="40">
        <v>438</v>
      </c>
      <c r="AV342" s="40">
        <v>94</v>
      </c>
      <c r="AW342" s="35"/>
      <c r="AX342" s="35"/>
      <c r="AY342" s="35"/>
      <c r="AZ342" s="35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</row>
    <row r="343" spans="1:158" s="29" customFormat="1" x14ac:dyDescent="0.2">
      <c r="A343" s="23" t="s">
        <v>38</v>
      </c>
      <c r="B343" s="23" t="s">
        <v>697</v>
      </c>
      <c r="C343" s="23" t="s">
        <v>698</v>
      </c>
      <c r="D343" s="24">
        <v>3606295.29</v>
      </c>
      <c r="E343" s="25">
        <v>2763024.59</v>
      </c>
      <c r="F343" s="25">
        <v>843270.7</v>
      </c>
      <c r="G343" s="26"/>
      <c r="H343" s="26"/>
      <c r="I343" s="26"/>
      <c r="J343" s="26"/>
      <c r="K343" s="26"/>
      <c r="L343" s="26"/>
      <c r="M343" s="24">
        <v>4183302.53</v>
      </c>
      <c r="N343" s="25">
        <v>3205108.51</v>
      </c>
      <c r="O343" s="25">
        <v>978194.02</v>
      </c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7">
        <v>30469</v>
      </c>
      <c r="AA343" s="28">
        <v>24916</v>
      </c>
      <c r="AB343" s="28">
        <v>5553</v>
      </c>
      <c r="AC343" s="26"/>
      <c r="AD343" s="26"/>
      <c r="AE343" s="26"/>
      <c r="AF343" s="26"/>
      <c r="AG343" s="26"/>
      <c r="AH343" s="26"/>
      <c r="AI343" s="24">
        <v>118.35948964521317</v>
      </c>
      <c r="AJ343" s="25">
        <v>110.89358604912506</v>
      </c>
      <c r="AK343" s="25">
        <v>151.85858094723574</v>
      </c>
      <c r="AL343" s="26"/>
      <c r="AM343" s="26"/>
      <c r="AN343" s="26"/>
      <c r="AO343" s="26"/>
      <c r="AP343" s="26"/>
      <c r="AQ343" s="26"/>
      <c r="AR343" s="27">
        <v>72813</v>
      </c>
      <c r="AS343" s="28">
        <v>57555</v>
      </c>
      <c r="AT343" s="28">
        <v>15258</v>
      </c>
      <c r="AU343" s="26"/>
      <c r="AV343" s="26"/>
      <c r="AW343" s="26"/>
      <c r="AX343" s="26"/>
      <c r="AY343" s="26"/>
      <c r="AZ343" s="26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</row>
    <row r="344" spans="1:158" s="41" customFormat="1" x14ac:dyDescent="0.2">
      <c r="A344" s="33" t="s">
        <v>38</v>
      </c>
      <c r="B344" s="33" t="s">
        <v>699</v>
      </c>
      <c r="C344" s="33" t="s">
        <v>700</v>
      </c>
      <c r="D344" s="37"/>
      <c r="E344" s="35"/>
      <c r="F344" s="35"/>
      <c r="G344" s="35"/>
      <c r="H344" s="35"/>
      <c r="I344" s="38"/>
      <c r="J344" s="35"/>
      <c r="K344" s="35"/>
      <c r="L344" s="35"/>
      <c r="M344" s="37"/>
      <c r="N344" s="35"/>
      <c r="O344" s="35"/>
      <c r="P344" s="35"/>
      <c r="Q344" s="35"/>
      <c r="R344" s="38"/>
      <c r="S344" s="35"/>
      <c r="T344" s="35"/>
      <c r="U344" s="35"/>
      <c r="V344" s="35"/>
      <c r="W344" s="35"/>
      <c r="X344" s="35"/>
      <c r="Y344" s="35"/>
      <c r="Z344" s="37"/>
      <c r="AA344" s="35"/>
      <c r="AB344" s="35"/>
      <c r="AC344" s="35"/>
      <c r="AD344" s="35"/>
      <c r="AE344" s="38"/>
      <c r="AF344" s="35"/>
      <c r="AG344" s="35"/>
      <c r="AH344" s="35"/>
      <c r="AI344" s="37" t="s">
        <v>33</v>
      </c>
      <c r="AJ344" s="35"/>
      <c r="AK344" s="35"/>
      <c r="AL344" s="35"/>
      <c r="AM344" s="35"/>
      <c r="AN344" s="38" t="s">
        <v>33</v>
      </c>
      <c r="AO344" s="35"/>
      <c r="AP344" s="35"/>
      <c r="AQ344" s="35"/>
      <c r="AR344" s="42"/>
      <c r="AS344" s="35"/>
      <c r="AT344" s="35"/>
      <c r="AU344" s="35"/>
      <c r="AV344" s="35"/>
      <c r="AW344" s="35"/>
      <c r="AX344" s="35"/>
      <c r="AY344" s="35"/>
      <c r="AZ344" s="35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</row>
    <row r="345" spans="1:158" x14ac:dyDescent="0.2">
      <c r="A345" s="1" t="s">
        <v>38</v>
      </c>
      <c r="B345" s="1" t="s">
        <v>701</v>
      </c>
      <c r="C345" s="1" t="s">
        <v>702</v>
      </c>
      <c r="D345" s="12">
        <v>100271.25</v>
      </c>
      <c r="E345" s="3"/>
      <c r="F345" s="3"/>
      <c r="G345" s="3"/>
      <c r="H345" s="2">
        <v>15679.66</v>
      </c>
      <c r="I345" s="2">
        <v>33296.97</v>
      </c>
      <c r="J345" s="2">
        <v>6382.53</v>
      </c>
      <c r="K345" s="2">
        <v>44912.09</v>
      </c>
      <c r="L345" s="3"/>
      <c r="M345" s="12">
        <v>116314.65</v>
      </c>
      <c r="N345" s="3"/>
      <c r="O345" s="3"/>
      <c r="P345" s="3"/>
      <c r="Q345" s="2">
        <v>18188.41</v>
      </c>
      <c r="R345" s="2">
        <v>38624.49</v>
      </c>
      <c r="S345" s="2">
        <v>7403.73</v>
      </c>
      <c r="T345" s="2">
        <v>52098.02</v>
      </c>
      <c r="U345" s="3"/>
      <c r="V345" s="3"/>
      <c r="W345" s="3"/>
      <c r="X345" s="3"/>
      <c r="Y345" s="3"/>
      <c r="Z345" s="13">
        <v>81</v>
      </c>
      <c r="AA345" s="3"/>
      <c r="AB345" s="3"/>
      <c r="AC345" s="3"/>
      <c r="AD345" s="4">
        <v>13</v>
      </c>
      <c r="AE345" s="4">
        <v>27</v>
      </c>
      <c r="AF345" s="4">
        <v>5</v>
      </c>
      <c r="AG345" s="4">
        <v>36</v>
      </c>
      <c r="AH345" s="3"/>
      <c r="AI345" s="12">
        <v>1237.9166666666667</v>
      </c>
      <c r="AJ345" s="3"/>
      <c r="AK345" s="3"/>
      <c r="AL345" s="3"/>
      <c r="AM345" s="2">
        <v>1206.1276923076923</v>
      </c>
      <c r="AN345" s="2">
        <v>1233.2211111111112</v>
      </c>
      <c r="AO345" s="2">
        <v>1276.5060000000001</v>
      </c>
      <c r="AP345" s="2">
        <v>1247.5580555555555</v>
      </c>
      <c r="AQ345" s="3"/>
      <c r="AR345" s="17"/>
      <c r="AS345" s="3"/>
      <c r="AT345" s="3"/>
      <c r="AU345" s="3"/>
      <c r="AV345" s="3"/>
      <c r="AW345" s="3"/>
      <c r="AX345" s="3"/>
      <c r="AY345" s="3"/>
      <c r="AZ345" s="3"/>
    </row>
    <row r="346" spans="1:158" x14ac:dyDescent="0.2">
      <c r="A346" s="1" t="s">
        <v>38</v>
      </c>
      <c r="B346" s="1" t="s">
        <v>703</v>
      </c>
      <c r="C346" s="1" t="s">
        <v>704</v>
      </c>
      <c r="D346" s="12">
        <v>3851248.03</v>
      </c>
      <c r="E346" s="3"/>
      <c r="F346" s="2">
        <v>9172.2900000000009</v>
      </c>
      <c r="G346" s="3"/>
      <c r="H346" s="3"/>
      <c r="I346" s="3"/>
      <c r="J346" s="2">
        <v>144262.71</v>
      </c>
      <c r="K346" s="2">
        <v>1999010.57</v>
      </c>
      <c r="L346" s="2">
        <v>1698802.46</v>
      </c>
      <c r="M346" s="12">
        <v>4467447.7</v>
      </c>
      <c r="N346" s="3"/>
      <c r="O346" s="2">
        <v>10639.85</v>
      </c>
      <c r="P346" s="3"/>
      <c r="Q346" s="3"/>
      <c r="R346" s="3"/>
      <c r="S346" s="2">
        <v>167344.74</v>
      </c>
      <c r="T346" s="2">
        <v>2318852.2599999998</v>
      </c>
      <c r="U346" s="2">
        <v>1970610.85</v>
      </c>
      <c r="V346" s="2"/>
      <c r="W346" s="2"/>
      <c r="X346" s="2"/>
      <c r="Y346" s="2"/>
      <c r="Z346" s="13">
        <v>36787</v>
      </c>
      <c r="AA346" s="3"/>
      <c r="AB346" s="4">
        <v>50</v>
      </c>
      <c r="AC346" s="3"/>
      <c r="AD346" s="3"/>
      <c r="AE346" s="3"/>
      <c r="AF346" s="4">
        <v>1420</v>
      </c>
      <c r="AG346" s="4">
        <v>19198</v>
      </c>
      <c r="AH346" s="4">
        <v>16119</v>
      </c>
      <c r="AI346" s="12">
        <v>104.69046211977057</v>
      </c>
      <c r="AJ346" s="3"/>
      <c r="AK346" s="2">
        <v>183.44579999999999</v>
      </c>
      <c r="AL346" s="3"/>
      <c r="AM346" s="3"/>
      <c r="AN346" s="3"/>
      <c r="AO346" s="2">
        <v>101.59345774647888</v>
      </c>
      <c r="AP346" s="2">
        <v>104.12598031044901</v>
      </c>
      <c r="AQ346" s="2">
        <v>105.39130591227745</v>
      </c>
      <c r="AR346" s="13">
        <v>397768</v>
      </c>
      <c r="AS346" s="3"/>
      <c r="AT346" s="4">
        <v>4</v>
      </c>
      <c r="AU346" s="3"/>
      <c r="AV346" s="3"/>
      <c r="AW346" s="3"/>
      <c r="AX346" s="4">
        <v>11158</v>
      </c>
      <c r="AY346" s="4">
        <v>215874</v>
      </c>
      <c r="AZ346" s="4">
        <v>170732</v>
      </c>
    </row>
    <row r="347" spans="1:158" x14ac:dyDescent="0.2">
      <c r="A347" s="1" t="s">
        <v>38</v>
      </c>
      <c r="B347" s="1" t="s">
        <v>705</v>
      </c>
      <c r="C347" s="1" t="s">
        <v>706</v>
      </c>
      <c r="D347" s="12">
        <v>3609.17</v>
      </c>
      <c r="E347" s="3"/>
      <c r="F347" s="3"/>
      <c r="G347" s="3"/>
      <c r="H347" s="3"/>
      <c r="I347" s="2">
        <v>3141.5</v>
      </c>
      <c r="J347" s="2">
        <v>200.13</v>
      </c>
      <c r="K347" s="2">
        <v>267.54000000000002</v>
      </c>
      <c r="L347" s="3"/>
      <c r="M347" s="12">
        <v>4186.6400000000003</v>
      </c>
      <c r="N347" s="3"/>
      <c r="O347" s="3"/>
      <c r="P347" s="3"/>
      <c r="Q347" s="3"/>
      <c r="R347" s="2">
        <v>3644.14</v>
      </c>
      <c r="S347" s="2">
        <v>232.15</v>
      </c>
      <c r="T347" s="2">
        <v>310.35000000000002</v>
      </c>
      <c r="U347" s="3"/>
      <c r="V347" s="3"/>
      <c r="W347" s="3"/>
      <c r="X347" s="3"/>
      <c r="Y347" s="3"/>
      <c r="Z347" s="13">
        <v>5</v>
      </c>
      <c r="AA347" s="3"/>
      <c r="AB347" s="3"/>
      <c r="AC347" s="3"/>
      <c r="AD347" s="3"/>
      <c r="AE347" s="4">
        <v>3</v>
      </c>
      <c r="AF347" s="4">
        <v>1</v>
      </c>
      <c r="AG347" s="4">
        <v>1</v>
      </c>
      <c r="AH347" s="3"/>
      <c r="AI347" s="12">
        <v>721.83399999999995</v>
      </c>
      <c r="AJ347" s="3"/>
      <c r="AK347" s="3"/>
      <c r="AL347" s="3"/>
      <c r="AM347" s="3"/>
      <c r="AN347" s="2">
        <v>1047.1666666666667</v>
      </c>
      <c r="AO347" s="2">
        <v>200.13</v>
      </c>
      <c r="AP347" s="2">
        <v>267.54000000000002</v>
      </c>
      <c r="AQ347" s="3"/>
      <c r="AR347" s="13">
        <v>64</v>
      </c>
      <c r="AS347" s="3"/>
      <c r="AT347" s="3"/>
      <c r="AU347" s="3"/>
      <c r="AV347" s="3"/>
      <c r="AW347" s="4">
        <v>64</v>
      </c>
      <c r="AX347" s="3"/>
      <c r="AY347" s="3"/>
      <c r="AZ347" s="3"/>
    </row>
    <row r="348" spans="1:158" x14ac:dyDescent="0.2">
      <c r="A348" s="1"/>
      <c r="B348" s="1"/>
      <c r="C348" s="1"/>
      <c r="D348" s="12"/>
      <c r="E348" s="3"/>
      <c r="F348" s="3"/>
      <c r="G348" s="3"/>
      <c r="H348" s="3"/>
      <c r="I348" s="2"/>
      <c r="J348" s="2"/>
      <c r="K348" s="2"/>
      <c r="L348" s="3"/>
      <c r="M348" s="12"/>
      <c r="N348" s="3"/>
      <c r="O348" s="3"/>
      <c r="P348" s="3"/>
      <c r="Q348" s="3"/>
      <c r="R348" s="2"/>
      <c r="S348" s="2"/>
      <c r="T348" s="2"/>
      <c r="U348" s="3"/>
      <c r="V348" s="3"/>
      <c r="W348" s="3"/>
      <c r="X348" s="3"/>
      <c r="Y348" s="3"/>
      <c r="Z348" s="13"/>
      <c r="AA348" s="3"/>
      <c r="AB348" s="3"/>
      <c r="AC348" s="3"/>
      <c r="AD348" s="3"/>
      <c r="AE348" s="4"/>
      <c r="AF348" s="4"/>
      <c r="AG348" s="4"/>
      <c r="AH348" s="3"/>
      <c r="AI348" s="12"/>
      <c r="AJ348" s="3"/>
      <c r="AK348" s="3"/>
      <c r="AL348" s="3"/>
      <c r="AM348" s="3"/>
      <c r="AN348" s="2"/>
      <c r="AO348" s="2"/>
      <c r="AP348" s="2"/>
      <c r="AQ348" s="3"/>
      <c r="AR348" s="13"/>
      <c r="AS348" s="3"/>
      <c r="AT348" s="3"/>
      <c r="AU348" s="3"/>
      <c r="AV348" s="3"/>
      <c r="AW348" s="4"/>
      <c r="AX348" s="3"/>
      <c r="AY348" s="3"/>
      <c r="AZ348" s="3"/>
    </row>
    <row r="349" spans="1:158" x14ac:dyDescent="0.2">
      <c r="A349" s="1"/>
      <c r="B349" s="1"/>
      <c r="C349" s="1"/>
      <c r="D349" s="12"/>
      <c r="E349" s="3"/>
      <c r="F349" s="3"/>
      <c r="G349" s="3"/>
      <c r="H349" s="3"/>
      <c r="I349" s="2"/>
      <c r="J349" s="2"/>
      <c r="K349" s="2"/>
      <c r="L349" s="3"/>
      <c r="M349" s="12"/>
      <c r="N349" s="3"/>
      <c r="O349" s="3"/>
      <c r="P349" s="3"/>
      <c r="Q349" s="3"/>
      <c r="R349" s="2"/>
      <c r="S349" s="2"/>
      <c r="T349" s="2"/>
      <c r="U349" s="3"/>
      <c r="V349" s="3"/>
      <c r="W349" s="3"/>
      <c r="X349" s="3"/>
      <c r="Y349" s="3"/>
      <c r="Z349" s="13"/>
      <c r="AA349" s="3"/>
      <c r="AB349" s="3"/>
      <c r="AC349" s="3"/>
      <c r="AD349" s="3"/>
      <c r="AE349" s="4"/>
      <c r="AF349" s="4"/>
      <c r="AG349" s="4"/>
      <c r="AH349" s="3"/>
      <c r="AI349" s="12"/>
      <c r="AJ349" s="3"/>
      <c r="AK349" s="3"/>
      <c r="AL349" s="3"/>
      <c r="AM349" s="3"/>
      <c r="AN349" s="2"/>
      <c r="AO349" s="2"/>
      <c r="AP349" s="2"/>
      <c r="AQ349" s="3"/>
      <c r="AR349" s="13"/>
      <c r="AS349" s="3"/>
      <c r="AT349" s="3"/>
      <c r="AU349" s="3"/>
      <c r="AV349" s="3"/>
      <c r="AW349" s="4"/>
      <c r="AX349" s="3"/>
      <c r="AY349" s="3"/>
      <c r="AZ349" s="3"/>
    </row>
    <row r="350" spans="1:158" s="14" customFormat="1" x14ac:dyDescent="0.2">
      <c r="A350" s="11"/>
      <c r="B350" s="11" t="s">
        <v>178</v>
      </c>
      <c r="C350" s="11"/>
      <c r="D350" s="12">
        <v>56431074.780000001</v>
      </c>
      <c r="E350" s="12">
        <v>13679753.24</v>
      </c>
      <c r="F350" s="12">
        <v>9197601.0500000007</v>
      </c>
      <c r="G350" s="12">
        <v>6546538.9400000004</v>
      </c>
      <c r="H350" s="12">
        <v>7736545.6500000004</v>
      </c>
      <c r="I350" s="12">
        <v>7364640.7199999997</v>
      </c>
      <c r="J350" s="12">
        <v>2021446.31</v>
      </c>
      <c r="K350" s="12">
        <v>6484044.5599999996</v>
      </c>
      <c r="L350" s="12">
        <v>3400504.31</v>
      </c>
      <c r="M350" s="12">
        <v>65236867.200000003</v>
      </c>
      <c r="N350" s="12">
        <v>15787122.130000001</v>
      </c>
      <c r="O350" s="12">
        <v>10646642.470000001</v>
      </c>
      <c r="P350" s="12">
        <v>7567168.4000000004</v>
      </c>
      <c r="Q350" s="12">
        <v>8938183.0999999996</v>
      </c>
      <c r="R350" s="12">
        <v>8528168.5399999991</v>
      </c>
      <c r="S350" s="12">
        <v>2192580.5</v>
      </c>
      <c r="T350" s="12">
        <v>7637595.5599999996</v>
      </c>
      <c r="U350" s="12">
        <v>3939406.5</v>
      </c>
      <c r="V350" s="12"/>
      <c r="W350" s="12"/>
      <c r="X350" s="12"/>
      <c r="Y350" s="12"/>
      <c r="Z350" s="13">
        <v>282883</v>
      </c>
      <c r="AA350" s="13">
        <v>73965</v>
      </c>
      <c r="AB350" s="13">
        <v>41670</v>
      </c>
      <c r="AC350" s="13">
        <v>25821</v>
      </c>
      <c r="AD350" s="13">
        <v>14111</v>
      </c>
      <c r="AE350" s="13">
        <v>46226</v>
      </c>
      <c r="AF350" s="13">
        <v>17780</v>
      </c>
      <c r="AG350" s="13">
        <v>40275</v>
      </c>
      <c r="AH350" s="13">
        <v>23035</v>
      </c>
      <c r="AI350" s="12">
        <v>199.48556392572195</v>
      </c>
      <c r="AJ350" s="12">
        <v>184.94900615155817</v>
      </c>
      <c r="AK350" s="12">
        <v>220.7247672186225</v>
      </c>
      <c r="AL350" s="12">
        <v>253.53545331319469</v>
      </c>
      <c r="AM350" s="12">
        <v>548.2634575862802</v>
      </c>
      <c r="AN350" s="12">
        <v>159.31814822826979</v>
      </c>
      <c r="AO350" s="12">
        <v>113.69214341957255</v>
      </c>
      <c r="AP350" s="12">
        <v>160.99427833643699</v>
      </c>
      <c r="AQ350" s="12">
        <v>147.62336922075102</v>
      </c>
      <c r="AR350" s="13">
        <v>2845012.6</v>
      </c>
      <c r="AS350" s="13">
        <v>381038.7</v>
      </c>
      <c r="AT350" s="13">
        <v>304486.59999999998</v>
      </c>
      <c r="AU350" s="13">
        <v>214666.8</v>
      </c>
      <c r="AV350" s="13">
        <v>1556320.5</v>
      </c>
      <c r="AW350" s="13">
        <v>323257.40000000002</v>
      </c>
      <c r="AX350" s="13">
        <v>-918245.1</v>
      </c>
      <c r="AY350" s="13">
        <v>688781.7</v>
      </c>
      <c r="AZ350" s="13">
        <v>294706</v>
      </c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5"/>
      <c r="BQ350" s="65"/>
      <c r="BR350" s="65"/>
      <c r="BS350" s="65"/>
      <c r="BT350" s="65"/>
      <c r="BU350" s="65"/>
      <c r="BV350" s="65"/>
      <c r="BW350" s="65"/>
      <c r="BX350" s="65"/>
      <c r="BY350" s="65"/>
      <c r="BZ350" s="65"/>
      <c r="CA350" s="65"/>
      <c r="CB350" s="65"/>
      <c r="CC350" s="65"/>
      <c r="CD350" s="65"/>
      <c r="CE350" s="65"/>
      <c r="CF350" s="65"/>
      <c r="CG350" s="65"/>
      <c r="CH350" s="65"/>
      <c r="CI350" s="65"/>
      <c r="CJ350" s="65"/>
      <c r="CK350" s="65"/>
      <c r="CL350" s="65"/>
      <c r="CM350" s="65"/>
      <c r="CN350" s="65"/>
      <c r="CO350" s="65"/>
      <c r="CP350" s="65"/>
      <c r="CQ350" s="65"/>
      <c r="CR350" s="65"/>
      <c r="CS350" s="65"/>
      <c r="CT350" s="65"/>
      <c r="CU350" s="65"/>
      <c r="CV350" s="65"/>
      <c r="CW350" s="65"/>
      <c r="CX350" s="65"/>
      <c r="CY350" s="65"/>
      <c r="CZ350" s="65"/>
      <c r="DA350" s="65"/>
      <c r="DB350" s="65"/>
      <c r="DC350" s="65"/>
      <c r="DD350" s="65"/>
      <c r="DE350" s="65"/>
      <c r="DF350" s="65"/>
      <c r="DG350" s="65"/>
      <c r="DH350" s="65"/>
      <c r="DI350" s="65"/>
      <c r="DJ350" s="65"/>
      <c r="DK350" s="65"/>
      <c r="DL350" s="65"/>
      <c r="DM350" s="65"/>
      <c r="DN350" s="65"/>
      <c r="DO350" s="65"/>
      <c r="DP350" s="65"/>
      <c r="DQ350" s="65"/>
      <c r="DR350" s="65"/>
      <c r="DS350" s="65"/>
      <c r="DT350" s="65"/>
      <c r="DU350" s="65"/>
      <c r="DV350" s="65"/>
      <c r="DW350" s="65"/>
      <c r="DX350" s="65"/>
      <c r="DY350" s="65"/>
      <c r="DZ350" s="65"/>
      <c r="EA350" s="65"/>
      <c r="EB350" s="65"/>
      <c r="EC350" s="65"/>
      <c r="ED350" s="65"/>
      <c r="EE350" s="65"/>
      <c r="EF350" s="65"/>
      <c r="EG350" s="65"/>
      <c r="EH350" s="65"/>
      <c r="EI350" s="65"/>
      <c r="EJ350" s="65"/>
      <c r="EK350" s="65"/>
      <c r="EL350" s="65"/>
      <c r="EM350" s="65"/>
      <c r="EN350" s="65"/>
      <c r="EO350" s="65"/>
      <c r="EP350" s="65"/>
      <c r="EQ350" s="65"/>
      <c r="ER350" s="65"/>
      <c r="ES350" s="65"/>
      <c r="ET350" s="65"/>
      <c r="EU350" s="65"/>
      <c r="EV350" s="65"/>
      <c r="EW350" s="65"/>
      <c r="EX350" s="65"/>
      <c r="EY350" s="65"/>
      <c r="EZ350" s="65"/>
      <c r="FA350" s="65"/>
      <c r="FB350" s="65"/>
    </row>
    <row r="351" spans="1:158" s="19" customFormat="1" x14ac:dyDescent="0.2">
      <c r="C351" s="20" t="s">
        <v>707</v>
      </c>
      <c r="D351" s="22">
        <f t="shared" ref="D351:AZ351" si="0">SUM(D350+D163+D69)</f>
        <v>56488059.369999997</v>
      </c>
      <c r="E351" s="18">
        <v>13700177.5</v>
      </c>
      <c r="F351" s="18">
        <v>9208694.8800000008</v>
      </c>
      <c r="G351" s="18">
        <v>6554064.9699999997</v>
      </c>
      <c r="H351" s="18">
        <v>7754486.1200000001</v>
      </c>
      <c r="I351" s="18">
        <v>7364640.7199999997</v>
      </c>
      <c r="J351" s="18">
        <v>2021446.31</v>
      </c>
      <c r="K351" s="18">
        <v>6484044.5599999996</v>
      </c>
      <c r="L351" s="18">
        <v>3400504.31</v>
      </c>
      <c r="M351" s="18">
        <f t="shared" si="0"/>
        <v>65299093.570000008</v>
      </c>
      <c r="N351" s="18">
        <f t="shared" si="0"/>
        <v>15809622.33</v>
      </c>
      <c r="O351" s="18">
        <f t="shared" si="0"/>
        <v>10658692.9</v>
      </c>
      <c r="P351" s="18">
        <f t="shared" si="0"/>
        <v>7575151.1500000004</v>
      </c>
      <c r="Q351" s="18">
        <f t="shared" si="0"/>
        <v>8957876.0899999999</v>
      </c>
      <c r="R351" s="18">
        <f t="shared" si="0"/>
        <v>8528168.5399999991</v>
      </c>
      <c r="S351" s="18">
        <f t="shared" si="0"/>
        <v>2192580.5</v>
      </c>
      <c r="T351" s="18">
        <f t="shared" si="0"/>
        <v>7637595.5599999996</v>
      </c>
      <c r="U351" s="18">
        <f t="shared" si="0"/>
        <v>3939406.5</v>
      </c>
      <c r="V351" s="18">
        <v>0</v>
      </c>
      <c r="W351" s="18">
        <v>0</v>
      </c>
      <c r="X351" s="18">
        <v>0</v>
      </c>
      <c r="Y351" s="18">
        <v>0</v>
      </c>
      <c r="Z351" s="21">
        <f t="shared" si="0"/>
        <v>283075</v>
      </c>
      <c r="AA351" s="21">
        <f t="shared" si="0"/>
        <v>74030</v>
      </c>
      <c r="AB351" s="21">
        <f t="shared" si="0"/>
        <v>41710</v>
      </c>
      <c r="AC351" s="21">
        <f t="shared" si="0"/>
        <v>25850</v>
      </c>
      <c r="AD351" s="21">
        <f t="shared" si="0"/>
        <v>14169</v>
      </c>
      <c r="AE351" s="21">
        <f t="shared" si="0"/>
        <v>46226</v>
      </c>
      <c r="AF351" s="21">
        <f t="shared" si="0"/>
        <v>17780</v>
      </c>
      <c r="AG351" s="21">
        <f t="shared" si="0"/>
        <v>40275</v>
      </c>
      <c r="AH351" s="21">
        <f t="shared" si="0"/>
        <v>23035</v>
      </c>
      <c r="AI351" s="21">
        <f t="shared" si="0"/>
        <v>840.82683751062768</v>
      </c>
      <c r="AJ351" s="21">
        <f t="shared" si="0"/>
        <v>499.16839076694282</v>
      </c>
      <c r="AK351" s="21">
        <f t="shared" si="0"/>
        <v>498.07051721862251</v>
      </c>
      <c r="AL351" s="21">
        <f t="shared" si="0"/>
        <v>886.50892270094982</v>
      </c>
      <c r="AM351" s="21">
        <f t="shared" si="0"/>
        <v>857.58190586214232</v>
      </c>
      <c r="AN351" s="21">
        <f t="shared" si="0"/>
        <v>159.31814822826979</v>
      </c>
      <c r="AO351" s="21">
        <f t="shared" si="0"/>
        <v>113.69214341957255</v>
      </c>
      <c r="AP351" s="21">
        <f t="shared" si="0"/>
        <v>160.99427833643699</v>
      </c>
      <c r="AQ351" s="21">
        <f t="shared" si="0"/>
        <v>147.62336922075102</v>
      </c>
      <c r="AR351" s="21">
        <f t="shared" si="0"/>
        <v>2845503.6</v>
      </c>
      <c r="AS351" s="21">
        <f t="shared" si="0"/>
        <v>381242.7</v>
      </c>
      <c r="AT351" s="21">
        <f t="shared" si="0"/>
        <v>304546.59999999998</v>
      </c>
      <c r="AU351" s="21">
        <f t="shared" si="0"/>
        <v>214746.8</v>
      </c>
      <c r="AV351" s="21">
        <f t="shared" si="0"/>
        <v>1556467.5</v>
      </c>
      <c r="AW351" s="21">
        <f t="shared" si="0"/>
        <v>323257.40000000002</v>
      </c>
      <c r="AX351" s="21">
        <f t="shared" si="0"/>
        <v>-918245.1</v>
      </c>
      <c r="AY351" s="21">
        <f t="shared" si="0"/>
        <v>688781.7</v>
      </c>
      <c r="AZ351" s="21">
        <f t="shared" si="0"/>
        <v>294706</v>
      </c>
      <c r="BA351" s="66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  <c r="BP351" s="69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  <c r="CG351" s="69"/>
      <c r="CH351" s="69"/>
      <c r="CI351" s="69"/>
      <c r="CJ351" s="69"/>
      <c r="CK351" s="69"/>
      <c r="CL351" s="69"/>
      <c r="CM351" s="69"/>
      <c r="CN351" s="69"/>
      <c r="CO351" s="69"/>
      <c r="CP351" s="69"/>
      <c r="CQ351" s="69"/>
      <c r="CR351" s="69"/>
      <c r="CS351" s="69"/>
      <c r="CT351" s="69"/>
      <c r="CU351" s="69"/>
      <c r="CV351" s="69"/>
      <c r="CW351" s="69"/>
      <c r="CX351" s="69"/>
      <c r="CY351" s="69"/>
      <c r="CZ351" s="69"/>
      <c r="DA351" s="69"/>
      <c r="DB351" s="69"/>
      <c r="DC351" s="69"/>
      <c r="DD351" s="69"/>
      <c r="DE351" s="69"/>
      <c r="DF351" s="69"/>
      <c r="DG351" s="69"/>
      <c r="DH351" s="69"/>
      <c r="DI351" s="69"/>
      <c r="DJ351" s="69"/>
      <c r="DK351" s="69"/>
      <c r="DL351" s="69"/>
      <c r="DM351" s="69"/>
      <c r="DN351" s="69"/>
      <c r="DO351" s="69"/>
      <c r="DP351" s="69"/>
      <c r="DQ351" s="69"/>
      <c r="DR351" s="69"/>
      <c r="DS351" s="69"/>
      <c r="DT351" s="69"/>
      <c r="DU351" s="69"/>
      <c r="DV351" s="69"/>
      <c r="DW351" s="69"/>
      <c r="DX351" s="69"/>
      <c r="DY351" s="69"/>
      <c r="DZ351" s="69"/>
      <c r="EA351" s="69"/>
      <c r="EB351" s="69"/>
      <c r="EC351" s="69"/>
      <c r="ED351" s="69"/>
      <c r="EE351" s="69"/>
      <c r="EF351" s="69"/>
      <c r="EG351" s="69"/>
      <c r="EH351" s="69"/>
      <c r="EI351" s="69"/>
      <c r="EJ351" s="69"/>
      <c r="EK351" s="69"/>
      <c r="EL351" s="69"/>
      <c r="EM351" s="69"/>
      <c r="EN351" s="69"/>
      <c r="EO351" s="69"/>
      <c r="EP351" s="69"/>
      <c r="EQ351" s="69"/>
      <c r="ER351" s="69"/>
      <c r="ES351" s="69"/>
      <c r="ET351" s="69"/>
      <c r="EU351" s="69"/>
      <c r="EV351" s="69"/>
      <c r="EW351" s="69"/>
      <c r="EX351" s="69"/>
      <c r="EY351" s="69"/>
      <c r="EZ351" s="69"/>
      <c r="FA351" s="69"/>
      <c r="FB351" s="69"/>
    </row>
    <row r="352" spans="1:158" x14ac:dyDescent="0.2">
      <c r="D352" s="65"/>
      <c r="M352" s="65"/>
      <c r="Z352" s="65"/>
      <c r="AI352" s="65"/>
      <c r="AR352" s="65"/>
    </row>
    <row r="353" spans="4:44" x14ac:dyDescent="0.2">
      <c r="D353" s="65"/>
      <c r="M353" s="65"/>
      <c r="Z353" s="65"/>
      <c r="AI353" s="65"/>
      <c r="AR353" s="65"/>
    </row>
    <row r="354" spans="4:44" x14ac:dyDescent="0.2">
      <c r="D354" s="65"/>
      <c r="M354" s="65"/>
      <c r="Z354" s="65"/>
      <c r="AI354" s="65"/>
      <c r="AR354" s="65"/>
    </row>
    <row r="355" spans="4:44" x14ac:dyDescent="0.2">
      <c r="D355" s="65"/>
      <c r="M355" s="65"/>
      <c r="Z355" s="65"/>
      <c r="AI355" s="65"/>
      <c r="AR355" s="65"/>
    </row>
    <row r="356" spans="4:44" x14ac:dyDescent="0.2">
      <c r="D356" s="65"/>
      <c r="M356" s="65"/>
      <c r="Z356" s="65"/>
      <c r="AI356" s="65"/>
      <c r="AR356" s="65"/>
    </row>
    <row r="357" spans="4:44" x14ac:dyDescent="0.2">
      <c r="D357" s="65"/>
      <c r="M357" s="65"/>
      <c r="Z357" s="65"/>
      <c r="AI357" s="65"/>
      <c r="AR357" s="65"/>
    </row>
    <row r="358" spans="4:44" x14ac:dyDescent="0.2">
      <c r="D358" s="65"/>
      <c r="M358" s="65"/>
      <c r="Z358" s="65"/>
      <c r="AI358" s="65"/>
      <c r="AR358" s="65"/>
    </row>
    <row r="359" spans="4:44" x14ac:dyDescent="0.2">
      <c r="D359" s="65"/>
      <c r="M359" s="65"/>
      <c r="Z359" s="65"/>
      <c r="AI359" s="65"/>
      <c r="AR359" s="65"/>
    </row>
    <row r="360" spans="4:44" x14ac:dyDescent="0.2">
      <c r="D360" s="65"/>
      <c r="M360" s="65"/>
      <c r="Z360" s="65"/>
      <c r="AI360" s="65"/>
      <c r="AR360" s="65"/>
    </row>
    <row r="361" spans="4:44" x14ac:dyDescent="0.2">
      <c r="D361" s="65"/>
      <c r="M361" s="65"/>
      <c r="Z361" s="65"/>
      <c r="AI361" s="65"/>
      <c r="AR361" s="65"/>
    </row>
    <row r="362" spans="4:44" x14ac:dyDescent="0.2">
      <c r="D362" s="65"/>
      <c r="M362" s="65"/>
      <c r="Z362" s="65"/>
      <c r="AI362" s="65"/>
      <c r="AR362" s="65"/>
    </row>
    <row r="363" spans="4:44" x14ac:dyDescent="0.2">
      <c r="D363" s="65"/>
      <c r="M363" s="65"/>
      <c r="Z363" s="65"/>
      <c r="AI363" s="65"/>
      <c r="AR363" s="65"/>
    </row>
    <row r="364" spans="4:44" x14ac:dyDescent="0.2">
      <c r="D364" s="65"/>
      <c r="M364" s="65"/>
      <c r="Z364" s="65"/>
      <c r="AI364" s="65"/>
      <c r="AR364" s="65"/>
    </row>
    <row r="365" spans="4:44" x14ac:dyDescent="0.2">
      <c r="D365" s="65"/>
      <c r="M365" s="65"/>
      <c r="Z365" s="65"/>
      <c r="AI365" s="65"/>
      <c r="AR365" s="65"/>
    </row>
    <row r="366" spans="4:44" x14ac:dyDescent="0.2">
      <c r="D366" s="65"/>
      <c r="M366" s="65"/>
      <c r="Z366" s="65"/>
      <c r="AI366" s="65"/>
      <c r="AR366" s="65"/>
    </row>
    <row r="367" spans="4:44" x14ac:dyDescent="0.2">
      <c r="D367" s="65"/>
      <c r="M367" s="65"/>
      <c r="Z367" s="65"/>
      <c r="AI367" s="65"/>
      <c r="AR367" s="65"/>
    </row>
    <row r="368" spans="4:44" x14ac:dyDescent="0.2">
      <c r="D368" s="65"/>
      <c r="M368" s="65"/>
      <c r="Z368" s="65"/>
      <c r="AI368" s="65"/>
      <c r="AR368" s="65"/>
    </row>
    <row r="369" spans="4:44" x14ac:dyDescent="0.2">
      <c r="D369" s="65"/>
      <c r="M369" s="65"/>
      <c r="Z369" s="65"/>
      <c r="AI369" s="65"/>
      <c r="AR369" s="65"/>
    </row>
    <row r="370" spans="4:44" x14ac:dyDescent="0.2">
      <c r="D370" s="65"/>
      <c r="M370" s="65"/>
      <c r="Z370" s="65"/>
      <c r="AI370" s="65"/>
      <c r="AR370" s="65"/>
    </row>
    <row r="371" spans="4:44" x14ac:dyDescent="0.2">
      <c r="D371" s="65"/>
      <c r="M371" s="65"/>
      <c r="Z371" s="65"/>
      <c r="AI371" s="65"/>
      <c r="AR371" s="65"/>
    </row>
    <row r="372" spans="4:44" x14ac:dyDescent="0.2">
      <c r="D372" s="65"/>
      <c r="M372" s="65"/>
      <c r="Z372" s="65"/>
      <c r="AI372" s="65"/>
      <c r="AR372" s="65"/>
    </row>
    <row r="373" spans="4:44" x14ac:dyDescent="0.2">
      <c r="D373" s="65"/>
      <c r="M373" s="65"/>
      <c r="Z373" s="65"/>
      <c r="AI373" s="65"/>
      <c r="AR373" s="65"/>
    </row>
    <row r="374" spans="4:44" x14ac:dyDescent="0.2">
      <c r="D374" s="65"/>
      <c r="M374" s="65"/>
      <c r="Z374" s="65"/>
      <c r="AI374" s="65"/>
      <c r="AR374" s="65"/>
    </row>
    <row r="375" spans="4:44" x14ac:dyDescent="0.2">
      <c r="D375" s="65"/>
      <c r="M375" s="65"/>
      <c r="Z375" s="65"/>
      <c r="AI375" s="65"/>
      <c r="AR375" s="65"/>
    </row>
    <row r="376" spans="4:44" x14ac:dyDescent="0.2">
      <c r="D376" s="65"/>
      <c r="M376" s="65"/>
      <c r="Z376" s="65"/>
      <c r="AI376" s="65"/>
      <c r="AR376" s="65"/>
    </row>
    <row r="377" spans="4:44" x14ac:dyDescent="0.2">
      <c r="D377" s="65"/>
      <c r="M377" s="65"/>
      <c r="Z377" s="65"/>
      <c r="AI377" s="65"/>
      <c r="AR377" s="65"/>
    </row>
    <row r="378" spans="4:44" x14ac:dyDescent="0.2">
      <c r="D378" s="65"/>
      <c r="M378" s="65"/>
      <c r="Z378" s="65"/>
      <c r="AI378" s="65"/>
      <c r="AR378" s="65"/>
    </row>
    <row r="379" spans="4:44" x14ac:dyDescent="0.2">
      <c r="D379" s="65"/>
      <c r="M379" s="65"/>
      <c r="Z379" s="65"/>
      <c r="AI379" s="65"/>
      <c r="AR379" s="65"/>
    </row>
    <row r="380" spans="4:44" x14ac:dyDescent="0.2">
      <c r="D380" s="65"/>
      <c r="M380" s="65"/>
      <c r="Z380" s="65"/>
      <c r="AI380" s="65"/>
      <c r="AR380" s="65"/>
    </row>
    <row r="381" spans="4:44" x14ac:dyDescent="0.2">
      <c r="D381" s="65"/>
      <c r="M381" s="65"/>
      <c r="Z381" s="65"/>
      <c r="AI381" s="65"/>
      <c r="AR381" s="65"/>
    </row>
    <row r="382" spans="4:44" x14ac:dyDescent="0.2">
      <c r="D382" s="65"/>
      <c r="M382" s="65"/>
      <c r="Z382" s="65"/>
      <c r="AI382" s="65"/>
      <c r="AR382" s="65"/>
    </row>
    <row r="383" spans="4:44" x14ac:dyDescent="0.2">
      <c r="D383" s="65"/>
      <c r="M383" s="65"/>
      <c r="Z383" s="65"/>
      <c r="AI383" s="65"/>
      <c r="AR383" s="65"/>
    </row>
    <row r="384" spans="4:44" x14ac:dyDescent="0.2">
      <c r="D384" s="65"/>
      <c r="M384" s="65"/>
      <c r="Z384" s="65"/>
      <c r="AI384" s="65"/>
      <c r="AR384" s="65"/>
    </row>
    <row r="385" spans="4:44" x14ac:dyDescent="0.2">
      <c r="D385" s="65"/>
      <c r="M385" s="65"/>
      <c r="Z385" s="65"/>
      <c r="AI385" s="65"/>
      <c r="AR385" s="65"/>
    </row>
    <row r="386" spans="4:44" x14ac:dyDescent="0.2">
      <c r="D386" s="65"/>
      <c r="M386" s="65"/>
      <c r="Z386" s="65"/>
      <c r="AI386" s="65"/>
      <c r="AR386" s="65"/>
    </row>
    <row r="387" spans="4:44" x14ac:dyDescent="0.2">
      <c r="D387" s="65"/>
      <c r="M387" s="65"/>
      <c r="Z387" s="65"/>
      <c r="AI387" s="65"/>
      <c r="AR387" s="65"/>
    </row>
    <row r="388" spans="4:44" x14ac:dyDescent="0.2">
      <c r="D388" s="65"/>
      <c r="M388" s="65"/>
      <c r="Z388" s="65"/>
      <c r="AI388" s="65"/>
      <c r="AR388" s="65"/>
    </row>
    <row r="389" spans="4:44" x14ac:dyDescent="0.2">
      <c r="D389" s="65"/>
      <c r="M389" s="65"/>
      <c r="Z389" s="65"/>
      <c r="AI389" s="65"/>
      <c r="AR389" s="65"/>
    </row>
    <row r="390" spans="4:44" x14ac:dyDescent="0.2">
      <c r="D390" s="65"/>
      <c r="M390" s="65"/>
      <c r="Z390" s="65"/>
      <c r="AI390" s="65"/>
      <c r="AR390" s="65"/>
    </row>
    <row r="391" spans="4:44" x14ac:dyDescent="0.2">
      <c r="D391" s="65"/>
      <c r="M391" s="65"/>
      <c r="Z391" s="65"/>
      <c r="AI391" s="65"/>
      <c r="AR391" s="65"/>
    </row>
    <row r="392" spans="4:44" x14ac:dyDescent="0.2">
      <c r="D392" s="65"/>
      <c r="M392" s="65"/>
      <c r="Z392" s="65"/>
      <c r="AI392" s="65"/>
      <c r="AR392" s="65"/>
    </row>
    <row r="393" spans="4:44" x14ac:dyDescent="0.2">
      <c r="D393" s="65"/>
      <c r="M393" s="65"/>
      <c r="Z393" s="65"/>
      <c r="AI393" s="65"/>
      <c r="AR393" s="65"/>
    </row>
    <row r="394" spans="4:44" x14ac:dyDescent="0.2">
      <c r="D394" s="65"/>
      <c r="M394" s="65"/>
      <c r="Z394" s="65"/>
      <c r="AI394" s="65"/>
      <c r="AR394" s="65"/>
    </row>
    <row r="395" spans="4:44" x14ac:dyDescent="0.2">
      <c r="D395" s="65"/>
      <c r="M395" s="65"/>
      <c r="Z395" s="65"/>
      <c r="AI395" s="65"/>
      <c r="AR395" s="65"/>
    </row>
    <row r="396" spans="4:44" x14ac:dyDescent="0.2">
      <c r="D396" s="65"/>
      <c r="M396" s="65"/>
      <c r="Z396" s="65"/>
      <c r="AI396" s="65"/>
      <c r="AR396" s="65"/>
    </row>
    <row r="397" spans="4:44" x14ac:dyDescent="0.2">
      <c r="D397" s="65"/>
      <c r="M397" s="65"/>
      <c r="Z397" s="65"/>
      <c r="AI397" s="65"/>
      <c r="AR397" s="65"/>
    </row>
    <row r="398" spans="4:44" x14ac:dyDescent="0.2">
      <c r="D398" s="65"/>
      <c r="M398" s="65"/>
      <c r="Z398" s="65"/>
      <c r="AI398" s="65"/>
      <c r="AR398" s="65"/>
    </row>
    <row r="399" spans="4:44" x14ac:dyDescent="0.2">
      <c r="D399" s="65"/>
      <c r="M399" s="65"/>
      <c r="Z399" s="65"/>
      <c r="AI399" s="65"/>
      <c r="AR399" s="65"/>
    </row>
    <row r="400" spans="4:44" x14ac:dyDescent="0.2">
      <c r="D400" s="65"/>
      <c r="M400" s="65"/>
      <c r="Z400" s="65"/>
      <c r="AI400" s="65"/>
      <c r="AR400" s="65"/>
    </row>
    <row r="401" spans="4:44" x14ac:dyDescent="0.2">
      <c r="D401" s="65"/>
      <c r="M401" s="65"/>
      <c r="Z401" s="65"/>
      <c r="AI401" s="65"/>
      <c r="AR401" s="65"/>
    </row>
    <row r="402" spans="4:44" x14ac:dyDescent="0.2">
      <c r="D402" s="65"/>
      <c r="M402" s="65"/>
      <c r="Z402" s="65"/>
      <c r="AI402" s="65"/>
      <c r="AR402" s="65"/>
    </row>
    <row r="403" spans="4:44" x14ac:dyDescent="0.2">
      <c r="D403" s="65"/>
      <c r="M403" s="65"/>
      <c r="Z403" s="65"/>
      <c r="AI403" s="65"/>
      <c r="AR403" s="65"/>
    </row>
    <row r="404" spans="4:44" x14ac:dyDescent="0.2">
      <c r="D404" s="65"/>
      <c r="M404" s="65"/>
      <c r="Z404" s="65"/>
      <c r="AI404" s="65"/>
      <c r="AR404" s="65"/>
    </row>
    <row r="405" spans="4:44" x14ac:dyDescent="0.2">
      <c r="D405" s="65"/>
      <c r="M405" s="65"/>
      <c r="Z405" s="65"/>
      <c r="AI405" s="65"/>
      <c r="AR405" s="65"/>
    </row>
    <row r="406" spans="4:44" x14ac:dyDescent="0.2">
      <c r="D406" s="65"/>
      <c r="M406" s="65"/>
      <c r="Z406" s="65"/>
      <c r="AI406" s="65"/>
      <c r="AR406" s="65"/>
    </row>
    <row r="407" spans="4:44" x14ac:dyDescent="0.2">
      <c r="D407" s="65"/>
      <c r="M407" s="65"/>
      <c r="Z407" s="65"/>
      <c r="AI407" s="65"/>
      <c r="AR407" s="65"/>
    </row>
    <row r="408" spans="4:44" x14ac:dyDescent="0.2">
      <c r="D408" s="65"/>
      <c r="M408" s="65"/>
      <c r="Z408" s="65"/>
      <c r="AI408" s="65"/>
      <c r="AR408" s="65"/>
    </row>
    <row r="409" spans="4:44" x14ac:dyDescent="0.2">
      <c r="D409" s="65"/>
      <c r="M409" s="65"/>
      <c r="Z409" s="65"/>
      <c r="AI409" s="65"/>
      <c r="AR409" s="65"/>
    </row>
    <row r="410" spans="4:44" x14ac:dyDescent="0.2">
      <c r="D410" s="65"/>
      <c r="M410" s="65"/>
      <c r="Z410" s="65"/>
      <c r="AI410" s="65"/>
      <c r="AR410" s="65"/>
    </row>
    <row r="411" spans="4:44" x14ac:dyDescent="0.2">
      <c r="D411" s="65"/>
      <c r="M411" s="65"/>
      <c r="Z411" s="65"/>
      <c r="AI411" s="65"/>
      <c r="AR411" s="65"/>
    </row>
    <row r="412" spans="4:44" x14ac:dyDescent="0.2">
      <c r="D412" s="65"/>
      <c r="M412" s="65"/>
      <c r="Z412" s="65"/>
      <c r="AI412" s="65"/>
      <c r="AR412" s="65"/>
    </row>
    <row r="413" spans="4:44" x14ac:dyDescent="0.2">
      <c r="D413" s="65"/>
      <c r="M413" s="65"/>
      <c r="Z413" s="65"/>
      <c r="AI413" s="65"/>
      <c r="AR413" s="65"/>
    </row>
    <row r="414" spans="4:44" x14ac:dyDescent="0.2">
      <c r="D414" s="65"/>
      <c r="M414" s="65"/>
      <c r="Z414" s="65"/>
      <c r="AI414" s="65"/>
      <c r="AR414" s="65"/>
    </row>
    <row r="415" spans="4:44" x14ac:dyDescent="0.2">
      <c r="D415" s="65"/>
      <c r="M415" s="65"/>
      <c r="Z415" s="65"/>
      <c r="AI415" s="65"/>
      <c r="AR415" s="65"/>
    </row>
    <row r="416" spans="4:44" x14ac:dyDescent="0.2">
      <c r="D416" s="65"/>
      <c r="M416" s="65"/>
      <c r="Z416" s="65"/>
      <c r="AI416" s="65"/>
      <c r="AR416" s="65"/>
    </row>
    <row r="417" spans="4:44" x14ac:dyDescent="0.2">
      <c r="D417" s="65"/>
      <c r="M417" s="65"/>
      <c r="Z417" s="65"/>
      <c r="AI417" s="65"/>
      <c r="AR417" s="65"/>
    </row>
    <row r="418" spans="4:44" x14ac:dyDescent="0.2">
      <c r="D418" s="65"/>
      <c r="M418" s="65"/>
      <c r="Z418" s="65"/>
      <c r="AI418" s="65"/>
      <c r="AR418" s="65"/>
    </row>
    <row r="419" spans="4:44" x14ac:dyDescent="0.2">
      <c r="D419" s="65"/>
      <c r="M419" s="65"/>
      <c r="Z419" s="65"/>
      <c r="AI419" s="65"/>
      <c r="AR419" s="65"/>
    </row>
    <row r="420" spans="4:44" x14ac:dyDescent="0.2">
      <c r="D420" s="65"/>
      <c r="M420" s="65"/>
      <c r="Z420" s="65"/>
      <c r="AI420" s="65"/>
      <c r="AR420" s="65"/>
    </row>
    <row r="421" spans="4:44" x14ac:dyDescent="0.2">
      <c r="D421" s="65"/>
      <c r="M421" s="65"/>
      <c r="Z421" s="65"/>
      <c r="AI421" s="65"/>
      <c r="AR421" s="65"/>
    </row>
    <row r="422" spans="4:44" x14ac:dyDescent="0.2">
      <c r="D422" s="65"/>
      <c r="M422" s="65"/>
      <c r="Z422" s="65"/>
      <c r="AI422" s="65"/>
      <c r="AR422" s="65"/>
    </row>
    <row r="423" spans="4:44" x14ac:dyDescent="0.2">
      <c r="D423" s="65"/>
      <c r="M423" s="65"/>
      <c r="Z423" s="65"/>
      <c r="AI423" s="65"/>
      <c r="AR423" s="65"/>
    </row>
    <row r="424" spans="4:44" x14ac:dyDescent="0.2">
      <c r="D424" s="65"/>
      <c r="M424" s="65"/>
      <c r="Z424" s="65"/>
      <c r="AI424" s="65"/>
      <c r="AR424" s="65"/>
    </row>
    <row r="425" spans="4:44" x14ac:dyDescent="0.2">
      <c r="D425" s="65"/>
      <c r="M425" s="65"/>
      <c r="Z425" s="65"/>
      <c r="AI425" s="65"/>
      <c r="AR425" s="65"/>
    </row>
    <row r="426" spans="4:44" x14ac:dyDescent="0.2">
      <c r="D426" s="65"/>
      <c r="M426" s="65"/>
      <c r="Z426" s="65"/>
      <c r="AI426" s="65"/>
      <c r="AR426" s="65"/>
    </row>
    <row r="427" spans="4:44" x14ac:dyDescent="0.2">
      <c r="D427" s="65"/>
      <c r="M427" s="65"/>
      <c r="Z427" s="65"/>
      <c r="AI427" s="65"/>
      <c r="AR427" s="65"/>
    </row>
    <row r="428" spans="4:44" x14ac:dyDescent="0.2">
      <c r="D428" s="65"/>
      <c r="M428" s="65"/>
      <c r="Z428" s="65"/>
      <c r="AI428" s="65"/>
      <c r="AR428" s="65"/>
    </row>
    <row r="429" spans="4:44" x14ac:dyDescent="0.2">
      <c r="D429" s="65"/>
      <c r="M429" s="65"/>
      <c r="Z429" s="65"/>
      <c r="AI429" s="65"/>
      <c r="AR429" s="65"/>
    </row>
    <row r="430" spans="4:44" x14ac:dyDescent="0.2">
      <c r="D430" s="65"/>
      <c r="M430" s="65"/>
      <c r="Z430" s="65"/>
      <c r="AI430" s="65"/>
      <c r="AR430" s="65"/>
    </row>
    <row r="431" spans="4:44" x14ac:dyDescent="0.2">
      <c r="D431" s="65"/>
      <c r="M431" s="65"/>
      <c r="Z431" s="65"/>
      <c r="AI431" s="65"/>
      <c r="AR431" s="65"/>
    </row>
    <row r="432" spans="4:44" x14ac:dyDescent="0.2">
      <c r="D432" s="65"/>
      <c r="M432" s="65"/>
      <c r="Z432" s="65"/>
      <c r="AI432" s="65"/>
      <c r="AR432" s="65"/>
    </row>
    <row r="433" spans="4:44" x14ac:dyDescent="0.2">
      <c r="D433" s="65"/>
      <c r="M433" s="65"/>
      <c r="Z433" s="65"/>
      <c r="AI433" s="65"/>
      <c r="AR433" s="65"/>
    </row>
    <row r="434" spans="4:44" x14ac:dyDescent="0.2">
      <c r="D434" s="65"/>
      <c r="M434" s="65"/>
      <c r="Z434" s="65"/>
      <c r="AI434" s="65"/>
      <c r="AR434" s="65"/>
    </row>
    <row r="435" spans="4:44" x14ac:dyDescent="0.2">
      <c r="D435" s="65"/>
      <c r="M435" s="65"/>
      <c r="Z435" s="65"/>
      <c r="AI435" s="65"/>
      <c r="AR435" s="65"/>
    </row>
    <row r="436" spans="4:44" x14ac:dyDescent="0.2">
      <c r="D436" s="65"/>
      <c r="M436" s="65"/>
      <c r="Z436" s="65"/>
      <c r="AI436" s="65"/>
      <c r="AR436" s="65"/>
    </row>
    <row r="437" spans="4:44" x14ac:dyDescent="0.2">
      <c r="D437" s="65"/>
      <c r="M437" s="65"/>
      <c r="Z437" s="65"/>
      <c r="AI437" s="65"/>
      <c r="AR437" s="65"/>
    </row>
    <row r="438" spans="4:44" x14ac:dyDescent="0.2">
      <c r="D438" s="65"/>
      <c r="M438" s="65"/>
      <c r="Z438" s="65"/>
      <c r="AI438" s="65"/>
      <c r="AR438" s="65"/>
    </row>
    <row r="439" spans="4:44" x14ac:dyDescent="0.2">
      <c r="D439" s="65"/>
      <c r="M439" s="65"/>
      <c r="Z439" s="65"/>
      <c r="AI439" s="65"/>
      <c r="AR439" s="65"/>
    </row>
    <row r="440" spans="4:44" x14ac:dyDescent="0.2">
      <c r="D440" s="65"/>
      <c r="M440" s="65"/>
      <c r="Z440" s="65"/>
      <c r="AI440" s="65"/>
      <c r="AR440" s="65"/>
    </row>
    <row r="441" spans="4:44" x14ac:dyDescent="0.2">
      <c r="D441" s="65"/>
      <c r="M441" s="65"/>
      <c r="Z441" s="65"/>
      <c r="AI441" s="65"/>
      <c r="AR441" s="65"/>
    </row>
    <row r="442" spans="4:44" x14ac:dyDescent="0.2">
      <c r="D442" s="65"/>
      <c r="M442" s="65"/>
      <c r="Z442" s="65"/>
      <c r="AI442" s="65"/>
      <c r="AR442" s="65"/>
    </row>
    <row r="443" spans="4:44" x14ac:dyDescent="0.2">
      <c r="D443" s="65"/>
      <c r="M443" s="65"/>
      <c r="Z443" s="65"/>
      <c r="AI443" s="65"/>
      <c r="AR443" s="65"/>
    </row>
    <row r="444" spans="4:44" x14ac:dyDescent="0.2">
      <c r="D444" s="65"/>
      <c r="M444" s="65"/>
      <c r="Z444" s="65"/>
      <c r="AI444" s="65"/>
      <c r="AR444" s="65"/>
    </row>
    <row r="445" spans="4:44" x14ac:dyDescent="0.2">
      <c r="D445" s="65"/>
      <c r="M445" s="65"/>
      <c r="Z445" s="65"/>
      <c r="AI445" s="65"/>
      <c r="AR445" s="65"/>
    </row>
    <row r="446" spans="4:44" x14ac:dyDescent="0.2">
      <c r="D446" s="65"/>
      <c r="M446" s="65"/>
      <c r="Z446" s="65"/>
      <c r="AI446" s="65"/>
      <c r="AR446" s="65"/>
    </row>
    <row r="447" spans="4:44" x14ac:dyDescent="0.2">
      <c r="D447" s="65"/>
      <c r="M447" s="65"/>
      <c r="Z447" s="65"/>
      <c r="AI447" s="65"/>
      <c r="AR447" s="65"/>
    </row>
    <row r="448" spans="4:44" x14ac:dyDescent="0.2">
      <c r="D448" s="65"/>
      <c r="M448" s="65"/>
      <c r="Z448" s="65"/>
      <c r="AI448" s="65"/>
      <c r="AR448" s="65"/>
    </row>
    <row r="449" spans="4:44" x14ac:dyDescent="0.2">
      <c r="D449" s="65"/>
      <c r="M449" s="65"/>
      <c r="Z449" s="65"/>
      <c r="AI449" s="65"/>
      <c r="AR449" s="65"/>
    </row>
    <row r="450" spans="4:44" x14ac:dyDescent="0.2">
      <c r="D450" s="65"/>
      <c r="M450" s="65"/>
      <c r="Z450" s="65"/>
      <c r="AI450" s="65"/>
      <c r="AR450" s="65"/>
    </row>
    <row r="451" spans="4:44" x14ac:dyDescent="0.2">
      <c r="D451" s="65"/>
      <c r="M451" s="65"/>
      <c r="Z451" s="65"/>
      <c r="AI451" s="65"/>
      <c r="AR451" s="65"/>
    </row>
    <row r="452" spans="4:44" x14ac:dyDescent="0.2">
      <c r="D452" s="65"/>
      <c r="M452" s="65"/>
      <c r="Z452" s="65"/>
      <c r="AI452" s="65"/>
      <c r="AR452" s="65"/>
    </row>
    <row r="453" spans="4:44" x14ac:dyDescent="0.2">
      <c r="D453" s="65"/>
      <c r="M453" s="65"/>
      <c r="Z453" s="65"/>
      <c r="AI453" s="65"/>
      <c r="AR453" s="65"/>
    </row>
    <row r="454" spans="4:44" x14ac:dyDescent="0.2">
      <c r="D454" s="65"/>
      <c r="M454" s="65"/>
      <c r="Z454" s="65"/>
      <c r="AI454" s="65"/>
      <c r="AR454" s="65"/>
    </row>
    <row r="455" spans="4:44" x14ac:dyDescent="0.2">
      <c r="D455" s="65"/>
      <c r="M455" s="65"/>
      <c r="Z455" s="65"/>
      <c r="AI455" s="65"/>
      <c r="AR455" s="65"/>
    </row>
    <row r="456" spans="4:44" x14ac:dyDescent="0.2">
      <c r="D456" s="65"/>
      <c r="M456" s="65"/>
      <c r="Z456" s="65"/>
      <c r="AI456" s="65"/>
      <c r="AR456" s="65"/>
    </row>
    <row r="457" spans="4:44" x14ac:dyDescent="0.2">
      <c r="D457" s="65"/>
      <c r="M457" s="65"/>
      <c r="Z457" s="65"/>
      <c r="AI457" s="65"/>
      <c r="AR457" s="65"/>
    </row>
    <row r="458" spans="4:44" x14ac:dyDescent="0.2">
      <c r="D458" s="65"/>
      <c r="M458" s="65"/>
      <c r="Z458" s="65"/>
      <c r="AI458" s="65"/>
      <c r="AR458" s="65"/>
    </row>
    <row r="459" spans="4:44" x14ac:dyDescent="0.2">
      <c r="D459" s="65"/>
      <c r="M459" s="65"/>
      <c r="Z459" s="65"/>
      <c r="AI459" s="65"/>
      <c r="AR459" s="65"/>
    </row>
    <row r="460" spans="4:44" x14ac:dyDescent="0.2">
      <c r="D460" s="65"/>
      <c r="M460" s="65"/>
      <c r="Z460" s="65"/>
      <c r="AI460" s="65"/>
      <c r="AR460" s="65"/>
    </row>
    <row r="461" spans="4:44" x14ac:dyDescent="0.2">
      <c r="D461" s="65"/>
      <c r="M461" s="65"/>
      <c r="Z461" s="65"/>
      <c r="AI461" s="65"/>
      <c r="AR461" s="65"/>
    </row>
    <row r="462" spans="4:44" x14ac:dyDescent="0.2">
      <c r="D462" s="65"/>
      <c r="M462" s="65"/>
      <c r="Z462" s="65"/>
      <c r="AI462" s="65"/>
      <c r="AR462" s="65"/>
    </row>
    <row r="463" spans="4:44" x14ac:dyDescent="0.2">
      <c r="D463" s="65"/>
      <c r="M463" s="65"/>
      <c r="Z463" s="65"/>
      <c r="AI463" s="65"/>
      <c r="AR463" s="65"/>
    </row>
    <row r="464" spans="4:44" x14ac:dyDescent="0.2">
      <c r="D464" s="65"/>
      <c r="M464" s="65"/>
      <c r="Z464" s="65"/>
      <c r="AI464" s="65"/>
      <c r="AR464" s="65"/>
    </row>
    <row r="465" spans="4:44" x14ac:dyDescent="0.2">
      <c r="D465" s="65"/>
      <c r="M465" s="65"/>
      <c r="Z465" s="65"/>
      <c r="AI465" s="65"/>
      <c r="AR465" s="65"/>
    </row>
    <row r="466" spans="4:44" x14ac:dyDescent="0.2">
      <c r="D466" s="65"/>
      <c r="M466" s="65"/>
      <c r="Z466" s="65"/>
      <c r="AI466" s="65"/>
      <c r="AR466" s="65"/>
    </row>
    <row r="467" spans="4:44" x14ac:dyDescent="0.2">
      <c r="D467" s="65"/>
      <c r="M467" s="65"/>
      <c r="Z467" s="65"/>
      <c r="AI467" s="65"/>
      <c r="AR467" s="65"/>
    </row>
    <row r="468" spans="4:44" x14ac:dyDescent="0.2">
      <c r="D468" s="65"/>
      <c r="M468" s="65"/>
      <c r="Z468" s="65"/>
      <c r="AI468" s="65"/>
      <c r="AR468" s="65"/>
    </row>
    <row r="469" spans="4:44" x14ac:dyDescent="0.2">
      <c r="D469" s="65"/>
      <c r="M469" s="65"/>
      <c r="Z469" s="65"/>
      <c r="AI469" s="65"/>
      <c r="AR469" s="65"/>
    </row>
    <row r="470" spans="4:44" x14ac:dyDescent="0.2">
      <c r="D470" s="65"/>
      <c r="M470" s="65"/>
      <c r="Z470" s="65"/>
      <c r="AI470" s="65"/>
      <c r="AR470" s="65"/>
    </row>
    <row r="471" spans="4:44" x14ac:dyDescent="0.2">
      <c r="D471" s="65"/>
      <c r="M471" s="65"/>
      <c r="Z471" s="65"/>
      <c r="AI471" s="65"/>
      <c r="AR471" s="65"/>
    </row>
    <row r="472" spans="4:44" x14ac:dyDescent="0.2">
      <c r="D472" s="65"/>
      <c r="M472" s="65"/>
      <c r="Z472" s="65"/>
      <c r="AI472" s="65"/>
      <c r="AR472" s="65"/>
    </row>
    <row r="473" spans="4:44" x14ac:dyDescent="0.2">
      <c r="D473" s="65"/>
      <c r="M473" s="65"/>
      <c r="Z473" s="65"/>
      <c r="AI473" s="65"/>
      <c r="AR473" s="65"/>
    </row>
    <row r="474" spans="4:44" x14ac:dyDescent="0.2">
      <c r="D474" s="65"/>
      <c r="M474" s="65"/>
      <c r="Z474" s="65"/>
      <c r="AI474" s="65"/>
      <c r="AR474" s="65"/>
    </row>
    <row r="475" spans="4:44" x14ac:dyDescent="0.2">
      <c r="D475" s="65"/>
      <c r="M475" s="65"/>
      <c r="Z475" s="65"/>
      <c r="AI475" s="65"/>
      <c r="AR475" s="65"/>
    </row>
    <row r="476" spans="4:44" x14ac:dyDescent="0.2">
      <c r="D476" s="65"/>
      <c r="M476" s="65"/>
      <c r="Z476" s="65"/>
      <c r="AI476" s="65"/>
      <c r="AR476" s="65"/>
    </row>
    <row r="477" spans="4:44" x14ac:dyDescent="0.2">
      <c r="D477" s="65"/>
      <c r="M477" s="65"/>
      <c r="Z477" s="65"/>
      <c r="AI477" s="65"/>
      <c r="AR477" s="65"/>
    </row>
    <row r="478" spans="4:44" x14ac:dyDescent="0.2">
      <c r="D478" s="65"/>
      <c r="M478" s="65"/>
      <c r="Z478" s="65"/>
      <c r="AI478" s="65"/>
      <c r="AR478" s="65"/>
    </row>
    <row r="479" spans="4:44" x14ac:dyDescent="0.2">
      <c r="D479" s="65"/>
      <c r="M479" s="65"/>
      <c r="Z479" s="65"/>
      <c r="AI479" s="65"/>
      <c r="AR479" s="65"/>
    </row>
    <row r="480" spans="4:44" x14ac:dyDescent="0.2">
      <c r="D480" s="65"/>
      <c r="M480" s="65"/>
      <c r="Z480" s="65"/>
      <c r="AI480" s="65"/>
      <c r="AR480" s="65"/>
    </row>
    <row r="481" spans="4:44" x14ac:dyDescent="0.2">
      <c r="D481" s="65"/>
      <c r="M481" s="65"/>
      <c r="Z481" s="65"/>
      <c r="AI481" s="65"/>
      <c r="AR481" s="65"/>
    </row>
    <row r="482" spans="4:44" x14ac:dyDescent="0.2">
      <c r="D482" s="65"/>
      <c r="M482" s="65"/>
      <c r="Z482" s="65"/>
      <c r="AI482" s="65"/>
      <c r="AR482" s="65"/>
    </row>
    <row r="483" spans="4:44" x14ac:dyDescent="0.2">
      <c r="D483" s="65"/>
      <c r="M483" s="65"/>
      <c r="Z483" s="65"/>
      <c r="AI483" s="65"/>
      <c r="AR483" s="65"/>
    </row>
    <row r="484" spans="4:44" x14ac:dyDescent="0.2">
      <c r="D484" s="65"/>
      <c r="M484" s="65"/>
      <c r="Z484" s="65"/>
      <c r="AI484" s="65"/>
      <c r="AR484" s="65"/>
    </row>
    <row r="485" spans="4:44" x14ac:dyDescent="0.2">
      <c r="D485" s="65"/>
      <c r="M485" s="65"/>
      <c r="Z485" s="65"/>
      <c r="AI485" s="65"/>
      <c r="AR485" s="65"/>
    </row>
    <row r="486" spans="4:44" x14ac:dyDescent="0.2">
      <c r="D486" s="65"/>
      <c r="M486" s="65"/>
      <c r="Z486" s="65"/>
      <c r="AI486" s="65"/>
      <c r="AR486" s="65"/>
    </row>
    <row r="487" spans="4:44" x14ac:dyDescent="0.2">
      <c r="D487" s="65"/>
      <c r="M487" s="65"/>
      <c r="Z487" s="65"/>
      <c r="AI487" s="65"/>
      <c r="AR487" s="65"/>
    </row>
    <row r="488" spans="4:44" x14ac:dyDescent="0.2">
      <c r="D488" s="65"/>
      <c r="M488" s="65"/>
      <c r="Z488" s="65"/>
      <c r="AI488" s="65"/>
      <c r="AR488" s="65"/>
    </row>
    <row r="489" spans="4:44" x14ac:dyDescent="0.2">
      <c r="D489" s="65"/>
      <c r="M489" s="65"/>
      <c r="Z489" s="65"/>
      <c r="AI489" s="65"/>
      <c r="AR489" s="65"/>
    </row>
    <row r="490" spans="4:44" x14ac:dyDescent="0.2">
      <c r="D490" s="65"/>
      <c r="M490" s="65"/>
      <c r="Z490" s="65"/>
      <c r="AI490" s="65"/>
      <c r="AR490" s="65"/>
    </row>
    <row r="491" spans="4:44" x14ac:dyDescent="0.2">
      <c r="D491" s="65"/>
      <c r="M491" s="65"/>
      <c r="Z491" s="65"/>
      <c r="AI491" s="65"/>
      <c r="AR491" s="65"/>
    </row>
    <row r="492" spans="4:44" x14ac:dyDescent="0.2">
      <c r="D492" s="65"/>
      <c r="M492" s="65"/>
      <c r="Z492" s="65"/>
      <c r="AI492" s="65"/>
      <c r="AR492" s="65"/>
    </row>
    <row r="493" spans="4:44" x14ac:dyDescent="0.2">
      <c r="D493" s="65"/>
      <c r="M493" s="65"/>
      <c r="Z493" s="65"/>
      <c r="AI493" s="65"/>
      <c r="AR493" s="65"/>
    </row>
    <row r="494" spans="4:44" x14ac:dyDescent="0.2">
      <c r="D494" s="65"/>
      <c r="M494" s="65"/>
      <c r="Z494" s="65"/>
      <c r="AI494" s="65"/>
      <c r="AR494" s="65"/>
    </row>
    <row r="495" spans="4:44" x14ac:dyDescent="0.2">
      <c r="D495" s="65"/>
      <c r="M495" s="65"/>
      <c r="Z495" s="65"/>
      <c r="AI495" s="65"/>
      <c r="AR495" s="65"/>
    </row>
    <row r="496" spans="4:44" x14ac:dyDescent="0.2">
      <c r="D496" s="65"/>
      <c r="M496" s="65"/>
      <c r="Z496" s="65"/>
      <c r="AI496" s="65"/>
      <c r="AR496" s="65"/>
    </row>
    <row r="497" spans="4:44" x14ac:dyDescent="0.2">
      <c r="D497" s="65"/>
      <c r="M497" s="65"/>
      <c r="Z497" s="65"/>
      <c r="AI497" s="65"/>
      <c r="AR497" s="65"/>
    </row>
    <row r="498" spans="4:44" x14ac:dyDescent="0.2">
      <c r="D498" s="65"/>
      <c r="M498" s="65"/>
      <c r="Z498" s="65"/>
      <c r="AI498" s="65"/>
      <c r="AR498" s="65"/>
    </row>
    <row r="499" spans="4:44" x14ac:dyDescent="0.2">
      <c r="D499" s="65"/>
      <c r="M499" s="65"/>
      <c r="Z499" s="65"/>
      <c r="AI499" s="65"/>
      <c r="AR499" s="65"/>
    </row>
    <row r="500" spans="4:44" x14ac:dyDescent="0.2">
      <c r="D500" s="65"/>
      <c r="M500" s="65"/>
      <c r="Z500" s="65"/>
      <c r="AI500" s="65"/>
      <c r="AR500" s="65"/>
    </row>
    <row r="501" spans="4:44" x14ac:dyDescent="0.2">
      <c r="D501" s="65"/>
      <c r="M501" s="65"/>
      <c r="Z501" s="65"/>
      <c r="AI501" s="65"/>
      <c r="AR501" s="65"/>
    </row>
    <row r="502" spans="4:44" x14ac:dyDescent="0.2">
      <c r="D502" s="65"/>
      <c r="M502" s="65"/>
      <c r="Z502" s="65"/>
      <c r="AI502" s="65"/>
      <c r="AR502" s="65"/>
    </row>
    <row r="503" spans="4:44" x14ac:dyDescent="0.2">
      <c r="D503" s="65"/>
      <c r="M503" s="65"/>
      <c r="Z503" s="65"/>
      <c r="AI503" s="65"/>
      <c r="AR503" s="65"/>
    </row>
    <row r="504" spans="4:44" x14ac:dyDescent="0.2">
      <c r="D504" s="65"/>
      <c r="M504" s="65"/>
      <c r="Z504" s="65"/>
      <c r="AI504" s="65"/>
      <c r="AR504" s="65"/>
    </row>
    <row r="505" spans="4:44" x14ac:dyDescent="0.2">
      <c r="D505" s="65"/>
      <c r="M505" s="65"/>
      <c r="Z505" s="65"/>
      <c r="AI505" s="65"/>
      <c r="AR505" s="65"/>
    </row>
    <row r="506" spans="4:44" x14ac:dyDescent="0.2">
      <c r="D506" s="65"/>
      <c r="M506" s="65"/>
      <c r="Z506" s="65"/>
      <c r="AI506" s="65"/>
      <c r="AR506" s="65"/>
    </row>
    <row r="507" spans="4:44" x14ac:dyDescent="0.2">
      <c r="D507" s="65"/>
      <c r="M507" s="65"/>
      <c r="Z507" s="65"/>
      <c r="AI507" s="65"/>
      <c r="AR507" s="65"/>
    </row>
    <row r="508" spans="4:44" x14ac:dyDescent="0.2">
      <c r="D508" s="65"/>
      <c r="M508" s="65"/>
      <c r="Z508" s="65"/>
      <c r="AI508" s="65"/>
      <c r="AR508" s="65"/>
    </row>
    <row r="509" spans="4:44" x14ac:dyDescent="0.2">
      <c r="D509" s="65"/>
      <c r="M509" s="65"/>
      <c r="Z509" s="65"/>
      <c r="AI509" s="65"/>
      <c r="AR509" s="65"/>
    </row>
    <row r="510" spans="4:44" x14ac:dyDescent="0.2">
      <c r="D510" s="65"/>
      <c r="M510" s="65"/>
      <c r="Z510" s="65"/>
      <c r="AI510" s="65"/>
      <c r="AR510" s="65"/>
    </row>
    <row r="511" spans="4:44" x14ac:dyDescent="0.2">
      <c r="D511" s="65"/>
      <c r="M511" s="65"/>
      <c r="Z511" s="65"/>
      <c r="AI511" s="65"/>
      <c r="AR511" s="65"/>
    </row>
    <row r="512" spans="4:44" x14ac:dyDescent="0.2">
      <c r="D512" s="65"/>
      <c r="M512" s="65"/>
      <c r="Z512" s="65"/>
      <c r="AI512" s="65"/>
      <c r="AR512" s="65"/>
    </row>
    <row r="513" spans="4:44" x14ac:dyDescent="0.2">
      <c r="D513" s="65"/>
      <c r="M513" s="65"/>
      <c r="Z513" s="65"/>
      <c r="AI513" s="65"/>
      <c r="AR513" s="65"/>
    </row>
    <row r="514" spans="4:44" x14ac:dyDescent="0.2">
      <c r="D514" s="65"/>
      <c r="M514" s="65"/>
      <c r="Z514" s="65"/>
      <c r="AI514" s="65"/>
      <c r="AR514" s="65"/>
    </row>
    <row r="515" spans="4:44" x14ac:dyDescent="0.2">
      <c r="D515" s="65"/>
      <c r="M515" s="65"/>
      <c r="Z515" s="65"/>
      <c r="AI515" s="65"/>
      <c r="AR515" s="65"/>
    </row>
    <row r="516" spans="4:44" x14ac:dyDescent="0.2">
      <c r="D516" s="65"/>
      <c r="M516" s="65"/>
      <c r="Z516" s="65"/>
      <c r="AI516" s="65"/>
      <c r="AR516" s="65"/>
    </row>
    <row r="517" spans="4:44" x14ac:dyDescent="0.2">
      <c r="D517" s="65"/>
      <c r="M517" s="65"/>
      <c r="Z517" s="65"/>
      <c r="AI517" s="65"/>
      <c r="AR517" s="65"/>
    </row>
    <row r="518" spans="4:44" x14ac:dyDescent="0.2">
      <c r="D518" s="65"/>
      <c r="M518" s="65"/>
      <c r="Z518" s="65"/>
      <c r="AI518" s="65"/>
      <c r="AR518" s="65"/>
    </row>
    <row r="519" spans="4:44" x14ac:dyDescent="0.2">
      <c r="D519" s="65"/>
      <c r="M519" s="65"/>
      <c r="Z519" s="65"/>
      <c r="AI519" s="65"/>
      <c r="AR519" s="65"/>
    </row>
    <row r="520" spans="4:44" x14ac:dyDescent="0.2">
      <c r="D520" s="65"/>
      <c r="M520" s="65"/>
      <c r="Z520" s="65"/>
      <c r="AI520" s="65"/>
      <c r="AR520" s="65"/>
    </row>
    <row r="521" spans="4:44" x14ac:dyDescent="0.2">
      <c r="D521" s="65"/>
      <c r="M521" s="65"/>
      <c r="Z521" s="65"/>
      <c r="AI521" s="65"/>
      <c r="AR521" s="65"/>
    </row>
    <row r="522" spans="4:44" x14ac:dyDescent="0.2">
      <c r="D522" s="65"/>
      <c r="M522" s="65"/>
      <c r="Z522" s="65"/>
      <c r="AI522" s="65"/>
      <c r="AR522" s="65"/>
    </row>
    <row r="523" spans="4:44" x14ac:dyDescent="0.2">
      <c r="D523" s="65"/>
      <c r="M523" s="65"/>
      <c r="Z523" s="65"/>
      <c r="AI523" s="65"/>
      <c r="AR523" s="65"/>
    </row>
    <row r="524" spans="4:44" x14ac:dyDescent="0.2">
      <c r="D524" s="65"/>
      <c r="M524" s="65"/>
      <c r="Z524" s="65"/>
      <c r="AI524" s="65"/>
      <c r="AR524" s="65"/>
    </row>
    <row r="525" spans="4:44" x14ac:dyDescent="0.2">
      <c r="D525" s="65"/>
      <c r="M525" s="65"/>
      <c r="Z525" s="65"/>
      <c r="AI525" s="65"/>
      <c r="AR525" s="65"/>
    </row>
    <row r="526" spans="4:44" x14ac:dyDescent="0.2">
      <c r="D526" s="65"/>
      <c r="M526" s="65"/>
      <c r="Z526" s="65"/>
      <c r="AI526" s="65"/>
      <c r="AR526" s="65"/>
    </row>
    <row r="527" spans="4:44" x14ac:dyDescent="0.2">
      <c r="D527" s="65"/>
      <c r="M527" s="65"/>
      <c r="Z527" s="65"/>
      <c r="AI527" s="65"/>
      <c r="AR527" s="65"/>
    </row>
    <row r="528" spans="4:44" x14ac:dyDescent="0.2">
      <c r="D528" s="65"/>
      <c r="M528" s="65"/>
      <c r="Z528" s="65"/>
      <c r="AI528" s="65"/>
      <c r="AR528" s="65"/>
    </row>
    <row r="529" spans="4:44" x14ac:dyDescent="0.2">
      <c r="D529" s="65"/>
      <c r="M529" s="65"/>
      <c r="Z529" s="65"/>
      <c r="AI529" s="65"/>
      <c r="AR529" s="65"/>
    </row>
    <row r="530" spans="4:44" x14ac:dyDescent="0.2">
      <c r="D530" s="65"/>
      <c r="M530" s="65"/>
      <c r="Z530" s="65"/>
      <c r="AI530" s="65"/>
      <c r="AR530" s="65"/>
    </row>
    <row r="531" spans="4:44" x14ac:dyDescent="0.2">
      <c r="D531" s="65"/>
      <c r="M531" s="65"/>
      <c r="Z531" s="65"/>
      <c r="AI531" s="65"/>
      <c r="AR531" s="65"/>
    </row>
    <row r="532" spans="4:44" x14ac:dyDescent="0.2">
      <c r="D532" s="65"/>
      <c r="M532" s="65"/>
      <c r="Z532" s="65"/>
      <c r="AI532" s="65"/>
      <c r="AR532" s="65"/>
    </row>
    <row r="533" spans="4:44" x14ac:dyDescent="0.2">
      <c r="D533" s="65"/>
      <c r="M533" s="65"/>
      <c r="Z533" s="65"/>
      <c r="AI533" s="65"/>
      <c r="AR533" s="65"/>
    </row>
    <row r="534" spans="4:44" x14ac:dyDescent="0.2">
      <c r="D534" s="65"/>
      <c r="M534" s="65"/>
      <c r="Z534" s="65"/>
      <c r="AI534" s="65"/>
      <c r="AR534" s="65"/>
    </row>
    <row r="535" spans="4:44" x14ac:dyDescent="0.2">
      <c r="D535" s="65"/>
      <c r="M535" s="65"/>
      <c r="Z535" s="65"/>
      <c r="AI535" s="65"/>
      <c r="AR535" s="65"/>
    </row>
    <row r="536" spans="4:44" x14ac:dyDescent="0.2">
      <c r="D536" s="65"/>
      <c r="M536" s="65"/>
      <c r="Z536" s="65"/>
      <c r="AI536" s="65"/>
      <c r="AR536" s="65"/>
    </row>
    <row r="537" spans="4:44" x14ac:dyDescent="0.2">
      <c r="D537" s="65"/>
      <c r="M537" s="65"/>
      <c r="Z537" s="65"/>
      <c r="AI537" s="65"/>
      <c r="AR537" s="65"/>
    </row>
    <row r="538" spans="4:44" x14ac:dyDescent="0.2">
      <c r="D538" s="65"/>
      <c r="M538" s="65"/>
      <c r="Z538" s="65"/>
      <c r="AI538" s="65"/>
      <c r="AR538" s="65"/>
    </row>
    <row r="539" spans="4:44" x14ac:dyDescent="0.2">
      <c r="D539" s="65"/>
      <c r="M539" s="65"/>
      <c r="Z539" s="65"/>
      <c r="AI539" s="65"/>
      <c r="AR539" s="65"/>
    </row>
    <row r="540" spans="4:44" x14ac:dyDescent="0.2">
      <c r="D540" s="65"/>
      <c r="M540" s="65"/>
      <c r="Z540" s="65"/>
      <c r="AI540" s="65"/>
      <c r="AR540" s="65"/>
    </row>
    <row r="541" spans="4:44" x14ac:dyDescent="0.2">
      <c r="D541" s="65"/>
      <c r="M541" s="65"/>
      <c r="Z541" s="65"/>
      <c r="AI541" s="65"/>
      <c r="AR541" s="65"/>
    </row>
    <row r="542" spans="4:44" x14ac:dyDescent="0.2">
      <c r="D542" s="65"/>
      <c r="M542" s="65"/>
      <c r="Z542" s="65"/>
      <c r="AI542" s="65"/>
      <c r="AR542" s="65"/>
    </row>
    <row r="543" spans="4:44" x14ac:dyDescent="0.2">
      <c r="D543" s="65"/>
      <c r="M543" s="65"/>
      <c r="Z543" s="65"/>
      <c r="AI543" s="65"/>
      <c r="AR543" s="65"/>
    </row>
    <row r="544" spans="4:44" x14ac:dyDescent="0.2">
      <c r="D544" s="65"/>
      <c r="M544" s="65"/>
      <c r="Z544" s="65"/>
      <c r="AI544" s="65"/>
      <c r="AR544" s="65"/>
    </row>
    <row r="545" spans="4:44" x14ac:dyDescent="0.2">
      <c r="D545" s="65"/>
      <c r="M545" s="65"/>
      <c r="Z545" s="65"/>
      <c r="AI545" s="65"/>
      <c r="AR545" s="65"/>
    </row>
    <row r="546" spans="4:44" x14ac:dyDescent="0.2">
      <c r="D546" s="65"/>
      <c r="M546" s="65"/>
      <c r="Z546" s="65"/>
      <c r="AI546" s="65"/>
      <c r="AR546" s="65"/>
    </row>
    <row r="547" spans="4:44" x14ac:dyDescent="0.2">
      <c r="D547" s="65"/>
      <c r="M547" s="65"/>
      <c r="Z547" s="65"/>
      <c r="AI547" s="65"/>
      <c r="AR547" s="65"/>
    </row>
    <row r="548" spans="4:44" x14ac:dyDescent="0.2">
      <c r="D548" s="65"/>
      <c r="M548" s="65"/>
      <c r="Z548" s="65"/>
      <c r="AI548" s="65"/>
      <c r="AR548" s="65"/>
    </row>
    <row r="549" spans="4:44" x14ac:dyDescent="0.2">
      <c r="D549" s="65"/>
      <c r="M549" s="65"/>
      <c r="Z549" s="65"/>
      <c r="AI549" s="65"/>
      <c r="AR549" s="65"/>
    </row>
    <row r="550" spans="4:44" x14ac:dyDescent="0.2">
      <c r="D550" s="65"/>
      <c r="M550" s="65"/>
      <c r="Z550" s="65"/>
      <c r="AI550" s="65"/>
      <c r="AR550" s="65"/>
    </row>
    <row r="551" spans="4:44" x14ac:dyDescent="0.2">
      <c r="D551" s="65"/>
      <c r="M551" s="65"/>
      <c r="Z551" s="65"/>
      <c r="AI551" s="65"/>
      <c r="AR551" s="65"/>
    </row>
    <row r="552" spans="4:44" x14ac:dyDescent="0.2">
      <c r="D552" s="65"/>
      <c r="M552" s="65"/>
      <c r="Z552" s="65"/>
      <c r="AI552" s="65"/>
      <c r="AR552" s="65"/>
    </row>
    <row r="553" spans="4:44" x14ac:dyDescent="0.2">
      <c r="D553" s="65"/>
      <c r="M553" s="65"/>
      <c r="Z553" s="65"/>
      <c r="AI553" s="65"/>
      <c r="AR553" s="65"/>
    </row>
    <row r="554" spans="4:44" x14ac:dyDescent="0.2">
      <c r="D554" s="65"/>
      <c r="M554" s="65"/>
      <c r="Z554" s="65"/>
      <c r="AI554" s="65"/>
      <c r="AR554" s="65"/>
    </row>
    <row r="555" spans="4:44" x14ac:dyDescent="0.2">
      <c r="D555" s="65"/>
      <c r="M555" s="65"/>
      <c r="Z555" s="65"/>
      <c r="AI555" s="65"/>
      <c r="AR555" s="65"/>
    </row>
    <row r="556" spans="4:44" x14ac:dyDescent="0.2">
      <c r="D556" s="65"/>
      <c r="M556" s="65"/>
      <c r="Z556" s="65"/>
      <c r="AI556" s="65"/>
      <c r="AR556" s="65"/>
    </row>
    <row r="557" spans="4:44" x14ac:dyDescent="0.2">
      <c r="D557" s="65"/>
      <c r="M557" s="65"/>
      <c r="Z557" s="65"/>
      <c r="AI557" s="65"/>
      <c r="AR557" s="65"/>
    </row>
    <row r="558" spans="4:44" x14ac:dyDescent="0.2">
      <c r="D558" s="65"/>
      <c r="M558" s="65"/>
      <c r="Z558" s="65"/>
      <c r="AI558" s="65"/>
      <c r="AR558" s="65"/>
    </row>
    <row r="559" spans="4:44" x14ac:dyDescent="0.2">
      <c r="D559" s="65"/>
      <c r="M559" s="65"/>
      <c r="Z559" s="65"/>
      <c r="AI559" s="65"/>
      <c r="AR559" s="65"/>
    </row>
    <row r="560" spans="4:44" x14ac:dyDescent="0.2">
      <c r="D560" s="65"/>
      <c r="M560" s="65"/>
      <c r="Z560" s="65"/>
      <c r="AI560" s="65"/>
      <c r="AR560" s="65"/>
    </row>
    <row r="561" spans="4:44" x14ac:dyDescent="0.2">
      <c r="D561" s="65"/>
      <c r="M561" s="65"/>
      <c r="Z561" s="65"/>
      <c r="AI561" s="65"/>
      <c r="AR561" s="65"/>
    </row>
    <row r="562" spans="4:44" x14ac:dyDescent="0.2">
      <c r="D562" s="65"/>
      <c r="M562" s="65"/>
      <c r="Z562" s="65"/>
      <c r="AI562" s="65"/>
      <c r="AR562" s="65"/>
    </row>
    <row r="563" spans="4:44" x14ac:dyDescent="0.2">
      <c r="D563" s="65"/>
      <c r="M563" s="65"/>
      <c r="Z563" s="65"/>
      <c r="AI563" s="65"/>
      <c r="AR563" s="65"/>
    </row>
    <row r="564" spans="4:44" x14ac:dyDescent="0.2">
      <c r="D564" s="65"/>
      <c r="M564" s="65"/>
      <c r="Z564" s="65"/>
      <c r="AI564" s="65"/>
      <c r="AR564" s="65"/>
    </row>
    <row r="565" spans="4:44" x14ac:dyDescent="0.2">
      <c r="D565" s="65"/>
      <c r="M565" s="65"/>
      <c r="Z565" s="65"/>
      <c r="AI565" s="65"/>
      <c r="AR565" s="65"/>
    </row>
    <row r="566" spans="4:44" x14ac:dyDescent="0.2">
      <c r="D566" s="65"/>
      <c r="M566" s="65"/>
      <c r="Z566" s="65"/>
      <c r="AI566" s="65"/>
      <c r="AR566" s="65"/>
    </row>
    <row r="567" spans="4:44" x14ac:dyDescent="0.2">
      <c r="D567" s="65"/>
      <c r="M567" s="65"/>
      <c r="Z567" s="65"/>
      <c r="AI567" s="65"/>
      <c r="AR567" s="65"/>
    </row>
    <row r="568" spans="4:44" x14ac:dyDescent="0.2">
      <c r="D568" s="65"/>
      <c r="M568" s="65"/>
      <c r="Z568" s="65"/>
      <c r="AI568" s="65"/>
      <c r="AR568" s="65"/>
    </row>
    <row r="569" spans="4:44" x14ac:dyDescent="0.2">
      <c r="D569" s="65"/>
      <c r="M569" s="65"/>
      <c r="Z569" s="65"/>
      <c r="AI569" s="65"/>
      <c r="AR569" s="65"/>
    </row>
    <row r="570" spans="4:44" x14ac:dyDescent="0.2">
      <c r="D570" s="65"/>
      <c r="M570" s="65"/>
      <c r="Z570" s="65"/>
      <c r="AI570" s="65"/>
      <c r="AR570" s="65"/>
    </row>
    <row r="571" spans="4:44" x14ac:dyDescent="0.2">
      <c r="D571" s="65"/>
      <c r="M571" s="65"/>
      <c r="Z571" s="65"/>
      <c r="AI571" s="65"/>
      <c r="AR571" s="65"/>
    </row>
    <row r="572" spans="4:44" x14ac:dyDescent="0.2">
      <c r="D572" s="65"/>
      <c r="M572" s="65"/>
      <c r="Z572" s="65"/>
      <c r="AI572" s="65"/>
      <c r="AR572" s="65"/>
    </row>
    <row r="573" spans="4:44" x14ac:dyDescent="0.2">
      <c r="D573" s="65"/>
      <c r="M573" s="65"/>
      <c r="Z573" s="65"/>
      <c r="AI573" s="65"/>
      <c r="AR573" s="65"/>
    </row>
    <row r="574" spans="4:44" x14ac:dyDescent="0.2">
      <c r="D574" s="65"/>
      <c r="M574" s="65"/>
      <c r="Z574" s="65"/>
      <c r="AI574" s="65"/>
      <c r="AR574" s="65"/>
    </row>
    <row r="575" spans="4:44" x14ac:dyDescent="0.2">
      <c r="D575" s="65"/>
      <c r="M575" s="65"/>
      <c r="Z575" s="65"/>
      <c r="AI575" s="65"/>
      <c r="AR575" s="65"/>
    </row>
    <row r="576" spans="4:44" x14ac:dyDescent="0.2">
      <c r="D576" s="65"/>
      <c r="M576" s="65"/>
      <c r="Z576" s="65"/>
      <c r="AI576" s="65"/>
      <c r="AR576" s="65"/>
    </row>
    <row r="577" spans="4:44" x14ac:dyDescent="0.2">
      <c r="D577" s="65"/>
      <c r="M577" s="65"/>
      <c r="Z577" s="65"/>
      <c r="AI577" s="65"/>
      <c r="AR577" s="65"/>
    </row>
    <row r="578" spans="4:44" x14ac:dyDescent="0.2">
      <c r="D578" s="65"/>
      <c r="M578" s="65"/>
      <c r="Z578" s="65"/>
      <c r="AI578" s="65"/>
      <c r="AR578" s="65"/>
    </row>
    <row r="579" spans="4:44" x14ac:dyDescent="0.2">
      <c r="D579" s="65"/>
      <c r="M579" s="65"/>
      <c r="Z579" s="65"/>
      <c r="AI579" s="65"/>
      <c r="AR579" s="65"/>
    </row>
    <row r="580" spans="4:44" x14ac:dyDescent="0.2">
      <c r="D580" s="65"/>
      <c r="M580" s="65"/>
      <c r="Z580" s="65"/>
      <c r="AI580" s="65"/>
      <c r="AR580" s="65"/>
    </row>
    <row r="581" spans="4:44" x14ac:dyDescent="0.2">
      <c r="D581" s="65"/>
      <c r="M581" s="65"/>
      <c r="Z581" s="65"/>
      <c r="AI581" s="65"/>
      <c r="AR581" s="65"/>
    </row>
    <row r="582" spans="4:44" x14ac:dyDescent="0.2">
      <c r="D582" s="65"/>
      <c r="M582" s="65"/>
      <c r="Z582" s="65"/>
      <c r="AI582" s="65"/>
      <c r="AR582" s="65"/>
    </row>
    <row r="583" spans="4:44" x14ac:dyDescent="0.2">
      <c r="D583" s="65"/>
      <c r="M583" s="65"/>
      <c r="Z583" s="65"/>
      <c r="AI583" s="65"/>
      <c r="AR583" s="65"/>
    </row>
    <row r="584" spans="4:44" x14ac:dyDescent="0.2">
      <c r="D584" s="65"/>
      <c r="M584" s="65"/>
      <c r="Z584" s="65"/>
      <c r="AI584" s="65"/>
      <c r="AR584" s="65"/>
    </row>
    <row r="585" spans="4:44" x14ac:dyDescent="0.2">
      <c r="D585" s="65"/>
      <c r="M585" s="65"/>
      <c r="Z585" s="65"/>
      <c r="AI585" s="65"/>
      <c r="AR585" s="65"/>
    </row>
    <row r="586" spans="4:44" x14ac:dyDescent="0.2">
      <c r="D586" s="65"/>
      <c r="M586" s="65"/>
      <c r="Z586" s="65"/>
      <c r="AI586" s="65"/>
      <c r="AR586" s="65"/>
    </row>
    <row r="587" spans="4:44" x14ac:dyDescent="0.2">
      <c r="D587" s="65"/>
      <c r="M587" s="65"/>
      <c r="Z587" s="65"/>
      <c r="AI587" s="65"/>
      <c r="AR587" s="65"/>
    </row>
    <row r="588" spans="4:44" x14ac:dyDescent="0.2">
      <c r="D588" s="65"/>
      <c r="M588" s="65"/>
      <c r="Z588" s="65"/>
      <c r="AI588" s="65"/>
      <c r="AR588" s="65"/>
    </row>
    <row r="589" spans="4:44" x14ac:dyDescent="0.2">
      <c r="D589" s="65"/>
      <c r="M589" s="65"/>
      <c r="Z589" s="65"/>
      <c r="AI589" s="65"/>
      <c r="AR589" s="65"/>
    </row>
    <row r="590" spans="4:44" x14ac:dyDescent="0.2">
      <c r="D590" s="65"/>
      <c r="M590" s="65"/>
      <c r="Z590" s="65"/>
      <c r="AI590" s="65"/>
      <c r="AR590" s="65"/>
    </row>
    <row r="591" spans="4:44" x14ac:dyDescent="0.2">
      <c r="D591" s="65"/>
      <c r="M591" s="65"/>
      <c r="Z591" s="65"/>
      <c r="AI591" s="65"/>
      <c r="AR591" s="65"/>
    </row>
    <row r="592" spans="4:44" x14ac:dyDescent="0.2">
      <c r="D592" s="65"/>
      <c r="M592" s="65"/>
      <c r="Z592" s="65"/>
      <c r="AI592" s="65"/>
      <c r="AR592" s="65"/>
    </row>
    <row r="593" spans="4:44" x14ac:dyDescent="0.2">
      <c r="D593" s="65"/>
      <c r="M593" s="65"/>
      <c r="Z593" s="65"/>
      <c r="AI593" s="65"/>
      <c r="AR593" s="65"/>
    </row>
    <row r="594" spans="4:44" x14ac:dyDescent="0.2">
      <c r="D594" s="65"/>
      <c r="M594" s="65"/>
      <c r="Z594" s="65"/>
      <c r="AI594" s="65"/>
      <c r="AR594" s="65"/>
    </row>
    <row r="595" spans="4:44" x14ac:dyDescent="0.2">
      <c r="D595" s="65"/>
      <c r="M595" s="65"/>
      <c r="Z595" s="65"/>
      <c r="AI595" s="65"/>
      <c r="AR595" s="65"/>
    </row>
    <row r="596" spans="4:44" x14ac:dyDescent="0.2">
      <c r="D596" s="65"/>
      <c r="M596" s="65"/>
      <c r="Z596" s="65"/>
      <c r="AI596" s="65"/>
      <c r="AR596" s="65"/>
    </row>
    <row r="597" spans="4:44" x14ac:dyDescent="0.2">
      <c r="D597" s="65"/>
      <c r="M597" s="65"/>
      <c r="Z597" s="65"/>
      <c r="AI597" s="65"/>
      <c r="AR597" s="65"/>
    </row>
    <row r="598" spans="4:44" x14ac:dyDescent="0.2">
      <c r="D598" s="65"/>
      <c r="M598" s="65"/>
      <c r="Z598" s="65"/>
      <c r="AI598" s="65"/>
      <c r="AR598" s="65"/>
    </row>
    <row r="599" spans="4:44" x14ac:dyDescent="0.2">
      <c r="D599" s="65"/>
      <c r="M599" s="65"/>
      <c r="Z599" s="65"/>
      <c r="AI599" s="65"/>
      <c r="AR599" s="65"/>
    </row>
    <row r="600" spans="4:44" x14ac:dyDescent="0.2">
      <c r="D600" s="65"/>
      <c r="M600" s="65"/>
      <c r="Z600" s="65"/>
      <c r="AI600" s="65"/>
      <c r="AR600" s="65"/>
    </row>
    <row r="601" spans="4:44" x14ac:dyDescent="0.2">
      <c r="D601" s="65"/>
      <c r="M601" s="65"/>
      <c r="Z601" s="65"/>
      <c r="AI601" s="65"/>
      <c r="AR601" s="65"/>
    </row>
    <row r="602" spans="4:44" x14ac:dyDescent="0.2">
      <c r="D602" s="65"/>
      <c r="M602" s="65"/>
      <c r="Z602" s="65"/>
      <c r="AI602" s="65"/>
      <c r="AR602" s="65"/>
    </row>
    <row r="603" spans="4:44" x14ac:dyDescent="0.2">
      <c r="D603" s="65"/>
      <c r="M603" s="65"/>
      <c r="Z603" s="65"/>
      <c r="AI603" s="65"/>
      <c r="AR603" s="65"/>
    </row>
    <row r="604" spans="4:44" x14ac:dyDescent="0.2">
      <c r="D604" s="65"/>
      <c r="M604" s="65"/>
      <c r="Z604" s="65"/>
      <c r="AI604" s="65"/>
      <c r="AR604" s="65"/>
    </row>
    <row r="605" spans="4:44" x14ac:dyDescent="0.2">
      <c r="D605" s="65"/>
      <c r="M605" s="65"/>
      <c r="Z605" s="65"/>
      <c r="AI605" s="65"/>
      <c r="AR605" s="65"/>
    </row>
    <row r="606" spans="4:44" x14ac:dyDescent="0.2">
      <c r="D606" s="65"/>
      <c r="M606" s="65"/>
      <c r="Z606" s="65"/>
      <c r="AI606" s="65"/>
      <c r="AR606" s="65"/>
    </row>
    <row r="607" spans="4:44" x14ac:dyDescent="0.2">
      <c r="D607" s="65"/>
      <c r="M607" s="65"/>
      <c r="Z607" s="65"/>
      <c r="AI607" s="65"/>
      <c r="AR607" s="65"/>
    </row>
    <row r="608" spans="4:44" x14ac:dyDescent="0.2">
      <c r="D608" s="65"/>
      <c r="M608" s="65"/>
      <c r="Z608" s="65"/>
      <c r="AI608" s="65"/>
      <c r="AR608" s="65"/>
    </row>
    <row r="609" spans="4:44" x14ac:dyDescent="0.2">
      <c r="D609" s="65"/>
      <c r="M609" s="65"/>
      <c r="Z609" s="65"/>
      <c r="AI609" s="65"/>
      <c r="AR609" s="65"/>
    </row>
    <row r="610" spans="4:44" x14ac:dyDescent="0.2">
      <c r="D610" s="65"/>
      <c r="M610" s="65"/>
      <c r="Z610" s="65"/>
      <c r="AI610" s="65"/>
      <c r="AR610" s="65"/>
    </row>
    <row r="611" spans="4:44" x14ac:dyDescent="0.2">
      <c r="D611" s="65"/>
      <c r="M611" s="65"/>
      <c r="Z611" s="65"/>
      <c r="AI611" s="65"/>
      <c r="AR611" s="65"/>
    </row>
    <row r="612" spans="4:44" x14ac:dyDescent="0.2">
      <c r="D612" s="65"/>
      <c r="M612" s="65"/>
      <c r="Z612" s="65"/>
      <c r="AI612" s="65"/>
      <c r="AR612" s="65"/>
    </row>
    <row r="613" spans="4:44" x14ac:dyDescent="0.2">
      <c r="D613" s="65"/>
      <c r="M613" s="65"/>
      <c r="Z613" s="65"/>
      <c r="AI613" s="65"/>
      <c r="AR613" s="65"/>
    </row>
    <row r="614" spans="4:44" x14ac:dyDescent="0.2">
      <c r="D614" s="65"/>
      <c r="M614" s="65"/>
      <c r="Z614" s="65"/>
      <c r="AI614" s="65"/>
      <c r="AR614" s="65"/>
    </row>
    <row r="615" spans="4:44" x14ac:dyDescent="0.2">
      <c r="D615" s="65"/>
      <c r="M615" s="65"/>
      <c r="Z615" s="65"/>
      <c r="AI615" s="65"/>
      <c r="AR615" s="65"/>
    </row>
    <row r="616" spans="4:44" x14ac:dyDescent="0.2">
      <c r="D616" s="65"/>
      <c r="M616" s="65"/>
      <c r="Z616" s="65"/>
      <c r="AI616" s="65"/>
      <c r="AR616" s="65"/>
    </row>
    <row r="617" spans="4:44" x14ac:dyDescent="0.2">
      <c r="D617" s="65"/>
      <c r="M617" s="65"/>
      <c r="Z617" s="65"/>
      <c r="AI617" s="65"/>
      <c r="AR617" s="65"/>
    </row>
    <row r="618" spans="4:44" x14ac:dyDescent="0.2">
      <c r="D618" s="65"/>
      <c r="M618" s="65"/>
      <c r="Z618" s="65"/>
      <c r="AI618" s="65"/>
      <c r="AR618" s="65"/>
    </row>
    <row r="619" spans="4:44" x14ac:dyDescent="0.2">
      <c r="D619" s="65"/>
      <c r="M619" s="65"/>
      <c r="Z619" s="65"/>
      <c r="AI619" s="65"/>
      <c r="AR619" s="65"/>
    </row>
    <row r="620" spans="4:44" x14ac:dyDescent="0.2">
      <c r="D620" s="65"/>
      <c r="M620" s="65"/>
      <c r="Z620" s="65"/>
      <c r="AI620" s="65"/>
      <c r="AR620" s="65"/>
    </row>
    <row r="621" spans="4:44" x14ac:dyDescent="0.2">
      <c r="D621" s="65"/>
      <c r="M621" s="65"/>
      <c r="Z621" s="65"/>
      <c r="AI621" s="65"/>
      <c r="AR621" s="65"/>
    </row>
    <row r="622" spans="4:44" x14ac:dyDescent="0.2">
      <c r="D622" s="65"/>
      <c r="M622" s="65"/>
      <c r="Z622" s="65"/>
      <c r="AI622" s="65"/>
      <c r="AR622" s="65"/>
    </row>
    <row r="623" spans="4:44" x14ac:dyDescent="0.2">
      <c r="D623" s="65"/>
      <c r="M623" s="65"/>
      <c r="Z623" s="65"/>
      <c r="AI623" s="65"/>
      <c r="AR623" s="65"/>
    </row>
    <row r="624" spans="4:44" x14ac:dyDescent="0.2">
      <c r="D624" s="65"/>
      <c r="M624" s="65"/>
      <c r="Z624" s="65"/>
      <c r="AI624" s="65"/>
      <c r="AR624" s="65"/>
    </row>
    <row r="625" spans="4:44" x14ac:dyDescent="0.2">
      <c r="D625" s="65"/>
      <c r="M625" s="65"/>
      <c r="Z625" s="65"/>
      <c r="AI625" s="65"/>
      <c r="AR625" s="65"/>
    </row>
    <row r="626" spans="4:44" x14ac:dyDescent="0.2">
      <c r="D626" s="65"/>
      <c r="M626" s="65"/>
      <c r="Z626" s="65"/>
      <c r="AI626" s="65"/>
      <c r="AR626" s="65"/>
    </row>
    <row r="627" spans="4:44" x14ac:dyDescent="0.2">
      <c r="D627" s="65"/>
      <c r="M627" s="65"/>
      <c r="Z627" s="65"/>
      <c r="AI627" s="65"/>
      <c r="AR627" s="65"/>
    </row>
    <row r="628" spans="4:44" x14ac:dyDescent="0.2">
      <c r="D628" s="65"/>
      <c r="M628" s="65"/>
      <c r="Z628" s="65"/>
      <c r="AI628" s="65"/>
      <c r="AR628" s="65"/>
    </row>
    <row r="629" spans="4:44" x14ac:dyDescent="0.2">
      <c r="D629" s="65"/>
      <c r="M629" s="65"/>
      <c r="Z629" s="65"/>
      <c r="AI629" s="65"/>
      <c r="AR629" s="65"/>
    </row>
    <row r="630" spans="4:44" x14ac:dyDescent="0.2">
      <c r="D630" s="65"/>
      <c r="M630" s="65"/>
      <c r="Z630" s="65"/>
      <c r="AI630" s="65"/>
      <c r="AR630" s="65"/>
    </row>
    <row r="631" spans="4:44" x14ac:dyDescent="0.2">
      <c r="D631" s="65"/>
      <c r="M631" s="65"/>
      <c r="Z631" s="65"/>
      <c r="AI631" s="65"/>
      <c r="AR631" s="65"/>
    </row>
    <row r="632" spans="4:44" x14ac:dyDescent="0.2">
      <c r="D632" s="65"/>
      <c r="M632" s="65"/>
      <c r="Z632" s="65"/>
      <c r="AI632" s="65"/>
      <c r="AR632" s="65"/>
    </row>
    <row r="633" spans="4:44" x14ac:dyDescent="0.2">
      <c r="D633" s="65"/>
      <c r="M633" s="65"/>
      <c r="Z633" s="65"/>
      <c r="AI633" s="65"/>
      <c r="AR633" s="65"/>
    </row>
    <row r="634" spans="4:44" x14ac:dyDescent="0.2">
      <c r="D634" s="65"/>
      <c r="M634" s="65"/>
      <c r="Z634" s="65"/>
      <c r="AI634" s="65"/>
      <c r="AR634" s="65"/>
    </row>
    <row r="635" spans="4:44" x14ac:dyDescent="0.2">
      <c r="D635" s="65"/>
      <c r="M635" s="65"/>
      <c r="Z635" s="65"/>
      <c r="AI635" s="65"/>
      <c r="AR635" s="65"/>
    </row>
    <row r="636" spans="4:44" x14ac:dyDescent="0.2">
      <c r="D636" s="65"/>
      <c r="M636" s="65"/>
      <c r="Z636" s="65"/>
      <c r="AI636" s="65"/>
      <c r="AR636" s="65"/>
    </row>
    <row r="637" spans="4:44" x14ac:dyDescent="0.2">
      <c r="D637" s="65"/>
      <c r="M637" s="65"/>
      <c r="Z637" s="65"/>
      <c r="AI637" s="65"/>
      <c r="AR637" s="65"/>
    </row>
    <row r="638" spans="4:44" x14ac:dyDescent="0.2">
      <c r="D638" s="65"/>
      <c r="M638" s="65"/>
      <c r="Z638" s="65"/>
      <c r="AI638" s="65"/>
      <c r="AR638" s="65"/>
    </row>
    <row r="639" spans="4:44" x14ac:dyDescent="0.2">
      <c r="D639" s="65"/>
      <c r="M639" s="65"/>
      <c r="Z639" s="65"/>
      <c r="AI639" s="65"/>
      <c r="AR639" s="65"/>
    </row>
    <row r="640" spans="4:44" x14ac:dyDescent="0.2">
      <c r="D640" s="65"/>
      <c r="M640" s="65"/>
      <c r="Z640" s="65"/>
      <c r="AI640" s="65"/>
      <c r="AR640" s="65"/>
    </row>
    <row r="641" spans="4:44" x14ac:dyDescent="0.2">
      <c r="D641" s="65"/>
      <c r="M641" s="65"/>
      <c r="Z641" s="65"/>
      <c r="AI641" s="65"/>
      <c r="AR641" s="65"/>
    </row>
    <row r="642" spans="4:44" x14ac:dyDescent="0.2">
      <c r="D642" s="65"/>
      <c r="M642" s="65"/>
      <c r="Z642" s="65"/>
      <c r="AI642" s="65"/>
      <c r="AR642" s="65"/>
    </row>
    <row r="643" spans="4:44" x14ac:dyDescent="0.2">
      <c r="D643" s="65"/>
      <c r="M643" s="65"/>
      <c r="Z643" s="65"/>
      <c r="AI643" s="65"/>
      <c r="AR643" s="65"/>
    </row>
    <row r="644" spans="4:44" x14ac:dyDescent="0.2">
      <c r="D644" s="65"/>
      <c r="M644" s="65"/>
      <c r="Z644" s="65"/>
      <c r="AI644" s="65"/>
      <c r="AR644" s="65"/>
    </row>
    <row r="645" spans="4:44" x14ac:dyDescent="0.2">
      <c r="D645" s="65"/>
      <c r="M645" s="65"/>
      <c r="Z645" s="65"/>
      <c r="AI645" s="65"/>
      <c r="AR645" s="65"/>
    </row>
    <row r="646" spans="4:44" x14ac:dyDescent="0.2">
      <c r="D646" s="65"/>
      <c r="M646" s="65"/>
      <c r="Z646" s="65"/>
      <c r="AI646" s="65"/>
      <c r="AR646" s="65"/>
    </row>
    <row r="647" spans="4:44" x14ac:dyDescent="0.2">
      <c r="D647" s="65"/>
      <c r="M647" s="65"/>
      <c r="Z647" s="65"/>
      <c r="AI647" s="65"/>
      <c r="AR647" s="65"/>
    </row>
    <row r="648" spans="4:44" x14ac:dyDescent="0.2">
      <c r="D648" s="65"/>
      <c r="M648" s="65"/>
      <c r="Z648" s="65"/>
      <c r="AI648" s="65"/>
      <c r="AR648" s="65"/>
    </row>
    <row r="649" spans="4:44" x14ac:dyDescent="0.2">
      <c r="D649" s="65"/>
      <c r="M649" s="65"/>
      <c r="Z649" s="65"/>
      <c r="AI649" s="65"/>
      <c r="AR649" s="65"/>
    </row>
    <row r="650" spans="4:44" x14ac:dyDescent="0.2">
      <c r="D650" s="65"/>
      <c r="M650" s="65"/>
      <c r="Z650" s="65"/>
      <c r="AI650" s="65"/>
      <c r="AR650" s="65"/>
    </row>
    <row r="651" spans="4:44" x14ac:dyDescent="0.2">
      <c r="D651" s="65"/>
      <c r="M651" s="65"/>
      <c r="Z651" s="65"/>
      <c r="AI651" s="65"/>
      <c r="AR651" s="65"/>
    </row>
    <row r="652" spans="4:44" x14ac:dyDescent="0.2">
      <c r="D652" s="65"/>
      <c r="M652" s="65"/>
      <c r="Z652" s="65"/>
      <c r="AI652" s="65"/>
      <c r="AR652" s="65"/>
    </row>
    <row r="653" spans="4:44" x14ac:dyDescent="0.2">
      <c r="D653" s="65"/>
      <c r="M653" s="65"/>
      <c r="Z653" s="65"/>
      <c r="AI653" s="65"/>
      <c r="AR653" s="65"/>
    </row>
    <row r="654" spans="4:44" x14ac:dyDescent="0.2">
      <c r="D654" s="65"/>
      <c r="M654" s="65"/>
      <c r="Z654" s="65"/>
      <c r="AI654" s="65"/>
      <c r="AR654" s="65"/>
    </row>
    <row r="655" spans="4:44" x14ac:dyDescent="0.2">
      <c r="D655" s="65"/>
      <c r="M655" s="65"/>
      <c r="Z655" s="65"/>
      <c r="AI655" s="65"/>
      <c r="AR655" s="65"/>
    </row>
    <row r="656" spans="4:44" x14ac:dyDescent="0.2">
      <c r="D656" s="65"/>
      <c r="M656" s="65"/>
      <c r="Z656" s="65"/>
      <c r="AI656" s="65"/>
      <c r="AR656" s="65"/>
    </row>
    <row r="657" spans="4:44" x14ac:dyDescent="0.2">
      <c r="D657" s="65"/>
      <c r="M657" s="65"/>
      <c r="Z657" s="65"/>
      <c r="AI657" s="65"/>
      <c r="AR657" s="65"/>
    </row>
    <row r="658" spans="4:44" x14ac:dyDescent="0.2">
      <c r="D658" s="65"/>
      <c r="M658" s="65"/>
      <c r="Z658" s="65"/>
      <c r="AI658" s="65"/>
      <c r="AR658" s="65"/>
    </row>
    <row r="659" spans="4:44" x14ac:dyDescent="0.2">
      <c r="D659" s="65"/>
      <c r="M659" s="65"/>
      <c r="Z659" s="65"/>
      <c r="AI659" s="65"/>
      <c r="AR659" s="65"/>
    </row>
    <row r="660" spans="4:44" x14ac:dyDescent="0.2">
      <c r="D660" s="65"/>
      <c r="M660" s="65"/>
      <c r="Z660" s="65"/>
      <c r="AI660" s="65"/>
      <c r="AR660" s="65"/>
    </row>
    <row r="661" spans="4:44" x14ac:dyDescent="0.2">
      <c r="D661" s="65"/>
      <c r="M661" s="65"/>
      <c r="Z661" s="65"/>
      <c r="AI661" s="65"/>
      <c r="AR661" s="65"/>
    </row>
    <row r="662" spans="4:44" x14ac:dyDescent="0.2">
      <c r="D662" s="65"/>
      <c r="M662" s="65"/>
      <c r="Z662" s="65"/>
      <c r="AI662" s="65"/>
      <c r="AR662" s="65"/>
    </row>
    <row r="663" spans="4:44" x14ac:dyDescent="0.2">
      <c r="D663" s="65"/>
      <c r="M663" s="65"/>
      <c r="Z663" s="65"/>
      <c r="AI663" s="65"/>
      <c r="AR663" s="65"/>
    </row>
    <row r="664" spans="4:44" x14ac:dyDescent="0.2">
      <c r="D664" s="65"/>
      <c r="M664" s="65"/>
      <c r="Z664" s="65"/>
      <c r="AI664" s="65"/>
      <c r="AR664" s="65"/>
    </row>
    <row r="665" spans="4:44" x14ac:dyDescent="0.2">
      <c r="D665" s="65"/>
      <c r="M665" s="65"/>
      <c r="Z665" s="65"/>
      <c r="AI665" s="65"/>
      <c r="AR665" s="65"/>
    </row>
    <row r="666" spans="4:44" x14ac:dyDescent="0.2">
      <c r="D666" s="65"/>
      <c r="M666" s="65"/>
      <c r="Z666" s="65"/>
      <c r="AI666" s="65"/>
      <c r="AR666" s="65"/>
    </row>
    <row r="667" spans="4:44" x14ac:dyDescent="0.2">
      <c r="D667" s="65"/>
      <c r="M667" s="65"/>
      <c r="Z667" s="65"/>
      <c r="AI667" s="65"/>
      <c r="AR667" s="65"/>
    </row>
    <row r="668" spans="4:44" x14ac:dyDescent="0.2">
      <c r="D668" s="65"/>
      <c r="M668" s="65"/>
      <c r="Z668" s="65"/>
      <c r="AI668" s="65"/>
      <c r="AR668" s="65"/>
    </row>
    <row r="669" spans="4:44" x14ac:dyDescent="0.2">
      <c r="D669" s="65"/>
      <c r="M669" s="65"/>
      <c r="Z669" s="65"/>
      <c r="AI669" s="65"/>
      <c r="AR669" s="65"/>
    </row>
    <row r="670" spans="4:44" x14ac:dyDescent="0.2">
      <c r="D670" s="65"/>
      <c r="M670" s="65"/>
      <c r="Z670" s="65"/>
      <c r="AI670" s="65"/>
      <c r="AR670" s="65"/>
    </row>
    <row r="671" spans="4:44" x14ac:dyDescent="0.2">
      <c r="D671" s="65"/>
      <c r="M671" s="65"/>
      <c r="Z671" s="65"/>
      <c r="AI671" s="65"/>
      <c r="AR671" s="65"/>
    </row>
    <row r="672" spans="4:44" x14ac:dyDescent="0.2">
      <c r="D672" s="65"/>
      <c r="M672" s="65"/>
      <c r="Z672" s="65"/>
      <c r="AI672" s="65"/>
      <c r="AR672" s="65"/>
    </row>
    <row r="673" spans="4:44" x14ac:dyDescent="0.2">
      <c r="D673" s="65"/>
      <c r="M673" s="65"/>
      <c r="Z673" s="65"/>
      <c r="AI673" s="65"/>
      <c r="AR673" s="65"/>
    </row>
    <row r="674" spans="4:44" x14ac:dyDescent="0.2">
      <c r="D674" s="65"/>
      <c r="M674" s="65"/>
      <c r="Z674" s="65"/>
      <c r="AI674" s="65"/>
      <c r="AR674" s="65"/>
    </row>
    <row r="675" spans="4:44" x14ac:dyDescent="0.2">
      <c r="D675" s="65"/>
      <c r="M675" s="65"/>
      <c r="Z675" s="65"/>
      <c r="AI675" s="65"/>
      <c r="AR675" s="65"/>
    </row>
    <row r="676" spans="4:44" x14ac:dyDescent="0.2">
      <c r="D676" s="65"/>
      <c r="M676" s="65"/>
      <c r="Z676" s="65"/>
      <c r="AI676" s="65"/>
      <c r="AR676" s="65"/>
    </row>
    <row r="677" spans="4:44" x14ac:dyDescent="0.2">
      <c r="D677" s="65"/>
      <c r="M677" s="65"/>
      <c r="Z677" s="65"/>
      <c r="AI677" s="65"/>
      <c r="AR677" s="65"/>
    </row>
    <row r="678" spans="4:44" x14ac:dyDescent="0.2">
      <c r="D678" s="65"/>
      <c r="M678" s="65"/>
      <c r="Z678" s="65"/>
      <c r="AI678" s="65"/>
      <c r="AR678" s="65"/>
    </row>
    <row r="679" spans="4:44" x14ac:dyDescent="0.2">
      <c r="D679" s="65"/>
      <c r="M679" s="65"/>
      <c r="Z679" s="65"/>
      <c r="AI679" s="65"/>
      <c r="AR679" s="65"/>
    </row>
    <row r="680" spans="4:44" x14ac:dyDescent="0.2">
      <c r="D680" s="65"/>
      <c r="M680" s="65"/>
      <c r="Z680" s="65"/>
      <c r="AI680" s="65"/>
      <c r="AR680" s="65"/>
    </row>
    <row r="681" spans="4:44" x14ac:dyDescent="0.2">
      <c r="D681" s="65"/>
      <c r="M681" s="65"/>
      <c r="Z681" s="65"/>
      <c r="AI681" s="65"/>
      <c r="AR681" s="65"/>
    </row>
    <row r="682" spans="4:44" x14ac:dyDescent="0.2">
      <c r="D682" s="65"/>
      <c r="M682" s="65"/>
      <c r="Z682" s="65"/>
      <c r="AI682" s="65"/>
      <c r="AR682" s="65"/>
    </row>
    <row r="683" spans="4:44" x14ac:dyDescent="0.2">
      <c r="D683" s="65"/>
      <c r="M683" s="65"/>
      <c r="Z683" s="65"/>
      <c r="AI683" s="65"/>
      <c r="AR683" s="65"/>
    </row>
    <row r="684" spans="4:44" x14ac:dyDescent="0.2">
      <c r="D684" s="65"/>
      <c r="M684" s="65"/>
      <c r="Z684" s="65"/>
      <c r="AI684" s="65"/>
      <c r="AR684" s="65"/>
    </row>
    <row r="685" spans="4:44" x14ac:dyDescent="0.2">
      <c r="D685" s="65"/>
      <c r="M685" s="65"/>
      <c r="Z685" s="65"/>
      <c r="AI685" s="65"/>
      <c r="AR685" s="65"/>
    </row>
    <row r="686" spans="4:44" x14ac:dyDescent="0.2">
      <c r="D686" s="65"/>
      <c r="M686" s="65"/>
      <c r="Z686" s="65"/>
      <c r="AI686" s="65"/>
      <c r="AR686" s="65"/>
    </row>
    <row r="687" spans="4:44" x14ac:dyDescent="0.2">
      <c r="D687" s="65"/>
      <c r="M687" s="65"/>
      <c r="Z687" s="65"/>
      <c r="AI687" s="65"/>
      <c r="AR687" s="65"/>
    </row>
    <row r="688" spans="4:44" x14ac:dyDescent="0.2">
      <c r="D688" s="65"/>
      <c r="M688" s="65"/>
      <c r="Z688" s="65"/>
      <c r="AI688" s="65"/>
      <c r="AR688" s="65"/>
    </row>
    <row r="689" spans="4:44" x14ac:dyDescent="0.2">
      <c r="D689" s="65"/>
      <c r="M689" s="65"/>
      <c r="Z689" s="65"/>
      <c r="AI689" s="65"/>
      <c r="AR689" s="65"/>
    </row>
    <row r="690" spans="4:44" x14ac:dyDescent="0.2">
      <c r="D690" s="65"/>
      <c r="M690" s="65"/>
      <c r="Z690" s="65"/>
      <c r="AI690" s="65"/>
      <c r="AR690" s="65"/>
    </row>
    <row r="691" spans="4:44" x14ac:dyDescent="0.2">
      <c r="D691" s="65"/>
      <c r="M691" s="65"/>
      <c r="Z691" s="65"/>
      <c r="AI691" s="65"/>
      <c r="AR691" s="65"/>
    </row>
    <row r="692" spans="4:44" x14ac:dyDescent="0.2">
      <c r="D692" s="65"/>
      <c r="M692" s="65"/>
      <c r="Z692" s="65"/>
      <c r="AI692" s="65"/>
      <c r="AR692" s="65"/>
    </row>
    <row r="693" spans="4:44" x14ac:dyDescent="0.2">
      <c r="D693" s="65"/>
      <c r="M693" s="65"/>
      <c r="Z693" s="65"/>
      <c r="AI693" s="65"/>
      <c r="AR693" s="65"/>
    </row>
    <row r="694" spans="4:44" x14ac:dyDescent="0.2">
      <c r="D694" s="65"/>
      <c r="M694" s="65"/>
      <c r="Z694" s="65"/>
      <c r="AI694" s="65"/>
      <c r="AR694" s="65"/>
    </row>
    <row r="695" spans="4:44" x14ac:dyDescent="0.2">
      <c r="D695" s="65"/>
      <c r="M695" s="65"/>
      <c r="Z695" s="65"/>
      <c r="AI695" s="65"/>
      <c r="AR695" s="65"/>
    </row>
    <row r="696" spans="4:44" x14ac:dyDescent="0.2">
      <c r="D696" s="65"/>
      <c r="M696" s="65"/>
      <c r="Z696" s="65"/>
      <c r="AI696" s="65"/>
      <c r="AR696" s="65"/>
    </row>
    <row r="697" spans="4:44" x14ac:dyDescent="0.2">
      <c r="D697" s="65"/>
      <c r="M697" s="65"/>
      <c r="Z697" s="65"/>
      <c r="AI697" s="65"/>
      <c r="AR697" s="65"/>
    </row>
    <row r="698" spans="4:44" x14ac:dyDescent="0.2">
      <c r="D698" s="65"/>
      <c r="M698" s="65"/>
      <c r="Z698" s="65"/>
      <c r="AI698" s="65"/>
      <c r="AR698" s="65"/>
    </row>
    <row r="699" spans="4:44" x14ac:dyDescent="0.2">
      <c r="D699" s="65"/>
      <c r="M699" s="65"/>
      <c r="Z699" s="65"/>
      <c r="AI699" s="65"/>
      <c r="AR699" s="65"/>
    </row>
    <row r="700" spans="4:44" x14ac:dyDescent="0.2">
      <c r="D700" s="65"/>
      <c r="M700" s="65"/>
      <c r="Z700" s="65"/>
      <c r="AI700" s="65"/>
      <c r="AR700" s="65"/>
    </row>
    <row r="701" spans="4:44" x14ac:dyDescent="0.2">
      <c r="D701" s="65"/>
      <c r="M701" s="65"/>
      <c r="Z701" s="65"/>
      <c r="AI701" s="65"/>
      <c r="AR701" s="65"/>
    </row>
    <row r="702" spans="4:44" x14ac:dyDescent="0.2">
      <c r="D702" s="65"/>
      <c r="M702" s="65"/>
      <c r="Z702" s="65"/>
      <c r="AI702" s="65"/>
      <c r="AR702" s="65"/>
    </row>
    <row r="703" spans="4:44" x14ac:dyDescent="0.2">
      <c r="D703" s="65"/>
      <c r="M703" s="65"/>
      <c r="Z703" s="65"/>
      <c r="AI703" s="65"/>
      <c r="AR703" s="65"/>
    </row>
    <row r="704" spans="4:44" x14ac:dyDescent="0.2">
      <c r="D704" s="65"/>
      <c r="M704" s="65"/>
      <c r="Z704" s="65"/>
      <c r="AI704" s="65"/>
      <c r="AR704" s="65"/>
    </row>
    <row r="705" spans="4:44" x14ac:dyDescent="0.2">
      <c r="D705" s="65"/>
      <c r="M705" s="65"/>
      <c r="Z705" s="65"/>
      <c r="AI705" s="65"/>
      <c r="AR705" s="65"/>
    </row>
    <row r="706" spans="4:44" x14ac:dyDescent="0.2">
      <c r="D706" s="65"/>
      <c r="M706" s="65"/>
      <c r="Z706" s="65"/>
      <c r="AI706" s="65"/>
      <c r="AR706" s="65"/>
    </row>
    <row r="707" spans="4:44" x14ac:dyDescent="0.2">
      <c r="D707" s="65"/>
      <c r="M707" s="65"/>
      <c r="Z707" s="65"/>
      <c r="AI707" s="65"/>
      <c r="AR707" s="65"/>
    </row>
    <row r="708" spans="4:44" x14ac:dyDescent="0.2">
      <c r="D708" s="65"/>
      <c r="M708" s="65"/>
      <c r="Z708" s="65"/>
      <c r="AI708" s="65"/>
      <c r="AR708" s="65"/>
    </row>
    <row r="709" spans="4:44" x14ac:dyDescent="0.2">
      <c r="D709" s="65"/>
      <c r="M709" s="65"/>
      <c r="Z709" s="65"/>
      <c r="AI709" s="65"/>
      <c r="AR709" s="65"/>
    </row>
    <row r="710" spans="4:44" x14ac:dyDescent="0.2">
      <c r="D710" s="65"/>
      <c r="M710" s="65"/>
      <c r="Z710" s="65"/>
      <c r="AI710" s="65"/>
      <c r="AR710" s="65"/>
    </row>
    <row r="711" spans="4:44" x14ac:dyDescent="0.2">
      <c r="D711" s="65"/>
      <c r="M711" s="65"/>
      <c r="Z711" s="65"/>
      <c r="AI711" s="65"/>
      <c r="AR711" s="65"/>
    </row>
    <row r="712" spans="4:44" x14ac:dyDescent="0.2">
      <c r="D712" s="65"/>
      <c r="M712" s="65"/>
      <c r="Z712" s="65"/>
      <c r="AI712" s="65"/>
      <c r="AR712" s="65"/>
    </row>
    <row r="713" spans="4:44" x14ac:dyDescent="0.2">
      <c r="D713" s="65"/>
      <c r="M713" s="65"/>
      <c r="Z713" s="65"/>
      <c r="AI713" s="65"/>
      <c r="AR713" s="65"/>
    </row>
    <row r="714" spans="4:44" x14ac:dyDescent="0.2">
      <c r="D714" s="65"/>
      <c r="M714" s="65"/>
      <c r="Z714" s="65"/>
      <c r="AI714" s="65"/>
      <c r="AR714" s="65"/>
    </row>
    <row r="715" spans="4:44" x14ac:dyDescent="0.2">
      <c r="D715" s="65"/>
      <c r="M715" s="65"/>
      <c r="Z715" s="65"/>
      <c r="AI715" s="65"/>
      <c r="AR715" s="65"/>
    </row>
    <row r="716" spans="4:44" x14ac:dyDescent="0.2">
      <c r="D716" s="65"/>
      <c r="M716" s="65"/>
      <c r="Z716" s="65"/>
      <c r="AI716" s="65"/>
      <c r="AR716" s="65"/>
    </row>
    <row r="717" spans="4:44" x14ac:dyDescent="0.2">
      <c r="D717" s="65"/>
      <c r="M717" s="65"/>
      <c r="Z717" s="65"/>
      <c r="AI717" s="65"/>
      <c r="AR717" s="65"/>
    </row>
    <row r="718" spans="4:44" x14ac:dyDescent="0.2">
      <c r="D718" s="65"/>
      <c r="M718" s="65"/>
      <c r="Z718" s="65"/>
      <c r="AI718" s="65"/>
      <c r="AR718" s="65"/>
    </row>
    <row r="719" spans="4:44" x14ac:dyDescent="0.2">
      <c r="D719" s="65"/>
      <c r="M719" s="65"/>
      <c r="Z719" s="65"/>
      <c r="AI719" s="65"/>
      <c r="AR719" s="65"/>
    </row>
    <row r="720" spans="4:44" x14ac:dyDescent="0.2">
      <c r="D720" s="65"/>
      <c r="M720" s="65"/>
      <c r="Z720" s="65"/>
      <c r="AI720" s="65"/>
      <c r="AR720" s="65"/>
    </row>
    <row r="721" spans="4:44" x14ac:dyDescent="0.2">
      <c r="D721" s="65"/>
      <c r="M721" s="65"/>
      <c r="Z721" s="65"/>
      <c r="AI721" s="65"/>
      <c r="AR721" s="65"/>
    </row>
    <row r="722" spans="4:44" x14ac:dyDescent="0.2">
      <c r="D722" s="65"/>
      <c r="M722" s="65"/>
      <c r="Z722" s="65"/>
      <c r="AI722" s="65"/>
      <c r="AR722" s="65"/>
    </row>
    <row r="723" spans="4:44" x14ac:dyDescent="0.2">
      <c r="D723" s="65"/>
      <c r="M723" s="65"/>
      <c r="Z723" s="65"/>
      <c r="AI723" s="65"/>
      <c r="AR723" s="65"/>
    </row>
    <row r="724" spans="4:44" x14ac:dyDescent="0.2">
      <c r="D724" s="65"/>
      <c r="M724" s="65"/>
      <c r="Z724" s="65"/>
      <c r="AI724" s="65"/>
      <c r="AR724" s="65"/>
    </row>
    <row r="725" spans="4:44" x14ac:dyDescent="0.2">
      <c r="D725" s="65"/>
      <c r="M725" s="65"/>
      <c r="Z725" s="65"/>
      <c r="AI725" s="65"/>
      <c r="AR725" s="65"/>
    </row>
    <row r="726" spans="4:44" x14ac:dyDescent="0.2">
      <c r="D726" s="65"/>
      <c r="M726" s="65"/>
      <c r="Z726" s="65"/>
      <c r="AI726" s="65"/>
      <c r="AR726" s="65"/>
    </row>
    <row r="727" spans="4:44" x14ac:dyDescent="0.2">
      <c r="D727" s="65"/>
      <c r="M727" s="65"/>
      <c r="Z727" s="65"/>
      <c r="AI727" s="65"/>
      <c r="AR727" s="65"/>
    </row>
    <row r="728" spans="4:44" x14ac:dyDescent="0.2">
      <c r="D728" s="65"/>
      <c r="M728" s="65"/>
      <c r="Z728" s="65"/>
      <c r="AI728" s="65"/>
      <c r="AR728" s="65"/>
    </row>
    <row r="729" spans="4:44" x14ac:dyDescent="0.2">
      <c r="D729" s="65"/>
      <c r="M729" s="65"/>
      <c r="Z729" s="65"/>
      <c r="AI729" s="65"/>
      <c r="AR729" s="65"/>
    </row>
    <row r="730" spans="4:44" x14ac:dyDescent="0.2">
      <c r="D730" s="65"/>
      <c r="M730" s="65"/>
      <c r="Z730" s="65"/>
      <c r="AI730" s="65"/>
      <c r="AR730" s="65"/>
    </row>
    <row r="731" spans="4:44" x14ac:dyDescent="0.2">
      <c r="D731" s="65"/>
      <c r="M731" s="65"/>
      <c r="Z731" s="65"/>
      <c r="AI731" s="65"/>
      <c r="AR731" s="65"/>
    </row>
    <row r="732" spans="4:44" x14ac:dyDescent="0.2">
      <c r="D732" s="65"/>
      <c r="M732" s="65"/>
      <c r="Z732" s="65"/>
      <c r="AI732" s="65"/>
      <c r="AR732" s="65"/>
    </row>
    <row r="733" spans="4:44" x14ac:dyDescent="0.2">
      <c r="D733" s="65"/>
      <c r="M733" s="65"/>
      <c r="Z733" s="65"/>
      <c r="AI733" s="65"/>
      <c r="AR733" s="65"/>
    </row>
    <row r="734" spans="4:44" x14ac:dyDescent="0.2">
      <c r="D734" s="65"/>
      <c r="M734" s="65"/>
      <c r="Z734" s="65"/>
      <c r="AI734" s="65"/>
      <c r="AR734" s="65"/>
    </row>
    <row r="735" spans="4:44" x14ac:dyDescent="0.2">
      <c r="D735" s="65"/>
      <c r="M735" s="65"/>
      <c r="Z735" s="65"/>
      <c r="AI735" s="65"/>
      <c r="AR735" s="65"/>
    </row>
    <row r="736" spans="4:44" x14ac:dyDescent="0.2">
      <c r="D736" s="65"/>
      <c r="M736" s="65"/>
      <c r="Z736" s="65"/>
      <c r="AI736" s="65"/>
      <c r="AR736" s="65"/>
    </row>
    <row r="737" spans="4:44" x14ac:dyDescent="0.2">
      <c r="D737" s="65"/>
      <c r="M737" s="65"/>
      <c r="Z737" s="65"/>
      <c r="AI737" s="65"/>
      <c r="AR737" s="65"/>
    </row>
    <row r="738" spans="4:44" x14ac:dyDescent="0.2">
      <c r="D738" s="65"/>
      <c r="M738" s="65"/>
      <c r="Z738" s="65"/>
      <c r="AI738" s="65"/>
      <c r="AR738" s="65"/>
    </row>
    <row r="739" spans="4:44" x14ac:dyDescent="0.2">
      <c r="D739" s="65"/>
      <c r="M739" s="65"/>
      <c r="Z739" s="65"/>
      <c r="AI739" s="65"/>
      <c r="AR739" s="65"/>
    </row>
    <row r="740" spans="4:44" x14ac:dyDescent="0.2">
      <c r="D740" s="65"/>
      <c r="M740" s="65"/>
      <c r="Z740" s="65"/>
      <c r="AI740" s="65"/>
      <c r="AR740" s="65"/>
    </row>
    <row r="741" spans="4:44" x14ac:dyDescent="0.2">
      <c r="D741" s="65"/>
      <c r="M741" s="65"/>
      <c r="Z741" s="65"/>
      <c r="AI741" s="65"/>
      <c r="AR741" s="65"/>
    </row>
    <row r="742" spans="4:44" x14ac:dyDescent="0.2">
      <c r="D742" s="65"/>
      <c r="M742" s="65"/>
      <c r="Z742" s="65"/>
      <c r="AI742" s="65"/>
      <c r="AR742" s="65"/>
    </row>
    <row r="743" spans="4:44" x14ac:dyDescent="0.2">
      <c r="D743" s="65"/>
      <c r="M743" s="65"/>
      <c r="Z743" s="65"/>
      <c r="AI743" s="65"/>
      <c r="AR743" s="65"/>
    </row>
    <row r="744" spans="4:44" x14ac:dyDescent="0.2">
      <c r="D744" s="65"/>
      <c r="M744" s="65"/>
      <c r="Z744" s="65"/>
      <c r="AI744" s="65"/>
      <c r="AR744" s="65"/>
    </row>
    <row r="745" spans="4:44" x14ac:dyDescent="0.2">
      <c r="D745" s="65"/>
      <c r="M745" s="65"/>
      <c r="Z745" s="65"/>
      <c r="AI745" s="65"/>
      <c r="AR745" s="65"/>
    </row>
    <row r="746" spans="4:44" x14ac:dyDescent="0.2">
      <c r="D746" s="65"/>
      <c r="M746" s="65"/>
      <c r="Z746" s="65"/>
      <c r="AI746" s="65"/>
      <c r="AR746" s="65"/>
    </row>
    <row r="747" spans="4:44" x14ac:dyDescent="0.2">
      <c r="D747" s="65"/>
      <c r="M747" s="65"/>
      <c r="Z747" s="65"/>
      <c r="AI747" s="65"/>
      <c r="AR747" s="65"/>
    </row>
    <row r="748" spans="4:44" x14ac:dyDescent="0.2">
      <c r="D748" s="65"/>
      <c r="M748" s="65"/>
      <c r="Z748" s="65"/>
      <c r="AI748" s="65"/>
      <c r="AR748" s="65"/>
    </row>
    <row r="749" spans="4:44" x14ac:dyDescent="0.2">
      <c r="D749" s="65"/>
      <c r="M749" s="65"/>
      <c r="Z749" s="65"/>
      <c r="AI749" s="65"/>
      <c r="AR749" s="65"/>
    </row>
    <row r="750" spans="4:44" x14ac:dyDescent="0.2">
      <c r="D750" s="65"/>
      <c r="M750" s="65"/>
      <c r="Z750" s="65"/>
      <c r="AI750" s="65"/>
      <c r="AR750" s="65"/>
    </row>
    <row r="751" spans="4:44" x14ac:dyDescent="0.2">
      <c r="D751" s="65"/>
      <c r="M751" s="65"/>
      <c r="Z751" s="65"/>
      <c r="AI751" s="65"/>
      <c r="AR751" s="65"/>
    </row>
    <row r="752" spans="4:44" x14ac:dyDescent="0.2">
      <c r="D752" s="65"/>
      <c r="M752" s="65"/>
      <c r="Z752" s="65"/>
      <c r="AI752" s="65"/>
      <c r="AR752" s="65"/>
    </row>
    <row r="753" spans="4:44" x14ac:dyDescent="0.2">
      <c r="D753" s="65"/>
      <c r="M753" s="65"/>
      <c r="Z753" s="65"/>
      <c r="AI753" s="65"/>
      <c r="AR753" s="65"/>
    </row>
    <row r="754" spans="4:44" x14ac:dyDescent="0.2">
      <c r="D754" s="65"/>
      <c r="M754" s="65"/>
      <c r="Z754" s="65"/>
      <c r="AI754" s="65"/>
      <c r="AR754" s="65"/>
    </row>
    <row r="755" spans="4:44" x14ac:dyDescent="0.2">
      <c r="D755" s="65"/>
      <c r="M755" s="65"/>
      <c r="Z755" s="65"/>
      <c r="AI755" s="65"/>
      <c r="AR755" s="65"/>
    </row>
    <row r="756" spans="4:44" x14ac:dyDescent="0.2">
      <c r="D756" s="65"/>
      <c r="M756" s="65"/>
      <c r="Z756" s="65"/>
      <c r="AI756" s="65"/>
      <c r="AR756" s="65"/>
    </row>
    <row r="757" spans="4:44" x14ac:dyDescent="0.2">
      <c r="D757" s="65"/>
      <c r="M757" s="65"/>
      <c r="Z757" s="65"/>
      <c r="AI757" s="65"/>
      <c r="AR757" s="65"/>
    </row>
    <row r="758" spans="4:44" x14ac:dyDescent="0.2">
      <c r="D758" s="65"/>
      <c r="M758" s="65"/>
      <c r="Z758" s="65"/>
      <c r="AI758" s="65"/>
      <c r="AR758" s="65"/>
    </row>
    <row r="759" spans="4:44" x14ac:dyDescent="0.2">
      <c r="D759" s="65"/>
      <c r="M759" s="65"/>
      <c r="Z759" s="65"/>
      <c r="AI759" s="65"/>
      <c r="AR759" s="65"/>
    </row>
    <row r="760" spans="4:44" x14ac:dyDescent="0.2">
      <c r="D760" s="65"/>
      <c r="M760" s="65"/>
      <c r="Z760" s="65"/>
      <c r="AI760" s="65"/>
      <c r="AR760" s="65"/>
    </row>
    <row r="761" spans="4:44" x14ac:dyDescent="0.2">
      <c r="D761" s="65"/>
      <c r="M761" s="65"/>
      <c r="Z761" s="65"/>
      <c r="AI761" s="65"/>
      <c r="AR761" s="65"/>
    </row>
    <row r="762" spans="4:44" x14ac:dyDescent="0.2">
      <c r="D762" s="65"/>
      <c r="M762" s="65"/>
      <c r="Z762" s="65"/>
      <c r="AI762" s="65"/>
      <c r="AR762" s="65"/>
    </row>
    <row r="763" spans="4:44" x14ac:dyDescent="0.2">
      <c r="D763" s="65"/>
      <c r="M763" s="65"/>
      <c r="Z763" s="65"/>
      <c r="AI763" s="65"/>
      <c r="AR763" s="65"/>
    </row>
    <row r="764" spans="4:44" x14ac:dyDescent="0.2">
      <c r="D764" s="65"/>
      <c r="M764" s="65"/>
      <c r="Z764" s="65"/>
      <c r="AI764" s="65"/>
      <c r="AR764" s="65"/>
    </row>
    <row r="765" spans="4:44" x14ac:dyDescent="0.2">
      <c r="D765" s="65"/>
      <c r="M765" s="65"/>
      <c r="Z765" s="65"/>
      <c r="AI765" s="65"/>
      <c r="AR765" s="65"/>
    </row>
    <row r="766" spans="4:44" x14ac:dyDescent="0.2">
      <c r="D766" s="65"/>
      <c r="M766" s="65"/>
      <c r="Z766" s="65"/>
      <c r="AI766" s="65"/>
      <c r="AR766" s="65"/>
    </row>
    <row r="767" spans="4:44" x14ac:dyDescent="0.2">
      <c r="D767" s="65"/>
      <c r="M767" s="65"/>
      <c r="Z767" s="65"/>
      <c r="AI767" s="65"/>
      <c r="AR767" s="65"/>
    </row>
    <row r="768" spans="4:44" x14ac:dyDescent="0.2">
      <c r="D768" s="65"/>
      <c r="M768" s="65"/>
      <c r="Z768" s="65"/>
      <c r="AI768" s="65"/>
      <c r="AR768" s="65"/>
    </row>
    <row r="769" spans="4:44" x14ac:dyDescent="0.2">
      <c r="D769" s="65"/>
      <c r="M769" s="65"/>
      <c r="Z769" s="65"/>
      <c r="AI769" s="65"/>
      <c r="AR769" s="65"/>
    </row>
    <row r="770" spans="4:44" x14ac:dyDescent="0.2">
      <c r="D770" s="65"/>
      <c r="M770" s="65"/>
      <c r="Z770" s="65"/>
      <c r="AI770" s="65"/>
      <c r="AR770" s="65"/>
    </row>
    <row r="771" spans="4:44" x14ac:dyDescent="0.2">
      <c r="D771" s="65"/>
      <c r="M771" s="65"/>
      <c r="Z771" s="65"/>
      <c r="AI771" s="65"/>
      <c r="AR771" s="65"/>
    </row>
    <row r="772" spans="4:44" x14ac:dyDescent="0.2">
      <c r="D772" s="65"/>
      <c r="M772" s="65"/>
      <c r="Z772" s="65"/>
      <c r="AI772" s="65"/>
      <c r="AR772" s="65"/>
    </row>
    <row r="773" spans="4:44" x14ac:dyDescent="0.2">
      <c r="D773" s="65"/>
      <c r="M773" s="65"/>
      <c r="Z773" s="65"/>
      <c r="AI773" s="65"/>
      <c r="AR773" s="65"/>
    </row>
    <row r="774" spans="4:44" x14ac:dyDescent="0.2">
      <c r="D774" s="65"/>
      <c r="M774" s="65"/>
      <c r="Z774" s="65"/>
      <c r="AI774" s="65"/>
      <c r="AR774" s="65"/>
    </row>
    <row r="775" spans="4:44" x14ac:dyDescent="0.2">
      <c r="D775" s="65"/>
      <c r="M775" s="65"/>
      <c r="Z775" s="65"/>
      <c r="AI775" s="65"/>
      <c r="AR775" s="65"/>
    </row>
    <row r="776" spans="4:44" x14ac:dyDescent="0.2">
      <c r="D776" s="65"/>
      <c r="M776" s="65"/>
      <c r="Z776" s="65"/>
      <c r="AI776" s="65"/>
      <c r="AR776" s="65"/>
    </row>
    <row r="777" spans="4:44" x14ac:dyDescent="0.2">
      <c r="D777" s="65"/>
      <c r="M777" s="65"/>
      <c r="Z777" s="65"/>
      <c r="AI777" s="65"/>
      <c r="AR777" s="65"/>
    </row>
    <row r="778" spans="4:44" x14ac:dyDescent="0.2">
      <c r="D778" s="65"/>
      <c r="M778" s="65"/>
      <c r="Z778" s="65"/>
      <c r="AI778" s="65"/>
      <c r="AR778" s="65"/>
    </row>
    <row r="779" spans="4:44" x14ac:dyDescent="0.2">
      <c r="D779" s="65"/>
      <c r="M779" s="65"/>
      <c r="Z779" s="65"/>
      <c r="AI779" s="65"/>
      <c r="AR779" s="65"/>
    </row>
    <row r="780" spans="4:44" x14ac:dyDescent="0.2">
      <c r="D780" s="65"/>
      <c r="M780" s="65"/>
      <c r="Z780" s="65"/>
      <c r="AI780" s="65"/>
      <c r="AR780" s="65"/>
    </row>
    <row r="781" spans="4:44" x14ac:dyDescent="0.2">
      <c r="D781" s="65"/>
      <c r="M781" s="65"/>
      <c r="Z781" s="65"/>
      <c r="AI781" s="65"/>
      <c r="AR781" s="65"/>
    </row>
    <row r="782" spans="4:44" x14ac:dyDescent="0.2">
      <c r="D782" s="65"/>
      <c r="M782" s="65"/>
      <c r="Z782" s="65"/>
      <c r="AI782" s="65"/>
      <c r="AR782" s="65"/>
    </row>
    <row r="783" spans="4:44" x14ac:dyDescent="0.2">
      <c r="D783" s="65"/>
      <c r="M783" s="65"/>
      <c r="Z783" s="65"/>
      <c r="AI783" s="65"/>
      <c r="AR783" s="65"/>
    </row>
    <row r="784" spans="4:44" x14ac:dyDescent="0.2">
      <c r="D784" s="65"/>
      <c r="M784" s="65"/>
      <c r="Z784" s="65"/>
      <c r="AI784" s="65"/>
      <c r="AR784" s="65"/>
    </row>
    <row r="785" spans="4:44" x14ac:dyDescent="0.2">
      <c r="D785" s="65"/>
      <c r="M785" s="65"/>
      <c r="Z785" s="65"/>
      <c r="AI785" s="65"/>
      <c r="AR785" s="65"/>
    </row>
    <row r="786" spans="4:44" x14ac:dyDescent="0.2">
      <c r="D786" s="65"/>
      <c r="M786" s="65"/>
      <c r="Z786" s="65"/>
      <c r="AI786" s="65"/>
      <c r="AR786" s="65"/>
    </row>
    <row r="787" spans="4:44" x14ac:dyDescent="0.2">
      <c r="D787" s="65"/>
      <c r="M787" s="65"/>
      <c r="Z787" s="65"/>
      <c r="AI787" s="65"/>
      <c r="AR787" s="65"/>
    </row>
    <row r="788" spans="4:44" x14ac:dyDescent="0.2">
      <c r="D788" s="65"/>
      <c r="M788" s="65"/>
      <c r="Z788" s="65"/>
      <c r="AI788" s="65"/>
      <c r="AR788" s="65"/>
    </row>
    <row r="789" spans="4:44" x14ac:dyDescent="0.2">
      <c r="D789" s="65"/>
      <c r="M789" s="65"/>
      <c r="Z789" s="65"/>
      <c r="AI789" s="65"/>
      <c r="AR789" s="65"/>
    </row>
    <row r="790" spans="4:44" x14ac:dyDescent="0.2">
      <c r="D790" s="65"/>
      <c r="M790" s="65"/>
      <c r="Z790" s="65"/>
      <c r="AI790" s="65"/>
      <c r="AR790" s="65"/>
    </row>
    <row r="791" spans="4:44" x14ac:dyDescent="0.2">
      <c r="D791" s="65"/>
      <c r="M791" s="65"/>
      <c r="Z791" s="65"/>
      <c r="AI791" s="65"/>
      <c r="AR791" s="65"/>
    </row>
    <row r="792" spans="4:44" x14ac:dyDescent="0.2">
      <c r="D792" s="65"/>
      <c r="M792" s="65"/>
      <c r="Z792" s="65"/>
      <c r="AI792" s="65"/>
      <c r="AR792" s="65"/>
    </row>
    <row r="793" spans="4:44" x14ac:dyDescent="0.2">
      <c r="D793" s="65"/>
      <c r="M793" s="65"/>
      <c r="Z793" s="65"/>
      <c r="AI793" s="65"/>
      <c r="AR793" s="65"/>
    </row>
    <row r="794" spans="4:44" x14ac:dyDescent="0.2">
      <c r="D794" s="65"/>
      <c r="M794" s="65"/>
      <c r="Z794" s="65"/>
      <c r="AI794" s="65"/>
      <c r="AR794" s="65"/>
    </row>
    <row r="795" spans="4:44" x14ac:dyDescent="0.2">
      <c r="D795" s="65"/>
      <c r="M795" s="65"/>
      <c r="Z795" s="65"/>
      <c r="AI795" s="65"/>
      <c r="AR795" s="65"/>
    </row>
    <row r="796" spans="4:44" x14ac:dyDescent="0.2">
      <c r="D796" s="65"/>
      <c r="M796" s="65"/>
      <c r="Z796" s="65"/>
      <c r="AI796" s="65"/>
      <c r="AR796" s="65"/>
    </row>
    <row r="797" spans="4:44" x14ac:dyDescent="0.2">
      <c r="D797" s="65"/>
      <c r="M797" s="65"/>
      <c r="Z797" s="65"/>
      <c r="AI797" s="65"/>
      <c r="AR797" s="65"/>
    </row>
    <row r="798" spans="4:44" x14ac:dyDescent="0.2">
      <c r="D798" s="65"/>
      <c r="M798" s="65"/>
      <c r="Z798" s="65"/>
      <c r="AI798" s="65"/>
      <c r="AR798" s="65"/>
    </row>
    <row r="799" spans="4:44" x14ac:dyDescent="0.2">
      <c r="D799" s="65"/>
      <c r="M799" s="65"/>
      <c r="Z799" s="65"/>
      <c r="AI799" s="65"/>
      <c r="AR799" s="65"/>
    </row>
    <row r="800" spans="4:44" x14ac:dyDescent="0.2">
      <c r="D800" s="65"/>
      <c r="M800" s="65"/>
      <c r="Z800" s="65"/>
      <c r="AI800" s="65"/>
      <c r="AR800" s="65"/>
    </row>
    <row r="801" spans="4:44" x14ac:dyDescent="0.2">
      <c r="D801" s="65"/>
      <c r="M801" s="65"/>
      <c r="Z801" s="65"/>
      <c r="AI801" s="65"/>
      <c r="AR801" s="65"/>
    </row>
    <row r="802" spans="4:44" x14ac:dyDescent="0.2">
      <c r="D802" s="65"/>
      <c r="M802" s="65"/>
      <c r="Z802" s="65"/>
      <c r="AI802" s="65"/>
      <c r="AR802" s="65"/>
    </row>
    <row r="803" spans="4:44" x14ac:dyDescent="0.2">
      <c r="D803" s="65"/>
      <c r="M803" s="65"/>
      <c r="Z803" s="65"/>
      <c r="AI803" s="65"/>
      <c r="AR803" s="65"/>
    </row>
    <row r="804" spans="4:44" x14ac:dyDescent="0.2">
      <c r="D804" s="65"/>
      <c r="M804" s="65"/>
      <c r="Z804" s="65"/>
      <c r="AI804" s="65"/>
      <c r="AR804" s="65"/>
    </row>
    <row r="805" spans="4:44" x14ac:dyDescent="0.2">
      <c r="D805" s="65"/>
      <c r="M805" s="65"/>
      <c r="Z805" s="65"/>
      <c r="AI805" s="65"/>
      <c r="AR805" s="65"/>
    </row>
    <row r="806" spans="4:44" x14ac:dyDescent="0.2">
      <c r="D806" s="65"/>
      <c r="M806" s="65"/>
      <c r="Z806" s="65"/>
      <c r="AI806" s="65"/>
      <c r="AR806" s="65"/>
    </row>
    <row r="807" spans="4:44" x14ac:dyDescent="0.2">
      <c r="D807" s="65"/>
      <c r="M807" s="65"/>
      <c r="Z807" s="65"/>
      <c r="AI807" s="65"/>
      <c r="AR807" s="65"/>
    </row>
    <row r="808" spans="4:44" x14ac:dyDescent="0.2">
      <c r="D808" s="65"/>
      <c r="M808" s="65"/>
      <c r="Z808" s="65"/>
      <c r="AI808" s="65"/>
      <c r="AR808" s="65"/>
    </row>
    <row r="809" spans="4:44" x14ac:dyDescent="0.2">
      <c r="D809" s="65"/>
      <c r="M809" s="65"/>
      <c r="Z809" s="65"/>
      <c r="AI809" s="65"/>
      <c r="AR809" s="65"/>
    </row>
    <row r="810" spans="4:44" x14ac:dyDescent="0.2">
      <c r="D810" s="65"/>
      <c r="M810" s="65"/>
      <c r="Z810" s="65"/>
      <c r="AI810" s="65"/>
      <c r="AR810" s="65"/>
    </row>
    <row r="811" spans="4:44" x14ac:dyDescent="0.2">
      <c r="D811" s="65"/>
      <c r="M811" s="65"/>
      <c r="Z811" s="65"/>
      <c r="AI811" s="65"/>
      <c r="AR811" s="65"/>
    </row>
    <row r="812" spans="4:44" x14ac:dyDescent="0.2">
      <c r="D812" s="65"/>
      <c r="M812" s="65"/>
      <c r="Z812" s="65"/>
      <c r="AI812" s="65"/>
      <c r="AR812" s="65"/>
    </row>
    <row r="813" spans="4:44" x14ac:dyDescent="0.2">
      <c r="D813" s="65"/>
      <c r="M813" s="65"/>
      <c r="Z813" s="65"/>
      <c r="AI813" s="65"/>
      <c r="AR813" s="65"/>
    </row>
    <row r="814" spans="4:44" x14ac:dyDescent="0.2">
      <c r="D814" s="65"/>
      <c r="M814" s="65"/>
      <c r="Z814" s="65"/>
      <c r="AI814" s="65"/>
      <c r="AR814" s="65"/>
    </row>
    <row r="815" spans="4:44" x14ac:dyDescent="0.2">
      <c r="D815" s="65"/>
      <c r="M815" s="65"/>
      <c r="Z815" s="65"/>
      <c r="AI815" s="65"/>
      <c r="AR815" s="65"/>
    </row>
    <row r="816" spans="4:44" x14ac:dyDescent="0.2">
      <c r="D816" s="65"/>
      <c r="M816" s="65"/>
      <c r="Z816" s="65"/>
      <c r="AI816" s="65"/>
      <c r="AR816" s="65"/>
    </row>
    <row r="817" spans="4:44" x14ac:dyDescent="0.2">
      <c r="D817" s="65"/>
      <c r="M817" s="65"/>
      <c r="Z817" s="65"/>
      <c r="AI817" s="65"/>
      <c r="AR817" s="65"/>
    </row>
    <row r="818" spans="4:44" x14ac:dyDescent="0.2">
      <c r="D818" s="65"/>
      <c r="M818" s="65"/>
      <c r="Z818" s="65"/>
      <c r="AI818" s="65"/>
      <c r="AR818" s="65"/>
    </row>
    <row r="819" spans="4:44" x14ac:dyDescent="0.2">
      <c r="D819" s="65"/>
      <c r="M819" s="65"/>
      <c r="Z819" s="65"/>
      <c r="AI819" s="65"/>
      <c r="AR819" s="65"/>
    </row>
    <row r="820" spans="4:44" x14ac:dyDescent="0.2">
      <c r="D820" s="65"/>
      <c r="M820" s="65"/>
      <c r="Z820" s="65"/>
      <c r="AI820" s="65"/>
      <c r="AR820" s="65"/>
    </row>
    <row r="821" spans="4:44" x14ac:dyDescent="0.2">
      <c r="D821" s="65"/>
      <c r="M821" s="65"/>
      <c r="Z821" s="65"/>
      <c r="AI821" s="65"/>
      <c r="AR821" s="65"/>
    </row>
    <row r="822" spans="4:44" x14ac:dyDescent="0.2">
      <c r="D822" s="65"/>
      <c r="M822" s="65"/>
      <c r="Z822" s="65"/>
      <c r="AI822" s="65"/>
      <c r="AR822" s="65"/>
    </row>
    <row r="823" spans="4:44" x14ac:dyDescent="0.2">
      <c r="D823" s="65"/>
      <c r="M823" s="65"/>
      <c r="Z823" s="65"/>
      <c r="AI823" s="65"/>
      <c r="AR823" s="65"/>
    </row>
    <row r="824" spans="4:44" x14ac:dyDescent="0.2">
      <c r="D824" s="65"/>
      <c r="M824" s="65"/>
      <c r="Z824" s="65"/>
      <c r="AI824" s="65"/>
      <c r="AR824" s="65"/>
    </row>
    <row r="825" spans="4:44" x14ac:dyDescent="0.2">
      <c r="D825" s="65"/>
      <c r="M825" s="65"/>
      <c r="Z825" s="65"/>
      <c r="AI825" s="65"/>
      <c r="AR825" s="65"/>
    </row>
    <row r="826" spans="4:44" x14ac:dyDescent="0.2">
      <c r="D826" s="65"/>
      <c r="M826" s="65"/>
      <c r="Z826" s="65"/>
      <c r="AI826" s="65"/>
      <c r="AR826" s="65"/>
    </row>
    <row r="827" spans="4:44" x14ac:dyDescent="0.2">
      <c r="D827" s="65"/>
      <c r="M827" s="65"/>
      <c r="Z827" s="65"/>
      <c r="AI827" s="65"/>
      <c r="AR827" s="65"/>
    </row>
    <row r="828" spans="4:44" x14ac:dyDescent="0.2">
      <c r="D828" s="65"/>
      <c r="M828" s="65"/>
      <c r="Z828" s="65"/>
      <c r="AI828" s="65"/>
      <c r="AR828" s="65"/>
    </row>
    <row r="829" spans="4:44" x14ac:dyDescent="0.2">
      <c r="D829" s="65"/>
      <c r="M829" s="65"/>
      <c r="Z829" s="65"/>
      <c r="AI829" s="65"/>
      <c r="AR829" s="65"/>
    </row>
    <row r="830" spans="4:44" x14ac:dyDescent="0.2">
      <c r="D830" s="65"/>
      <c r="M830" s="65"/>
      <c r="Z830" s="65"/>
      <c r="AI830" s="65"/>
      <c r="AR830" s="65"/>
    </row>
    <row r="831" spans="4:44" x14ac:dyDescent="0.2">
      <c r="D831" s="65"/>
      <c r="M831" s="65"/>
      <c r="Z831" s="65"/>
      <c r="AI831" s="65"/>
      <c r="AR831" s="65"/>
    </row>
    <row r="832" spans="4:44" x14ac:dyDescent="0.2">
      <c r="D832" s="65"/>
      <c r="M832" s="65"/>
      <c r="Z832" s="65"/>
      <c r="AI832" s="65"/>
      <c r="AR832" s="65"/>
    </row>
    <row r="833" spans="4:44" x14ac:dyDescent="0.2">
      <c r="D833" s="65"/>
      <c r="M833" s="65"/>
      <c r="Z833" s="65"/>
      <c r="AI833" s="65"/>
      <c r="AR833" s="65"/>
    </row>
    <row r="834" spans="4:44" x14ac:dyDescent="0.2">
      <c r="D834" s="65"/>
      <c r="M834" s="65"/>
      <c r="Z834" s="65"/>
      <c r="AI834" s="65"/>
      <c r="AR834" s="65"/>
    </row>
    <row r="835" spans="4:44" x14ac:dyDescent="0.2">
      <c r="D835" s="65"/>
      <c r="M835" s="65"/>
      <c r="Z835" s="65"/>
      <c r="AI835" s="65"/>
      <c r="AR835" s="65"/>
    </row>
    <row r="836" spans="4:44" x14ac:dyDescent="0.2">
      <c r="D836" s="65"/>
      <c r="M836" s="65"/>
      <c r="Z836" s="65"/>
      <c r="AI836" s="65"/>
      <c r="AR836" s="65"/>
    </row>
    <row r="837" spans="4:44" x14ac:dyDescent="0.2">
      <c r="D837" s="65"/>
      <c r="M837" s="65"/>
      <c r="Z837" s="65"/>
      <c r="AI837" s="65"/>
      <c r="AR837" s="65"/>
    </row>
    <row r="838" spans="4:44" x14ac:dyDescent="0.2">
      <c r="D838" s="65"/>
      <c r="M838" s="65"/>
      <c r="Z838" s="65"/>
      <c r="AI838" s="65"/>
      <c r="AR838" s="65"/>
    </row>
    <row r="839" spans="4:44" x14ac:dyDescent="0.2">
      <c r="D839" s="65"/>
      <c r="M839" s="65"/>
      <c r="Z839" s="65"/>
      <c r="AI839" s="65"/>
      <c r="AR839" s="65"/>
    </row>
    <row r="840" spans="4:44" x14ac:dyDescent="0.2">
      <c r="D840" s="65"/>
      <c r="M840" s="65"/>
      <c r="Z840" s="65"/>
      <c r="AI840" s="65"/>
      <c r="AR840" s="65"/>
    </row>
    <row r="841" spans="4:44" x14ac:dyDescent="0.2">
      <c r="D841" s="65"/>
      <c r="M841" s="65"/>
      <c r="Z841" s="65"/>
      <c r="AI841" s="65"/>
      <c r="AR841" s="65"/>
    </row>
    <row r="842" spans="4:44" x14ac:dyDescent="0.2">
      <c r="D842" s="65"/>
      <c r="M842" s="65"/>
      <c r="Z842" s="65"/>
      <c r="AI842" s="65"/>
      <c r="AR842" s="65"/>
    </row>
    <row r="843" spans="4:44" x14ac:dyDescent="0.2">
      <c r="D843" s="65"/>
      <c r="M843" s="65"/>
      <c r="Z843" s="65"/>
      <c r="AI843" s="65"/>
      <c r="AR843" s="65"/>
    </row>
    <row r="844" spans="4:44" x14ac:dyDescent="0.2">
      <c r="D844" s="65"/>
      <c r="M844" s="65"/>
      <c r="Z844" s="65"/>
      <c r="AI844" s="65"/>
      <c r="AR844" s="65"/>
    </row>
    <row r="845" spans="4:44" x14ac:dyDescent="0.2">
      <c r="D845" s="65"/>
      <c r="M845" s="65"/>
      <c r="Z845" s="65"/>
      <c r="AI845" s="65"/>
      <c r="AR845" s="65"/>
    </row>
    <row r="846" spans="4:44" x14ac:dyDescent="0.2">
      <c r="D846" s="65"/>
      <c r="M846" s="65"/>
      <c r="Z846" s="65"/>
      <c r="AI846" s="65"/>
      <c r="AR846" s="65"/>
    </row>
    <row r="847" spans="4:44" x14ac:dyDescent="0.2">
      <c r="D847" s="65"/>
      <c r="M847" s="65"/>
      <c r="Z847" s="65"/>
      <c r="AI847" s="65"/>
      <c r="AR847" s="65"/>
    </row>
    <row r="848" spans="4:44" x14ac:dyDescent="0.2">
      <c r="D848" s="65"/>
      <c r="M848" s="65"/>
      <c r="Z848" s="65"/>
      <c r="AI848" s="65"/>
      <c r="AR848" s="65"/>
    </row>
    <row r="849" spans="4:44" x14ac:dyDescent="0.2">
      <c r="D849" s="65"/>
      <c r="M849" s="65"/>
      <c r="Z849" s="65"/>
      <c r="AI849" s="65"/>
      <c r="AR849" s="65"/>
    </row>
    <row r="850" spans="4:44" x14ac:dyDescent="0.2">
      <c r="D850" s="65"/>
      <c r="M850" s="65"/>
      <c r="Z850" s="65"/>
      <c r="AI850" s="65"/>
      <c r="AR850" s="65"/>
    </row>
    <row r="851" spans="4:44" x14ac:dyDescent="0.2">
      <c r="D851" s="65"/>
      <c r="M851" s="65"/>
      <c r="Z851" s="65"/>
      <c r="AI851" s="65"/>
      <c r="AR851" s="65"/>
    </row>
    <row r="852" spans="4:44" x14ac:dyDescent="0.2">
      <c r="D852" s="65"/>
      <c r="M852" s="65"/>
      <c r="Z852" s="65"/>
      <c r="AI852" s="65"/>
      <c r="AR852" s="65"/>
    </row>
    <row r="853" spans="4:44" x14ac:dyDescent="0.2">
      <c r="D853" s="65"/>
      <c r="M853" s="65"/>
      <c r="Z853" s="65"/>
      <c r="AI853" s="65"/>
      <c r="AR853" s="65"/>
    </row>
    <row r="854" spans="4:44" x14ac:dyDescent="0.2">
      <c r="D854" s="65"/>
      <c r="M854" s="65"/>
      <c r="Z854" s="65"/>
      <c r="AI854" s="65"/>
      <c r="AR854" s="65"/>
    </row>
    <row r="855" spans="4:44" x14ac:dyDescent="0.2">
      <c r="D855" s="65"/>
      <c r="M855" s="65"/>
      <c r="Z855" s="65"/>
      <c r="AI855" s="65"/>
      <c r="AR855" s="65"/>
    </row>
    <row r="856" spans="4:44" x14ac:dyDescent="0.2">
      <c r="D856" s="65"/>
      <c r="M856" s="65"/>
      <c r="Z856" s="65"/>
      <c r="AI856" s="65"/>
      <c r="AR856" s="65"/>
    </row>
    <row r="857" spans="4:44" x14ac:dyDescent="0.2">
      <c r="D857" s="65"/>
      <c r="M857" s="65"/>
      <c r="Z857" s="65"/>
      <c r="AI857" s="65"/>
      <c r="AR857" s="65"/>
    </row>
    <row r="858" spans="4:44" x14ac:dyDescent="0.2">
      <c r="D858" s="65"/>
      <c r="M858" s="65"/>
      <c r="Z858" s="65"/>
      <c r="AI858" s="65"/>
      <c r="AR858" s="65"/>
    </row>
    <row r="859" spans="4:44" x14ac:dyDescent="0.2">
      <c r="D859" s="65"/>
      <c r="M859" s="65"/>
      <c r="Z859" s="65"/>
      <c r="AI859" s="65"/>
      <c r="AR859" s="65"/>
    </row>
    <row r="860" spans="4:44" x14ac:dyDescent="0.2">
      <c r="D860" s="65"/>
      <c r="M860" s="65"/>
      <c r="Z860" s="65"/>
      <c r="AI860" s="65"/>
      <c r="AR860" s="65"/>
    </row>
    <row r="861" spans="4:44" x14ac:dyDescent="0.2">
      <c r="D861" s="65"/>
      <c r="M861" s="65"/>
      <c r="Z861" s="65"/>
      <c r="AI861" s="65"/>
      <c r="AR861" s="65"/>
    </row>
    <row r="862" spans="4:44" x14ac:dyDescent="0.2">
      <c r="D862" s="65"/>
      <c r="M862" s="65"/>
      <c r="Z862" s="65"/>
      <c r="AI862" s="65"/>
      <c r="AR862" s="65"/>
    </row>
    <row r="863" spans="4:44" x14ac:dyDescent="0.2">
      <c r="D863" s="65"/>
      <c r="M863" s="65"/>
      <c r="Z863" s="65"/>
      <c r="AI863" s="65"/>
      <c r="AR863" s="65"/>
    </row>
    <row r="864" spans="4:44" x14ac:dyDescent="0.2">
      <c r="D864" s="65"/>
      <c r="M864" s="65"/>
      <c r="Z864" s="65"/>
      <c r="AI864" s="65"/>
      <c r="AR864" s="65"/>
    </row>
    <row r="865" spans="4:44" x14ac:dyDescent="0.2">
      <c r="D865" s="65"/>
      <c r="M865" s="65"/>
      <c r="Z865" s="65"/>
      <c r="AI865" s="65"/>
      <c r="AR865" s="65"/>
    </row>
    <row r="866" spans="4:44" x14ac:dyDescent="0.2">
      <c r="D866" s="65"/>
      <c r="M866" s="65"/>
      <c r="Z866" s="65"/>
      <c r="AI866" s="65"/>
      <c r="AR866" s="65"/>
    </row>
    <row r="867" spans="4:44" x14ac:dyDescent="0.2">
      <c r="D867" s="65"/>
      <c r="M867" s="65"/>
      <c r="Z867" s="65"/>
      <c r="AI867" s="65"/>
      <c r="AR867" s="65"/>
    </row>
    <row r="868" spans="4:44" x14ac:dyDescent="0.2">
      <c r="D868" s="65"/>
      <c r="M868" s="65"/>
      <c r="Z868" s="65"/>
      <c r="AI868" s="65"/>
      <c r="AR868" s="65"/>
    </row>
    <row r="869" spans="4:44" x14ac:dyDescent="0.2">
      <c r="D869" s="65"/>
      <c r="M869" s="65"/>
      <c r="Z869" s="65"/>
      <c r="AI869" s="65"/>
      <c r="AR869" s="65"/>
    </row>
    <row r="870" spans="4:44" x14ac:dyDescent="0.2">
      <c r="D870" s="65"/>
      <c r="M870" s="65"/>
      <c r="Z870" s="65"/>
      <c r="AI870" s="65"/>
      <c r="AR870" s="65"/>
    </row>
    <row r="871" spans="4:44" x14ac:dyDescent="0.2">
      <c r="D871" s="65"/>
      <c r="M871" s="65"/>
      <c r="Z871" s="65"/>
      <c r="AI871" s="65"/>
      <c r="AR871" s="65"/>
    </row>
    <row r="872" spans="4:44" x14ac:dyDescent="0.2">
      <c r="D872" s="65"/>
      <c r="M872" s="65"/>
      <c r="Z872" s="65"/>
      <c r="AI872" s="65"/>
      <c r="AR872" s="65"/>
    </row>
    <row r="873" spans="4:44" x14ac:dyDescent="0.2">
      <c r="D873" s="65"/>
      <c r="M873" s="65"/>
      <c r="Z873" s="65"/>
      <c r="AI873" s="65"/>
      <c r="AR873" s="65"/>
    </row>
    <row r="874" spans="4:44" x14ac:dyDescent="0.2">
      <c r="D874" s="65"/>
      <c r="M874" s="65"/>
      <c r="Z874" s="65"/>
      <c r="AI874" s="65"/>
      <c r="AR874" s="65"/>
    </row>
    <row r="875" spans="4:44" x14ac:dyDescent="0.2">
      <c r="D875" s="65"/>
      <c r="M875" s="65"/>
      <c r="Z875" s="65"/>
      <c r="AI875" s="65"/>
      <c r="AR875" s="65"/>
    </row>
    <row r="876" spans="4:44" x14ac:dyDescent="0.2">
      <c r="D876" s="65"/>
      <c r="M876" s="65"/>
      <c r="Z876" s="65"/>
      <c r="AI876" s="65"/>
      <c r="AR876" s="65"/>
    </row>
    <row r="877" spans="4:44" x14ac:dyDescent="0.2">
      <c r="D877" s="65"/>
      <c r="M877" s="65"/>
      <c r="Z877" s="65"/>
      <c r="AI877" s="65"/>
      <c r="AR877" s="65"/>
    </row>
    <row r="878" spans="4:44" x14ac:dyDescent="0.2">
      <c r="D878" s="65"/>
      <c r="M878" s="65"/>
      <c r="Z878" s="65"/>
      <c r="AI878" s="65"/>
      <c r="AR878" s="65"/>
    </row>
    <row r="879" spans="4:44" x14ac:dyDescent="0.2">
      <c r="D879" s="65"/>
      <c r="M879" s="65"/>
      <c r="Z879" s="65"/>
      <c r="AI879" s="65"/>
      <c r="AR879" s="65"/>
    </row>
    <row r="880" spans="4:44" x14ac:dyDescent="0.2">
      <c r="D880" s="65"/>
      <c r="M880" s="65"/>
      <c r="Z880" s="65"/>
      <c r="AI880" s="65"/>
      <c r="AR880" s="65"/>
    </row>
    <row r="881" spans="4:44" x14ac:dyDescent="0.2">
      <c r="D881" s="65"/>
      <c r="M881" s="65"/>
      <c r="Z881" s="65"/>
      <c r="AI881" s="65"/>
      <c r="AR881" s="65"/>
    </row>
    <row r="882" spans="4:44" x14ac:dyDescent="0.2">
      <c r="D882" s="65"/>
      <c r="M882" s="65"/>
      <c r="Z882" s="65"/>
      <c r="AI882" s="65"/>
      <c r="AR882" s="65"/>
    </row>
    <row r="883" spans="4:44" x14ac:dyDescent="0.2">
      <c r="D883" s="65"/>
      <c r="M883" s="65"/>
      <c r="Z883" s="65"/>
      <c r="AI883" s="65"/>
      <c r="AR883" s="65"/>
    </row>
    <row r="884" spans="4:44" x14ac:dyDescent="0.2">
      <c r="D884" s="65"/>
      <c r="M884" s="65"/>
      <c r="Z884" s="65"/>
      <c r="AI884" s="65"/>
      <c r="AR884" s="65"/>
    </row>
    <row r="885" spans="4:44" x14ac:dyDescent="0.2">
      <c r="D885" s="65"/>
      <c r="M885" s="65"/>
      <c r="Z885" s="65"/>
      <c r="AI885" s="65"/>
      <c r="AR885" s="65"/>
    </row>
    <row r="886" spans="4:44" x14ac:dyDescent="0.2">
      <c r="D886" s="65"/>
      <c r="M886" s="65"/>
      <c r="Z886" s="65"/>
      <c r="AI886" s="65"/>
      <c r="AR886" s="65"/>
    </row>
    <row r="887" spans="4:44" x14ac:dyDescent="0.2">
      <c r="D887" s="65"/>
      <c r="M887" s="65"/>
      <c r="Z887" s="65"/>
      <c r="AI887" s="65"/>
      <c r="AR887" s="65"/>
    </row>
    <row r="888" spans="4:44" x14ac:dyDescent="0.2">
      <c r="D888" s="65"/>
      <c r="M888" s="65"/>
      <c r="Z888" s="65"/>
      <c r="AI888" s="65"/>
      <c r="AR888" s="65"/>
    </row>
    <row r="889" spans="4:44" x14ac:dyDescent="0.2">
      <c r="D889" s="65"/>
      <c r="M889" s="65"/>
      <c r="Z889" s="65"/>
      <c r="AI889" s="65"/>
      <c r="AR889" s="65"/>
    </row>
    <row r="890" spans="4:44" x14ac:dyDescent="0.2">
      <c r="D890" s="65"/>
      <c r="M890" s="65"/>
      <c r="Z890" s="65"/>
      <c r="AI890" s="65"/>
      <c r="AR890" s="65"/>
    </row>
    <row r="891" spans="4:44" x14ac:dyDescent="0.2">
      <c r="D891" s="65"/>
      <c r="M891" s="65"/>
      <c r="Z891" s="65"/>
      <c r="AI891" s="65"/>
      <c r="AR891" s="65"/>
    </row>
    <row r="892" spans="4:44" x14ac:dyDescent="0.2">
      <c r="D892" s="65"/>
      <c r="M892" s="65"/>
      <c r="Z892" s="65"/>
      <c r="AI892" s="65"/>
      <c r="AR892" s="65"/>
    </row>
    <row r="893" spans="4:44" x14ac:dyDescent="0.2">
      <c r="D893" s="65"/>
      <c r="M893" s="65"/>
      <c r="Z893" s="65"/>
      <c r="AI893" s="65"/>
      <c r="AR893" s="65"/>
    </row>
    <row r="894" spans="4:44" x14ac:dyDescent="0.2">
      <c r="D894" s="65"/>
      <c r="M894" s="65"/>
      <c r="Z894" s="65"/>
      <c r="AI894" s="65"/>
      <c r="AR894" s="65"/>
    </row>
    <row r="895" spans="4:44" x14ac:dyDescent="0.2">
      <c r="D895" s="65"/>
      <c r="M895" s="65"/>
      <c r="Z895" s="65"/>
      <c r="AI895" s="65"/>
      <c r="AR895" s="65"/>
    </row>
    <row r="896" spans="4:44" x14ac:dyDescent="0.2">
      <c r="D896" s="65"/>
      <c r="M896" s="65"/>
      <c r="Z896" s="65"/>
      <c r="AI896" s="65"/>
      <c r="AR896" s="65"/>
    </row>
    <row r="897" spans="4:44" x14ac:dyDescent="0.2">
      <c r="D897" s="65"/>
      <c r="M897" s="65"/>
      <c r="Z897" s="65"/>
      <c r="AI897" s="65"/>
      <c r="AR897" s="65"/>
    </row>
    <row r="898" spans="4:44" x14ac:dyDescent="0.2">
      <c r="D898" s="65"/>
      <c r="M898" s="65"/>
      <c r="Z898" s="65"/>
      <c r="AI898" s="65"/>
      <c r="AR898" s="65"/>
    </row>
    <row r="899" spans="4:44" x14ac:dyDescent="0.2">
      <c r="D899" s="65"/>
      <c r="M899" s="65"/>
      <c r="Z899" s="65"/>
      <c r="AI899" s="65"/>
      <c r="AR899" s="65"/>
    </row>
    <row r="900" spans="4:44" x14ac:dyDescent="0.2">
      <c r="D900" s="65"/>
      <c r="M900" s="65"/>
      <c r="Z900" s="65"/>
      <c r="AI900" s="65"/>
      <c r="AR900" s="65"/>
    </row>
    <row r="901" spans="4:44" x14ac:dyDescent="0.2">
      <c r="D901" s="65"/>
      <c r="M901" s="65"/>
      <c r="Z901" s="65"/>
      <c r="AI901" s="65"/>
      <c r="AR901" s="65"/>
    </row>
    <row r="902" spans="4:44" x14ac:dyDescent="0.2">
      <c r="D902" s="65"/>
      <c r="M902" s="65"/>
      <c r="Z902" s="65"/>
      <c r="AI902" s="65"/>
      <c r="AR902" s="65"/>
    </row>
    <row r="903" spans="4:44" x14ac:dyDescent="0.2">
      <c r="D903" s="65"/>
      <c r="M903" s="65"/>
      <c r="Z903" s="65"/>
      <c r="AI903" s="65"/>
      <c r="AR903" s="65"/>
    </row>
    <row r="904" spans="4:44" x14ac:dyDescent="0.2">
      <c r="D904" s="65"/>
      <c r="M904" s="65"/>
      <c r="Z904" s="65"/>
      <c r="AI904" s="65"/>
      <c r="AR904" s="65"/>
    </row>
    <row r="905" spans="4:44" x14ac:dyDescent="0.2">
      <c r="D905" s="65"/>
      <c r="M905" s="65"/>
      <c r="Z905" s="65"/>
      <c r="AI905" s="65"/>
      <c r="AR905" s="65"/>
    </row>
    <row r="906" spans="4:44" x14ac:dyDescent="0.2">
      <c r="D906" s="65"/>
      <c r="M906" s="65"/>
      <c r="Z906" s="65"/>
      <c r="AI906" s="65"/>
      <c r="AR906" s="65"/>
    </row>
    <row r="907" spans="4:44" x14ac:dyDescent="0.2">
      <c r="D907" s="65"/>
      <c r="M907" s="65"/>
      <c r="Z907" s="65"/>
      <c r="AI907" s="65"/>
      <c r="AR907" s="65"/>
    </row>
    <row r="908" spans="4:44" x14ac:dyDescent="0.2">
      <c r="D908" s="65"/>
      <c r="M908" s="65"/>
      <c r="Z908" s="65"/>
      <c r="AI908" s="65"/>
      <c r="AR908" s="65"/>
    </row>
    <row r="909" spans="4:44" x14ac:dyDescent="0.2">
      <c r="D909" s="65"/>
      <c r="M909" s="65"/>
      <c r="Z909" s="65"/>
      <c r="AI909" s="65"/>
      <c r="AR909" s="65"/>
    </row>
    <row r="910" spans="4:44" x14ac:dyDescent="0.2">
      <c r="D910" s="65"/>
      <c r="M910" s="65"/>
      <c r="Z910" s="65"/>
      <c r="AI910" s="65"/>
      <c r="AR910" s="65"/>
    </row>
    <row r="911" spans="4:44" x14ac:dyDescent="0.2">
      <c r="D911" s="65"/>
      <c r="M911" s="65"/>
      <c r="Z911" s="65"/>
      <c r="AI911" s="65"/>
      <c r="AR911" s="65"/>
    </row>
    <row r="912" spans="4:44" x14ac:dyDescent="0.2">
      <c r="D912" s="65"/>
      <c r="M912" s="65"/>
      <c r="Z912" s="65"/>
      <c r="AI912" s="65"/>
      <c r="AR912" s="65"/>
    </row>
    <row r="913" spans="4:44" x14ac:dyDescent="0.2">
      <c r="D913" s="65"/>
      <c r="M913" s="65"/>
      <c r="Z913" s="65"/>
      <c r="AI913" s="65"/>
      <c r="AR913" s="65"/>
    </row>
    <row r="914" spans="4:44" x14ac:dyDescent="0.2">
      <c r="D914" s="65"/>
      <c r="M914" s="65"/>
      <c r="Z914" s="65"/>
      <c r="AI914" s="65"/>
      <c r="AR914" s="65"/>
    </row>
    <row r="915" spans="4:44" x14ac:dyDescent="0.2">
      <c r="D915" s="65"/>
      <c r="M915" s="65"/>
      <c r="Z915" s="65"/>
      <c r="AI915" s="65"/>
      <c r="AR915" s="65"/>
    </row>
    <row r="916" spans="4:44" x14ac:dyDescent="0.2">
      <c r="D916" s="65"/>
      <c r="M916" s="65"/>
      <c r="Z916" s="65"/>
      <c r="AI916" s="65"/>
      <c r="AR916" s="65"/>
    </row>
    <row r="917" spans="4:44" x14ac:dyDescent="0.2">
      <c r="D917" s="65"/>
      <c r="M917" s="65"/>
      <c r="Z917" s="65"/>
      <c r="AI917" s="65"/>
      <c r="AR917" s="65"/>
    </row>
    <row r="918" spans="4:44" x14ac:dyDescent="0.2">
      <c r="D918" s="65"/>
      <c r="M918" s="65"/>
      <c r="Z918" s="65"/>
      <c r="AI918" s="65"/>
      <c r="AR918" s="65"/>
    </row>
    <row r="919" spans="4:44" x14ac:dyDescent="0.2">
      <c r="D919" s="65"/>
      <c r="M919" s="65"/>
      <c r="Z919" s="65"/>
      <c r="AI919" s="65"/>
      <c r="AR919" s="65"/>
    </row>
    <row r="920" spans="4:44" x14ac:dyDescent="0.2">
      <c r="D920" s="65"/>
      <c r="M920" s="65"/>
      <c r="Z920" s="65"/>
      <c r="AI920" s="65"/>
      <c r="AR920" s="65"/>
    </row>
    <row r="921" spans="4:44" x14ac:dyDescent="0.2">
      <c r="D921" s="65"/>
      <c r="M921" s="65"/>
      <c r="Z921" s="65"/>
      <c r="AI921" s="65"/>
      <c r="AR921" s="65"/>
    </row>
    <row r="922" spans="4:44" x14ac:dyDescent="0.2">
      <c r="D922" s="65"/>
      <c r="M922" s="65"/>
      <c r="Z922" s="65"/>
      <c r="AI922" s="65"/>
      <c r="AR922" s="65"/>
    </row>
    <row r="923" spans="4:44" x14ac:dyDescent="0.2">
      <c r="D923" s="65"/>
      <c r="M923" s="65"/>
      <c r="Z923" s="65"/>
      <c r="AI923" s="65"/>
      <c r="AR923" s="65"/>
    </row>
    <row r="924" spans="4:44" x14ac:dyDescent="0.2">
      <c r="D924" s="65"/>
      <c r="M924" s="65"/>
      <c r="Z924" s="65"/>
      <c r="AI924" s="65"/>
      <c r="AR924" s="65"/>
    </row>
    <row r="925" spans="4:44" x14ac:dyDescent="0.2">
      <c r="D925" s="65"/>
      <c r="M925" s="65"/>
      <c r="Z925" s="65"/>
      <c r="AI925" s="65"/>
      <c r="AR925" s="65"/>
    </row>
    <row r="926" spans="4:44" x14ac:dyDescent="0.2">
      <c r="D926" s="65"/>
      <c r="M926" s="65"/>
      <c r="Z926" s="65"/>
      <c r="AI926" s="65"/>
      <c r="AR926" s="65"/>
    </row>
    <row r="927" spans="4:44" x14ac:dyDescent="0.2">
      <c r="D927" s="65"/>
      <c r="M927" s="65"/>
      <c r="Z927" s="65"/>
      <c r="AI927" s="65"/>
      <c r="AR927" s="65"/>
    </row>
    <row r="928" spans="4:44" x14ac:dyDescent="0.2">
      <c r="D928" s="65"/>
      <c r="M928" s="65"/>
      <c r="Z928" s="65"/>
      <c r="AI928" s="65"/>
      <c r="AR928" s="65"/>
    </row>
    <row r="929" spans="4:44" x14ac:dyDescent="0.2">
      <c r="D929" s="65"/>
      <c r="M929" s="65"/>
      <c r="Z929" s="65"/>
      <c r="AI929" s="65"/>
      <c r="AR929" s="65"/>
    </row>
    <row r="930" spans="4:44" x14ac:dyDescent="0.2">
      <c r="D930" s="65"/>
      <c r="M930" s="65"/>
      <c r="Z930" s="65"/>
      <c r="AI930" s="65"/>
      <c r="AR930" s="65"/>
    </row>
    <row r="931" spans="4:44" x14ac:dyDescent="0.2">
      <c r="D931" s="65"/>
      <c r="M931" s="65"/>
      <c r="Z931" s="65"/>
      <c r="AI931" s="65"/>
      <c r="AR931" s="65"/>
    </row>
    <row r="932" spans="4:44" x14ac:dyDescent="0.2">
      <c r="D932" s="65"/>
      <c r="M932" s="65"/>
      <c r="Z932" s="65"/>
      <c r="AI932" s="65"/>
      <c r="AR932" s="65"/>
    </row>
    <row r="933" spans="4:44" x14ac:dyDescent="0.2">
      <c r="D933" s="65"/>
      <c r="M933" s="65"/>
      <c r="Z933" s="65"/>
      <c r="AI933" s="65"/>
      <c r="AR933" s="65"/>
    </row>
    <row r="934" spans="4:44" x14ac:dyDescent="0.2">
      <c r="D934" s="65"/>
      <c r="M934" s="65"/>
      <c r="Z934" s="65"/>
      <c r="AI934" s="65"/>
      <c r="AR934" s="65"/>
    </row>
    <row r="935" spans="4:44" x14ac:dyDescent="0.2">
      <c r="D935" s="65"/>
      <c r="M935" s="65"/>
      <c r="Z935" s="65"/>
      <c r="AI935" s="65"/>
      <c r="AR935" s="65"/>
    </row>
    <row r="936" spans="4:44" x14ac:dyDescent="0.2">
      <c r="D936" s="65"/>
      <c r="M936" s="65"/>
      <c r="Z936" s="65"/>
      <c r="AI936" s="65"/>
      <c r="AR936" s="65"/>
    </row>
    <row r="937" spans="4:44" x14ac:dyDescent="0.2">
      <c r="D937" s="65"/>
      <c r="M937" s="65"/>
      <c r="Z937" s="65"/>
      <c r="AI937" s="65"/>
      <c r="AR937" s="65"/>
    </row>
    <row r="938" spans="4:44" x14ac:dyDescent="0.2">
      <c r="D938" s="65"/>
      <c r="M938" s="65"/>
      <c r="Z938" s="65"/>
      <c r="AI938" s="65"/>
      <c r="AR938" s="65"/>
    </row>
    <row r="939" spans="4:44" x14ac:dyDescent="0.2">
      <c r="D939" s="65"/>
      <c r="M939" s="65"/>
      <c r="Z939" s="65"/>
      <c r="AI939" s="65"/>
      <c r="AR939" s="65"/>
    </row>
    <row r="940" spans="4:44" x14ac:dyDescent="0.2">
      <c r="D940" s="65"/>
      <c r="M940" s="65"/>
      <c r="Z940" s="65"/>
      <c r="AI940" s="65"/>
      <c r="AR940" s="65"/>
    </row>
    <row r="941" spans="4:44" x14ac:dyDescent="0.2">
      <c r="D941" s="65"/>
      <c r="M941" s="65"/>
      <c r="Z941" s="65"/>
      <c r="AI941" s="65"/>
      <c r="AR941" s="65"/>
    </row>
    <row r="942" spans="4:44" x14ac:dyDescent="0.2">
      <c r="D942" s="65"/>
      <c r="M942" s="65"/>
      <c r="Z942" s="65"/>
      <c r="AI942" s="65"/>
      <c r="AR942" s="65"/>
    </row>
    <row r="943" spans="4:44" x14ac:dyDescent="0.2">
      <c r="D943" s="65"/>
      <c r="M943" s="65"/>
      <c r="Z943" s="65"/>
      <c r="AI943" s="65"/>
      <c r="AR943" s="65"/>
    </row>
    <row r="944" spans="4:44" x14ac:dyDescent="0.2">
      <c r="D944" s="65"/>
      <c r="M944" s="65"/>
      <c r="Z944" s="65"/>
      <c r="AI944" s="65"/>
      <c r="AR944" s="65"/>
    </row>
    <row r="945" spans="4:44" x14ac:dyDescent="0.2">
      <c r="D945" s="65"/>
      <c r="M945" s="65"/>
      <c r="Z945" s="65"/>
      <c r="AI945" s="65"/>
      <c r="AR945" s="65"/>
    </row>
    <row r="946" spans="4:44" x14ac:dyDescent="0.2">
      <c r="D946" s="65"/>
      <c r="M946" s="65"/>
      <c r="Z946" s="65"/>
      <c r="AI946" s="65"/>
      <c r="AR946" s="65"/>
    </row>
    <row r="947" spans="4:44" x14ac:dyDescent="0.2">
      <c r="D947" s="65"/>
      <c r="M947" s="65"/>
      <c r="Z947" s="65"/>
      <c r="AI947" s="65"/>
      <c r="AR947" s="65"/>
    </row>
    <row r="948" spans="4:44" x14ac:dyDescent="0.2">
      <c r="D948" s="65"/>
      <c r="M948" s="65"/>
      <c r="Z948" s="65"/>
      <c r="AI948" s="65"/>
      <c r="AR948" s="65"/>
    </row>
    <row r="949" spans="4:44" x14ac:dyDescent="0.2">
      <c r="D949" s="65"/>
      <c r="M949" s="65"/>
      <c r="Z949" s="65"/>
      <c r="AI949" s="65"/>
      <c r="AR949" s="65"/>
    </row>
    <row r="950" spans="4:44" x14ac:dyDescent="0.2">
      <c r="D950" s="65"/>
      <c r="M950" s="65"/>
      <c r="Z950" s="65"/>
      <c r="AI950" s="65"/>
      <c r="AR950" s="65"/>
    </row>
    <row r="951" spans="4:44" x14ac:dyDescent="0.2">
      <c r="D951" s="65"/>
      <c r="M951" s="65"/>
      <c r="Z951" s="65"/>
      <c r="AI951" s="65"/>
      <c r="AR951" s="65"/>
    </row>
    <row r="952" spans="4:44" x14ac:dyDescent="0.2">
      <c r="D952" s="65"/>
      <c r="M952" s="65"/>
      <c r="Z952" s="65"/>
      <c r="AI952" s="65"/>
      <c r="AR952" s="65"/>
    </row>
    <row r="953" spans="4:44" x14ac:dyDescent="0.2">
      <c r="D953" s="65"/>
      <c r="M953" s="65"/>
      <c r="Z953" s="65"/>
      <c r="AI953" s="65"/>
      <c r="AR953" s="65"/>
    </row>
    <row r="954" spans="4:44" x14ac:dyDescent="0.2">
      <c r="D954" s="65"/>
      <c r="M954" s="65"/>
      <c r="Z954" s="65"/>
      <c r="AI954" s="65"/>
      <c r="AR954" s="65"/>
    </row>
    <row r="955" spans="4:44" x14ac:dyDescent="0.2">
      <c r="D955" s="65"/>
      <c r="M955" s="65"/>
      <c r="Z955" s="65"/>
      <c r="AI955" s="65"/>
      <c r="AR955" s="65"/>
    </row>
    <row r="956" spans="4:44" x14ac:dyDescent="0.2">
      <c r="D956" s="65"/>
      <c r="M956" s="65"/>
      <c r="Z956" s="65"/>
      <c r="AI956" s="65"/>
      <c r="AR956" s="65"/>
    </row>
    <row r="957" spans="4:44" x14ac:dyDescent="0.2">
      <c r="D957" s="65"/>
      <c r="M957" s="65"/>
      <c r="Z957" s="65"/>
      <c r="AI957" s="65"/>
      <c r="AR957" s="65"/>
    </row>
    <row r="958" spans="4:44" x14ac:dyDescent="0.2">
      <c r="D958" s="65"/>
      <c r="M958" s="65"/>
      <c r="Z958" s="65"/>
      <c r="AI958" s="65"/>
      <c r="AR958" s="65"/>
    </row>
    <row r="959" spans="4:44" x14ac:dyDescent="0.2">
      <c r="D959" s="65"/>
      <c r="M959" s="65"/>
      <c r="Z959" s="65"/>
      <c r="AI959" s="65"/>
      <c r="AR959" s="65"/>
    </row>
    <row r="960" spans="4:44" x14ac:dyDescent="0.2">
      <c r="D960" s="65"/>
      <c r="M960" s="65"/>
      <c r="Z960" s="65"/>
      <c r="AI960" s="65"/>
      <c r="AR960" s="65"/>
    </row>
    <row r="961" spans="4:44" x14ac:dyDescent="0.2">
      <c r="D961" s="65"/>
      <c r="M961" s="65"/>
      <c r="Z961" s="65"/>
      <c r="AI961" s="65"/>
      <c r="AR961" s="65"/>
    </row>
    <row r="962" spans="4:44" x14ac:dyDescent="0.2">
      <c r="D962" s="65"/>
      <c r="M962" s="65"/>
      <c r="Z962" s="65"/>
      <c r="AI962" s="65"/>
      <c r="AR962" s="65"/>
    </row>
    <row r="963" spans="4:44" x14ac:dyDescent="0.2">
      <c r="D963" s="65"/>
      <c r="M963" s="65"/>
      <c r="Z963" s="65"/>
      <c r="AI963" s="65"/>
      <c r="AR963" s="65"/>
    </row>
    <row r="964" spans="4:44" x14ac:dyDescent="0.2">
      <c r="D964" s="65"/>
      <c r="M964" s="65"/>
      <c r="Z964" s="65"/>
      <c r="AI964" s="65"/>
      <c r="AR964" s="65"/>
    </row>
    <row r="965" spans="4:44" x14ac:dyDescent="0.2">
      <c r="D965" s="65"/>
      <c r="M965" s="65"/>
      <c r="Z965" s="65"/>
      <c r="AI965" s="65"/>
      <c r="AR965" s="65"/>
    </row>
    <row r="966" spans="4:44" x14ac:dyDescent="0.2">
      <c r="D966" s="65"/>
      <c r="M966" s="65"/>
      <c r="Z966" s="65"/>
      <c r="AI966" s="65"/>
      <c r="AR966" s="65"/>
    </row>
    <row r="967" spans="4:44" x14ac:dyDescent="0.2">
      <c r="D967" s="65"/>
      <c r="M967" s="65"/>
      <c r="Z967" s="65"/>
      <c r="AI967" s="65"/>
      <c r="AR967" s="65"/>
    </row>
    <row r="968" spans="4:44" x14ac:dyDescent="0.2">
      <c r="D968" s="65"/>
      <c r="M968" s="65"/>
      <c r="Z968" s="65"/>
      <c r="AI968" s="65"/>
      <c r="AR968" s="65"/>
    </row>
    <row r="969" spans="4:44" x14ac:dyDescent="0.2">
      <c r="D969" s="65"/>
      <c r="M969" s="65"/>
      <c r="Z969" s="65"/>
      <c r="AI969" s="65"/>
      <c r="AR969" s="65"/>
    </row>
    <row r="970" spans="4:44" x14ac:dyDescent="0.2">
      <c r="D970" s="65"/>
      <c r="M970" s="65"/>
      <c r="Z970" s="65"/>
      <c r="AI970" s="65"/>
      <c r="AR970" s="65"/>
    </row>
    <row r="971" spans="4:44" x14ac:dyDescent="0.2">
      <c r="D971" s="65"/>
      <c r="M971" s="65"/>
      <c r="Z971" s="65"/>
      <c r="AI971" s="65"/>
      <c r="AR971" s="65"/>
    </row>
    <row r="972" spans="4:44" x14ac:dyDescent="0.2">
      <c r="D972" s="65"/>
      <c r="M972" s="65"/>
      <c r="Z972" s="65"/>
      <c r="AI972" s="65"/>
      <c r="AR972" s="65"/>
    </row>
    <row r="973" spans="4:44" x14ac:dyDescent="0.2">
      <c r="D973" s="65"/>
      <c r="M973" s="65"/>
      <c r="Z973" s="65"/>
      <c r="AI973" s="65"/>
      <c r="AR973" s="65"/>
    </row>
    <row r="974" spans="4:44" x14ac:dyDescent="0.2">
      <c r="D974" s="65"/>
      <c r="M974" s="65"/>
      <c r="Z974" s="65"/>
      <c r="AI974" s="65"/>
      <c r="AR974" s="65"/>
    </row>
    <row r="975" spans="4:44" x14ac:dyDescent="0.2">
      <c r="D975" s="65"/>
      <c r="M975" s="65"/>
      <c r="Z975" s="65"/>
      <c r="AI975" s="65"/>
      <c r="AR975" s="65"/>
    </row>
    <row r="976" spans="4:44" x14ac:dyDescent="0.2">
      <c r="D976" s="65"/>
      <c r="M976" s="65"/>
      <c r="Z976" s="65"/>
      <c r="AI976" s="65"/>
      <c r="AR976" s="65"/>
    </row>
    <row r="977" spans="4:44" x14ac:dyDescent="0.2">
      <c r="D977" s="65"/>
      <c r="M977" s="65"/>
      <c r="Z977" s="65"/>
      <c r="AI977" s="65"/>
      <c r="AR977" s="65"/>
    </row>
    <row r="978" spans="4:44" x14ac:dyDescent="0.2">
      <c r="D978" s="65"/>
      <c r="M978" s="65"/>
      <c r="Z978" s="65"/>
      <c r="AI978" s="65"/>
      <c r="AR978" s="65"/>
    </row>
    <row r="979" spans="4:44" x14ac:dyDescent="0.2">
      <c r="D979" s="65"/>
      <c r="M979" s="65"/>
      <c r="Z979" s="65"/>
      <c r="AI979" s="65"/>
      <c r="AR979" s="65"/>
    </row>
    <row r="980" spans="4:44" x14ac:dyDescent="0.2">
      <c r="D980" s="65"/>
      <c r="M980" s="65"/>
      <c r="Z980" s="65"/>
      <c r="AI980" s="65"/>
      <c r="AR980" s="65"/>
    </row>
    <row r="981" spans="4:44" x14ac:dyDescent="0.2">
      <c r="D981" s="65"/>
      <c r="M981" s="65"/>
      <c r="Z981" s="65"/>
      <c r="AI981" s="65"/>
      <c r="AR981" s="65"/>
    </row>
    <row r="982" spans="4:44" x14ac:dyDescent="0.2">
      <c r="D982" s="65"/>
      <c r="M982" s="65"/>
      <c r="Z982" s="65"/>
      <c r="AI982" s="65"/>
      <c r="AR982" s="65"/>
    </row>
    <row r="983" spans="4:44" x14ac:dyDescent="0.2">
      <c r="D983" s="65"/>
      <c r="M983" s="65"/>
      <c r="Z983" s="65"/>
      <c r="AI983" s="65"/>
      <c r="AR983" s="65"/>
    </row>
    <row r="984" spans="4:44" x14ac:dyDescent="0.2">
      <c r="D984" s="65"/>
      <c r="M984" s="65"/>
      <c r="Z984" s="65"/>
      <c r="AI984" s="65"/>
      <c r="AR984" s="65"/>
    </row>
    <row r="985" spans="4:44" x14ac:dyDescent="0.2">
      <c r="D985" s="65"/>
      <c r="M985" s="65"/>
      <c r="Z985" s="65"/>
      <c r="AI985" s="65"/>
      <c r="AR985" s="65"/>
    </row>
    <row r="986" spans="4:44" x14ac:dyDescent="0.2">
      <c r="D986" s="65"/>
      <c r="M986" s="65"/>
      <c r="Z986" s="65"/>
      <c r="AI986" s="65"/>
      <c r="AR986" s="65"/>
    </row>
    <row r="987" spans="4:44" x14ac:dyDescent="0.2">
      <c r="D987" s="65"/>
      <c r="M987" s="65"/>
      <c r="Z987" s="65"/>
      <c r="AI987" s="65"/>
      <c r="AR987" s="65"/>
    </row>
    <row r="988" spans="4:44" x14ac:dyDescent="0.2">
      <c r="D988" s="65"/>
      <c r="M988" s="65"/>
      <c r="Z988" s="65"/>
      <c r="AI988" s="65"/>
      <c r="AR988" s="65"/>
    </row>
    <row r="989" spans="4:44" x14ac:dyDescent="0.2">
      <c r="D989" s="65"/>
      <c r="M989" s="65"/>
      <c r="Z989" s="65"/>
      <c r="AI989" s="65"/>
      <c r="AR989" s="65"/>
    </row>
    <row r="990" spans="4:44" x14ac:dyDescent="0.2">
      <c r="D990" s="65"/>
      <c r="M990" s="65"/>
      <c r="Z990" s="65"/>
      <c r="AI990" s="65"/>
      <c r="AR990" s="65"/>
    </row>
    <row r="991" spans="4:44" x14ac:dyDescent="0.2">
      <c r="D991" s="65"/>
      <c r="M991" s="65"/>
      <c r="Z991" s="65"/>
      <c r="AI991" s="65"/>
      <c r="AR991" s="65"/>
    </row>
    <row r="992" spans="4:44" x14ac:dyDescent="0.2">
      <c r="D992" s="65"/>
      <c r="M992" s="65"/>
      <c r="Z992" s="65"/>
      <c r="AI992" s="65"/>
      <c r="AR992" s="65"/>
    </row>
    <row r="993" spans="4:44" x14ac:dyDescent="0.2">
      <c r="D993" s="65"/>
      <c r="M993" s="65"/>
      <c r="Z993" s="65"/>
      <c r="AI993" s="65"/>
      <c r="AR993" s="65"/>
    </row>
    <row r="994" spans="4:44" x14ac:dyDescent="0.2">
      <c r="D994" s="65"/>
      <c r="M994" s="65"/>
      <c r="Z994" s="65"/>
      <c r="AI994" s="65"/>
      <c r="AR994" s="65"/>
    </row>
    <row r="995" spans="4:44" x14ac:dyDescent="0.2">
      <c r="D995" s="65"/>
      <c r="M995" s="65"/>
      <c r="Z995" s="65"/>
      <c r="AI995" s="65"/>
      <c r="AR995" s="65"/>
    </row>
    <row r="996" spans="4:44" x14ac:dyDescent="0.2">
      <c r="D996" s="65"/>
      <c r="M996" s="65"/>
      <c r="Z996" s="65"/>
      <c r="AI996" s="65"/>
      <c r="AR996" s="65"/>
    </row>
    <row r="997" spans="4:44" x14ac:dyDescent="0.2">
      <c r="D997" s="65"/>
      <c r="M997" s="65"/>
      <c r="Z997" s="65"/>
      <c r="AI997" s="65"/>
      <c r="AR997" s="65"/>
    </row>
    <row r="998" spans="4:44" x14ac:dyDescent="0.2">
      <c r="D998" s="65"/>
      <c r="M998" s="65"/>
      <c r="Z998" s="65"/>
      <c r="AI998" s="65"/>
      <c r="AR998" s="65"/>
    </row>
    <row r="999" spans="4:44" x14ac:dyDescent="0.2">
      <c r="D999" s="65"/>
      <c r="M999" s="65"/>
      <c r="Z999" s="65"/>
      <c r="AI999" s="65"/>
      <c r="AR999" s="65"/>
    </row>
    <row r="1000" spans="4:44" x14ac:dyDescent="0.2">
      <c r="D1000" s="65"/>
      <c r="M1000" s="65"/>
      <c r="Z1000" s="65"/>
      <c r="AI1000" s="65"/>
      <c r="AR1000" s="65"/>
    </row>
    <row r="1001" spans="4:44" x14ac:dyDescent="0.2">
      <c r="D1001" s="65"/>
      <c r="M1001" s="65"/>
      <c r="Z1001" s="65"/>
      <c r="AI1001" s="65"/>
      <c r="AR1001" s="65"/>
    </row>
    <row r="1002" spans="4:44" x14ac:dyDescent="0.2">
      <c r="D1002" s="65"/>
      <c r="M1002" s="65"/>
      <c r="Z1002" s="65"/>
      <c r="AI1002" s="65"/>
      <c r="AR1002" s="65"/>
    </row>
    <row r="1003" spans="4:44" x14ac:dyDescent="0.2">
      <c r="D1003" s="65"/>
      <c r="M1003" s="65"/>
      <c r="Z1003" s="65"/>
      <c r="AI1003" s="65"/>
      <c r="AR1003" s="65"/>
    </row>
    <row r="1004" spans="4:44" x14ac:dyDescent="0.2">
      <c r="D1004" s="65"/>
      <c r="M1004" s="65"/>
      <c r="Z1004" s="65"/>
      <c r="AI1004" s="65"/>
      <c r="AR1004" s="65"/>
    </row>
    <row r="1005" spans="4:44" x14ac:dyDescent="0.2">
      <c r="D1005" s="65"/>
      <c r="M1005" s="65"/>
      <c r="Z1005" s="65"/>
      <c r="AI1005" s="65"/>
      <c r="AR1005" s="65"/>
    </row>
    <row r="1006" spans="4:44" x14ac:dyDescent="0.2">
      <c r="D1006" s="65"/>
      <c r="M1006" s="65"/>
      <c r="Z1006" s="65"/>
      <c r="AI1006" s="65"/>
      <c r="AR1006" s="65"/>
    </row>
    <row r="1007" spans="4:44" x14ac:dyDescent="0.2">
      <c r="D1007" s="65"/>
      <c r="M1007" s="65"/>
      <c r="Z1007" s="65"/>
      <c r="AI1007" s="65"/>
      <c r="AR1007" s="65"/>
    </row>
    <row r="1008" spans="4:44" x14ac:dyDescent="0.2">
      <c r="D1008" s="65"/>
      <c r="M1008" s="65"/>
      <c r="Z1008" s="65"/>
      <c r="AI1008" s="65"/>
      <c r="AR1008" s="65"/>
    </row>
    <row r="1009" spans="4:44" x14ac:dyDescent="0.2">
      <c r="D1009" s="65"/>
      <c r="M1009" s="65"/>
      <c r="Z1009" s="65"/>
      <c r="AI1009" s="65"/>
      <c r="AR1009" s="65"/>
    </row>
    <row r="1010" spans="4:44" x14ac:dyDescent="0.2">
      <c r="D1010" s="65"/>
      <c r="M1010" s="65"/>
      <c r="Z1010" s="65"/>
      <c r="AI1010" s="65"/>
      <c r="AR1010" s="65"/>
    </row>
    <row r="1011" spans="4:44" x14ac:dyDescent="0.2">
      <c r="D1011" s="65"/>
      <c r="M1011" s="65"/>
      <c r="Z1011" s="65"/>
      <c r="AI1011" s="65"/>
      <c r="AR1011" s="65"/>
    </row>
    <row r="1012" spans="4:44" x14ac:dyDescent="0.2">
      <c r="D1012" s="65"/>
      <c r="M1012" s="65"/>
      <c r="Z1012" s="65"/>
      <c r="AI1012" s="65"/>
      <c r="AR1012" s="65"/>
    </row>
    <row r="1013" spans="4:44" x14ac:dyDescent="0.2">
      <c r="D1013" s="65"/>
      <c r="M1013" s="65"/>
      <c r="Z1013" s="65"/>
      <c r="AI1013" s="65"/>
      <c r="AR1013" s="65"/>
    </row>
    <row r="1014" spans="4:44" x14ac:dyDescent="0.2">
      <c r="D1014" s="65"/>
      <c r="M1014" s="65"/>
      <c r="Z1014" s="65"/>
      <c r="AI1014" s="65"/>
      <c r="AR1014" s="65"/>
    </row>
    <row r="1015" spans="4:44" x14ac:dyDescent="0.2">
      <c r="D1015" s="65"/>
      <c r="M1015" s="65"/>
      <c r="Z1015" s="65"/>
      <c r="AI1015" s="65"/>
      <c r="AR1015" s="65"/>
    </row>
    <row r="1016" spans="4:44" x14ac:dyDescent="0.2">
      <c r="D1016" s="65"/>
      <c r="M1016" s="65"/>
      <c r="Z1016" s="65"/>
      <c r="AI1016" s="65"/>
      <c r="AR1016" s="65"/>
    </row>
    <row r="1017" spans="4:44" x14ac:dyDescent="0.2">
      <c r="D1017" s="65"/>
      <c r="M1017" s="65"/>
      <c r="Z1017" s="65"/>
      <c r="AI1017" s="65"/>
      <c r="AR1017" s="65"/>
    </row>
    <row r="1018" spans="4:44" x14ac:dyDescent="0.2">
      <c r="D1018" s="65"/>
      <c r="M1018" s="65"/>
      <c r="Z1018" s="65"/>
      <c r="AI1018" s="65"/>
      <c r="AR1018" s="65"/>
    </row>
    <row r="1019" spans="4:44" x14ac:dyDescent="0.2">
      <c r="D1019" s="65"/>
      <c r="M1019" s="65"/>
      <c r="Z1019" s="65"/>
      <c r="AI1019" s="65"/>
      <c r="AR1019" s="65"/>
    </row>
    <row r="1020" spans="4:44" x14ac:dyDescent="0.2">
      <c r="D1020" s="65"/>
      <c r="M1020" s="65"/>
      <c r="Z1020" s="65"/>
      <c r="AI1020" s="65"/>
      <c r="AR1020" s="65"/>
    </row>
    <row r="1021" spans="4:44" x14ac:dyDescent="0.2">
      <c r="D1021" s="65"/>
      <c r="M1021" s="65"/>
      <c r="Z1021" s="65"/>
      <c r="AI1021" s="65"/>
      <c r="AR1021" s="65"/>
    </row>
    <row r="1022" spans="4:44" x14ac:dyDescent="0.2">
      <c r="D1022" s="65"/>
      <c r="M1022" s="65"/>
      <c r="Z1022" s="65"/>
      <c r="AI1022" s="65"/>
      <c r="AR1022" s="65"/>
    </row>
    <row r="1023" spans="4:44" x14ac:dyDescent="0.2">
      <c r="D1023" s="65"/>
      <c r="M1023" s="65"/>
      <c r="Z1023" s="65"/>
      <c r="AI1023" s="65"/>
      <c r="AR1023" s="65"/>
    </row>
    <row r="1024" spans="4:44" x14ac:dyDescent="0.2">
      <c r="D1024" s="65"/>
      <c r="M1024" s="65"/>
      <c r="Z1024" s="65"/>
      <c r="AI1024" s="65"/>
      <c r="AR1024" s="65"/>
    </row>
    <row r="1025" spans="4:44" x14ac:dyDescent="0.2">
      <c r="D1025" s="65"/>
      <c r="M1025" s="65"/>
      <c r="Z1025" s="65"/>
      <c r="AI1025" s="65"/>
      <c r="AR1025" s="65"/>
    </row>
    <row r="1026" spans="4:44" x14ac:dyDescent="0.2">
      <c r="D1026" s="65"/>
      <c r="M1026" s="65"/>
      <c r="Z1026" s="65"/>
      <c r="AI1026" s="65"/>
      <c r="AR1026" s="65"/>
    </row>
    <row r="1027" spans="4:44" x14ac:dyDescent="0.2">
      <c r="D1027" s="65"/>
      <c r="M1027" s="65"/>
      <c r="Z1027" s="65"/>
      <c r="AI1027" s="65"/>
      <c r="AR1027" s="65"/>
    </row>
    <row r="1028" spans="4:44" x14ac:dyDescent="0.2">
      <c r="D1028" s="65"/>
      <c r="M1028" s="65"/>
      <c r="Z1028" s="65"/>
      <c r="AI1028" s="65"/>
      <c r="AR1028" s="65"/>
    </row>
    <row r="1029" spans="4:44" x14ac:dyDescent="0.2">
      <c r="D1029" s="65"/>
      <c r="M1029" s="65"/>
      <c r="Z1029" s="65"/>
      <c r="AI1029" s="65"/>
      <c r="AR1029" s="65"/>
    </row>
    <row r="1030" spans="4:44" x14ac:dyDescent="0.2">
      <c r="D1030" s="65"/>
      <c r="M1030" s="65"/>
      <c r="Z1030" s="65"/>
      <c r="AI1030" s="65"/>
      <c r="AR1030" s="65"/>
    </row>
    <row r="1031" spans="4:44" x14ac:dyDescent="0.2">
      <c r="D1031" s="65"/>
      <c r="M1031" s="65"/>
      <c r="Z1031" s="65"/>
      <c r="AI1031" s="65"/>
      <c r="AR1031" s="65"/>
    </row>
    <row r="1032" spans="4:44" x14ac:dyDescent="0.2">
      <c r="D1032" s="65"/>
      <c r="M1032" s="65"/>
      <c r="Z1032" s="65"/>
      <c r="AI1032" s="65"/>
      <c r="AR1032" s="65"/>
    </row>
    <row r="1033" spans="4:44" x14ac:dyDescent="0.2">
      <c r="D1033" s="65"/>
      <c r="M1033" s="65"/>
      <c r="Z1033" s="65"/>
      <c r="AI1033" s="65"/>
      <c r="AR1033" s="65"/>
    </row>
    <row r="1034" spans="4:44" x14ac:dyDescent="0.2">
      <c r="D1034" s="65"/>
      <c r="M1034" s="65"/>
      <c r="Z1034" s="65"/>
      <c r="AI1034" s="65"/>
      <c r="AR1034" s="65"/>
    </row>
    <row r="1035" spans="4:44" x14ac:dyDescent="0.2">
      <c r="D1035" s="65"/>
      <c r="M1035" s="65"/>
      <c r="Z1035" s="65"/>
      <c r="AI1035" s="65"/>
      <c r="AR1035" s="65"/>
    </row>
    <row r="1036" spans="4:44" x14ac:dyDescent="0.2">
      <c r="D1036" s="65"/>
      <c r="M1036" s="65"/>
      <c r="Z1036" s="65"/>
      <c r="AI1036" s="65"/>
      <c r="AR1036" s="65"/>
    </row>
    <row r="1037" spans="4:44" x14ac:dyDescent="0.2">
      <c r="D1037" s="65"/>
      <c r="M1037" s="65"/>
      <c r="Z1037" s="65"/>
      <c r="AI1037" s="65"/>
      <c r="AR1037" s="65"/>
    </row>
    <row r="1038" spans="4:44" x14ac:dyDescent="0.2">
      <c r="D1038" s="65"/>
      <c r="M1038" s="65"/>
      <c r="Z1038" s="65"/>
      <c r="AI1038" s="65"/>
      <c r="AR1038" s="65"/>
    </row>
    <row r="1039" spans="4:44" x14ac:dyDescent="0.2">
      <c r="D1039" s="65"/>
      <c r="M1039" s="65"/>
      <c r="Z1039" s="65"/>
      <c r="AI1039" s="65"/>
      <c r="AR1039" s="65"/>
    </row>
    <row r="1040" spans="4:44" x14ac:dyDescent="0.2">
      <c r="D1040" s="65"/>
      <c r="M1040" s="65"/>
      <c r="Z1040" s="65"/>
      <c r="AI1040" s="65"/>
      <c r="AR1040" s="65"/>
    </row>
    <row r="1041" spans="4:44" x14ac:dyDescent="0.2">
      <c r="D1041" s="65"/>
      <c r="M1041" s="65"/>
      <c r="Z1041" s="65"/>
      <c r="AI1041" s="65"/>
      <c r="AR1041" s="65"/>
    </row>
    <row r="1042" spans="4:44" x14ac:dyDescent="0.2">
      <c r="D1042" s="65"/>
      <c r="M1042" s="65"/>
      <c r="Z1042" s="65"/>
      <c r="AI1042" s="65"/>
      <c r="AR1042" s="65"/>
    </row>
    <row r="1043" spans="4:44" x14ac:dyDescent="0.2">
      <c r="D1043" s="65"/>
      <c r="M1043" s="65"/>
      <c r="Z1043" s="65"/>
      <c r="AI1043" s="65"/>
      <c r="AR1043" s="65"/>
    </row>
    <row r="1044" spans="4:44" x14ac:dyDescent="0.2">
      <c r="D1044" s="65"/>
      <c r="M1044" s="65"/>
      <c r="Z1044" s="65"/>
      <c r="AI1044" s="65"/>
      <c r="AR1044" s="65"/>
    </row>
    <row r="1045" spans="4:44" x14ac:dyDescent="0.2">
      <c r="D1045" s="65"/>
      <c r="M1045" s="65"/>
      <c r="Z1045" s="65"/>
      <c r="AI1045" s="65"/>
      <c r="AR1045" s="65"/>
    </row>
    <row r="1046" spans="4:44" x14ac:dyDescent="0.2">
      <c r="D1046" s="65"/>
      <c r="M1046" s="65"/>
      <c r="Z1046" s="65"/>
      <c r="AI1046" s="65"/>
      <c r="AR1046" s="65"/>
    </row>
    <row r="1047" spans="4:44" x14ac:dyDescent="0.2">
      <c r="D1047" s="65"/>
      <c r="M1047" s="65"/>
      <c r="Z1047" s="65"/>
      <c r="AI1047" s="65"/>
      <c r="AR1047" s="65"/>
    </row>
    <row r="1048" spans="4:44" x14ac:dyDescent="0.2">
      <c r="D1048" s="65"/>
      <c r="M1048" s="65"/>
      <c r="Z1048" s="65"/>
      <c r="AI1048" s="65"/>
      <c r="AR1048" s="65"/>
    </row>
    <row r="1049" spans="4:44" x14ac:dyDescent="0.2">
      <c r="D1049" s="65"/>
      <c r="M1049" s="65"/>
      <c r="Z1049" s="65"/>
      <c r="AI1049" s="65"/>
      <c r="AR1049" s="65"/>
    </row>
    <row r="1050" spans="4:44" x14ac:dyDescent="0.2">
      <c r="D1050" s="65"/>
      <c r="M1050" s="65"/>
      <c r="Z1050" s="65"/>
      <c r="AI1050" s="65"/>
      <c r="AR1050" s="65"/>
    </row>
    <row r="1051" spans="4:44" x14ac:dyDescent="0.2">
      <c r="D1051" s="65"/>
      <c r="M1051" s="65"/>
      <c r="Z1051" s="65"/>
      <c r="AI1051" s="65"/>
      <c r="AR1051" s="65"/>
    </row>
    <row r="1052" spans="4:44" x14ac:dyDescent="0.2">
      <c r="D1052" s="65"/>
      <c r="M1052" s="65"/>
      <c r="Z1052" s="65"/>
      <c r="AI1052" s="65"/>
      <c r="AR1052" s="65"/>
    </row>
    <row r="1053" spans="4:44" x14ac:dyDescent="0.2">
      <c r="D1053" s="65"/>
      <c r="M1053" s="65"/>
      <c r="Z1053" s="65"/>
      <c r="AI1053" s="65"/>
      <c r="AR1053" s="65"/>
    </row>
    <row r="1054" spans="4:44" x14ac:dyDescent="0.2">
      <c r="D1054" s="65"/>
      <c r="M1054" s="65"/>
      <c r="Z1054" s="65"/>
      <c r="AI1054" s="65"/>
      <c r="AR1054" s="65"/>
    </row>
    <row r="1055" spans="4:44" x14ac:dyDescent="0.2">
      <c r="D1055" s="65"/>
      <c r="M1055" s="65"/>
      <c r="Z1055" s="65"/>
      <c r="AI1055" s="65"/>
      <c r="AR1055" s="65"/>
    </row>
    <row r="1056" spans="4:44" x14ac:dyDescent="0.2">
      <c r="D1056" s="65"/>
      <c r="M1056" s="65"/>
      <c r="Z1056" s="65"/>
      <c r="AI1056" s="65"/>
      <c r="AR1056" s="65"/>
    </row>
    <row r="1057" spans="4:44" x14ac:dyDescent="0.2">
      <c r="D1057" s="65"/>
      <c r="M1057" s="65"/>
      <c r="Z1057" s="65"/>
      <c r="AI1057" s="65"/>
      <c r="AR1057" s="65"/>
    </row>
    <row r="1058" spans="4:44" x14ac:dyDescent="0.2">
      <c r="D1058" s="65"/>
      <c r="M1058" s="65"/>
      <c r="Z1058" s="65"/>
      <c r="AI1058" s="65"/>
      <c r="AR1058" s="65"/>
    </row>
    <row r="1059" spans="4:44" x14ac:dyDescent="0.2">
      <c r="D1059" s="65"/>
      <c r="M1059" s="65"/>
      <c r="Z1059" s="65"/>
      <c r="AI1059" s="65"/>
      <c r="AR1059" s="65"/>
    </row>
    <row r="1060" spans="4:44" x14ac:dyDescent="0.2">
      <c r="D1060" s="65"/>
      <c r="M1060" s="65"/>
      <c r="Z1060" s="65"/>
      <c r="AI1060" s="65"/>
      <c r="AR1060" s="65"/>
    </row>
    <row r="1061" spans="4:44" x14ac:dyDescent="0.2">
      <c r="D1061" s="65"/>
      <c r="M1061" s="65"/>
      <c r="Z1061" s="65"/>
      <c r="AI1061" s="65"/>
      <c r="AR1061" s="65"/>
    </row>
    <row r="1062" spans="4:44" x14ac:dyDescent="0.2">
      <c r="D1062" s="65"/>
      <c r="M1062" s="65"/>
      <c r="Z1062" s="65"/>
      <c r="AI1062" s="65"/>
      <c r="AR1062" s="65"/>
    </row>
    <row r="1063" spans="4:44" x14ac:dyDescent="0.2">
      <c r="D1063" s="65"/>
      <c r="M1063" s="65"/>
      <c r="Z1063" s="65"/>
      <c r="AI1063" s="65"/>
      <c r="AR1063" s="65"/>
    </row>
    <row r="1064" spans="4:44" x14ac:dyDescent="0.2">
      <c r="D1064" s="65"/>
      <c r="M1064" s="65"/>
      <c r="Z1064" s="65"/>
      <c r="AI1064" s="65"/>
      <c r="AR1064" s="65"/>
    </row>
    <row r="1065" spans="4:44" x14ac:dyDescent="0.2">
      <c r="D1065" s="65"/>
      <c r="M1065" s="65"/>
      <c r="Z1065" s="65"/>
      <c r="AI1065" s="65"/>
      <c r="AR1065" s="65"/>
    </row>
    <row r="1066" spans="4:44" x14ac:dyDescent="0.2">
      <c r="D1066" s="65"/>
      <c r="M1066" s="65"/>
      <c r="Z1066" s="65"/>
      <c r="AI1066" s="65"/>
      <c r="AR1066" s="65"/>
    </row>
    <row r="1067" spans="4:44" x14ac:dyDescent="0.2">
      <c r="D1067" s="65"/>
      <c r="M1067" s="65"/>
      <c r="Z1067" s="65"/>
      <c r="AI1067" s="65"/>
      <c r="AR1067" s="65"/>
    </row>
    <row r="1068" spans="4:44" x14ac:dyDescent="0.2">
      <c r="D1068" s="65"/>
      <c r="M1068" s="65"/>
      <c r="Z1068" s="65"/>
      <c r="AI1068" s="65"/>
      <c r="AR1068" s="65"/>
    </row>
    <row r="1069" spans="4:44" x14ac:dyDescent="0.2">
      <c r="D1069" s="65"/>
      <c r="M1069" s="65"/>
      <c r="Z1069" s="65"/>
      <c r="AI1069" s="65"/>
      <c r="AR1069" s="65"/>
    </row>
    <row r="1070" spans="4:44" x14ac:dyDescent="0.2">
      <c r="D1070" s="65"/>
      <c r="M1070" s="65"/>
      <c r="Z1070" s="65"/>
      <c r="AI1070" s="65"/>
      <c r="AR1070" s="65"/>
    </row>
    <row r="1071" spans="4:44" x14ac:dyDescent="0.2">
      <c r="D1071" s="65"/>
      <c r="M1071" s="65"/>
      <c r="Z1071" s="65"/>
      <c r="AI1071" s="65"/>
      <c r="AR1071" s="65"/>
    </row>
    <row r="1072" spans="4:44" x14ac:dyDescent="0.2">
      <c r="D1072" s="65"/>
      <c r="M1072" s="65"/>
      <c r="Z1072" s="65"/>
      <c r="AI1072" s="65"/>
      <c r="AR1072" s="65"/>
    </row>
    <row r="1073" spans="4:44" x14ac:dyDescent="0.2">
      <c r="D1073" s="65"/>
      <c r="M1073" s="65"/>
      <c r="Z1073" s="65"/>
      <c r="AI1073" s="65"/>
      <c r="AR1073" s="65"/>
    </row>
    <row r="1074" spans="4:44" x14ac:dyDescent="0.2">
      <c r="D1074" s="65"/>
      <c r="M1074" s="65"/>
      <c r="Z1074" s="65"/>
      <c r="AI1074" s="65"/>
      <c r="AR1074" s="65"/>
    </row>
    <row r="1075" spans="4:44" x14ac:dyDescent="0.2">
      <c r="D1075" s="65"/>
      <c r="M1075" s="65"/>
      <c r="Z1075" s="65"/>
      <c r="AI1075" s="65"/>
      <c r="AR1075" s="65"/>
    </row>
    <row r="1076" spans="4:44" x14ac:dyDescent="0.2">
      <c r="D1076" s="65"/>
      <c r="M1076" s="65"/>
      <c r="Z1076" s="65"/>
      <c r="AI1076" s="65"/>
      <c r="AR1076" s="65"/>
    </row>
    <row r="1077" spans="4:44" x14ac:dyDescent="0.2">
      <c r="D1077" s="65"/>
      <c r="M1077" s="65"/>
      <c r="Z1077" s="65"/>
      <c r="AI1077" s="65"/>
      <c r="AR1077" s="65"/>
    </row>
    <row r="1078" spans="4:44" x14ac:dyDescent="0.2">
      <c r="D1078" s="65"/>
      <c r="M1078" s="65"/>
      <c r="Z1078" s="65"/>
      <c r="AI1078" s="65"/>
      <c r="AR1078" s="65"/>
    </row>
    <row r="1079" spans="4:44" x14ac:dyDescent="0.2">
      <c r="D1079" s="65"/>
      <c r="M1079" s="65"/>
      <c r="Z1079" s="65"/>
      <c r="AI1079" s="65"/>
      <c r="AR1079" s="65"/>
    </row>
    <row r="1080" spans="4:44" x14ac:dyDescent="0.2">
      <c r="D1080" s="65"/>
      <c r="M1080" s="65"/>
      <c r="Z1080" s="65"/>
      <c r="AI1080" s="65"/>
      <c r="AR1080" s="65"/>
    </row>
    <row r="1081" spans="4:44" x14ac:dyDescent="0.2">
      <c r="D1081" s="65"/>
      <c r="M1081" s="65"/>
      <c r="Z1081" s="65"/>
      <c r="AI1081" s="65"/>
      <c r="AR1081" s="65"/>
    </row>
    <row r="1082" spans="4:44" x14ac:dyDescent="0.2">
      <c r="D1082" s="65"/>
      <c r="M1082" s="65"/>
      <c r="Z1082" s="65"/>
      <c r="AI1082" s="65"/>
      <c r="AR1082" s="65"/>
    </row>
    <row r="1083" spans="4:44" x14ac:dyDescent="0.2">
      <c r="D1083" s="65"/>
      <c r="M1083" s="65"/>
      <c r="Z1083" s="65"/>
      <c r="AI1083" s="65"/>
      <c r="AR1083" s="65"/>
    </row>
    <row r="1084" spans="4:44" x14ac:dyDescent="0.2">
      <c r="D1084" s="65"/>
      <c r="M1084" s="65"/>
      <c r="Z1084" s="65"/>
      <c r="AI1084" s="65"/>
      <c r="AR1084" s="65"/>
    </row>
    <row r="1085" spans="4:44" x14ac:dyDescent="0.2">
      <c r="D1085" s="65"/>
      <c r="M1085" s="65"/>
      <c r="Z1085" s="65"/>
      <c r="AI1085" s="65"/>
      <c r="AR1085" s="65"/>
    </row>
    <row r="1086" spans="4:44" x14ac:dyDescent="0.2">
      <c r="D1086" s="65"/>
      <c r="M1086" s="65"/>
      <c r="Z1086" s="65"/>
      <c r="AI1086" s="65"/>
      <c r="AR1086" s="65"/>
    </row>
    <row r="1087" spans="4:44" x14ac:dyDescent="0.2">
      <c r="D1087" s="65"/>
      <c r="M1087" s="65"/>
      <c r="Z1087" s="65"/>
      <c r="AI1087" s="65"/>
      <c r="AR1087" s="65"/>
    </row>
    <row r="1088" spans="4:44" x14ac:dyDescent="0.2">
      <c r="D1088" s="65"/>
      <c r="M1088" s="65"/>
      <c r="Z1088" s="65"/>
      <c r="AI1088" s="65"/>
      <c r="AR1088" s="65"/>
    </row>
    <row r="1089" spans="4:44" x14ac:dyDescent="0.2">
      <c r="D1089" s="65"/>
      <c r="M1089" s="65"/>
      <c r="Z1089" s="65"/>
      <c r="AI1089" s="65"/>
      <c r="AR1089" s="65"/>
    </row>
    <row r="1090" spans="4:44" x14ac:dyDescent="0.2">
      <c r="D1090" s="65"/>
      <c r="M1090" s="65"/>
      <c r="Z1090" s="65"/>
      <c r="AI1090" s="65"/>
      <c r="AR1090" s="65"/>
    </row>
    <row r="1091" spans="4:44" x14ac:dyDescent="0.2">
      <c r="D1091" s="65"/>
      <c r="M1091" s="65"/>
      <c r="Z1091" s="65"/>
      <c r="AI1091" s="65"/>
      <c r="AR1091" s="65"/>
    </row>
    <row r="1092" spans="4:44" x14ac:dyDescent="0.2">
      <c r="D1092" s="65"/>
      <c r="M1092" s="65"/>
      <c r="Z1092" s="65"/>
      <c r="AI1092" s="65"/>
      <c r="AR1092" s="65"/>
    </row>
    <row r="1093" spans="4:44" x14ac:dyDescent="0.2">
      <c r="D1093" s="65"/>
      <c r="M1093" s="65"/>
      <c r="Z1093" s="65"/>
      <c r="AI1093" s="65"/>
      <c r="AR1093" s="65"/>
    </row>
    <row r="1094" spans="4:44" x14ac:dyDescent="0.2">
      <c r="D1094" s="65"/>
      <c r="M1094" s="65"/>
      <c r="Z1094" s="65"/>
      <c r="AI1094" s="65"/>
      <c r="AR1094" s="65"/>
    </row>
    <row r="1095" spans="4:44" x14ac:dyDescent="0.2">
      <c r="D1095" s="65"/>
      <c r="M1095" s="65"/>
      <c r="Z1095" s="65"/>
      <c r="AI1095" s="65"/>
      <c r="AR1095" s="65"/>
    </row>
    <row r="1096" spans="4:44" x14ac:dyDescent="0.2">
      <c r="D1096" s="65"/>
      <c r="M1096" s="65"/>
      <c r="Z1096" s="65"/>
      <c r="AI1096" s="65"/>
      <c r="AR1096" s="65"/>
    </row>
    <row r="1097" spans="4:44" x14ac:dyDescent="0.2">
      <c r="D1097" s="65"/>
      <c r="M1097" s="65"/>
      <c r="Z1097" s="65"/>
      <c r="AI1097" s="65"/>
      <c r="AR1097" s="65"/>
    </row>
    <row r="1098" spans="4:44" x14ac:dyDescent="0.2">
      <c r="D1098" s="65"/>
      <c r="M1098" s="65"/>
      <c r="Z1098" s="65"/>
      <c r="AI1098" s="65"/>
      <c r="AR1098" s="65"/>
    </row>
    <row r="1099" spans="4:44" x14ac:dyDescent="0.2">
      <c r="D1099" s="65"/>
      <c r="M1099" s="65"/>
      <c r="Z1099" s="65"/>
      <c r="AI1099" s="65"/>
      <c r="AR1099" s="65"/>
    </row>
    <row r="1100" spans="4:44" x14ac:dyDescent="0.2">
      <c r="D1100" s="65"/>
      <c r="M1100" s="65"/>
      <c r="Z1100" s="65"/>
      <c r="AI1100" s="65"/>
      <c r="AR1100" s="65"/>
    </row>
    <row r="1101" spans="4:44" x14ac:dyDescent="0.2">
      <c r="D1101" s="65"/>
      <c r="M1101" s="65"/>
      <c r="Z1101" s="65"/>
      <c r="AI1101" s="65"/>
      <c r="AR1101" s="65"/>
    </row>
    <row r="1102" spans="4:44" x14ac:dyDescent="0.2">
      <c r="D1102" s="65"/>
      <c r="M1102" s="65"/>
      <c r="Z1102" s="65"/>
      <c r="AI1102" s="65"/>
      <c r="AR1102" s="65"/>
    </row>
    <row r="1103" spans="4:44" x14ac:dyDescent="0.2">
      <c r="D1103" s="65"/>
      <c r="M1103" s="65"/>
      <c r="Z1103" s="65"/>
      <c r="AI1103" s="65"/>
      <c r="AR1103" s="65"/>
    </row>
    <row r="1104" spans="4:44" x14ac:dyDescent="0.2">
      <c r="D1104" s="65"/>
      <c r="M1104" s="65"/>
      <c r="Z1104" s="65"/>
      <c r="AI1104" s="65"/>
      <c r="AR1104" s="65"/>
    </row>
    <row r="1105" spans="4:44" x14ac:dyDescent="0.2">
      <c r="D1105" s="65"/>
      <c r="M1105" s="65"/>
      <c r="Z1105" s="65"/>
      <c r="AI1105" s="65"/>
      <c r="AR1105" s="65"/>
    </row>
    <row r="1106" spans="4:44" x14ac:dyDescent="0.2">
      <c r="D1106" s="65"/>
      <c r="M1106" s="65"/>
      <c r="Z1106" s="65"/>
      <c r="AI1106" s="65"/>
      <c r="AR1106" s="65"/>
    </row>
    <row r="1107" spans="4:44" x14ac:dyDescent="0.2">
      <c r="D1107" s="65"/>
      <c r="M1107" s="65"/>
      <c r="Z1107" s="65"/>
      <c r="AI1107" s="65"/>
      <c r="AR1107" s="65"/>
    </row>
    <row r="1108" spans="4:44" x14ac:dyDescent="0.2">
      <c r="D1108" s="65"/>
      <c r="M1108" s="65"/>
      <c r="Z1108" s="65"/>
      <c r="AI1108" s="65"/>
      <c r="AR1108" s="65"/>
    </row>
    <row r="1109" spans="4:44" x14ac:dyDescent="0.2">
      <c r="D1109" s="65"/>
      <c r="M1109" s="65"/>
      <c r="Z1109" s="65"/>
      <c r="AI1109" s="65"/>
      <c r="AR1109" s="65"/>
    </row>
    <row r="1110" spans="4:44" x14ac:dyDescent="0.2">
      <c r="D1110" s="65"/>
      <c r="M1110" s="65"/>
      <c r="Z1110" s="65"/>
      <c r="AI1110" s="65"/>
      <c r="AR1110" s="65"/>
    </row>
    <row r="1111" spans="4:44" x14ac:dyDescent="0.2">
      <c r="D1111" s="65"/>
      <c r="M1111" s="65"/>
      <c r="Z1111" s="65"/>
      <c r="AI1111" s="65"/>
      <c r="AR1111" s="65"/>
    </row>
    <row r="1112" spans="4:44" x14ac:dyDescent="0.2">
      <c r="D1112" s="65"/>
      <c r="M1112" s="65"/>
      <c r="Z1112" s="65"/>
      <c r="AI1112" s="65"/>
      <c r="AR1112" s="65"/>
    </row>
    <row r="1113" spans="4:44" x14ac:dyDescent="0.2">
      <c r="D1113" s="65"/>
      <c r="M1113" s="65"/>
      <c r="Z1113" s="65"/>
      <c r="AI1113" s="65"/>
      <c r="AR1113" s="65"/>
    </row>
    <row r="1114" spans="4:44" x14ac:dyDescent="0.2">
      <c r="D1114" s="65"/>
      <c r="M1114" s="65"/>
      <c r="Z1114" s="65"/>
      <c r="AI1114" s="65"/>
      <c r="AR1114" s="65"/>
    </row>
    <row r="1115" spans="4:44" x14ac:dyDescent="0.2">
      <c r="D1115" s="65"/>
      <c r="M1115" s="65"/>
      <c r="Z1115" s="65"/>
      <c r="AI1115" s="65"/>
      <c r="AR1115" s="65"/>
    </row>
    <row r="1116" spans="4:44" x14ac:dyDescent="0.2">
      <c r="D1116" s="65"/>
      <c r="M1116" s="65"/>
      <c r="Z1116" s="65"/>
      <c r="AI1116" s="65"/>
      <c r="AR1116" s="65"/>
    </row>
    <row r="1117" spans="4:44" x14ac:dyDescent="0.2">
      <c r="D1117" s="65"/>
      <c r="M1117" s="65"/>
      <c r="Z1117" s="65"/>
      <c r="AI1117" s="65"/>
      <c r="AR1117" s="65"/>
    </row>
    <row r="1118" spans="4:44" x14ac:dyDescent="0.2">
      <c r="D1118" s="65"/>
      <c r="M1118" s="65"/>
      <c r="Z1118" s="65"/>
      <c r="AI1118" s="65"/>
      <c r="AR1118" s="65"/>
    </row>
    <row r="1119" spans="4:44" x14ac:dyDescent="0.2">
      <c r="D1119" s="65"/>
      <c r="M1119" s="65"/>
      <c r="Z1119" s="65"/>
      <c r="AI1119" s="65"/>
      <c r="AR1119" s="65"/>
    </row>
    <row r="1120" spans="4:44" x14ac:dyDescent="0.2">
      <c r="D1120" s="65"/>
      <c r="M1120" s="65"/>
      <c r="Z1120" s="65"/>
      <c r="AI1120" s="65"/>
      <c r="AR1120" s="65"/>
    </row>
    <row r="1121" spans="4:44" x14ac:dyDescent="0.2">
      <c r="D1121" s="65"/>
      <c r="M1121" s="65"/>
      <c r="Z1121" s="65"/>
      <c r="AI1121" s="65"/>
      <c r="AR1121" s="65"/>
    </row>
    <row r="1122" spans="4:44" x14ac:dyDescent="0.2">
      <c r="D1122" s="65"/>
      <c r="M1122" s="65"/>
      <c r="Z1122" s="65"/>
      <c r="AI1122" s="65"/>
      <c r="AR1122" s="65"/>
    </row>
    <row r="1123" spans="4:44" x14ac:dyDescent="0.2">
      <c r="D1123" s="65"/>
      <c r="M1123" s="65"/>
      <c r="Z1123" s="65"/>
      <c r="AI1123" s="65"/>
      <c r="AR1123" s="65"/>
    </row>
    <row r="1124" spans="4:44" x14ac:dyDescent="0.2">
      <c r="D1124" s="65"/>
      <c r="M1124" s="65"/>
      <c r="Z1124" s="65"/>
      <c r="AI1124" s="65"/>
      <c r="AR1124" s="65"/>
    </row>
    <row r="1125" spans="4:44" x14ac:dyDescent="0.2">
      <c r="D1125" s="65"/>
      <c r="M1125" s="65"/>
      <c r="Z1125" s="65"/>
      <c r="AI1125" s="65"/>
      <c r="AR1125" s="65"/>
    </row>
    <row r="1126" spans="4:44" x14ac:dyDescent="0.2">
      <c r="D1126" s="65"/>
      <c r="M1126" s="65"/>
      <c r="Z1126" s="65"/>
      <c r="AI1126" s="65"/>
      <c r="AR1126" s="65"/>
    </row>
    <row r="1127" spans="4:44" x14ac:dyDescent="0.2">
      <c r="D1127" s="65"/>
      <c r="M1127" s="65"/>
      <c r="Z1127" s="65"/>
      <c r="AI1127" s="65"/>
      <c r="AR1127" s="65"/>
    </row>
    <row r="1128" spans="4:44" x14ac:dyDescent="0.2">
      <c r="D1128" s="65"/>
      <c r="M1128" s="65"/>
      <c r="Z1128" s="65"/>
      <c r="AI1128" s="65"/>
      <c r="AR1128" s="65"/>
    </row>
    <row r="1129" spans="4:44" x14ac:dyDescent="0.2">
      <c r="D1129" s="65"/>
      <c r="M1129" s="65"/>
      <c r="Z1129" s="65"/>
      <c r="AI1129" s="65"/>
      <c r="AR1129" s="65"/>
    </row>
    <row r="1130" spans="4:44" x14ac:dyDescent="0.2">
      <c r="D1130" s="65"/>
      <c r="M1130" s="65"/>
      <c r="Z1130" s="65"/>
      <c r="AI1130" s="65"/>
      <c r="AR1130" s="65"/>
    </row>
    <row r="1131" spans="4:44" x14ac:dyDescent="0.2">
      <c r="D1131" s="65"/>
      <c r="M1131" s="65"/>
      <c r="Z1131" s="65"/>
      <c r="AI1131" s="65"/>
      <c r="AR1131" s="65"/>
    </row>
    <row r="1132" spans="4:44" x14ac:dyDescent="0.2">
      <c r="D1132" s="65"/>
      <c r="M1132" s="65"/>
      <c r="Z1132" s="65"/>
      <c r="AI1132" s="65"/>
      <c r="AR1132" s="65"/>
    </row>
    <row r="1133" spans="4:44" x14ac:dyDescent="0.2">
      <c r="D1133" s="65"/>
      <c r="M1133" s="65"/>
      <c r="Z1133" s="65"/>
      <c r="AI1133" s="65"/>
      <c r="AR1133" s="65"/>
    </row>
    <row r="1134" spans="4:44" x14ac:dyDescent="0.2">
      <c r="D1134" s="65"/>
      <c r="M1134" s="65"/>
      <c r="Z1134" s="65"/>
      <c r="AI1134" s="65"/>
      <c r="AR1134" s="65"/>
    </row>
    <row r="1135" spans="4:44" x14ac:dyDescent="0.2">
      <c r="D1135" s="65"/>
      <c r="M1135" s="65"/>
      <c r="Z1135" s="65"/>
      <c r="AI1135" s="65"/>
      <c r="AR1135" s="65"/>
    </row>
    <row r="1136" spans="4:44" x14ac:dyDescent="0.2">
      <c r="D1136" s="65"/>
      <c r="M1136" s="65"/>
      <c r="Z1136" s="65"/>
      <c r="AI1136" s="65"/>
      <c r="AR1136" s="65"/>
    </row>
    <row r="1137" spans="4:44" x14ac:dyDescent="0.2">
      <c r="D1137" s="65"/>
      <c r="M1137" s="65"/>
      <c r="Z1137" s="65"/>
      <c r="AI1137" s="65"/>
      <c r="AR1137" s="65"/>
    </row>
    <row r="1138" spans="4:44" x14ac:dyDescent="0.2">
      <c r="D1138" s="65"/>
      <c r="M1138" s="65"/>
      <c r="Z1138" s="65"/>
      <c r="AI1138" s="65"/>
      <c r="AR1138" s="65"/>
    </row>
    <row r="1139" spans="4:44" x14ac:dyDescent="0.2">
      <c r="D1139" s="65"/>
      <c r="M1139" s="65"/>
      <c r="Z1139" s="65"/>
      <c r="AI1139" s="65"/>
      <c r="AR1139" s="65"/>
    </row>
    <row r="1140" spans="4:44" x14ac:dyDescent="0.2">
      <c r="D1140" s="65"/>
      <c r="M1140" s="65"/>
      <c r="Z1140" s="65"/>
      <c r="AI1140" s="65"/>
      <c r="AR1140" s="65"/>
    </row>
    <row r="1141" spans="4:44" x14ac:dyDescent="0.2">
      <c r="D1141" s="65"/>
      <c r="M1141" s="65"/>
      <c r="Z1141" s="65"/>
      <c r="AI1141" s="65"/>
      <c r="AR1141" s="65"/>
    </row>
    <row r="1142" spans="4:44" x14ac:dyDescent="0.2">
      <c r="D1142" s="65"/>
      <c r="M1142" s="65"/>
      <c r="Z1142" s="65"/>
      <c r="AI1142" s="65"/>
      <c r="AR1142" s="65"/>
    </row>
    <row r="1143" spans="4:44" x14ac:dyDescent="0.2">
      <c r="D1143" s="65"/>
      <c r="M1143" s="65"/>
      <c r="Z1143" s="65"/>
      <c r="AI1143" s="65"/>
      <c r="AR1143" s="65"/>
    </row>
    <row r="1144" spans="4:44" x14ac:dyDescent="0.2">
      <c r="D1144" s="65"/>
      <c r="M1144" s="65"/>
      <c r="Z1144" s="65"/>
      <c r="AI1144" s="65"/>
      <c r="AR1144" s="65"/>
    </row>
    <row r="1145" spans="4:44" x14ac:dyDescent="0.2">
      <c r="D1145" s="65"/>
      <c r="M1145" s="65"/>
      <c r="Z1145" s="65"/>
      <c r="AI1145" s="65"/>
      <c r="AR1145" s="65"/>
    </row>
    <row r="1146" spans="4:44" x14ac:dyDescent="0.2">
      <c r="D1146" s="65"/>
      <c r="M1146" s="65"/>
      <c r="Z1146" s="65"/>
      <c r="AI1146" s="65"/>
      <c r="AR1146" s="65"/>
    </row>
    <row r="1147" spans="4:44" x14ac:dyDescent="0.2">
      <c r="D1147" s="65"/>
      <c r="M1147" s="65"/>
      <c r="Z1147" s="65"/>
      <c r="AI1147" s="65"/>
      <c r="AR1147" s="65"/>
    </row>
    <row r="1148" spans="4:44" x14ac:dyDescent="0.2">
      <c r="D1148" s="65"/>
      <c r="M1148" s="65"/>
      <c r="Z1148" s="65"/>
      <c r="AI1148" s="65"/>
      <c r="AR1148" s="65"/>
    </row>
    <row r="1149" spans="4:44" x14ac:dyDescent="0.2">
      <c r="D1149" s="65"/>
      <c r="M1149" s="65"/>
      <c r="Z1149" s="65"/>
      <c r="AI1149" s="65"/>
      <c r="AR1149" s="65"/>
    </row>
    <row r="1150" spans="4:44" x14ac:dyDescent="0.2">
      <c r="D1150" s="65"/>
      <c r="M1150" s="65"/>
      <c r="Z1150" s="65"/>
      <c r="AI1150" s="65"/>
      <c r="AR1150" s="65"/>
    </row>
    <row r="1151" spans="4:44" x14ac:dyDescent="0.2">
      <c r="D1151" s="65"/>
      <c r="M1151" s="65"/>
      <c r="Z1151" s="65"/>
      <c r="AI1151" s="65"/>
      <c r="AR1151" s="65"/>
    </row>
    <row r="1152" spans="4:44" x14ac:dyDescent="0.2">
      <c r="D1152" s="65"/>
      <c r="M1152" s="65"/>
      <c r="Z1152" s="65"/>
      <c r="AI1152" s="65"/>
      <c r="AR1152" s="65"/>
    </row>
    <row r="1153" spans="4:44" x14ac:dyDescent="0.2">
      <c r="D1153" s="65"/>
      <c r="M1153" s="65"/>
      <c r="Z1153" s="65"/>
      <c r="AI1153" s="65"/>
      <c r="AR1153" s="65"/>
    </row>
    <row r="1154" spans="4:44" x14ac:dyDescent="0.2">
      <c r="D1154" s="65"/>
      <c r="M1154" s="65"/>
      <c r="Z1154" s="65"/>
      <c r="AI1154" s="65"/>
      <c r="AR1154" s="65"/>
    </row>
    <row r="1155" spans="4:44" x14ac:dyDescent="0.2">
      <c r="D1155" s="65"/>
      <c r="M1155" s="65"/>
      <c r="Z1155" s="65"/>
      <c r="AI1155" s="65"/>
      <c r="AR1155" s="65"/>
    </row>
    <row r="1156" spans="4:44" x14ac:dyDescent="0.2">
      <c r="D1156" s="65"/>
      <c r="M1156" s="65"/>
      <c r="Z1156" s="65"/>
      <c r="AI1156" s="65"/>
      <c r="AR1156" s="65"/>
    </row>
    <row r="1157" spans="4:44" x14ac:dyDescent="0.2">
      <c r="D1157" s="65"/>
      <c r="M1157" s="65"/>
      <c r="Z1157" s="65"/>
      <c r="AI1157" s="65"/>
      <c r="AR1157" s="65"/>
    </row>
    <row r="1158" spans="4:44" x14ac:dyDescent="0.2">
      <c r="D1158" s="65"/>
      <c r="M1158" s="65"/>
      <c r="Z1158" s="65"/>
      <c r="AI1158" s="65"/>
      <c r="AR1158" s="65"/>
    </row>
    <row r="1159" spans="4:44" x14ac:dyDescent="0.2">
      <c r="D1159" s="65"/>
      <c r="M1159" s="65"/>
      <c r="Z1159" s="65"/>
      <c r="AI1159" s="65"/>
      <c r="AR1159" s="65"/>
    </row>
    <row r="1160" spans="4:44" x14ac:dyDescent="0.2">
      <c r="D1160" s="65"/>
      <c r="M1160" s="65"/>
      <c r="Z1160" s="65"/>
      <c r="AI1160" s="65"/>
      <c r="AR1160" s="65"/>
    </row>
    <row r="1161" spans="4:44" x14ac:dyDescent="0.2">
      <c r="D1161" s="65"/>
      <c r="M1161" s="65"/>
      <c r="Z1161" s="65"/>
      <c r="AI1161" s="65"/>
      <c r="AR1161" s="65"/>
    </row>
    <row r="1162" spans="4:44" x14ac:dyDescent="0.2">
      <c r="D1162" s="65"/>
      <c r="M1162" s="65"/>
      <c r="Z1162" s="65"/>
      <c r="AI1162" s="65"/>
      <c r="AR1162" s="65"/>
    </row>
    <row r="1163" spans="4:44" x14ac:dyDescent="0.2">
      <c r="D1163" s="65"/>
      <c r="M1163" s="65"/>
      <c r="Z1163" s="65"/>
      <c r="AI1163" s="65"/>
      <c r="AR1163" s="65"/>
    </row>
    <row r="1164" spans="4:44" x14ac:dyDescent="0.2">
      <c r="D1164" s="65"/>
      <c r="M1164" s="65"/>
      <c r="Z1164" s="65"/>
      <c r="AI1164" s="65"/>
      <c r="AR1164" s="65"/>
    </row>
    <row r="1165" spans="4:44" x14ac:dyDescent="0.2">
      <c r="D1165" s="65"/>
      <c r="M1165" s="65"/>
      <c r="Z1165" s="65"/>
      <c r="AI1165" s="65"/>
      <c r="AR1165" s="65"/>
    </row>
    <row r="1166" spans="4:44" x14ac:dyDescent="0.2">
      <c r="D1166" s="65"/>
      <c r="M1166" s="65"/>
      <c r="Z1166" s="65"/>
      <c r="AI1166" s="65"/>
      <c r="AR1166" s="65"/>
    </row>
    <row r="1167" spans="4:44" x14ac:dyDescent="0.2">
      <c r="D1167" s="65"/>
      <c r="M1167" s="65"/>
      <c r="Z1167" s="65"/>
      <c r="AI1167" s="65"/>
      <c r="AR1167" s="65"/>
    </row>
    <row r="1168" spans="4:44" x14ac:dyDescent="0.2">
      <c r="D1168" s="65"/>
      <c r="M1168" s="65"/>
      <c r="Z1168" s="65"/>
      <c r="AI1168" s="65"/>
      <c r="AR1168" s="65"/>
    </row>
    <row r="1169" spans="4:44" x14ac:dyDescent="0.2">
      <c r="D1169" s="65"/>
      <c r="M1169" s="65"/>
      <c r="Z1169" s="65"/>
      <c r="AI1169" s="65"/>
      <c r="AR1169" s="65"/>
    </row>
    <row r="1170" spans="4:44" x14ac:dyDescent="0.2">
      <c r="D1170" s="65"/>
      <c r="M1170" s="65"/>
      <c r="Z1170" s="65"/>
      <c r="AI1170" s="65"/>
      <c r="AR1170" s="65"/>
    </row>
    <row r="1171" spans="4:44" x14ac:dyDescent="0.2">
      <c r="D1171" s="65"/>
      <c r="M1171" s="65"/>
      <c r="Z1171" s="65"/>
      <c r="AI1171" s="65"/>
      <c r="AR1171" s="65"/>
    </row>
    <row r="1172" spans="4:44" x14ac:dyDescent="0.2">
      <c r="D1172" s="65"/>
      <c r="M1172" s="65"/>
      <c r="Z1172" s="65"/>
      <c r="AI1172" s="65"/>
      <c r="AR1172" s="65"/>
    </row>
    <row r="1173" spans="4:44" x14ac:dyDescent="0.2">
      <c r="D1173" s="65"/>
      <c r="M1173" s="65"/>
      <c r="Z1173" s="65"/>
      <c r="AI1173" s="65"/>
      <c r="AR1173" s="65"/>
    </row>
    <row r="1174" spans="4:44" x14ac:dyDescent="0.2">
      <c r="D1174" s="65"/>
      <c r="M1174" s="65"/>
      <c r="Z1174" s="65"/>
      <c r="AI1174" s="65"/>
      <c r="AR1174" s="65"/>
    </row>
    <row r="1175" spans="4:44" x14ac:dyDescent="0.2">
      <c r="D1175" s="65"/>
      <c r="M1175" s="65"/>
      <c r="Z1175" s="65"/>
      <c r="AI1175" s="65"/>
      <c r="AR1175" s="65"/>
    </row>
    <row r="1176" spans="4:44" x14ac:dyDescent="0.2">
      <c r="D1176" s="65"/>
      <c r="M1176" s="65"/>
      <c r="Z1176" s="65"/>
      <c r="AI1176" s="65"/>
      <c r="AR1176" s="65"/>
    </row>
    <row r="1177" spans="4:44" x14ac:dyDescent="0.2">
      <c r="D1177" s="65"/>
      <c r="M1177" s="65"/>
      <c r="Z1177" s="65"/>
      <c r="AI1177" s="65"/>
      <c r="AR1177" s="65"/>
    </row>
    <row r="1178" spans="4:44" x14ac:dyDescent="0.2">
      <c r="D1178" s="65"/>
      <c r="M1178" s="65"/>
      <c r="Z1178" s="65"/>
      <c r="AI1178" s="65"/>
      <c r="AR1178" s="65"/>
    </row>
    <row r="1179" spans="4:44" x14ac:dyDescent="0.2">
      <c r="D1179" s="65"/>
      <c r="M1179" s="65"/>
      <c r="Z1179" s="65"/>
      <c r="AI1179" s="65"/>
      <c r="AR1179" s="65"/>
    </row>
    <row r="1180" spans="4:44" x14ac:dyDescent="0.2">
      <c r="D1180" s="65"/>
      <c r="M1180" s="65"/>
      <c r="Z1180" s="65"/>
      <c r="AI1180" s="65"/>
      <c r="AR1180" s="65"/>
    </row>
    <row r="1181" spans="4:44" x14ac:dyDescent="0.2">
      <c r="D1181" s="65"/>
      <c r="M1181" s="65"/>
      <c r="Z1181" s="65"/>
      <c r="AI1181" s="65"/>
      <c r="AR1181" s="65"/>
    </row>
    <row r="1182" spans="4:44" x14ac:dyDescent="0.2">
      <c r="D1182" s="65"/>
      <c r="M1182" s="65"/>
      <c r="Z1182" s="65"/>
      <c r="AI1182" s="65"/>
      <c r="AR1182" s="65"/>
    </row>
    <row r="1183" spans="4:44" x14ac:dyDescent="0.2">
      <c r="D1183" s="65"/>
      <c r="M1183" s="65"/>
      <c r="Z1183" s="65"/>
      <c r="AI1183" s="65"/>
      <c r="AR1183" s="65"/>
    </row>
    <row r="1184" spans="4:44" x14ac:dyDescent="0.2">
      <c r="D1184" s="65"/>
      <c r="M1184" s="65"/>
      <c r="Z1184" s="65"/>
      <c r="AI1184" s="65"/>
      <c r="AR1184" s="65"/>
    </row>
    <row r="1185" spans="4:44" x14ac:dyDescent="0.2">
      <c r="D1185" s="65"/>
      <c r="M1185" s="65"/>
      <c r="Z1185" s="65"/>
      <c r="AI1185" s="65"/>
      <c r="AR1185" s="65"/>
    </row>
    <row r="1186" spans="4:44" x14ac:dyDescent="0.2">
      <c r="D1186" s="65"/>
      <c r="M1186" s="65"/>
      <c r="Z1186" s="65"/>
      <c r="AI1186" s="65"/>
      <c r="AR1186" s="65"/>
    </row>
    <row r="1187" spans="4:44" x14ac:dyDescent="0.2">
      <c r="D1187" s="65"/>
      <c r="M1187" s="65"/>
      <c r="Z1187" s="65"/>
      <c r="AI1187" s="65"/>
      <c r="AR1187" s="65"/>
    </row>
    <row r="1188" spans="4:44" x14ac:dyDescent="0.2">
      <c r="D1188" s="65"/>
      <c r="M1188" s="65"/>
      <c r="Z1188" s="65"/>
      <c r="AI1188" s="65"/>
      <c r="AR1188" s="65"/>
    </row>
    <row r="1189" spans="4:44" x14ac:dyDescent="0.2">
      <c r="D1189" s="65"/>
      <c r="M1189" s="65"/>
      <c r="Z1189" s="65"/>
      <c r="AI1189" s="65"/>
      <c r="AR1189" s="65"/>
    </row>
    <row r="1190" spans="4:44" x14ac:dyDescent="0.2">
      <c r="D1190" s="65"/>
      <c r="M1190" s="65"/>
      <c r="Z1190" s="65"/>
      <c r="AI1190" s="65"/>
      <c r="AR1190" s="65"/>
    </row>
    <row r="1191" spans="4:44" x14ac:dyDescent="0.2">
      <c r="D1191" s="65"/>
      <c r="M1191" s="65"/>
      <c r="Z1191" s="65"/>
      <c r="AI1191" s="65"/>
      <c r="AR1191" s="65"/>
    </row>
    <row r="1192" spans="4:44" x14ac:dyDescent="0.2">
      <c r="D1192" s="65"/>
      <c r="M1192" s="65"/>
      <c r="Z1192" s="65"/>
      <c r="AI1192" s="65"/>
      <c r="AR1192" s="65"/>
    </row>
    <row r="1193" spans="4:44" x14ac:dyDescent="0.2">
      <c r="D1193" s="65"/>
      <c r="M1193" s="65"/>
      <c r="Z1193" s="65"/>
      <c r="AI1193" s="65"/>
      <c r="AR1193" s="65"/>
    </row>
    <row r="1194" spans="4:44" x14ac:dyDescent="0.2">
      <c r="D1194" s="65"/>
      <c r="M1194" s="65"/>
      <c r="Z1194" s="65"/>
      <c r="AI1194" s="65"/>
      <c r="AR1194" s="65"/>
    </row>
    <row r="1195" spans="4:44" x14ac:dyDescent="0.2">
      <c r="D1195" s="65"/>
      <c r="M1195" s="65"/>
      <c r="Z1195" s="65"/>
      <c r="AI1195" s="65"/>
      <c r="AR1195" s="65"/>
    </row>
    <row r="1196" spans="4:44" x14ac:dyDescent="0.2">
      <c r="D1196" s="65"/>
      <c r="M1196" s="65"/>
      <c r="Z1196" s="65"/>
      <c r="AI1196" s="65"/>
      <c r="AR1196" s="65"/>
    </row>
    <row r="1197" spans="4:44" x14ac:dyDescent="0.2">
      <c r="D1197" s="65"/>
      <c r="M1197" s="65"/>
      <c r="Z1197" s="65"/>
      <c r="AI1197" s="65"/>
      <c r="AR1197" s="65"/>
    </row>
    <row r="1198" spans="4:44" x14ac:dyDescent="0.2">
      <c r="D1198" s="65"/>
      <c r="M1198" s="65"/>
      <c r="Z1198" s="65"/>
      <c r="AI1198" s="65"/>
      <c r="AR1198" s="65"/>
    </row>
    <row r="1199" spans="4:44" x14ac:dyDescent="0.2">
      <c r="D1199" s="65"/>
      <c r="M1199" s="65"/>
      <c r="Z1199" s="65"/>
      <c r="AI1199" s="65"/>
      <c r="AR1199" s="65"/>
    </row>
    <row r="1200" spans="4:44" x14ac:dyDescent="0.2">
      <c r="D1200" s="65"/>
      <c r="M1200" s="65"/>
      <c r="Z1200" s="65"/>
      <c r="AI1200" s="65"/>
      <c r="AR1200" s="65"/>
    </row>
    <row r="1201" spans="4:44" x14ac:dyDescent="0.2">
      <c r="D1201" s="65"/>
      <c r="M1201" s="65"/>
      <c r="Z1201" s="65"/>
      <c r="AI1201" s="65"/>
      <c r="AR1201" s="65"/>
    </row>
    <row r="1202" spans="4:44" x14ac:dyDescent="0.2">
      <c r="D1202" s="65"/>
      <c r="M1202" s="65"/>
      <c r="Z1202" s="65"/>
      <c r="AI1202" s="65"/>
      <c r="AR1202" s="65"/>
    </row>
    <row r="1203" spans="4:44" x14ac:dyDescent="0.2">
      <c r="D1203" s="65"/>
      <c r="M1203" s="65"/>
      <c r="Z1203" s="65"/>
      <c r="AI1203" s="65"/>
      <c r="AR1203" s="65"/>
    </row>
    <row r="1204" spans="4:44" x14ac:dyDescent="0.2">
      <c r="D1204" s="65"/>
      <c r="M1204" s="65"/>
      <c r="Z1204" s="65"/>
      <c r="AI1204" s="65"/>
      <c r="AR1204" s="65"/>
    </row>
    <row r="1205" spans="4:44" x14ac:dyDescent="0.2">
      <c r="D1205" s="65"/>
      <c r="M1205" s="65"/>
      <c r="Z1205" s="65"/>
      <c r="AI1205" s="65"/>
      <c r="AR1205" s="65"/>
    </row>
    <row r="1206" spans="4:44" x14ac:dyDescent="0.2">
      <c r="D1206" s="65"/>
      <c r="M1206" s="65"/>
      <c r="Z1206" s="65"/>
      <c r="AI1206" s="65"/>
      <c r="AR1206" s="65"/>
    </row>
    <row r="1207" spans="4:44" x14ac:dyDescent="0.2">
      <c r="D1207" s="65"/>
      <c r="M1207" s="65"/>
      <c r="Z1207" s="65"/>
      <c r="AI1207" s="65"/>
      <c r="AR1207" s="65"/>
    </row>
    <row r="1208" spans="4:44" x14ac:dyDescent="0.2">
      <c r="D1208" s="65"/>
      <c r="M1208" s="65"/>
      <c r="Z1208" s="65"/>
      <c r="AI1208" s="65"/>
      <c r="AR1208" s="65"/>
    </row>
    <row r="1209" spans="4:44" x14ac:dyDescent="0.2">
      <c r="D1209" s="65"/>
      <c r="M1209" s="65"/>
      <c r="Z1209" s="65"/>
      <c r="AI1209" s="65"/>
      <c r="AR1209" s="65"/>
    </row>
    <row r="1210" spans="4:44" x14ac:dyDescent="0.2">
      <c r="D1210" s="65"/>
      <c r="M1210" s="65"/>
      <c r="Z1210" s="65"/>
      <c r="AI1210" s="65"/>
      <c r="AR1210" s="65"/>
    </row>
    <row r="1211" spans="4:44" x14ac:dyDescent="0.2">
      <c r="D1211" s="65"/>
      <c r="M1211" s="65"/>
      <c r="Z1211" s="65"/>
      <c r="AI1211" s="65"/>
      <c r="AR1211" s="65"/>
    </row>
    <row r="1212" spans="4:44" x14ac:dyDescent="0.2">
      <c r="D1212" s="65"/>
      <c r="M1212" s="65"/>
      <c r="Z1212" s="65"/>
      <c r="AI1212" s="65"/>
      <c r="AR1212" s="65"/>
    </row>
    <row r="1213" spans="4:44" x14ac:dyDescent="0.2">
      <c r="D1213" s="65"/>
      <c r="M1213" s="65"/>
      <c r="Z1213" s="65"/>
      <c r="AI1213" s="65"/>
      <c r="AR1213" s="65"/>
    </row>
    <row r="1214" spans="4:44" x14ac:dyDescent="0.2">
      <c r="D1214" s="65"/>
      <c r="M1214" s="65"/>
      <c r="Z1214" s="65"/>
      <c r="AI1214" s="65"/>
      <c r="AR1214" s="65"/>
    </row>
    <row r="1215" spans="4:44" x14ac:dyDescent="0.2">
      <c r="D1215" s="65"/>
      <c r="M1215" s="65"/>
      <c r="Z1215" s="65"/>
      <c r="AI1215" s="65"/>
      <c r="AR1215" s="65"/>
    </row>
    <row r="1216" spans="4:44" x14ac:dyDescent="0.2">
      <c r="D1216" s="65"/>
      <c r="M1216" s="65"/>
      <c r="Z1216" s="65"/>
      <c r="AI1216" s="65"/>
      <c r="AR1216" s="65"/>
    </row>
    <row r="1217" spans="4:44" x14ac:dyDescent="0.2">
      <c r="D1217" s="65"/>
      <c r="M1217" s="65"/>
      <c r="Z1217" s="65"/>
      <c r="AI1217" s="65"/>
      <c r="AR1217" s="65"/>
    </row>
    <row r="1218" spans="4:44" x14ac:dyDescent="0.2">
      <c r="D1218" s="65"/>
      <c r="M1218" s="65"/>
      <c r="Z1218" s="65"/>
      <c r="AI1218" s="65"/>
      <c r="AR1218" s="65"/>
    </row>
    <row r="1219" spans="4:44" x14ac:dyDescent="0.2">
      <c r="D1219" s="65"/>
      <c r="M1219" s="65"/>
      <c r="Z1219" s="65"/>
      <c r="AI1219" s="65"/>
      <c r="AR1219" s="65"/>
    </row>
    <row r="1220" spans="4:44" x14ac:dyDescent="0.2">
      <c r="D1220" s="65"/>
      <c r="M1220" s="65"/>
      <c r="Z1220" s="65"/>
      <c r="AI1220" s="65"/>
      <c r="AR1220" s="65"/>
    </row>
    <row r="1221" spans="4:44" x14ac:dyDescent="0.2">
      <c r="D1221" s="65"/>
      <c r="M1221" s="65"/>
      <c r="Z1221" s="65"/>
      <c r="AI1221" s="65"/>
      <c r="AR1221" s="65"/>
    </row>
    <row r="1222" spans="4:44" x14ac:dyDescent="0.2">
      <c r="D1222" s="65"/>
      <c r="M1222" s="65"/>
      <c r="Z1222" s="65"/>
      <c r="AI1222" s="65"/>
      <c r="AR1222" s="65"/>
    </row>
    <row r="1223" spans="4:44" x14ac:dyDescent="0.2">
      <c r="D1223" s="65"/>
      <c r="M1223" s="65"/>
      <c r="Z1223" s="65"/>
      <c r="AI1223" s="65"/>
      <c r="AR1223" s="65"/>
    </row>
    <row r="1224" spans="4:44" x14ac:dyDescent="0.2">
      <c r="D1224" s="65"/>
      <c r="M1224" s="65"/>
      <c r="Z1224" s="65"/>
      <c r="AI1224" s="65"/>
      <c r="AR1224" s="65"/>
    </row>
    <row r="1225" spans="4:44" x14ac:dyDescent="0.2">
      <c r="D1225" s="65"/>
      <c r="M1225" s="65"/>
      <c r="Z1225" s="65"/>
      <c r="AI1225" s="65"/>
      <c r="AR1225" s="65"/>
    </row>
    <row r="1226" spans="4:44" x14ac:dyDescent="0.2">
      <c r="D1226" s="65"/>
      <c r="M1226" s="65"/>
      <c r="Z1226" s="65"/>
      <c r="AI1226" s="65"/>
      <c r="AR1226" s="65"/>
    </row>
    <row r="1227" spans="4:44" x14ac:dyDescent="0.2">
      <c r="D1227" s="65"/>
      <c r="M1227" s="65"/>
      <c r="Z1227" s="65"/>
      <c r="AI1227" s="65"/>
      <c r="AR1227" s="65"/>
    </row>
    <row r="1228" spans="4:44" x14ac:dyDescent="0.2">
      <c r="D1228" s="65"/>
      <c r="M1228" s="65"/>
      <c r="Z1228" s="65"/>
      <c r="AI1228" s="65"/>
      <c r="AR1228" s="65"/>
    </row>
    <row r="1229" spans="4:44" x14ac:dyDescent="0.2">
      <c r="D1229" s="65"/>
      <c r="M1229" s="65"/>
      <c r="Z1229" s="65"/>
      <c r="AI1229" s="65"/>
      <c r="AR1229" s="65"/>
    </row>
    <row r="1230" spans="4:44" x14ac:dyDescent="0.2">
      <c r="D1230" s="65"/>
      <c r="M1230" s="65"/>
      <c r="Z1230" s="65"/>
      <c r="AI1230" s="65"/>
      <c r="AR1230" s="65"/>
    </row>
    <row r="1231" spans="4:44" x14ac:dyDescent="0.2">
      <c r="D1231" s="65"/>
      <c r="M1231" s="65"/>
      <c r="Z1231" s="65"/>
      <c r="AI1231" s="65"/>
      <c r="AR1231" s="65"/>
    </row>
    <row r="1232" spans="4:44" x14ac:dyDescent="0.2">
      <c r="D1232" s="65"/>
      <c r="M1232" s="65"/>
      <c r="Z1232" s="65"/>
      <c r="AI1232" s="65"/>
      <c r="AR1232" s="65"/>
    </row>
    <row r="1233" spans="4:44" x14ac:dyDescent="0.2">
      <c r="D1233" s="65"/>
      <c r="M1233" s="65"/>
      <c r="Z1233" s="65"/>
      <c r="AI1233" s="65"/>
      <c r="AR1233" s="65"/>
    </row>
    <row r="1234" spans="4:44" x14ac:dyDescent="0.2">
      <c r="D1234" s="65"/>
      <c r="M1234" s="65"/>
      <c r="Z1234" s="65"/>
      <c r="AI1234" s="65"/>
      <c r="AR1234" s="65"/>
    </row>
    <row r="1235" spans="4:44" x14ac:dyDescent="0.2">
      <c r="D1235" s="65"/>
      <c r="M1235" s="65"/>
      <c r="Z1235" s="65"/>
      <c r="AI1235" s="65"/>
      <c r="AR1235" s="65"/>
    </row>
    <row r="1236" spans="4:44" x14ac:dyDescent="0.2">
      <c r="D1236" s="65"/>
      <c r="M1236" s="65"/>
      <c r="Z1236" s="65"/>
      <c r="AI1236" s="65"/>
      <c r="AR1236" s="65"/>
    </row>
    <row r="1237" spans="4:44" x14ac:dyDescent="0.2">
      <c r="D1237" s="65"/>
      <c r="M1237" s="65"/>
      <c r="Z1237" s="65"/>
      <c r="AI1237" s="65"/>
      <c r="AR1237" s="65"/>
    </row>
    <row r="1238" spans="4:44" x14ac:dyDescent="0.2">
      <c r="D1238" s="65"/>
      <c r="M1238" s="65"/>
      <c r="Z1238" s="65"/>
      <c r="AI1238" s="65"/>
      <c r="AR1238" s="65"/>
    </row>
    <row r="1239" spans="4:44" x14ac:dyDescent="0.2">
      <c r="D1239" s="65"/>
      <c r="M1239" s="65"/>
      <c r="Z1239" s="65"/>
      <c r="AI1239" s="65"/>
      <c r="AR1239" s="65"/>
    </row>
    <row r="1240" spans="4:44" x14ac:dyDescent="0.2">
      <c r="D1240" s="65"/>
      <c r="M1240" s="65"/>
      <c r="Z1240" s="65"/>
      <c r="AI1240" s="65"/>
      <c r="AR1240" s="65"/>
    </row>
    <row r="1241" spans="4:44" x14ac:dyDescent="0.2">
      <c r="D1241" s="65"/>
      <c r="M1241" s="65"/>
      <c r="Z1241" s="65"/>
      <c r="AI1241" s="65"/>
      <c r="AR1241" s="65"/>
    </row>
    <row r="1242" spans="4:44" x14ac:dyDescent="0.2">
      <c r="D1242" s="65"/>
      <c r="M1242" s="65"/>
      <c r="Z1242" s="65"/>
      <c r="AI1242" s="65"/>
      <c r="AR1242" s="65"/>
    </row>
    <row r="1243" spans="4:44" x14ac:dyDescent="0.2">
      <c r="D1243" s="65"/>
      <c r="M1243" s="65"/>
      <c r="Z1243" s="65"/>
      <c r="AI1243" s="65"/>
      <c r="AR1243" s="65"/>
    </row>
    <row r="1244" spans="4:44" x14ac:dyDescent="0.2">
      <c r="D1244" s="65"/>
      <c r="M1244" s="65"/>
      <c r="Z1244" s="65"/>
      <c r="AI1244" s="65"/>
      <c r="AR1244" s="65"/>
    </row>
    <row r="1245" spans="4:44" x14ac:dyDescent="0.2">
      <c r="D1245" s="65"/>
      <c r="M1245" s="65"/>
      <c r="Z1245" s="65"/>
      <c r="AI1245" s="65"/>
      <c r="AR1245" s="65"/>
    </row>
    <row r="1246" spans="4:44" x14ac:dyDescent="0.2">
      <c r="D1246" s="65"/>
      <c r="M1246" s="65"/>
      <c r="Z1246" s="65"/>
      <c r="AI1246" s="65"/>
      <c r="AR1246" s="65"/>
    </row>
    <row r="1247" spans="4:44" x14ac:dyDescent="0.2">
      <c r="D1247" s="65"/>
      <c r="M1247" s="65"/>
      <c r="Z1247" s="65"/>
      <c r="AI1247" s="65"/>
      <c r="AR1247" s="65"/>
    </row>
    <row r="1248" spans="4:44" x14ac:dyDescent="0.2">
      <c r="D1248" s="65"/>
      <c r="M1248" s="65"/>
      <c r="Z1248" s="65"/>
      <c r="AI1248" s="65"/>
      <c r="AR1248" s="65"/>
    </row>
    <row r="1249" spans="4:44" x14ac:dyDescent="0.2">
      <c r="D1249" s="65"/>
      <c r="M1249" s="65"/>
      <c r="Z1249" s="65"/>
      <c r="AI1249" s="65"/>
      <c r="AR1249" s="65"/>
    </row>
    <row r="1250" spans="4:44" x14ac:dyDescent="0.2">
      <c r="D1250" s="65"/>
      <c r="M1250" s="65"/>
      <c r="Z1250" s="65"/>
      <c r="AI1250" s="65"/>
      <c r="AR1250" s="65"/>
    </row>
    <row r="1251" spans="4:44" x14ac:dyDescent="0.2">
      <c r="D1251" s="65"/>
      <c r="M1251" s="65"/>
      <c r="Z1251" s="65"/>
      <c r="AI1251" s="65"/>
      <c r="AR1251" s="65"/>
    </row>
    <row r="1252" spans="4:44" x14ac:dyDescent="0.2">
      <c r="D1252" s="65"/>
      <c r="M1252" s="65"/>
      <c r="Z1252" s="65"/>
      <c r="AI1252" s="65"/>
      <c r="AR1252" s="65"/>
    </row>
    <row r="1253" spans="4:44" x14ac:dyDescent="0.2">
      <c r="D1253" s="65"/>
      <c r="M1253" s="65"/>
      <c r="Z1253" s="65"/>
      <c r="AI1253" s="65"/>
      <c r="AR1253" s="65"/>
    </row>
    <row r="1254" spans="4:44" x14ac:dyDescent="0.2">
      <c r="D1254" s="65"/>
      <c r="M1254" s="65"/>
      <c r="Z1254" s="65"/>
      <c r="AI1254" s="65"/>
      <c r="AR1254" s="65"/>
    </row>
    <row r="1255" spans="4:44" x14ac:dyDescent="0.2">
      <c r="D1255" s="65"/>
      <c r="M1255" s="65"/>
      <c r="Z1255" s="65"/>
      <c r="AI1255" s="65"/>
      <c r="AR1255" s="65"/>
    </row>
    <row r="1256" spans="4:44" x14ac:dyDescent="0.2">
      <c r="D1256" s="65"/>
      <c r="M1256" s="65"/>
      <c r="Z1256" s="65"/>
      <c r="AI1256" s="65"/>
      <c r="AR1256" s="65"/>
    </row>
    <row r="1257" spans="4:44" x14ac:dyDescent="0.2">
      <c r="D1257" s="65"/>
      <c r="M1257" s="65"/>
      <c r="Z1257" s="65"/>
      <c r="AI1257" s="65"/>
      <c r="AR1257" s="65"/>
    </row>
    <row r="1258" spans="4:44" x14ac:dyDescent="0.2">
      <c r="D1258" s="65"/>
      <c r="M1258" s="65"/>
      <c r="Z1258" s="65"/>
      <c r="AI1258" s="65"/>
      <c r="AR1258" s="65"/>
    </row>
    <row r="1259" spans="4:44" x14ac:dyDescent="0.2">
      <c r="D1259" s="65"/>
      <c r="M1259" s="65"/>
      <c r="Z1259" s="65"/>
      <c r="AI1259" s="65"/>
      <c r="AR1259" s="65"/>
    </row>
    <row r="1260" spans="4:44" x14ac:dyDescent="0.2">
      <c r="D1260" s="65"/>
      <c r="M1260" s="65"/>
      <c r="Z1260" s="65"/>
      <c r="AI1260" s="65"/>
      <c r="AR1260" s="65"/>
    </row>
    <row r="1261" spans="4:44" x14ac:dyDescent="0.2">
      <c r="D1261" s="65"/>
      <c r="M1261" s="65"/>
      <c r="Z1261" s="65"/>
      <c r="AI1261" s="65"/>
      <c r="AR1261" s="65"/>
    </row>
    <row r="1262" spans="4:44" x14ac:dyDescent="0.2">
      <c r="D1262" s="65"/>
      <c r="M1262" s="65"/>
      <c r="Z1262" s="65"/>
      <c r="AI1262" s="65"/>
      <c r="AR1262" s="65"/>
    </row>
    <row r="1263" spans="4:44" x14ac:dyDescent="0.2">
      <c r="D1263" s="65"/>
      <c r="M1263" s="65"/>
      <c r="Z1263" s="65"/>
      <c r="AI1263" s="65"/>
      <c r="AR1263" s="65"/>
    </row>
    <row r="1264" spans="4:44" x14ac:dyDescent="0.2">
      <c r="D1264" s="65"/>
      <c r="M1264" s="65"/>
      <c r="Z1264" s="65"/>
      <c r="AI1264" s="65"/>
      <c r="AR1264" s="65"/>
    </row>
    <row r="1265" spans="4:44" x14ac:dyDescent="0.2">
      <c r="D1265" s="65"/>
      <c r="M1265" s="65"/>
      <c r="Z1265" s="65"/>
      <c r="AI1265" s="65"/>
      <c r="AR1265" s="65"/>
    </row>
    <row r="1266" spans="4:44" x14ac:dyDescent="0.2">
      <c r="D1266" s="65"/>
      <c r="M1266" s="65"/>
      <c r="Z1266" s="65"/>
      <c r="AI1266" s="65"/>
      <c r="AR1266" s="65"/>
    </row>
    <row r="1267" spans="4:44" x14ac:dyDescent="0.2">
      <c r="D1267" s="65"/>
      <c r="M1267" s="65"/>
      <c r="Z1267" s="65"/>
      <c r="AI1267" s="65"/>
      <c r="AR1267" s="65"/>
    </row>
    <row r="1268" spans="4:44" x14ac:dyDescent="0.2">
      <c r="D1268" s="65"/>
      <c r="M1268" s="65"/>
      <c r="Z1268" s="65"/>
      <c r="AI1268" s="65"/>
      <c r="AR1268" s="65"/>
    </row>
    <row r="1269" spans="4:44" x14ac:dyDescent="0.2">
      <c r="D1269" s="65"/>
      <c r="M1269" s="65"/>
      <c r="Z1269" s="65"/>
      <c r="AI1269" s="65"/>
      <c r="AR1269" s="65"/>
    </row>
    <row r="1270" spans="4:44" x14ac:dyDescent="0.2">
      <c r="D1270" s="65"/>
      <c r="M1270" s="65"/>
      <c r="Z1270" s="65"/>
      <c r="AI1270" s="65"/>
      <c r="AR1270" s="65"/>
    </row>
    <row r="1271" spans="4:44" x14ac:dyDescent="0.2">
      <c r="D1271" s="65"/>
      <c r="M1271" s="65"/>
      <c r="Z1271" s="65"/>
      <c r="AI1271" s="65"/>
      <c r="AR1271" s="65"/>
    </row>
    <row r="1272" spans="4:44" x14ac:dyDescent="0.2">
      <c r="D1272" s="65"/>
      <c r="M1272" s="65"/>
      <c r="Z1272" s="65"/>
      <c r="AI1272" s="65"/>
      <c r="AR1272" s="65"/>
    </row>
    <row r="1273" spans="4:44" x14ac:dyDescent="0.2">
      <c r="D1273" s="65"/>
      <c r="M1273" s="65"/>
      <c r="Z1273" s="65"/>
      <c r="AI1273" s="65"/>
      <c r="AR1273" s="65"/>
    </row>
    <row r="1274" spans="4:44" x14ac:dyDescent="0.2">
      <c r="D1274" s="65"/>
      <c r="M1274" s="65"/>
      <c r="Z1274" s="65"/>
      <c r="AI1274" s="65"/>
      <c r="AR1274" s="65"/>
    </row>
    <row r="1275" spans="4:44" x14ac:dyDescent="0.2">
      <c r="D1275" s="65"/>
      <c r="M1275" s="65"/>
      <c r="Z1275" s="65"/>
      <c r="AI1275" s="65"/>
      <c r="AR1275" s="65"/>
    </row>
    <row r="1276" spans="4:44" x14ac:dyDescent="0.2">
      <c r="D1276" s="65"/>
      <c r="M1276" s="65"/>
      <c r="Z1276" s="65"/>
      <c r="AI1276" s="65"/>
      <c r="AR1276" s="65"/>
    </row>
    <row r="1277" spans="4:44" x14ac:dyDescent="0.2">
      <c r="D1277" s="65"/>
      <c r="M1277" s="65"/>
      <c r="Z1277" s="65"/>
      <c r="AI1277" s="65"/>
      <c r="AR1277" s="65"/>
    </row>
    <row r="1278" spans="4:44" x14ac:dyDescent="0.2">
      <c r="D1278" s="65"/>
      <c r="M1278" s="65"/>
      <c r="Z1278" s="65"/>
      <c r="AI1278" s="65"/>
      <c r="AR1278" s="65"/>
    </row>
    <row r="1279" spans="4:44" x14ac:dyDescent="0.2">
      <c r="D1279" s="65"/>
      <c r="M1279" s="65"/>
      <c r="Z1279" s="65"/>
      <c r="AI1279" s="65"/>
      <c r="AR1279" s="65"/>
    </row>
    <row r="1280" spans="4:44" x14ac:dyDescent="0.2">
      <c r="D1280" s="65"/>
      <c r="M1280" s="65"/>
      <c r="Z1280" s="65"/>
      <c r="AI1280" s="65"/>
      <c r="AR1280" s="65"/>
    </row>
    <row r="1281" spans="4:44" x14ac:dyDescent="0.2">
      <c r="D1281" s="65"/>
      <c r="M1281" s="65"/>
      <c r="Z1281" s="65"/>
      <c r="AI1281" s="65"/>
      <c r="AR1281" s="65"/>
    </row>
    <row r="1282" spans="4:44" x14ac:dyDescent="0.2">
      <c r="D1282" s="65"/>
      <c r="M1282" s="65"/>
      <c r="Z1282" s="65"/>
      <c r="AI1282" s="65"/>
      <c r="AR1282" s="65"/>
    </row>
    <row r="1283" spans="4:44" x14ac:dyDescent="0.2">
      <c r="D1283" s="65"/>
      <c r="M1283" s="65"/>
      <c r="Z1283" s="65"/>
      <c r="AI1283" s="65"/>
      <c r="AR1283" s="65"/>
    </row>
    <row r="1284" spans="4:44" x14ac:dyDescent="0.2">
      <c r="D1284" s="65"/>
      <c r="M1284" s="65"/>
      <c r="Z1284" s="65"/>
      <c r="AI1284" s="65"/>
      <c r="AR1284" s="65"/>
    </row>
    <row r="1285" spans="4:44" x14ac:dyDescent="0.2">
      <c r="D1285" s="65"/>
      <c r="M1285" s="65"/>
      <c r="Z1285" s="65"/>
      <c r="AI1285" s="65"/>
      <c r="AR1285" s="65"/>
    </row>
    <row r="1286" spans="4:44" x14ac:dyDescent="0.2">
      <c r="D1286" s="65"/>
      <c r="M1286" s="65"/>
      <c r="Z1286" s="65"/>
      <c r="AI1286" s="65"/>
      <c r="AR1286" s="65"/>
    </row>
    <row r="1287" spans="4:44" x14ac:dyDescent="0.2">
      <c r="D1287" s="65"/>
      <c r="M1287" s="65"/>
      <c r="Z1287" s="65"/>
      <c r="AI1287" s="65"/>
      <c r="AR1287" s="65"/>
    </row>
    <row r="1288" spans="4:44" x14ac:dyDescent="0.2">
      <c r="D1288" s="65"/>
      <c r="M1288" s="65"/>
      <c r="Z1288" s="65"/>
      <c r="AI1288" s="65"/>
      <c r="AR1288" s="65"/>
    </row>
    <row r="1289" spans="4:44" x14ac:dyDescent="0.2">
      <c r="D1289" s="65"/>
      <c r="M1289" s="65"/>
      <c r="Z1289" s="65"/>
      <c r="AI1289" s="65"/>
      <c r="AR1289" s="65"/>
    </row>
    <row r="1290" spans="4:44" x14ac:dyDescent="0.2">
      <c r="D1290" s="65"/>
      <c r="M1290" s="65"/>
      <c r="Z1290" s="65"/>
      <c r="AI1290" s="65"/>
      <c r="AR1290" s="65"/>
    </row>
    <row r="1291" spans="4:44" x14ac:dyDescent="0.2">
      <c r="D1291" s="65"/>
      <c r="M1291" s="65"/>
      <c r="Z1291" s="65"/>
      <c r="AI1291" s="65"/>
      <c r="AR1291" s="65"/>
    </row>
    <row r="1292" spans="4:44" x14ac:dyDescent="0.2">
      <c r="D1292" s="65"/>
      <c r="M1292" s="65"/>
      <c r="Z1292" s="65"/>
      <c r="AI1292" s="65"/>
      <c r="AR1292" s="65"/>
    </row>
    <row r="1293" spans="4:44" x14ac:dyDescent="0.2">
      <c r="D1293" s="65"/>
      <c r="M1293" s="65"/>
      <c r="Z1293" s="65"/>
      <c r="AI1293" s="65"/>
      <c r="AR1293" s="65"/>
    </row>
    <row r="1294" spans="4:44" x14ac:dyDescent="0.2">
      <c r="D1294" s="65"/>
      <c r="M1294" s="65"/>
      <c r="Z1294" s="65"/>
      <c r="AI1294" s="65"/>
      <c r="AR1294" s="65"/>
    </row>
    <row r="1295" spans="4:44" x14ac:dyDescent="0.2">
      <c r="D1295" s="65"/>
      <c r="M1295" s="65"/>
      <c r="Z1295" s="65"/>
      <c r="AI1295" s="65"/>
      <c r="AR1295" s="65"/>
    </row>
    <row r="1296" spans="4:44" x14ac:dyDescent="0.2">
      <c r="D1296" s="65"/>
      <c r="M1296" s="65"/>
      <c r="Z1296" s="65"/>
      <c r="AI1296" s="65"/>
      <c r="AR1296" s="65"/>
    </row>
    <row r="1297" spans="4:44" x14ac:dyDescent="0.2">
      <c r="D1297" s="65"/>
      <c r="M1297" s="65"/>
      <c r="Z1297" s="65"/>
      <c r="AI1297" s="65"/>
      <c r="AR1297" s="65"/>
    </row>
    <row r="1298" spans="4:44" x14ac:dyDescent="0.2">
      <c r="D1298" s="65"/>
      <c r="M1298" s="65"/>
      <c r="Z1298" s="65"/>
      <c r="AI1298" s="65"/>
      <c r="AR1298" s="65"/>
    </row>
    <row r="1299" spans="4:44" x14ac:dyDescent="0.2">
      <c r="D1299" s="65"/>
      <c r="M1299" s="65"/>
      <c r="Z1299" s="65"/>
      <c r="AI1299" s="65"/>
      <c r="AR1299" s="65"/>
    </row>
    <row r="1300" spans="4:44" x14ac:dyDescent="0.2">
      <c r="D1300" s="65"/>
      <c r="M1300" s="65"/>
      <c r="Z1300" s="65"/>
      <c r="AI1300" s="65"/>
      <c r="AR1300" s="65"/>
    </row>
    <row r="1301" spans="4:44" x14ac:dyDescent="0.2">
      <c r="D1301" s="65"/>
      <c r="M1301" s="65"/>
      <c r="Z1301" s="65"/>
      <c r="AI1301" s="65"/>
      <c r="AR1301" s="65"/>
    </row>
    <row r="1302" spans="4:44" x14ac:dyDescent="0.2">
      <c r="D1302" s="65"/>
      <c r="M1302" s="65"/>
      <c r="Z1302" s="65"/>
      <c r="AI1302" s="65"/>
      <c r="AR1302" s="65"/>
    </row>
    <row r="1303" spans="4:44" x14ac:dyDescent="0.2">
      <c r="D1303" s="65"/>
      <c r="M1303" s="65"/>
      <c r="Z1303" s="65"/>
      <c r="AI1303" s="65"/>
      <c r="AR1303" s="65"/>
    </row>
    <row r="1304" spans="4:44" x14ac:dyDescent="0.2">
      <c r="D1304" s="65"/>
      <c r="M1304" s="65"/>
      <c r="Z1304" s="65"/>
      <c r="AI1304" s="65"/>
      <c r="AR1304" s="65"/>
    </row>
    <row r="1305" spans="4:44" x14ac:dyDescent="0.2">
      <c r="D1305" s="65"/>
      <c r="M1305" s="65"/>
      <c r="Z1305" s="65"/>
      <c r="AI1305" s="65"/>
      <c r="AR1305" s="65"/>
    </row>
    <row r="1306" spans="4:44" x14ac:dyDescent="0.2">
      <c r="D1306" s="65"/>
      <c r="M1306" s="65"/>
      <c r="Z1306" s="65"/>
      <c r="AI1306" s="65"/>
      <c r="AR1306" s="65"/>
    </row>
    <row r="1307" spans="4:44" x14ac:dyDescent="0.2">
      <c r="D1307" s="65"/>
      <c r="M1307" s="65"/>
      <c r="Z1307" s="65"/>
      <c r="AI1307" s="65"/>
      <c r="AR1307" s="65"/>
    </row>
    <row r="1308" spans="4:44" x14ac:dyDescent="0.2">
      <c r="D1308" s="65"/>
      <c r="M1308" s="65"/>
      <c r="Z1308" s="65"/>
      <c r="AI1308" s="65"/>
      <c r="AR1308" s="65"/>
    </row>
    <row r="1309" spans="4:44" x14ac:dyDescent="0.2">
      <c r="D1309" s="65"/>
      <c r="M1309" s="65"/>
      <c r="Z1309" s="65"/>
      <c r="AI1309" s="65"/>
      <c r="AR1309" s="65"/>
    </row>
    <row r="1310" spans="4:44" x14ac:dyDescent="0.2">
      <c r="D1310" s="65"/>
      <c r="M1310" s="65"/>
      <c r="Z1310" s="65"/>
      <c r="AI1310" s="65"/>
      <c r="AR1310" s="65"/>
    </row>
    <row r="1311" spans="4:44" x14ac:dyDescent="0.2">
      <c r="D1311" s="65"/>
      <c r="M1311" s="65"/>
      <c r="Z1311" s="65"/>
      <c r="AI1311" s="65"/>
      <c r="AR1311" s="65"/>
    </row>
    <row r="1312" spans="4:44" x14ac:dyDescent="0.2">
      <c r="D1312" s="65"/>
      <c r="M1312" s="65"/>
      <c r="Z1312" s="65"/>
      <c r="AI1312" s="65"/>
      <c r="AR1312" s="65"/>
    </row>
    <row r="1313" spans="4:44" x14ac:dyDescent="0.2">
      <c r="D1313" s="65"/>
      <c r="M1313" s="65"/>
      <c r="Z1313" s="65"/>
      <c r="AI1313" s="65"/>
      <c r="AR1313" s="65"/>
    </row>
    <row r="1314" spans="4:44" x14ac:dyDescent="0.2">
      <c r="D1314" s="65"/>
      <c r="M1314" s="65"/>
      <c r="Z1314" s="65"/>
      <c r="AI1314" s="65"/>
      <c r="AR1314" s="65"/>
    </row>
    <row r="1315" spans="4:44" x14ac:dyDescent="0.2">
      <c r="D1315" s="65"/>
      <c r="M1315" s="65"/>
      <c r="Z1315" s="65"/>
      <c r="AI1315" s="65"/>
      <c r="AR1315" s="65"/>
    </row>
    <row r="1316" spans="4:44" x14ac:dyDescent="0.2">
      <c r="D1316" s="65"/>
      <c r="M1316" s="65"/>
      <c r="Z1316" s="65"/>
      <c r="AI1316" s="65"/>
      <c r="AR1316" s="65"/>
    </row>
    <row r="1317" spans="4:44" x14ac:dyDescent="0.2">
      <c r="D1317" s="65"/>
      <c r="M1317" s="65"/>
      <c r="Z1317" s="65"/>
      <c r="AI1317" s="65"/>
      <c r="AR1317" s="65"/>
    </row>
    <row r="1318" spans="4:44" x14ac:dyDescent="0.2">
      <c r="D1318" s="65"/>
      <c r="M1318" s="65"/>
      <c r="Z1318" s="65"/>
      <c r="AI1318" s="65"/>
      <c r="AR1318" s="65"/>
    </row>
    <row r="1319" spans="4:44" x14ac:dyDescent="0.2">
      <c r="D1319" s="65"/>
      <c r="M1319" s="65"/>
      <c r="Z1319" s="65"/>
      <c r="AI1319" s="65"/>
      <c r="AR1319" s="65"/>
    </row>
    <row r="1320" spans="4:44" x14ac:dyDescent="0.2">
      <c r="D1320" s="65"/>
      <c r="M1320" s="65"/>
      <c r="Z1320" s="65"/>
      <c r="AI1320" s="65"/>
      <c r="AR1320" s="65"/>
    </row>
    <row r="1321" spans="4:44" x14ac:dyDescent="0.2">
      <c r="D1321" s="65"/>
      <c r="M1321" s="65"/>
      <c r="Z1321" s="65"/>
      <c r="AI1321" s="65"/>
      <c r="AR1321" s="65"/>
    </row>
    <row r="1322" spans="4:44" x14ac:dyDescent="0.2">
      <c r="D1322" s="65"/>
      <c r="M1322" s="65"/>
      <c r="Z1322" s="65"/>
      <c r="AI1322" s="65"/>
      <c r="AR1322" s="65"/>
    </row>
    <row r="1323" spans="4:44" x14ac:dyDescent="0.2">
      <c r="D1323" s="65"/>
      <c r="M1323" s="65"/>
      <c r="Z1323" s="65"/>
      <c r="AI1323" s="65"/>
      <c r="AR1323" s="65"/>
    </row>
    <row r="1324" spans="4:44" x14ac:dyDescent="0.2">
      <c r="D1324" s="65"/>
      <c r="M1324" s="65"/>
      <c r="Z1324" s="65"/>
      <c r="AI1324" s="65"/>
      <c r="AR1324" s="65"/>
    </row>
    <row r="1325" spans="4:44" x14ac:dyDescent="0.2">
      <c r="D1325" s="65"/>
      <c r="M1325" s="65"/>
      <c r="Z1325" s="65"/>
      <c r="AI1325" s="65"/>
      <c r="AR1325" s="65"/>
    </row>
    <row r="1326" spans="4:44" x14ac:dyDescent="0.2">
      <c r="D1326" s="65"/>
      <c r="M1326" s="65"/>
      <c r="Z1326" s="65"/>
      <c r="AI1326" s="65"/>
      <c r="AR1326" s="65"/>
    </row>
    <row r="1327" spans="4:44" x14ac:dyDescent="0.2">
      <c r="D1327" s="65"/>
      <c r="M1327" s="65"/>
      <c r="Z1327" s="65"/>
      <c r="AI1327" s="65"/>
      <c r="AR1327" s="65"/>
    </row>
    <row r="1328" spans="4:44" x14ac:dyDescent="0.2">
      <c r="D1328" s="65"/>
      <c r="M1328" s="65"/>
      <c r="Z1328" s="65"/>
      <c r="AI1328" s="65"/>
      <c r="AR1328" s="65"/>
    </row>
    <row r="1329" spans="4:44" x14ac:dyDescent="0.2">
      <c r="D1329" s="65"/>
      <c r="M1329" s="65"/>
      <c r="Z1329" s="65"/>
      <c r="AI1329" s="65"/>
      <c r="AR1329" s="65"/>
    </row>
    <row r="1330" spans="4:44" x14ac:dyDescent="0.2">
      <c r="D1330" s="65"/>
      <c r="M1330" s="65"/>
      <c r="Z1330" s="65"/>
      <c r="AI1330" s="65"/>
      <c r="AR1330" s="65"/>
    </row>
    <row r="1331" spans="4:44" x14ac:dyDescent="0.2">
      <c r="D1331" s="65"/>
      <c r="M1331" s="65"/>
      <c r="Z1331" s="65"/>
      <c r="AI1331" s="65"/>
      <c r="AR1331" s="65"/>
    </row>
    <row r="1332" spans="4:44" x14ac:dyDescent="0.2">
      <c r="D1332" s="65"/>
      <c r="M1332" s="65"/>
      <c r="Z1332" s="65"/>
      <c r="AI1332" s="65"/>
      <c r="AR1332" s="65"/>
    </row>
    <row r="1333" spans="4:44" x14ac:dyDescent="0.2">
      <c r="D1333" s="65"/>
      <c r="M1333" s="65"/>
      <c r="Z1333" s="65"/>
      <c r="AI1333" s="65"/>
      <c r="AR1333" s="65"/>
    </row>
    <row r="1334" spans="4:44" x14ac:dyDescent="0.2">
      <c r="D1334" s="65"/>
      <c r="M1334" s="65"/>
      <c r="Z1334" s="65"/>
      <c r="AI1334" s="65"/>
      <c r="AR1334" s="65"/>
    </row>
    <row r="1335" spans="4:44" x14ac:dyDescent="0.2">
      <c r="D1335" s="65"/>
      <c r="M1335" s="65"/>
      <c r="Z1335" s="65"/>
      <c r="AI1335" s="65"/>
      <c r="AR1335" s="65"/>
    </row>
    <row r="1336" spans="4:44" x14ac:dyDescent="0.2">
      <c r="D1336" s="65"/>
      <c r="M1336" s="65"/>
      <c r="Z1336" s="65"/>
      <c r="AI1336" s="65"/>
      <c r="AR1336" s="65"/>
    </row>
    <row r="1337" spans="4:44" x14ac:dyDescent="0.2">
      <c r="D1337" s="65"/>
      <c r="M1337" s="65"/>
      <c r="Z1337" s="65"/>
      <c r="AI1337" s="65"/>
      <c r="AR1337" s="65"/>
    </row>
    <row r="1338" spans="4:44" x14ac:dyDescent="0.2">
      <c r="D1338" s="65"/>
      <c r="M1338" s="65"/>
      <c r="Z1338" s="65"/>
      <c r="AI1338" s="65"/>
      <c r="AR1338" s="65"/>
    </row>
    <row r="1339" spans="4:44" x14ac:dyDescent="0.2">
      <c r="D1339" s="65"/>
      <c r="M1339" s="65"/>
      <c r="Z1339" s="65"/>
      <c r="AI1339" s="65"/>
      <c r="AR1339" s="65"/>
    </row>
    <row r="1340" spans="4:44" x14ac:dyDescent="0.2">
      <c r="D1340" s="65"/>
      <c r="M1340" s="65"/>
      <c r="Z1340" s="65"/>
      <c r="AI1340" s="65"/>
      <c r="AR1340" s="65"/>
    </row>
    <row r="1341" spans="4:44" x14ac:dyDescent="0.2">
      <c r="D1341" s="65"/>
      <c r="M1341" s="65"/>
      <c r="Z1341" s="65"/>
      <c r="AI1341" s="65"/>
      <c r="AR1341" s="65"/>
    </row>
    <row r="1342" spans="4:44" x14ac:dyDescent="0.2">
      <c r="D1342" s="65"/>
      <c r="M1342" s="65"/>
      <c r="Z1342" s="65"/>
      <c r="AI1342" s="65"/>
      <c r="AR1342" s="65"/>
    </row>
    <row r="1343" spans="4:44" x14ac:dyDescent="0.2">
      <c r="D1343" s="65"/>
      <c r="M1343" s="65"/>
      <c r="Z1343" s="65"/>
      <c r="AI1343" s="65"/>
      <c r="AR1343" s="65"/>
    </row>
    <row r="1344" spans="4:44" x14ac:dyDescent="0.2">
      <c r="D1344" s="65"/>
      <c r="M1344" s="65"/>
      <c r="Z1344" s="65"/>
      <c r="AI1344" s="65"/>
      <c r="AR1344" s="65"/>
    </row>
    <row r="1345" spans="4:44" x14ac:dyDescent="0.2">
      <c r="D1345" s="65"/>
      <c r="M1345" s="65"/>
      <c r="Z1345" s="65"/>
      <c r="AI1345" s="65"/>
      <c r="AR1345" s="65"/>
    </row>
    <row r="1346" spans="4:44" x14ac:dyDescent="0.2">
      <c r="D1346" s="65"/>
      <c r="M1346" s="65"/>
      <c r="Z1346" s="65"/>
      <c r="AI1346" s="65"/>
      <c r="AR1346" s="65"/>
    </row>
    <row r="1347" spans="4:44" x14ac:dyDescent="0.2">
      <c r="D1347" s="65"/>
      <c r="M1347" s="65"/>
      <c r="Z1347" s="65"/>
      <c r="AI1347" s="65"/>
      <c r="AR1347" s="65"/>
    </row>
    <row r="1348" spans="4:44" x14ac:dyDescent="0.2">
      <c r="D1348" s="65"/>
      <c r="M1348" s="65"/>
      <c r="Z1348" s="65"/>
      <c r="AI1348" s="65"/>
      <c r="AR1348" s="65"/>
    </row>
    <row r="1349" spans="4:44" x14ac:dyDescent="0.2">
      <c r="D1349" s="65"/>
      <c r="M1349" s="65"/>
      <c r="Z1349" s="65"/>
      <c r="AI1349" s="65"/>
      <c r="AR1349" s="65"/>
    </row>
    <row r="1350" spans="4:44" x14ac:dyDescent="0.2">
      <c r="D1350" s="65"/>
      <c r="M1350" s="65"/>
      <c r="Z1350" s="65"/>
      <c r="AI1350" s="65"/>
      <c r="AR1350" s="65"/>
    </row>
    <row r="1351" spans="4:44" x14ac:dyDescent="0.2">
      <c r="D1351" s="65"/>
      <c r="M1351" s="65"/>
      <c r="Z1351" s="65"/>
      <c r="AI1351" s="65"/>
      <c r="AR1351" s="65"/>
    </row>
    <row r="1352" spans="4:44" x14ac:dyDescent="0.2">
      <c r="D1352" s="65"/>
      <c r="M1352" s="65"/>
      <c r="Z1352" s="65"/>
      <c r="AI1352" s="65"/>
      <c r="AR1352" s="65"/>
    </row>
    <row r="1353" spans="4:44" x14ac:dyDescent="0.2">
      <c r="D1353" s="65"/>
      <c r="M1353" s="65"/>
      <c r="Z1353" s="65"/>
      <c r="AI1353" s="65"/>
      <c r="AR1353" s="65"/>
    </row>
    <row r="1354" spans="4:44" x14ac:dyDescent="0.2">
      <c r="D1354" s="65"/>
      <c r="M1354" s="65"/>
      <c r="Z1354" s="65"/>
      <c r="AI1354" s="65"/>
      <c r="AR1354" s="65"/>
    </row>
    <row r="1355" spans="4:44" x14ac:dyDescent="0.2">
      <c r="D1355" s="65"/>
      <c r="M1355" s="65"/>
      <c r="Z1355" s="65"/>
      <c r="AI1355" s="65"/>
      <c r="AR1355" s="65"/>
    </row>
    <row r="1356" spans="4:44" x14ac:dyDescent="0.2">
      <c r="D1356" s="65"/>
      <c r="M1356" s="65"/>
      <c r="Z1356" s="65"/>
      <c r="AI1356" s="65"/>
      <c r="AR1356" s="65"/>
    </row>
    <row r="1357" spans="4:44" x14ac:dyDescent="0.2">
      <c r="D1357" s="65"/>
      <c r="M1357" s="65"/>
      <c r="Z1357" s="65"/>
      <c r="AI1357" s="65"/>
      <c r="AR1357" s="65"/>
    </row>
    <row r="1358" spans="4:44" x14ac:dyDescent="0.2">
      <c r="D1358" s="65"/>
      <c r="M1358" s="65"/>
      <c r="Z1358" s="65"/>
      <c r="AI1358" s="65"/>
      <c r="AR1358" s="65"/>
    </row>
    <row r="1359" spans="4:44" x14ac:dyDescent="0.2">
      <c r="D1359" s="65"/>
      <c r="M1359" s="65"/>
      <c r="Z1359" s="65"/>
      <c r="AI1359" s="65"/>
      <c r="AR1359" s="65"/>
    </row>
    <row r="1360" spans="4:44" x14ac:dyDescent="0.2">
      <c r="D1360" s="65"/>
      <c r="M1360" s="65"/>
      <c r="Z1360" s="65"/>
      <c r="AI1360" s="65"/>
      <c r="AR1360" s="65"/>
    </row>
    <row r="1361" spans="4:44" x14ac:dyDescent="0.2">
      <c r="D1361" s="65"/>
      <c r="M1361" s="65"/>
      <c r="Z1361" s="65"/>
      <c r="AI1361" s="65"/>
      <c r="AR1361" s="65"/>
    </row>
    <row r="1362" spans="4:44" x14ac:dyDescent="0.2">
      <c r="D1362" s="65"/>
      <c r="M1362" s="65"/>
      <c r="Z1362" s="65"/>
      <c r="AI1362" s="65"/>
      <c r="AR1362" s="65"/>
    </row>
    <row r="1363" spans="4:44" x14ac:dyDescent="0.2">
      <c r="D1363" s="65"/>
      <c r="M1363" s="65"/>
      <c r="Z1363" s="65"/>
      <c r="AI1363" s="65"/>
      <c r="AR1363" s="65"/>
    </row>
    <row r="1364" spans="4:44" x14ac:dyDescent="0.2">
      <c r="D1364" s="65"/>
      <c r="M1364" s="65"/>
      <c r="Z1364" s="65"/>
      <c r="AI1364" s="65"/>
      <c r="AR1364" s="65"/>
    </row>
    <row r="1365" spans="4:44" x14ac:dyDescent="0.2">
      <c r="D1365" s="65"/>
      <c r="M1365" s="65"/>
      <c r="Z1365" s="65"/>
      <c r="AI1365" s="65"/>
      <c r="AR1365" s="65"/>
    </row>
    <row r="1366" spans="4:44" x14ac:dyDescent="0.2">
      <c r="D1366" s="65"/>
      <c r="M1366" s="65"/>
      <c r="Z1366" s="65"/>
      <c r="AI1366" s="65"/>
      <c r="AR1366" s="65"/>
    </row>
    <row r="1367" spans="4:44" x14ac:dyDescent="0.2">
      <c r="D1367" s="65"/>
      <c r="M1367" s="65"/>
      <c r="Z1367" s="65"/>
      <c r="AI1367" s="65"/>
      <c r="AR1367" s="65"/>
    </row>
    <row r="1368" spans="4:44" x14ac:dyDescent="0.2">
      <c r="D1368" s="65"/>
      <c r="M1368" s="65"/>
      <c r="Z1368" s="65"/>
      <c r="AI1368" s="65"/>
      <c r="AR1368" s="65"/>
    </row>
    <row r="1369" spans="4:44" x14ac:dyDescent="0.2">
      <c r="D1369" s="65"/>
      <c r="M1369" s="65"/>
      <c r="Z1369" s="65"/>
      <c r="AI1369" s="65"/>
      <c r="AR1369" s="65"/>
    </row>
    <row r="1370" spans="4:44" x14ac:dyDescent="0.2">
      <c r="D1370" s="65"/>
      <c r="M1370" s="65"/>
      <c r="Z1370" s="65"/>
      <c r="AI1370" s="65"/>
      <c r="AR1370" s="65"/>
    </row>
    <row r="1371" spans="4:44" x14ac:dyDescent="0.2">
      <c r="D1371" s="65"/>
      <c r="M1371" s="65"/>
      <c r="Z1371" s="65"/>
      <c r="AI1371" s="65"/>
      <c r="AR1371" s="65"/>
    </row>
    <row r="1372" spans="4:44" x14ac:dyDescent="0.2">
      <c r="D1372" s="65"/>
      <c r="M1372" s="65"/>
      <c r="Z1372" s="65"/>
      <c r="AI1372" s="65"/>
      <c r="AR1372" s="65"/>
    </row>
    <row r="1373" spans="4:44" x14ac:dyDescent="0.2">
      <c r="D1373" s="65"/>
      <c r="M1373" s="65"/>
      <c r="Z1373" s="65"/>
      <c r="AI1373" s="65"/>
      <c r="AR1373" s="65"/>
    </row>
    <row r="1374" spans="4:44" x14ac:dyDescent="0.2">
      <c r="D1374" s="65"/>
      <c r="M1374" s="65"/>
      <c r="Z1374" s="65"/>
      <c r="AI1374" s="65"/>
      <c r="AR1374" s="65"/>
    </row>
    <row r="1375" spans="4:44" x14ac:dyDescent="0.2">
      <c r="D1375" s="65"/>
      <c r="M1375" s="65"/>
      <c r="Z1375" s="65"/>
      <c r="AI1375" s="65"/>
      <c r="AR1375" s="65"/>
    </row>
    <row r="1376" spans="4:44" x14ac:dyDescent="0.2">
      <c r="D1376" s="65"/>
      <c r="M1376" s="65"/>
      <c r="Z1376" s="65"/>
      <c r="AI1376" s="65"/>
      <c r="AR1376" s="65"/>
    </row>
    <row r="1377" spans="4:44" x14ac:dyDescent="0.2">
      <c r="D1377" s="65"/>
      <c r="M1377" s="65"/>
      <c r="Z1377" s="65"/>
      <c r="AI1377" s="65"/>
      <c r="AR1377" s="65"/>
    </row>
    <row r="1378" spans="4:44" x14ac:dyDescent="0.2">
      <c r="D1378" s="65"/>
      <c r="M1378" s="65"/>
      <c r="Z1378" s="65"/>
      <c r="AI1378" s="65"/>
      <c r="AR1378" s="65"/>
    </row>
    <row r="1379" spans="4:44" x14ac:dyDescent="0.2">
      <c r="D1379" s="65"/>
      <c r="M1379" s="65"/>
      <c r="Z1379" s="65"/>
      <c r="AI1379" s="65"/>
      <c r="AR1379" s="65"/>
    </row>
    <row r="1380" spans="4:44" x14ac:dyDescent="0.2">
      <c r="D1380" s="65"/>
      <c r="M1380" s="65"/>
      <c r="Z1380" s="65"/>
      <c r="AI1380" s="65"/>
      <c r="AR1380" s="65"/>
    </row>
    <row r="1381" spans="4:44" x14ac:dyDescent="0.2">
      <c r="D1381" s="65"/>
      <c r="M1381" s="65"/>
      <c r="Z1381" s="65"/>
      <c r="AI1381" s="65"/>
      <c r="AR1381" s="65"/>
    </row>
    <row r="1382" spans="4:44" x14ac:dyDescent="0.2">
      <c r="D1382" s="65"/>
      <c r="M1382" s="65"/>
      <c r="Z1382" s="65"/>
      <c r="AI1382" s="65"/>
      <c r="AR1382" s="65"/>
    </row>
    <row r="1383" spans="4:44" x14ac:dyDescent="0.2">
      <c r="D1383" s="65"/>
      <c r="M1383" s="65"/>
      <c r="Z1383" s="65"/>
      <c r="AI1383" s="65"/>
      <c r="AR1383" s="65"/>
    </row>
    <row r="1384" spans="4:44" x14ac:dyDescent="0.2">
      <c r="D1384" s="65"/>
      <c r="M1384" s="65"/>
      <c r="Z1384" s="65"/>
      <c r="AI1384" s="65"/>
      <c r="AR1384" s="65"/>
    </row>
    <row r="1385" spans="4:44" x14ac:dyDescent="0.2">
      <c r="D1385" s="65"/>
      <c r="M1385" s="65"/>
      <c r="Z1385" s="65"/>
      <c r="AI1385" s="65"/>
      <c r="AR1385" s="65"/>
    </row>
    <row r="1386" spans="4:44" x14ac:dyDescent="0.2">
      <c r="D1386" s="65"/>
      <c r="M1386" s="65"/>
      <c r="Z1386" s="65"/>
      <c r="AI1386" s="65"/>
      <c r="AR1386" s="65"/>
    </row>
    <row r="1387" spans="4:44" x14ac:dyDescent="0.2">
      <c r="D1387" s="65"/>
      <c r="M1387" s="65"/>
      <c r="Z1387" s="65"/>
      <c r="AI1387" s="65"/>
      <c r="AR1387" s="65"/>
    </row>
    <row r="1388" spans="4:44" x14ac:dyDescent="0.2">
      <c r="D1388" s="65"/>
      <c r="M1388" s="65"/>
      <c r="Z1388" s="65"/>
      <c r="AI1388" s="65"/>
      <c r="AR1388" s="65"/>
    </row>
    <row r="1389" spans="4:44" x14ac:dyDescent="0.2">
      <c r="D1389" s="65"/>
      <c r="M1389" s="65"/>
      <c r="Z1389" s="65"/>
      <c r="AI1389" s="65"/>
      <c r="AR1389" s="65"/>
    </row>
    <row r="1390" spans="4:44" x14ac:dyDescent="0.2">
      <c r="D1390" s="65"/>
      <c r="M1390" s="65"/>
      <c r="Z1390" s="65"/>
      <c r="AI1390" s="65"/>
      <c r="AR1390" s="65"/>
    </row>
    <row r="1391" spans="4:44" x14ac:dyDescent="0.2">
      <c r="D1391" s="65"/>
      <c r="M1391" s="65"/>
      <c r="Z1391" s="65"/>
      <c r="AI1391" s="65"/>
      <c r="AR1391" s="65"/>
    </row>
    <row r="1392" spans="4:44" x14ac:dyDescent="0.2">
      <c r="D1392" s="65"/>
      <c r="M1392" s="65"/>
      <c r="Z1392" s="65"/>
      <c r="AI1392" s="65"/>
      <c r="AR1392" s="65"/>
    </row>
    <row r="1393" spans="4:44" x14ac:dyDescent="0.2">
      <c r="D1393" s="65"/>
      <c r="M1393" s="65"/>
      <c r="Z1393" s="65"/>
      <c r="AI1393" s="65"/>
      <c r="AR1393" s="65"/>
    </row>
    <row r="1394" spans="4:44" x14ac:dyDescent="0.2">
      <c r="D1394" s="65"/>
      <c r="M1394" s="65"/>
      <c r="Z1394" s="65"/>
      <c r="AI1394" s="65"/>
      <c r="AR1394" s="65"/>
    </row>
    <row r="1395" spans="4:44" x14ac:dyDescent="0.2">
      <c r="D1395" s="65"/>
      <c r="M1395" s="65"/>
      <c r="Z1395" s="65"/>
      <c r="AI1395" s="65"/>
      <c r="AR1395" s="65"/>
    </row>
    <row r="1396" spans="4:44" x14ac:dyDescent="0.2">
      <c r="D1396" s="65"/>
      <c r="M1396" s="65"/>
      <c r="Z1396" s="65"/>
      <c r="AI1396" s="65"/>
      <c r="AR1396" s="65"/>
    </row>
    <row r="1397" spans="4:44" x14ac:dyDescent="0.2">
      <c r="D1397" s="65"/>
      <c r="M1397" s="65"/>
      <c r="Z1397" s="65"/>
      <c r="AI1397" s="65"/>
      <c r="AR1397" s="65"/>
    </row>
    <row r="1398" spans="4:44" x14ac:dyDescent="0.2">
      <c r="D1398" s="65"/>
      <c r="M1398" s="65"/>
      <c r="Z1398" s="65"/>
      <c r="AI1398" s="65"/>
      <c r="AR1398" s="65"/>
    </row>
    <row r="1399" spans="4:44" x14ac:dyDescent="0.2">
      <c r="D1399" s="65"/>
      <c r="M1399" s="65"/>
      <c r="Z1399" s="65"/>
      <c r="AI1399" s="65"/>
      <c r="AR1399" s="65"/>
    </row>
    <row r="1400" spans="4:44" x14ac:dyDescent="0.2">
      <c r="D1400" s="65"/>
      <c r="M1400" s="65"/>
      <c r="Z1400" s="65"/>
      <c r="AI1400" s="65"/>
      <c r="AR1400" s="65"/>
    </row>
    <row r="1401" spans="4:44" x14ac:dyDescent="0.2">
      <c r="D1401" s="65"/>
      <c r="M1401" s="65"/>
      <c r="Z1401" s="65"/>
      <c r="AI1401" s="65"/>
      <c r="AR1401" s="65"/>
    </row>
    <row r="1402" spans="4:44" x14ac:dyDescent="0.2">
      <c r="D1402" s="65"/>
      <c r="M1402" s="65"/>
      <c r="Z1402" s="65"/>
      <c r="AI1402" s="65"/>
      <c r="AR1402" s="65"/>
    </row>
    <row r="1403" spans="4:44" x14ac:dyDescent="0.2">
      <c r="D1403" s="65"/>
      <c r="M1403" s="65"/>
      <c r="Z1403" s="65"/>
      <c r="AI1403" s="65"/>
      <c r="AR1403" s="65"/>
    </row>
    <row r="1404" spans="4:44" x14ac:dyDescent="0.2">
      <c r="D1404" s="65"/>
      <c r="M1404" s="65"/>
      <c r="Z1404" s="65"/>
      <c r="AI1404" s="65"/>
      <c r="AR1404" s="65"/>
    </row>
    <row r="1405" spans="4:44" x14ac:dyDescent="0.2">
      <c r="D1405" s="65"/>
      <c r="M1405" s="65"/>
      <c r="Z1405" s="65"/>
      <c r="AI1405" s="65"/>
      <c r="AR1405" s="65"/>
    </row>
    <row r="1406" spans="4:44" x14ac:dyDescent="0.2">
      <c r="D1406" s="65"/>
      <c r="M1406" s="65"/>
      <c r="Z1406" s="65"/>
      <c r="AI1406" s="65"/>
      <c r="AR1406" s="65"/>
    </row>
    <row r="1407" spans="4:44" x14ac:dyDescent="0.2">
      <c r="D1407" s="65"/>
      <c r="M1407" s="65"/>
      <c r="Z1407" s="65"/>
      <c r="AI1407" s="65"/>
      <c r="AR1407" s="65"/>
    </row>
    <row r="1408" spans="4:44" x14ac:dyDescent="0.2">
      <c r="D1408" s="65"/>
      <c r="M1408" s="65"/>
      <c r="Z1408" s="65"/>
      <c r="AI1408" s="65"/>
      <c r="AR1408" s="65"/>
    </row>
    <row r="1409" spans="4:44" x14ac:dyDescent="0.2">
      <c r="D1409" s="65"/>
      <c r="M1409" s="65"/>
      <c r="Z1409" s="65"/>
      <c r="AI1409" s="65"/>
      <c r="AR1409" s="65"/>
    </row>
    <row r="1410" spans="4:44" x14ac:dyDescent="0.2">
      <c r="D1410" s="65"/>
      <c r="M1410" s="65"/>
      <c r="Z1410" s="65"/>
      <c r="AI1410" s="65"/>
      <c r="AR1410" s="65"/>
    </row>
    <row r="1411" spans="4:44" x14ac:dyDescent="0.2">
      <c r="D1411" s="65"/>
      <c r="M1411" s="65"/>
      <c r="Z1411" s="65"/>
      <c r="AI1411" s="65"/>
      <c r="AR1411" s="65"/>
    </row>
    <row r="1412" spans="4:44" x14ac:dyDescent="0.2">
      <c r="D1412" s="65"/>
      <c r="M1412" s="65"/>
      <c r="Z1412" s="65"/>
      <c r="AI1412" s="65"/>
      <c r="AR1412" s="65"/>
    </row>
    <row r="1413" spans="4:44" x14ac:dyDescent="0.2">
      <c r="D1413" s="65"/>
      <c r="M1413" s="65"/>
      <c r="Z1413" s="65"/>
      <c r="AI1413" s="65"/>
      <c r="AR1413" s="65"/>
    </row>
    <row r="1414" spans="4:44" x14ac:dyDescent="0.2">
      <c r="D1414" s="65"/>
      <c r="M1414" s="65"/>
      <c r="Z1414" s="65"/>
      <c r="AI1414" s="65"/>
      <c r="AR1414" s="65"/>
    </row>
    <row r="1415" spans="4:44" x14ac:dyDescent="0.2">
      <c r="D1415" s="65"/>
      <c r="M1415" s="65"/>
      <c r="Z1415" s="65"/>
      <c r="AI1415" s="65"/>
      <c r="AR1415" s="65"/>
    </row>
    <row r="1416" spans="4:44" x14ac:dyDescent="0.2">
      <c r="D1416" s="65"/>
      <c r="M1416" s="65"/>
      <c r="Z1416" s="65"/>
      <c r="AI1416" s="65"/>
      <c r="AR1416" s="65"/>
    </row>
    <row r="1417" spans="4:44" x14ac:dyDescent="0.2">
      <c r="D1417" s="65"/>
      <c r="M1417" s="65"/>
      <c r="Z1417" s="65"/>
      <c r="AI1417" s="65"/>
      <c r="AR1417" s="65"/>
    </row>
    <row r="1418" spans="4:44" x14ac:dyDescent="0.2">
      <c r="D1418" s="65"/>
      <c r="M1418" s="65"/>
      <c r="Z1418" s="65"/>
      <c r="AI1418" s="65"/>
      <c r="AR1418" s="65"/>
    </row>
    <row r="1419" spans="4:44" x14ac:dyDescent="0.2">
      <c r="D1419" s="65"/>
      <c r="M1419" s="65"/>
      <c r="Z1419" s="65"/>
      <c r="AI1419" s="65"/>
      <c r="AR1419" s="65"/>
    </row>
    <row r="1420" spans="4:44" x14ac:dyDescent="0.2">
      <c r="D1420" s="65"/>
      <c r="M1420" s="65"/>
      <c r="Z1420" s="65"/>
      <c r="AI1420" s="65"/>
      <c r="AR1420" s="65"/>
    </row>
    <row r="1421" spans="4:44" x14ac:dyDescent="0.2">
      <c r="D1421" s="65"/>
      <c r="M1421" s="65"/>
      <c r="Z1421" s="65"/>
      <c r="AI1421" s="65"/>
      <c r="AR1421" s="65"/>
    </row>
    <row r="1422" spans="4:44" x14ac:dyDescent="0.2">
      <c r="D1422" s="65"/>
      <c r="M1422" s="65"/>
      <c r="Z1422" s="65"/>
      <c r="AI1422" s="65"/>
      <c r="AR1422" s="65"/>
    </row>
    <row r="1423" spans="4:44" x14ac:dyDescent="0.2">
      <c r="D1423" s="65"/>
      <c r="M1423" s="65"/>
      <c r="Z1423" s="65"/>
      <c r="AI1423" s="65"/>
      <c r="AR1423" s="65"/>
    </row>
    <row r="1424" spans="4:44" x14ac:dyDescent="0.2">
      <c r="D1424" s="65"/>
      <c r="M1424" s="65"/>
      <c r="Z1424" s="65"/>
      <c r="AI1424" s="65"/>
      <c r="AR1424" s="65"/>
    </row>
    <row r="1425" spans="4:44" x14ac:dyDescent="0.2">
      <c r="D1425" s="65"/>
      <c r="M1425" s="65"/>
      <c r="Z1425" s="65"/>
      <c r="AI1425" s="65"/>
      <c r="AR1425" s="65"/>
    </row>
    <row r="1426" spans="4:44" x14ac:dyDescent="0.2">
      <c r="D1426" s="65"/>
      <c r="M1426" s="65"/>
      <c r="Z1426" s="65"/>
      <c r="AI1426" s="65"/>
      <c r="AR1426" s="65"/>
    </row>
    <row r="1427" spans="4:44" x14ac:dyDescent="0.2">
      <c r="D1427" s="65"/>
      <c r="M1427" s="65"/>
      <c r="Z1427" s="65"/>
      <c r="AI1427" s="65"/>
      <c r="AR1427" s="65"/>
    </row>
    <row r="1428" spans="4:44" x14ac:dyDescent="0.2">
      <c r="D1428" s="65"/>
      <c r="M1428" s="65"/>
      <c r="Z1428" s="65"/>
      <c r="AI1428" s="65"/>
      <c r="AR1428" s="65"/>
    </row>
    <row r="1429" spans="4:44" x14ac:dyDescent="0.2">
      <c r="D1429" s="65"/>
      <c r="M1429" s="65"/>
      <c r="Z1429" s="65"/>
      <c r="AI1429" s="65"/>
      <c r="AR1429" s="65"/>
    </row>
    <row r="1430" spans="4:44" x14ac:dyDescent="0.2">
      <c r="D1430" s="65"/>
      <c r="M1430" s="65"/>
      <c r="Z1430" s="65"/>
      <c r="AI1430" s="65"/>
      <c r="AR1430" s="65"/>
    </row>
    <row r="1431" spans="4:44" x14ac:dyDescent="0.2">
      <c r="D1431" s="65"/>
      <c r="M1431" s="65"/>
      <c r="Z1431" s="65"/>
      <c r="AI1431" s="65"/>
      <c r="AR1431" s="65"/>
    </row>
    <row r="1432" spans="4:44" x14ac:dyDescent="0.2">
      <c r="D1432" s="65"/>
      <c r="M1432" s="65"/>
      <c r="Z1432" s="65"/>
      <c r="AI1432" s="65"/>
      <c r="AR1432" s="65"/>
    </row>
    <row r="1433" spans="4:44" x14ac:dyDescent="0.2">
      <c r="D1433" s="65"/>
      <c r="M1433" s="65"/>
      <c r="Z1433" s="65"/>
      <c r="AI1433" s="65"/>
      <c r="AR1433" s="65"/>
    </row>
    <row r="1434" spans="4:44" x14ac:dyDescent="0.2">
      <c r="D1434" s="65"/>
      <c r="M1434" s="65"/>
      <c r="Z1434" s="65"/>
      <c r="AI1434" s="65"/>
      <c r="AR1434" s="65"/>
    </row>
    <row r="1435" spans="4:44" x14ac:dyDescent="0.2">
      <c r="D1435" s="65"/>
      <c r="M1435" s="65"/>
      <c r="Z1435" s="65"/>
      <c r="AI1435" s="65"/>
      <c r="AR1435" s="65"/>
    </row>
    <row r="1436" spans="4:44" x14ac:dyDescent="0.2">
      <c r="D1436" s="65"/>
      <c r="M1436" s="65"/>
      <c r="Z1436" s="65"/>
      <c r="AI1436" s="65"/>
      <c r="AR1436" s="65"/>
    </row>
    <row r="1437" spans="4:44" x14ac:dyDescent="0.2">
      <c r="D1437" s="65"/>
      <c r="M1437" s="65"/>
      <c r="Z1437" s="65"/>
      <c r="AI1437" s="65"/>
      <c r="AR1437" s="65"/>
    </row>
    <row r="1438" spans="4:44" x14ac:dyDescent="0.2">
      <c r="D1438" s="65"/>
      <c r="M1438" s="65"/>
      <c r="Z1438" s="65"/>
      <c r="AI1438" s="65"/>
      <c r="AR1438" s="65"/>
    </row>
    <row r="1439" spans="4:44" x14ac:dyDescent="0.2">
      <c r="D1439" s="65"/>
      <c r="M1439" s="65"/>
      <c r="Z1439" s="65"/>
      <c r="AI1439" s="65"/>
      <c r="AR1439" s="65"/>
    </row>
    <row r="1440" spans="4:44" x14ac:dyDescent="0.2">
      <c r="D1440" s="65"/>
      <c r="M1440" s="65"/>
      <c r="Z1440" s="65"/>
      <c r="AI1440" s="65"/>
      <c r="AR1440" s="65"/>
    </row>
    <row r="1441" spans="4:44" x14ac:dyDescent="0.2">
      <c r="D1441" s="65"/>
      <c r="M1441" s="65"/>
      <c r="Z1441" s="65"/>
      <c r="AI1441" s="65"/>
      <c r="AR1441" s="65"/>
    </row>
    <row r="1442" spans="4:44" x14ac:dyDescent="0.2">
      <c r="D1442" s="65"/>
      <c r="M1442" s="65"/>
      <c r="Z1442" s="65"/>
      <c r="AI1442" s="65"/>
      <c r="AR1442" s="65"/>
    </row>
    <row r="1443" spans="4:44" x14ac:dyDescent="0.2">
      <c r="D1443" s="65"/>
      <c r="M1443" s="65"/>
      <c r="Z1443" s="65"/>
      <c r="AI1443" s="65"/>
      <c r="AR1443" s="65"/>
    </row>
    <row r="1444" spans="4:44" x14ac:dyDescent="0.2">
      <c r="D1444" s="65"/>
      <c r="M1444" s="65"/>
      <c r="Z1444" s="65"/>
      <c r="AI1444" s="65"/>
      <c r="AR1444" s="65"/>
    </row>
    <row r="1445" spans="4:44" x14ac:dyDescent="0.2">
      <c r="D1445" s="65"/>
      <c r="M1445" s="65"/>
      <c r="Z1445" s="65"/>
      <c r="AI1445" s="65"/>
      <c r="AR1445" s="65"/>
    </row>
    <row r="1446" spans="4:44" x14ac:dyDescent="0.2">
      <c r="D1446" s="65"/>
      <c r="M1446" s="65"/>
      <c r="Z1446" s="65"/>
      <c r="AI1446" s="65"/>
      <c r="AR1446" s="65"/>
    </row>
    <row r="1447" spans="4:44" x14ac:dyDescent="0.2">
      <c r="D1447" s="65"/>
      <c r="M1447" s="65"/>
      <c r="Z1447" s="65"/>
      <c r="AI1447" s="65"/>
      <c r="AR1447" s="65"/>
    </row>
    <row r="1448" spans="4:44" x14ac:dyDescent="0.2">
      <c r="D1448" s="65"/>
      <c r="M1448" s="65"/>
      <c r="Z1448" s="65"/>
      <c r="AI1448" s="65"/>
      <c r="AR1448" s="65"/>
    </row>
    <row r="1449" spans="4:44" x14ac:dyDescent="0.2">
      <c r="D1449" s="65"/>
      <c r="M1449" s="65"/>
      <c r="Z1449" s="65"/>
      <c r="AI1449" s="65"/>
      <c r="AR1449" s="65"/>
    </row>
    <row r="1450" spans="4:44" x14ac:dyDescent="0.2">
      <c r="D1450" s="65"/>
      <c r="M1450" s="65"/>
      <c r="Z1450" s="65"/>
      <c r="AI1450" s="65"/>
      <c r="AR1450" s="65"/>
    </row>
    <row r="1451" spans="4:44" x14ac:dyDescent="0.2">
      <c r="D1451" s="65"/>
      <c r="M1451" s="65"/>
      <c r="Z1451" s="65"/>
      <c r="AI1451" s="65"/>
      <c r="AR1451" s="65"/>
    </row>
    <row r="1452" spans="4:44" x14ac:dyDescent="0.2">
      <c r="D1452" s="65"/>
      <c r="M1452" s="65"/>
      <c r="Z1452" s="65"/>
      <c r="AI1452" s="65"/>
      <c r="AR1452" s="65"/>
    </row>
    <row r="1453" spans="4:44" x14ac:dyDescent="0.2">
      <c r="D1453" s="65"/>
      <c r="M1453" s="65"/>
      <c r="Z1453" s="65"/>
      <c r="AI1453" s="65"/>
      <c r="AR1453" s="65"/>
    </row>
    <row r="1454" spans="4:44" x14ac:dyDescent="0.2">
      <c r="D1454" s="65"/>
      <c r="M1454" s="65"/>
      <c r="Z1454" s="65"/>
      <c r="AI1454" s="65"/>
      <c r="AR1454" s="65"/>
    </row>
    <row r="1455" spans="4:44" x14ac:dyDescent="0.2">
      <c r="D1455" s="65"/>
      <c r="M1455" s="65"/>
      <c r="Z1455" s="65"/>
      <c r="AI1455" s="65"/>
      <c r="AR1455" s="65"/>
    </row>
    <row r="1456" spans="4:44" x14ac:dyDescent="0.2">
      <c r="D1456" s="65"/>
      <c r="M1456" s="65"/>
      <c r="Z1456" s="65"/>
      <c r="AI1456" s="65"/>
      <c r="AR1456" s="65"/>
    </row>
    <row r="1457" spans="4:44" x14ac:dyDescent="0.2">
      <c r="D1457" s="65"/>
      <c r="M1457" s="65"/>
      <c r="Z1457" s="65"/>
      <c r="AI1457" s="65"/>
      <c r="AR1457" s="65"/>
    </row>
    <row r="1458" spans="4:44" x14ac:dyDescent="0.2">
      <c r="D1458" s="65"/>
      <c r="M1458" s="65"/>
      <c r="Z1458" s="65"/>
      <c r="AI1458" s="65"/>
      <c r="AR1458" s="65"/>
    </row>
    <row r="1459" spans="4:44" x14ac:dyDescent="0.2">
      <c r="D1459" s="65"/>
      <c r="M1459" s="65"/>
      <c r="Z1459" s="65"/>
      <c r="AI1459" s="65"/>
      <c r="AR1459" s="65"/>
    </row>
    <row r="1460" spans="4:44" x14ac:dyDescent="0.2">
      <c r="D1460" s="65"/>
      <c r="M1460" s="65"/>
      <c r="Z1460" s="65"/>
      <c r="AI1460" s="65"/>
      <c r="AR1460" s="65"/>
    </row>
    <row r="1461" spans="4:44" x14ac:dyDescent="0.2">
      <c r="D1461" s="65"/>
      <c r="M1461" s="65"/>
      <c r="Z1461" s="65"/>
      <c r="AI1461" s="65"/>
      <c r="AR1461" s="65"/>
    </row>
    <row r="1462" spans="4:44" x14ac:dyDescent="0.2">
      <c r="D1462" s="65"/>
      <c r="M1462" s="65"/>
      <c r="Z1462" s="65"/>
      <c r="AI1462" s="65"/>
      <c r="AR1462" s="65"/>
    </row>
    <row r="1463" spans="4:44" x14ac:dyDescent="0.2">
      <c r="D1463" s="65"/>
      <c r="M1463" s="65"/>
      <c r="Z1463" s="65"/>
      <c r="AI1463" s="65"/>
      <c r="AR1463" s="65"/>
    </row>
    <row r="1464" spans="4:44" x14ac:dyDescent="0.2">
      <c r="D1464" s="65"/>
      <c r="M1464" s="65"/>
      <c r="Z1464" s="65"/>
      <c r="AI1464" s="65"/>
      <c r="AR1464" s="65"/>
    </row>
    <row r="1465" spans="4:44" x14ac:dyDescent="0.2">
      <c r="D1465" s="65"/>
      <c r="M1465" s="65"/>
      <c r="Z1465" s="65"/>
      <c r="AI1465" s="65"/>
      <c r="AR1465" s="65"/>
    </row>
    <row r="1466" spans="4:44" x14ac:dyDescent="0.2">
      <c r="D1466" s="65"/>
      <c r="M1466" s="65"/>
      <c r="Z1466" s="65"/>
      <c r="AI1466" s="65"/>
      <c r="AR1466" s="65"/>
    </row>
    <row r="1467" spans="4:44" x14ac:dyDescent="0.2">
      <c r="D1467" s="65"/>
      <c r="M1467" s="65"/>
      <c r="Z1467" s="65"/>
      <c r="AI1467" s="65"/>
      <c r="AR1467" s="65"/>
    </row>
    <row r="1468" spans="4:44" x14ac:dyDescent="0.2">
      <c r="D1468" s="65"/>
      <c r="M1468" s="65"/>
      <c r="Z1468" s="65"/>
      <c r="AI1468" s="65"/>
      <c r="AR1468" s="65"/>
    </row>
    <row r="1469" spans="4:44" x14ac:dyDescent="0.2">
      <c r="D1469" s="65"/>
      <c r="M1469" s="65"/>
      <c r="Z1469" s="65"/>
      <c r="AI1469" s="65"/>
      <c r="AR1469" s="65"/>
    </row>
    <row r="1470" spans="4:44" x14ac:dyDescent="0.2">
      <c r="D1470" s="65"/>
      <c r="M1470" s="65"/>
      <c r="Z1470" s="65"/>
      <c r="AI1470" s="65"/>
      <c r="AR1470" s="65"/>
    </row>
    <row r="1471" spans="4:44" x14ac:dyDescent="0.2">
      <c r="D1471" s="65"/>
      <c r="M1471" s="65"/>
      <c r="Z1471" s="65"/>
      <c r="AI1471" s="65"/>
      <c r="AR1471" s="65"/>
    </row>
    <row r="1472" spans="4:44" x14ac:dyDescent="0.2">
      <c r="D1472" s="65"/>
      <c r="M1472" s="65"/>
      <c r="Z1472" s="65"/>
      <c r="AI1472" s="65"/>
      <c r="AR1472" s="65"/>
    </row>
    <row r="1473" spans="4:44" x14ac:dyDescent="0.2">
      <c r="D1473" s="65"/>
      <c r="M1473" s="65"/>
      <c r="Z1473" s="65"/>
      <c r="AI1473" s="65"/>
      <c r="AR1473" s="65"/>
    </row>
    <row r="1474" spans="4:44" x14ac:dyDescent="0.2">
      <c r="D1474" s="65"/>
      <c r="M1474" s="65"/>
      <c r="Z1474" s="65"/>
      <c r="AI1474" s="65"/>
      <c r="AR1474" s="65"/>
    </row>
    <row r="1475" spans="4:44" x14ac:dyDescent="0.2">
      <c r="D1475" s="65"/>
      <c r="M1475" s="65"/>
      <c r="Z1475" s="65"/>
      <c r="AI1475" s="65"/>
      <c r="AR1475" s="65"/>
    </row>
    <row r="1476" spans="4:44" x14ac:dyDescent="0.2">
      <c r="D1476" s="65"/>
      <c r="M1476" s="65"/>
      <c r="Z1476" s="65"/>
      <c r="AI1476" s="65"/>
      <c r="AR1476" s="65"/>
    </row>
    <row r="1477" spans="4:44" x14ac:dyDescent="0.2">
      <c r="D1477" s="65"/>
      <c r="M1477" s="65"/>
      <c r="Z1477" s="65"/>
      <c r="AI1477" s="65"/>
      <c r="AR1477" s="65"/>
    </row>
    <row r="1478" spans="4:44" x14ac:dyDescent="0.2">
      <c r="D1478" s="65"/>
      <c r="M1478" s="65"/>
      <c r="Z1478" s="65"/>
      <c r="AI1478" s="65"/>
      <c r="AR1478" s="65"/>
    </row>
    <row r="1479" spans="4:44" x14ac:dyDescent="0.2">
      <c r="D1479" s="65"/>
      <c r="M1479" s="65"/>
      <c r="Z1479" s="65"/>
      <c r="AI1479" s="65"/>
      <c r="AR1479" s="65"/>
    </row>
    <row r="1480" spans="4:44" x14ac:dyDescent="0.2">
      <c r="D1480" s="65"/>
      <c r="M1480" s="65"/>
      <c r="Z1480" s="65"/>
      <c r="AI1480" s="65"/>
      <c r="AR1480" s="65"/>
    </row>
    <row r="1481" spans="4:44" x14ac:dyDescent="0.2">
      <c r="D1481" s="65"/>
      <c r="M1481" s="65"/>
      <c r="Z1481" s="65"/>
      <c r="AI1481" s="65"/>
      <c r="AR1481" s="65"/>
    </row>
    <row r="1482" spans="4:44" x14ac:dyDescent="0.2">
      <c r="D1482" s="65"/>
      <c r="M1482" s="65"/>
      <c r="Z1482" s="65"/>
      <c r="AI1482" s="65"/>
      <c r="AR1482" s="65"/>
    </row>
    <row r="1483" spans="4:44" x14ac:dyDescent="0.2">
      <c r="D1483" s="65"/>
      <c r="M1483" s="65"/>
      <c r="Z1483" s="65"/>
      <c r="AI1483" s="65"/>
      <c r="AR1483" s="65"/>
    </row>
    <row r="1484" spans="4:44" x14ac:dyDescent="0.2">
      <c r="D1484" s="65"/>
      <c r="M1484" s="65"/>
      <c r="Z1484" s="65"/>
      <c r="AI1484" s="65"/>
      <c r="AR1484" s="65"/>
    </row>
    <row r="1485" spans="4:44" x14ac:dyDescent="0.2">
      <c r="D1485" s="65"/>
      <c r="M1485" s="65"/>
      <c r="Z1485" s="65"/>
      <c r="AI1485" s="65"/>
      <c r="AR1485" s="65"/>
    </row>
    <row r="1486" spans="4:44" x14ac:dyDescent="0.2">
      <c r="D1486" s="65"/>
      <c r="M1486" s="65"/>
      <c r="Z1486" s="65"/>
      <c r="AI1486" s="65"/>
      <c r="AR1486" s="65"/>
    </row>
    <row r="1487" spans="4:44" x14ac:dyDescent="0.2">
      <c r="D1487" s="65"/>
      <c r="M1487" s="65"/>
      <c r="Z1487" s="65"/>
      <c r="AI1487" s="65"/>
      <c r="AR1487" s="65"/>
    </row>
    <row r="1488" spans="4:44" x14ac:dyDescent="0.2">
      <c r="D1488" s="65"/>
      <c r="M1488" s="65"/>
      <c r="Z1488" s="65"/>
      <c r="AI1488" s="65"/>
      <c r="AR1488" s="65"/>
    </row>
    <row r="1489" spans="4:44" x14ac:dyDescent="0.2">
      <c r="D1489" s="65"/>
      <c r="M1489" s="65"/>
      <c r="Z1489" s="65"/>
      <c r="AI1489" s="65"/>
      <c r="AR1489" s="65"/>
    </row>
    <row r="1490" spans="4:44" x14ac:dyDescent="0.2">
      <c r="D1490" s="65"/>
      <c r="M1490" s="65"/>
      <c r="Z1490" s="65"/>
      <c r="AI1490" s="65"/>
      <c r="AR1490" s="65"/>
    </row>
    <row r="1491" spans="4:44" x14ac:dyDescent="0.2">
      <c r="D1491" s="65"/>
      <c r="M1491" s="65"/>
      <c r="Z1491" s="65"/>
      <c r="AI1491" s="65"/>
      <c r="AR1491" s="65"/>
    </row>
    <row r="1492" spans="4:44" x14ac:dyDescent="0.2">
      <c r="D1492" s="65"/>
      <c r="M1492" s="65"/>
      <c r="Z1492" s="65"/>
      <c r="AI1492" s="65"/>
      <c r="AR1492" s="65"/>
    </row>
    <row r="1493" spans="4:44" x14ac:dyDescent="0.2">
      <c r="D1493" s="65"/>
      <c r="M1493" s="65"/>
      <c r="Z1493" s="65"/>
      <c r="AI1493" s="65"/>
      <c r="AR1493" s="65"/>
    </row>
    <row r="1494" spans="4:44" x14ac:dyDescent="0.2">
      <c r="D1494" s="65"/>
      <c r="M1494" s="65"/>
      <c r="Z1494" s="65"/>
      <c r="AI1494" s="65"/>
      <c r="AR1494" s="65"/>
    </row>
    <row r="1495" spans="4:44" x14ac:dyDescent="0.2">
      <c r="D1495" s="65"/>
      <c r="M1495" s="65"/>
      <c r="Z1495" s="65"/>
      <c r="AI1495" s="65"/>
      <c r="AR1495" s="65"/>
    </row>
    <row r="1496" spans="4:44" x14ac:dyDescent="0.2">
      <c r="D1496" s="65"/>
      <c r="M1496" s="65"/>
      <c r="Z1496" s="65"/>
      <c r="AI1496" s="65"/>
      <c r="AR1496" s="65"/>
    </row>
    <row r="1497" spans="4:44" x14ac:dyDescent="0.2">
      <c r="D1497" s="65"/>
      <c r="M1497" s="65"/>
      <c r="Z1497" s="65"/>
      <c r="AI1497" s="65"/>
      <c r="AR1497" s="65"/>
    </row>
    <row r="1498" spans="4:44" x14ac:dyDescent="0.2">
      <c r="D1498" s="65"/>
      <c r="M1498" s="65"/>
      <c r="Z1498" s="65"/>
      <c r="AI1498" s="65"/>
      <c r="AR1498" s="65"/>
    </row>
    <row r="1499" spans="4:44" x14ac:dyDescent="0.2">
      <c r="D1499" s="65"/>
      <c r="M1499" s="65"/>
      <c r="Z1499" s="65"/>
      <c r="AI1499" s="65"/>
      <c r="AR1499" s="65"/>
    </row>
    <row r="1500" spans="4:44" x14ac:dyDescent="0.2">
      <c r="D1500" s="65"/>
      <c r="M1500" s="65"/>
      <c r="Z1500" s="65"/>
      <c r="AI1500" s="65"/>
      <c r="AR1500" s="65"/>
    </row>
    <row r="1501" spans="4:44" x14ac:dyDescent="0.2">
      <c r="D1501" s="65"/>
      <c r="M1501" s="65"/>
      <c r="Z1501" s="65"/>
      <c r="AI1501" s="65"/>
      <c r="AR1501" s="65"/>
    </row>
    <row r="1502" spans="4:44" x14ac:dyDescent="0.2">
      <c r="D1502" s="65"/>
      <c r="M1502" s="65"/>
      <c r="Z1502" s="65"/>
      <c r="AI1502" s="65"/>
      <c r="AR1502" s="65"/>
    </row>
    <row r="1503" spans="4:44" x14ac:dyDescent="0.2">
      <c r="D1503" s="65"/>
      <c r="M1503" s="65"/>
      <c r="Z1503" s="65"/>
      <c r="AI1503" s="65"/>
      <c r="AR1503" s="65"/>
    </row>
    <row r="1504" spans="4:44" x14ac:dyDescent="0.2">
      <c r="D1504" s="65"/>
      <c r="M1504" s="65"/>
      <c r="Z1504" s="65"/>
      <c r="AI1504" s="65"/>
      <c r="AR1504" s="65"/>
    </row>
    <row r="1505" spans="4:44" x14ac:dyDescent="0.2">
      <c r="D1505" s="65"/>
      <c r="M1505" s="65"/>
      <c r="Z1505" s="65"/>
      <c r="AI1505" s="65"/>
      <c r="AR1505" s="65"/>
    </row>
    <row r="1506" spans="4:44" x14ac:dyDescent="0.2">
      <c r="D1506" s="65"/>
      <c r="M1506" s="65"/>
      <c r="Z1506" s="65"/>
      <c r="AI1506" s="65"/>
      <c r="AR1506" s="65"/>
    </row>
    <row r="1507" spans="4:44" x14ac:dyDescent="0.2">
      <c r="D1507" s="65"/>
      <c r="M1507" s="65"/>
      <c r="Z1507" s="65"/>
      <c r="AI1507" s="65"/>
      <c r="AR1507" s="65"/>
    </row>
    <row r="1508" spans="4:44" x14ac:dyDescent="0.2">
      <c r="D1508" s="65"/>
      <c r="M1508" s="65"/>
      <c r="Z1508" s="65"/>
      <c r="AI1508" s="65"/>
      <c r="AR1508" s="65"/>
    </row>
    <row r="1509" spans="4:44" x14ac:dyDescent="0.2">
      <c r="D1509" s="65"/>
      <c r="M1509" s="65"/>
      <c r="Z1509" s="65"/>
      <c r="AI1509" s="65"/>
      <c r="AR1509" s="65"/>
    </row>
    <row r="1510" spans="4:44" x14ac:dyDescent="0.2">
      <c r="D1510" s="65"/>
      <c r="M1510" s="65"/>
      <c r="Z1510" s="65"/>
      <c r="AI1510" s="65"/>
      <c r="AR1510" s="65"/>
    </row>
    <row r="1511" spans="4:44" x14ac:dyDescent="0.2">
      <c r="D1511" s="65"/>
      <c r="M1511" s="65"/>
      <c r="Z1511" s="65"/>
      <c r="AI1511" s="65"/>
      <c r="AR1511" s="65"/>
    </row>
    <row r="1512" spans="4:44" x14ac:dyDescent="0.2">
      <c r="D1512" s="65"/>
      <c r="M1512" s="65"/>
      <c r="Z1512" s="65"/>
      <c r="AI1512" s="65"/>
      <c r="AR1512" s="65"/>
    </row>
    <row r="1513" spans="4:44" x14ac:dyDescent="0.2">
      <c r="D1513" s="65"/>
      <c r="M1513" s="65"/>
      <c r="Z1513" s="65"/>
      <c r="AI1513" s="65"/>
      <c r="AR1513" s="65"/>
    </row>
    <row r="1514" spans="4:44" x14ac:dyDescent="0.2">
      <c r="D1514" s="65"/>
      <c r="M1514" s="65"/>
      <c r="Z1514" s="65"/>
      <c r="AI1514" s="65"/>
      <c r="AR1514" s="65"/>
    </row>
    <row r="1515" spans="4:44" x14ac:dyDescent="0.2">
      <c r="D1515" s="65"/>
      <c r="M1515" s="65"/>
      <c r="Z1515" s="65"/>
      <c r="AI1515" s="65"/>
      <c r="AR1515" s="65"/>
    </row>
    <row r="1516" spans="4:44" x14ac:dyDescent="0.2">
      <c r="D1516" s="65"/>
      <c r="M1516" s="65"/>
      <c r="Z1516" s="65"/>
      <c r="AI1516" s="65"/>
      <c r="AR1516" s="65"/>
    </row>
    <row r="1517" spans="4:44" x14ac:dyDescent="0.2">
      <c r="D1517" s="65"/>
      <c r="M1517" s="65"/>
      <c r="Z1517" s="65"/>
      <c r="AI1517" s="65"/>
      <c r="AR1517" s="65"/>
    </row>
    <row r="1518" spans="4:44" x14ac:dyDescent="0.2">
      <c r="D1518" s="65"/>
      <c r="M1518" s="65"/>
      <c r="Z1518" s="65"/>
      <c r="AI1518" s="65"/>
      <c r="AR1518" s="65"/>
    </row>
    <row r="1519" spans="4:44" x14ac:dyDescent="0.2">
      <c r="D1519" s="65"/>
      <c r="M1519" s="65"/>
      <c r="Z1519" s="65"/>
      <c r="AI1519" s="65"/>
      <c r="AR1519" s="65"/>
    </row>
    <row r="1520" spans="4:44" x14ac:dyDescent="0.2">
      <c r="D1520" s="65"/>
      <c r="M1520" s="65"/>
      <c r="Z1520" s="65"/>
      <c r="AI1520" s="65"/>
      <c r="AR1520" s="65"/>
    </row>
    <row r="1521" spans="4:44" x14ac:dyDescent="0.2">
      <c r="D1521" s="65"/>
      <c r="M1521" s="65"/>
      <c r="Z1521" s="65"/>
      <c r="AI1521" s="65"/>
      <c r="AR1521" s="65"/>
    </row>
    <row r="1522" spans="4:44" x14ac:dyDescent="0.2">
      <c r="D1522" s="65"/>
      <c r="M1522" s="65"/>
      <c r="Z1522" s="65"/>
      <c r="AI1522" s="65"/>
      <c r="AR1522" s="65"/>
    </row>
    <row r="1523" spans="4:44" x14ac:dyDescent="0.2">
      <c r="D1523" s="65"/>
      <c r="M1523" s="65"/>
      <c r="Z1523" s="65"/>
      <c r="AI1523" s="65"/>
      <c r="AR1523" s="65"/>
    </row>
    <row r="1524" spans="4:44" x14ac:dyDescent="0.2">
      <c r="D1524" s="65"/>
      <c r="M1524" s="65"/>
      <c r="Z1524" s="65"/>
      <c r="AI1524" s="65"/>
      <c r="AR1524" s="65"/>
    </row>
    <row r="1525" spans="4:44" x14ac:dyDescent="0.2">
      <c r="D1525" s="65"/>
      <c r="M1525" s="65"/>
      <c r="Z1525" s="65"/>
      <c r="AI1525" s="65"/>
      <c r="AR1525" s="65"/>
    </row>
    <row r="1526" spans="4:44" x14ac:dyDescent="0.2">
      <c r="D1526" s="65"/>
      <c r="M1526" s="65"/>
      <c r="Z1526" s="65"/>
      <c r="AI1526" s="65"/>
      <c r="AR1526" s="65"/>
    </row>
    <row r="1527" spans="4:44" x14ac:dyDescent="0.2">
      <c r="D1527" s="65"/>
      <c r="M1527" s="65"/>
      <c r="Z1527" s="65"/>
      <c r="AI1527" s="65"/>
      <c r="AR1527" s="65"/>
    </row>
    <row r="1528" spans="4:44" x14ac:dyDescent="0.2">
      <c r="D1528" s="65"/>
      <c r="M1528" s="65"/>
      <c r="Z1528" s="65"/>
      <c r="AI1528" s="65"/>
      <c r="AR1528" s="65"/>
    </row>
    <row r="1529" spans="4:44" x14ac:dyDescent="0.2">
      <c r="D1529" s="65"/>
      <c r="M1529" s="65"/>
      <c r="Z1529" s="65"/>
      <c r="AI1529" s="65"/>
      <c r="AR1529" s="65"/>
    </row>
    <row r="1530" spans="4:44" x14ac:dyDescent="0.2">
      <c r="D1530" s="65"/>
      <c r="M1530" s="65"/>
      <c r="Z1530" s="65"/>
      <c r="AI1530" s="65"/>
      <c r="AR1530" s="65"/>
    </row>
    <row r="1531" spans="4:44" x14ac:dyDescent="0.2">
      <c r="D1531" s="65"/>
      <c r="M1531" s="65"/>
      <c r="Z1531" s="65"/>
      <c r="AI1531" s="65"/>
      <c r="AR1531" s="65"/>
    </row>
    <row r="1532" spans="4:44" x14ac:dyDescent="0.2">
      <c r="D1532" s="65"/>
      <c r="M1532" s="65"/>
      <c r="Z1532" s="65"/>
      <c r="AI1532" s="65"/>
      <c r="AR1532" s="65"/>
    </row>
    <row r="1533" spans="4:44" x14ac:dyDescent="0.2">
      <c r="D1533" s="65"/>
      <c r="M1533" s="65"/>
      <c r="Z1533" s="65"/>
      <c r="AI1533" s="65"/>
      <c r="AR1533" s="65"/>
    </row>
    <row r="1534" spans="4:44" x14ac:dyDescent="0.2">
      <c r="D1534" s="65"/>
      <c r="M1534" s="65"/>
      <c r="Z1534" s="65"/>
      <c r="AI1534" s="65"/>
      <c r="AR1534" s="65"/>
    </row>
    <row r="1535" spans="4:44" x14ac:dyDescent="0.2">
      <c r="D1535" s="65"/>
      <c r="M1535" s="65"/>
      <c r="Z1535" s="65"/>
      <c r="AI1535" s="65"/>
      <c r="AR1535" s="65"/>
    </row>
    <row r="1536" spans="4:44" x14ac:dyDescent="0.2">
      <c r="D1536" s="65"/>
      <c r="M1536" s="65"/>
      <c r="Z1536" s="65"/>
      <c r="AI1536" s="65"/>
      <c r="AR1536" s="65"/>
    </row>
    <row r="1537" spans="4:44" x14ac:dyDescent="0.2">
      <c r="D1537" s="65"/>
      <c r="M1537" s="65"/>
      <c r="Z1537" s="65"/>
      <c r="AI1537" s="65"/>
      <c r="AR1537" s="65"/>
    </row>
    <row r="1538" spans="4:44" x14ac:dyDescent="0.2">
      <c r="D1538" s="65"/>
      <c r="M1538" s="65"/>
      <c r="Z1538" s="65"/>
      <c r="AI1538" s="65"/>
      <c r="AR1538" s="65"/>
    </row>
    <row r="1539" spans="4:44" x14ac:dyDescent="0.2">
      <c r="D1539" s="65"/>
      <c r="M1539" s="65"/>
      <c r="Z1539" s="65"/>
      <c r="AI1539" s="65"/>
      <c r="AR1539" s="65"/>
    </row>
    <row r="1540" spans="4:44" x14ac:dyDescent="0.2">
      <c r="D1540" s="65"/>
      <c r="M1540" s="65"/>
      <c r="Z1540" s="65"/>
      <c r="AI1540" s="65"/>
      <c r="AR1540" s="65"/>
    </row>
    <row r="1541" spans="4:44" x14ac:dyDescent="0.2">
      <c r="D1541" s="65"/>
      <c r="M1541" s="65"/>
      <c r="Z1541" s="65"/>
      <c r="AI1541" s="65"/>
      <c r="AR1541" s="65"/>
    </row>
    <row r="1542" spans="4:44" x14ac:dyDescent="0.2">
      <c r="D1542" s="65"/>
      <c r="M1542" s="65"/>
      <c r="Z1542" s="65"/>
      <c r="AI1542" s="65"/>
      <c r="AR1542" s="65"/>
    </row>
    <row r="1543" spans="4:44" x14ac:dyDescent="0.2">
      <c r="D1543" s="65"/>
      <c r="M1543" s="65"/>
      <c r="Z1543" s="65"/>
      <c r="AI1543" s="65"/>
      <c r="AR1543" s="65"/>
    </row>
    <row r="1544" spans="4:44" x14ac:dyDescent="0.2">
      <c r="D1544" s="65"/>
      <c r="M1544" s="65"/>
      <c r="Z1544" s="65"/>
      <c r="AI1544" s="65"/>
      <c r="AR1544" s="65"/>
    </row>
    <row r="1545" spans="4:44" x14ac:dyDescent="0.2">
      <c r="D1545" s="65"/>
      <c r="M1545" s="65"/>
      <c r="Z1545" s="65"/>
      <c r="AI1545" s="65"/>
      <c r="AR1545" s="65"/>
    </row>
    <row r="1546" spans="4:44" x14ac:dyDescent="0.2">
      <c r="D1546" s="65"/>
      <c r="M1546" s="65"/>
      <c r="Z1546" s="65"/>
      <c r="AI1546" s="65"/>
      <c r="AR1546" s="65"/>
    </row>
    <row r="1547" spans="4:44" x14ac:dyDescent="0.2">
      <c r="D1547" s="65"/>
      <c r="M1547" s="65"/>
      <c r="Z1547" s="65"/>
      <c r="AI1547" s="65"/>
      <c r="AR1547" s="65"/>
    </row>
    <row r="1548" spans="4:44" x14ac:dyDescent="0.2">
      <c r="D1548" s="65"/>
      <c r="M1548" s="65"/>
      <c r="Z1548" s="65"/>
      <c r="AI1548" s="65"/>
      <c r="AR1548" s="65"/>
    </row>
    <row r="1549" spans="4:44" x14ac:dyDescent="0.2">
      <c r="D1549" s="65"/>
      <c r="M1549" s="65"/>
      <c r="Z1549" s="65"/>
      <c r="AI1549" s="65"/>
      <c r="AR1549" s="65"/>
    </row>
    <row r="1550" spans="4:44" x14ac:dyDescent="0.2">
      <c r="D1550" s="65"/>
      <c r="M1550" s="65"/>
      <c r="Z1550" s="65"/>
      <c r="AI1550" s="65"/>
      <c r="AR1550" s="65"/>
    </row>
    <row r="1551" spans="4:44" x14ac:dyDescent="0.2">
      <c r="D1551" s="65"/>
      <c r="M1551" s="65"/>
      <c r="Z1551" s="65"/>
      <c r="AI1551" s="65"/>
      <c r="AR1551" s="65"/>
    </row>
    <row r="1552" spans="4:44" x14ac:dyDescent="0.2">
      <c r="D1552" s="65"/>
      <c r="M1552" s="65"/>
      <c r="Z1552" s="65"/>
      <c r="AI1552" s="65"/>
      <c r="AR1552" s="65"/>
    </row>
    <row r="1553" spans="4:44" x14ac:dyDescent="0.2">
      <c r="D1553" s="65"/>
      <c r="M1553" s="65"/>
      <c r="Z1553" s="65"/>
      <c r="AI1553" s="65"/>
      <c r="AR1553" s="65"/>
    </row>
    <row r="1554" spans="4:44" x14ac:dyDescent="0.2">
      <c r="D1554" s="65"/>
      <c r="M1554" s="65"/>
      <c r="Z1554" s="65"/>
      <c r="AI1554" s="65"/>
      <c r="AR1554" s="65"/>
    </row>
    <row r="1555" spans="4:44" x14ac:dyDescent="0.2">
      <c r="D1555" s="65"/>
      <c r="M1555" s="65"/>
      <c r="Z1555" s="65"/>
      <c r="AI1555" s="65"/>
      <c r="AR1555" s="65"/>
    </row>
    <row r="1556" spans="4:44" x14ac:dyDescent="0.2">
      <c r="D1556" s="65"/>
      <c r="M1556" s="65"/>
      <c r="Z1556" s="65"/>
      <c r="AI1556" s="65"/>
      <c r="AR1556" s="65"/>
    </row>
    <row r="1557" spans="4:44" x14ac:dyDescent="0.2">
      <c r="D1557" s="65"/>
      <c r="M1557" s="65"/>
      <c r="Z1557" s="65"/>
      <c r="AI1557" s="65"/>
      <c r="AR1557" s="65"/>
    </row>
    <row r="1558" spans="4:44" x14ac:dyDescent="0.2">
      <c r="D1558" s="65"/>
      <c r="M1558" s="65"/>
      <c r="Z1558" s="65"/>
      <c r="AI1558" s="65"/>
      <c r="AR1558" s="65"/>
    </row>
    <row r="1559" spans="4:44" x14ac:dyDescent="0.2">
      <c r="D1559" s="65"/>
      <c r="M1559" s="65"/>
      <c r="Z1559" s="65"/>
      <c r="AI1559" s="65"/>
      <c r="AR1559" s="65"/>
    </row>
    <row r="1560" spans="4:44" x14ac:dyDescent="0.2">
      <c r="D1560" s="65"/>
      <c r="M1560" s="65"/>
      <c r="Z1560" s="65"/>
      <c r="AI1560" s="65"/>
      <c r="AR1560" s="65"/>
    </row>
    <row r="1561" spans="4:44" x14ac:dyDescent="0.2">
      <c r="D1561" s="65"/>
      <c r="M1561" s="65"/>
      <c r="Z1561" s="65"/>
      <c r="AI1561" s="65"/>
      <c r="AR1561" s="65"/>
    </row>
    <row r="1562" spans="4:44" x14ac:dyDescent="0.2">
      <c r="D1562" s="65"/>
      <c r="M1562" s="65"/>
      <c r="Z1562" s="65"/>
      <c r="AI1562" s="65"/>
      <c r="AR1562" s="65"/>
    </row>
    <row r="1563" spans="4:44" x14ac:dyDescent="0.2">
      <c r="D1563" s="65"/>
      <c r="M1563" s="65"/>
      <c r="Z1563" s="65"/>
      <c r="AI1563" s="65"/>
      <c r="AR1563" s="65"/>
    </row>
    <row r="1564" spans="4:44" x14ac:dyDescent="0.2">
      <c r="D1564" s="65"/>
      <c r="M1564" s="65"/>
      <c r="Z1564" s="65"/>
      <c r="AI1564" s="65"/>
      <c r="AR1564" s="65"/>
    </row>
    <row r="1565" spans="4:44" x14ac:dyDescent="0.2">
      <c r="D1565" s="65"/>
      <c r="M1565" s="65"/>
      <c r="Z1565" s="65"/>
      <c r="AI1565" s="65"/>
      <c r="AR1565" s="65"/>
    </row>
    <row r="1566" spans="4:44" x14ac:dyDescent="0.2">
      <c r="D1566" s="65"/>
      <c r="M1566" s="65"/>
      <c r="Z1566" s="65"/>
      <c r="AI1566" s="65"/>
      <c r="AR1566" s="65"/>
    </row>
    <row r="1567" spans="4:44" x14ac:dyDescent="0.2">
      <c r="D1567" s="65"/>
      <c r="M1567" s="65"/>
      <c r="Z1567" s="65"/>
      <c r="AI1567" s="65"/>
      <c r="AR1567" s="65"/>
    </row>
    <row r="1568" spans="4:44" x14ac:dyDescent="0.2">
      <c r="D1568" s="65"/>
      <c r="M1568" s="65"/>
      <c r="Z1568" s="65"/>
      <c r="AI1568" s="65"/>
      <c r="AR1568" s="65"/>
    </row>
    <row r="1569" spans="4:44" x14ac:dyDescent="0.2">
      <c r="D1569" s="65"/>
      <c r="M1569" s="65"/>
      <c r="Z1569" s="65"/>
      <c r="AI1569" s="65"/>
      <c r="AR1569" s="65"/>
    </row>
    <row r="1570" spans="4:44" x14ac:dyDescent="0.2">
      <c r="D1570" s="65"/>
      <c r="M1570" s="65"/>
      <c r="Z1570" s="65"/>
      <c r="AI1570" s="65"/>
      <c r="AR1570" s="65"/>
    </row>
    <row r="1571" spans="4:44" x14ac:dyDescent="0.2">
      <c r="D1571" s="65"/>
      <c r="M1571" s="65"/>
      <c r="Z1571" s="65"/>
      <c r="AI1571" s="65"/>
      <c r="AR1571" s="65"/>
    </row>
    <row r="1572" spans="4:44" x14ac:dyDescent="0.2">
      <c r="D1572" s="65"/>
      <c r="M1572" s="65"/>
      <c r="Z1572" s="65"/>
      <c r="AI1572" s="65"/>
      <c r="AR1572" s="65"/>
    </row>
    <row r="1573" spans="4:44" x14ac:dyDescent="0.2">
      <c r="D1573" s="65"/>
      <c r="M1573" s="65"/>
      <c r="Z1573" s="65"/>
      <c r="AI1573" s="65"/>
      <c r="AR1573" s="65"/>
    </row>
    <row r="1574" spans="4:44" x14ac:dyDescent="0.2">
      <c r="D1574" s="65"/>
      <c r="M1574" s="65"/>
      <c r="Z1574" s="65"/>
      <c r="AI1574" s="65"/>
      <c r="AR1574" s="65"/>
    </row>
    <row r="1575" spans="4:44" x14ac:dyDescent="0.2">
      <c r="D1575" s="65"/>
      <c r="M1575" s="65"/>
      <c r="Z1575" s="65"/>
      <c r="AI1575" s="65"/>
      <c r="AR1575" s="65"/>
    </row>
    <row r="1576" spans="4:44" x14ac:dyDescent="0.2">
      <c r="D1576" s="65"/>
      <c r="M1576" s="65"/>
      <c r="Z1576" s="65"/>
      <c r="AI1576" s="65"/>
      <c r="AR1576" s="65"/>
    </row>
    <row r="1577" spans="4:44" x14ac:dyDescent="0.2">
      <c r="D1577" s="65"/>
      <c r="M1577" s="65"/>
      <c r="Z1577" s="65"/>
      <c r="AI1577" s="65"/>
      <c r="AR1577" s="65"/>
    </row>
    <row r="1578" spans="4:44" x14ac:dyDescent="0.2">
      <c r="D1578" s="65"/>
      <c r="M1578" s="65"/>
      <c r="Z1578" s="65"/>
      <c r="AI1578" s="65"/>
      <c r="AR1578" s="65"/>
    </row>
    <row r="1579" spans="4:44" x14ac:dyDescent="0.2">
      <c r="D1579" s="65"/>
      <c r="M1579" s="65"/>
      <c r="Z1579" s="65"/>
      <c r="AI1579" s="65"/>
      <c r="AR1579" s="65"/>
    </row>
    <row r="1580" spans="4:44" x14ac:dyDescent="0.2">
      <c r="D1580" s="65"/>
      <c r="M1580" s="65"/>
      <c r="Z1580" s="65"/>
      <c r="AI1580" s="65"/>
      <c r="AR1580" s="65"/>
    </row>
    <row r="1581" spans="4:44" x14ac:dyDescent="0.2">
      <c r="D1581" s="65"/>
      <c r="M1581" s="65"/>
      <c r="Z1581" s="65"/>
      <c r="AI1581" s="65"/>
      <c r="AR1581" s="65"/>
    </row>
    <row r="1582" spans="4:44" x14ac:dyDescent="0.2">
      <c r="D1582" s="65"/>
      <c r="M1582" s="65"/>
      <c r="Z1582" s="65"/>
      <c r="AI1582" s="65"/>
      <c r="AR1582" s="65"/>
    </row>
    <row r="1583" spans="4:44" x14ac:dyDescent="0.2">
      <c r="D1583" s="65"/>
      <c r="M1583" s="65"/>
      <c r="Z1583" s="65"/>
      <c r="AI1583" s="65"/>
      <c r="AR1583" s="65"/>
    </row>
    <row r="1584" spans="4:44" x14ac:dyDescent="0.2">
      <c r="D1584" s="65"/>
      <c r="M1584" s="65"/>
      <c r="Z1584" s="65"/>
      <c r="AI1584" s="65"/>
      <c r="AR1584" s="65"/>
    </row>
    <row r="1585" spans="4:44" x14ac:dyDescent="0.2">
      <c r="D1585" s="65"/>
      <c r="M1585" s="65"/>
      <c r="Z1585" s="65"/>
      <c r="AI1585" s="65"/>
      <c r="AR1585" s="65"/>
    </row>
    <row r="1586" spans="4:44" x14ac:dyDescent="0.2">
      <c r="D1586" s="65"/>
      <c r="M1586" s="65"/>
      <c r="Z1586" s="65"/>
      <c r="AI1586" s="65"/>
      <c r="AR1586" s="65"/>
    </row>
    <row r="1587" spans="4:44" x14ac:dyDescent="0.2">
      <c r="D1587" s="65"/>
      <c r="M1587" s="65"/>
      <c r="Z1587" s="65"/>
      <c r="AI1587" s="65"/>
      <c r="AR1587" s="65"/>
    </row>
    <row r="1588" spans="4:44" x14ac:dyDescent="0.2">
      <c r="D1588" s="65"/>
      <c r="M1588" s="65"/>
      <c r="Z1588" s="65"/>
      <c r="AI1588" s="65"/>
      <c r="AR1588" s="65"/>
    </row>
    <row r="1589" spans="4:44" x14ac:dyDescent="0.2">
      <c r="D1589" s="65"/>
      <c r="M1589" s="65"/>
      <c r="Z1589" s="65"/>
      <c r="AI1589" s="65"/>
      <c r="AR1589" s="65"/>
    </row>
    <row r="1590" spans="4:44" x14ac:dyDescent="0.2">
      <c r="D1590" s="65"/>
      <c r="M1590" s="65"/>
      <c r="Z1590" s="65"/>
      <c r="AI1590" s="65"/>
      <c r="AR1590" s="65"/>
    </row>
    <row r="1591" spans="4:44" x14ac:dyDescent="0.2">
      <c r="D1591" s="65"/>
      <c r="M1591" s="65"/>
      <c r="Z1591" s="65"/>
      <c r="AI1591" s="65"/>
      <c r="AR1591" s="65"/>
    </row>
    <row r="1592" spans="4:44" x14ac:dyDescent="0.2">
      <c r="D1592" s="65"/>
      <c r="M1592" s="65"/>
      <c r="Z1592" s="65"/>
      <c r="AI1592" s="65"/>
      <c r="AR1592" s="65"/>
    </row>
    <row r="1593" spans="4:44" x14ac:dyDescent="0.2">
      <c r="D1593" s="65"/>
      <c r="M1593" s="65"/>
      <c r="Z1593" s="65"/>
      <c r="AI1593" s="65"/>
      <c r="AR1593" s="65"/>
    </row>
    <row r="1594" spans="4:44" x14ac:dyDescent="0.2">
      <c r="D1594" s="65"/>
      <c r="M1594" s="65"/>
      <c r="Z1594" s="65"/>
      <c r="AI1594" s="65"/>
      <c r="AR1594" s="65"/>
    </row>
    <row r="1595" spans="4:44" x14ac:dyDescent="0.2">
      <c r="D1595" s="65"/>
      <c r="M1595" s="65"/>
      <c r="Z1595" s="65"/>
      <c r="AI1595" s="65"/>
      <c r="AR1595" s="65"/>
    </row>
    <row r="1596" spans="4:44" x14ac:dyDescent="0.2">
      <c r="D1596" s="65"/>
      <c r="M1596" s="65"/>
      <c r="Z1596" s="65"/>
      <c r="AI1596" s="65"/>
      <c r="AR1596" s="65"/>
    </row>
    <row r="1597" spans="4:44" x14ac:dyDescent="0.2">
      <c r="D1597" s="65"/>
      <c r="M1597" s="65"/>
      <c r="Z1597" s="65"/>
      <c r="AI1597" s="65"/>
      <c r="AR1597" s="65"/>
    </row>
    <row r="1598" spans="4:44" x14ac:dyDescent="0.2">
      <c r="D1598" s="65"/>
      <c r="M1598" s="65"/>
      <c r="Z1598" s="65"/>
      <c r="AI1598" s="65"/>
      <c r="AR1598" s="65"/>
    </row>
    <row r="1599" spans="4:44" x14ac:dyDescent="0.2">
      <c r="D1599" s="65"/>
      <c r="M1599" s="65"/>
      <c r="Z1599" s="65"/>
      <c r="AI1599" s="65"/>
      <c r="AR1599" s="65"/>
    </row>
    <row r="1600" spans="4:44" x14ac:dyDescent="0.2">
      <c r="D1600" s="65"/>
      <c r="M1600" s="65"/>
      <c r="Z1600" s="65"/>
      <c r="AI1600" s="65"/>
      <c r="AR1600" s="65"/>
    </row>
    <row r="1601" spans="4:44" x14ac:dyDescent="0.2">
      <c r="D1601" s="65"/>
      <c r="M1601" s="65"/>
      <c r="Z1601" s="65"/>
      <c r="AI1601" s="65"/>
      <c r="AR1601" s="65"/>
    </row>
    <row r="1602" spans="4:44" x14ac:dyDescent="0.2">
      <c r="D1602" s="65"/>
      <c r="M1602" s="65"/>
      <c r="Z1602" s="65"/>
      <c r="AI1602" s="65"/>
      <c r="AR1602" s="65"/>
    </row>
    <row r="1603" spans="4:44" x14ac:dyDescent="0.2">
      <c r="D1603" s="65"/>
      <c r="M1603" s="65"/>
      <c r="Z1603" s="65"/>
      <c r="AI1603" s="65"/>
      <c r="AR1603" s="65"/>
    </row>
    <row r="1604" spans="4:44" x14ac:dyDescent="0.2">
      <c r="D1604" s="65"/>
      <c r="M1604" s="65"/>
      <c r="Z1604" s="65"/>
      <c r="AI1604" s="65"/>
      <c r="AR1604" s="65"/>
    </row>
    <row r="1605" spans="4:44" x14ac:dyDescent="0.2">
      <c r="D1605" s="65"/>
      <c r="M1605" s="65"/>
      <c r="Z1605" s="65"/>
      <c r="AI1605" s="65"/>
      <c r="AR1605" s="65"/>
    </row>
    <row r="1606" spans="4:44" x14ac:dyDescent="0.2">
      <c r="D1606" s="65"/>
      <c r="M1606" s="65"/>
      <c r="Z1606" s="65"/>
      <c r="AI1606" s="65"/>
      <c r="AR1606" s="65"/>
    </row>
    <row r="1607" spans="4:44" x14ac:dyDescent="0.2">
      <c r="D1607" s="65"/>
      <c r="M1607" s="65"/>
      <c r="Z1607" s="65"/>
      <c r="AI1607" s="65"/>
      <c r="AR1607" s="65"/>
    </row>
    <row r="1608" spans="4:44" x14ac:dyDescent="0.2">
      <c r="D1608" s="65"/>
      <c r="M1608" s="65"/>
      <c r="Z1608" s="65"/>
      <c r="AI1608" s="65"/>
      <c r="AR1608" s="65"/>
    </row>
    <row r="1609" spans="4:44" x14ac:dyDescent="0.2">
      <c r="D1609" s="65"/>
      <c r="M1609" s="65"/>
      <c r="Z1609" s="65"/>
      <c r="AI1609" s="65"/>
      <c r="AR1609" s="65"/>
    </row>
    <row r="1610" spans="4:44" x14ac:dyDescent="0.2">
      <c r="D1610" s="65"/>
      <c r="M1610" s="65"/>
      <c r="Z1610" s="65"/>
      <c r="AI1610" s="65"/>
      <c r="AR1610" s="65"/>
    </row>
    <row r="1611" spans="4:44" x14ac:dyDescent="0.2">
      <c r="D1611" s="65"/>
      <c r="M1611" s="65"/>
      <c r="Z1611" s="65"/>
      <c r="AI1611" s="65"/>
      <c r="AR1611" s="65"/>
    </row>
    <row r="1612" spans="4:44" x14ac:dyDescent="0.2">
      <c r="D1612" s="65"/>
      <c r="M1612" s="65"/>
      <c r="Z1612" s="65"/>
      <c r="AI1612" s="65"/>
      <c r="AR1612" s="65"/>
    </row>
    <row r="1613" spans="4:44" x14ac:dyDescent="0.2">
      <c r="D1613" s="65"/>
      <c r="M1613" s="65"/>
      <c r="Z1613" s="65"/>
      <c r="AI1613" s="65"/>
      <c r="AR1613" s="65"/>
    </row>
    <row r="1614" spans="4:44" x14ac:dyDescent="0.2">
      <c r="D1614" s="65"/>
      <c r="M1614" s="65"/>
      <c r="Z1614" s="65"/>
      <c r="AI1614" s="65"/>
      <c r="AR1614" s="65"/>
    </row>
    <row r="1615" spans="4:44" x14ac:dyDescent="0.2">
      <c r="D1615" s="65"/>
      <c r="M1615" s="65"/>
      <c r="Z1615" s="65"/>
      <c r="AI1615" s="65"/>
      <c r="AR1615" s="65"/>
    </row>
    <row r="1616" spans="4:44" x14ac:dyDescent="0.2">
      <c r="D1616" s="65"/>
      <c r="M1616" s="65"/>
      <c r="Z1616" s="65"/>
      <c r="AI1616" s="65"/>
      <c r="AR1616" s="65"/>
    </row>
    <row r="1617" spans="4:44" x14ac:dyDescent="0.2">
      <c r="D1617" s="65"/>
      <c r="M1617" s="65"/>
      <c r="Z1617" s="65"/>
      <c r="AI1617" s="65"/>
      <c r="AR1617" s="65"/>
    </row>
    <row r="1618" spans="4:44" x14ac:dyDescent="0.2">
      <c r="D1618" s="65"/>
      <c r="M1618" s="65"/>
      <c r="Z1618" s="65"/>
      <c r="AI1618" s="65"/>
      <c r="AR1618" s="65"/>
    </row>
    <row r="1619" spans="4:44" x14ac:dyDescent="0.2">
      <c r="D1619" s="65"/>
      <c r="M1619" s="65"/>
      <c r="Z1619" s="65"/>
      <c r="AI1619" s="65"/>
      <c r="AR1619" s="65"/>
    </row>
    <row r="1620" spans="4:44" x14ac:dyDescent="0.2">
      <c r="D1620" s="65"/>
      <c r="M1620" s="65"/>
      <c r="Z1620" s="65"/>
      <c r="AI1620" s="65"/>
      <c r="AR1620" s="65"/>
    </row>
    <row r="1621" spans="4:44" x14ac:dyDescent="0.2">
      <c r="D1621" s="65"/>
      <c r="M1621" s="65"/>
      <c r="Z1621" s="65"/>
      <c r="AI1621" s="65"/>
      <c r="AR1621" s="65"/>
    </row>
    <row r="1622" spans="4:44" x14ac:dyDescent="0.2">
      <c r="D1622" s="65"/>
      <c r="M1622" s="65"/>
      <c r="Z1622" s="65"/>
      <c r="AI1622" s="65"/>
      <c r="AR1622" s="65"/>
    </row>
    <row r="1623" spans="4:44" x14ac:dyDescent="0.2">
      <c r="D1623" s="65"/>
      <c r="M1623" s="65"/>
      <c r="Z1623" s="65"/>
      <c r="AI1623" s="65"/>
      <c r="AR1623" s="65"/>
    </row>
    <row r="1624" spans="4:44" x14ac:dyDescent="0.2">
      <c r="D1624" s="65"/>
      <c r="M1624" s="65"/>
      <c r="Z1624" s="65"/>
      <c r="AI1624" s="65"/>
      <c r="AR1624" s="65"/>
    </row>
    <row r="1625" spans="4:44" x14ac:dyDescent="0.2">
      <c r="D1625" s="65"/>
      <c r="M1625" s="65"/>
      <c r="Z1625" s="65"/>
      <c r="AI1625" s="65"/>
      <c r="AR1625" s="65"/>
    </row>
    <row r="1626" spans="4:44" x14ac:dyDescent="0.2">
      <c r="D1626" s="65"/>
      <c r="M1626" s="65"/>
      <c r="Z1626" s="65"/>
      <c r="AI1626" s="65"/>
      <c r="AR1626" s="65"/>
    </row>
    <row r="1627" spans="4:44" x14ac:dyDescent="0.2">
      <c r="D1627" s="65"/>
      <c r="M1627" s="65"/>
      <c r="Z1627" s="65"/>
      <c r="AI1627" s="65"/>
      <c r="AR1627" s="65"/>
    </row>
    <row r="1628" spans="4:44" x14ac:dyDescent="0.2">
      <c r="D1628" s="65"/>
      <c r="M1628" s="65"/>
      <c r="Z1628" s="65"/>
      <c r="AI1628" s="65"/>
      <c r="AR1628" s="65"/>
    </row>
    <row r="1629" spans="4:44" x14ac:dyDescent="0.2">
      <c r="D1629" s="65"/>
      <c r="M1629" s="65"/>
      <c r="Z1629" s="65"/>
      <c r="AI1629" s="65"/>
      <c r="AR1629" s="65"/>
    </row>
    <row r="1630" spans="4:44" x14ac:dyDescent="0.2">
      <c r="D1630" s="65"/>
      <c r="M1630" s="65"/>
      <c r="Z1630" s="65"/>
      <c r="AI1630" s="65"/>
      <c r="AR1630" s="65"/>
    </row>
    <row r="1631" spans="4:44" x14ac:dyDescent="0.2">
      <c r="D1631" s="65"/>
      <c r="M1631" s="65"/>
      <c r="Z1631" s="65"/>
      <c r="AI1631" s="65"/>
      <c r="AR1631" s="65"/>
    </row>
    <row r="1632" spans="4:44" x14ac:dyDescent="0.2">
      <c r="D1632" s="65"/>
      <c r="M1632" s="65"/>
      <c r="Z1632" s="65"/>
      <c r="AI1632" s="65"/>
      <c r="AR1632" s="65"/>
    </row>
    <row r="1633" spans="4:44" x14ac:dyDescent="0.2">
      <c r="D1633" s="65"/>
      <c r="M1633" s="65"/>
      <c r="Z1633" s="65"/>
      <c r="AI1633" s="65"/>
      <c r="AR1633" s="65"/>
    </row>
    <row r="1634" spans="4:44" x14ac:dyDescent="0.2">
      <c r="D1634" s="65"/>
      <c r="M1634" s="65"/>
      <c r="Z1634" s="65"/>
      <c r="AI1634" s="65"/>
      <c r="AR1634" s="65"/>
    </row>
    <row r="1635" spans="4:44" x14ac:dyDescent="0.2">
      <c r="D1635" s="65"/>
      <c r="M1635" s="65"/>
      <c r="Z1635" s="65"/>
      <c r="AI1635" s="65"/>
      <c r="AR1635" s="65"/>
    </row>
    <row r="1636" spans="4:44" x14ac:dyDescent="0.2">
      <c r="D1636" s="65"/>
      <c r="M1636" s="65"/>
      <c r="Z1636" s="65"/>
      <c r="AI1636" s="65"/>
      <c r="AR1636" s="65"/>
    </row>
    <row r="1637" spans="4:44" x14ac:dyDescent="0.2">
      <c r="D1637" s="65"/>
      <c r="M1637" s="65"/>
      <c r="Z1637" s="65"/>
      <c r="AI1637" s="65"/>
      <c r="AR1637" s="65"/>
    </row>
    <row r="1638" spans="4:44" x14ac:dyDescent="0.2">
      <c r="D1638" s="65"/>
      <c r="M1638" s="65"/>
      <c r="Z1638" s="65"/>
      <c r="AI1638" s="65"/>
      <c r="AR1638" s="65"/>
    </row>
    <row r="1639" spans="4:44" x14ac:dyDescent="0.2">
      <c r="D1639" s="65"/>
      <c r="M1639" s="65"/>
      <c r="Z1639" s="65"/>
      <c r="AI1639" s="65"/>
      <c r="AR1639" s="65"/>
    </row>
    <row r="1640" spans="4:44" x14ac:dyDescent="0.2">
      <c r="D1640" s="65"/>
      <c r="M1640" s="65"/>
      <c r="Z1640" s="65"/>
      <c r="AI1640" s="65"/>
      <c r="AR1640" s="65"/>
    </row>
    <row r="1641" spans="4:44" x14ac:dyDescent="0.2">
      <c r="D1641" s="65"/>
      <c r="M1641" s="65"/>
      <c r="Z1641" s="65"/>
      <c r="AI1641" s="65"/>
      <c r="AR1641" s="65"/>
    </row>
    <row r="1642" spans="4:44" x14ac:dyDescent="0.2">
      <c r="D1642" s="65"/>
      <c r="M1642" s="65"/>
      <c r="Z1642" s="65"/>
      <c r="AI1642" s="65"/>
      <c r="AR1642" s="65"/>
    </row>
    <row r="1643" spans="4:44" x14ac:dyDescent="0.2">
      <c r="D1643" s="65"/>
      <c r="M1643" s="65"/>
      <c r="Z1643" s="65"/>
      <c r="AI1643" s="65"/>
      <c r="AR1643" s="65"/>
    </row>
    <row r="1644" spans="4:44" x14ac:dyDescent="0.2">
      <c r="D1644" s="65"/>
      <c r="M1644" s="65"/>
      <c r="Z1644" s="65"/>
      <c r="AI1644" s="65"/>
      <c r="AR1644" s="65"/>
    </row>
    <row r="1645" spans="4:44" x14ac:dyDescent="0.2">
      <c r="D1645" s="65"/>
      <c r="M1645" s="65"/>
      <c r="Z1645" s="65"/>
      <c r="AI1645" s="65"/>
      <c r="AR1645" s="65"/>
    </row>
    <row r="1646" spans="4:44" x14ac:dyDescent="0.2">
      <c r="D1646" s="65"/>
      <c r="M1646" s="65"/>
      <c r="Z1646" s="65"/>
      <c r="AI1646" s="65"/>
      <c r="AR1646" s="65"/>
    </row>
    <row r="1647" spans="4:44" x14ac:dyDescent="0.2">
      <c r="D1647" s="65"/>
      <c r="M1647" s="65"/>
      <c r="Z1647" s="65"/>
      <c r="AI1647" s="65"/>
      <c r="AR1647" s="65"/>
    </row>
    <row r="1648" spans="4:44" x14ac:dyDescent="0.2">
      <c r="D1648" s="65"/>
      <c r="M1648" s="65"/>
      <c r="Z1648" s="65"/>
      <c r="AI1648" s="65"/>
      <c r="AR1648" s="65"/>
    </row>
    <row r="1649" spans="4:44" x14ac:dyDescent="0.2">
      <c r="D1649" s="65"/>
      <c r="M1649" s="65"/>
      <c r="Z1649" s="65"/>
      <c r="AI1649" s="65"/>
      <c r="AR1649" s="65"/>
    </row>
    <row r="1650" spans="4:44" x14ac:dyDescent="0.2">
      <c r="D1650" s="65"/>
      <c r="M1650" s="65"/>
      <c r="Z1650" s="65"/>
      <c r="AI1650" s="65"/>
      <c r="AR1650" s="65"/>
    </row>
    <row r="1651" spans="4:44" x14ac:dyDescent="0.2">
      <c r="D1651" s="65"/>
      <c r="M1651" s="65"/>
      <c r="Z1651" s="65"/>
      <c r="AI1651" s="65"/>
      <c r="AR1651" s="65"/>
    </row>
    <row r="1652" spans="4:44" x14ac:dyDescent="0.2">
      <c r="D1652" s="65"/>
      <c r="M1652" s="65"/>
      <c r="Z1652" s="65"/>
      <c r="AI1652" s="65"/>
      <c r="AR1652" s="65"/>
    </row>
    <row r="1653" spans="4:44" x14ac:dyDescent="0.2">
      <c r="D1653" s="65"/>
      <c r="M1653" s="65"/>
      <c r="Z1653" s="65"/>
      <c r="AI1653" s="65"/>
      <c r="AR1653" s="65"/>
    </row>
    <row r="1654" spans="4:44" x14ac:dyDescent="0.2">
      <c r="D1654" s="65"/>
      <c r="M1654" s="65"/>
      <c r="Z1654" s="65"/>
      <c r="AI1654" s="65"/>
      <c r="AR1654" s="65"/>
    </row>
    <row r="1655" spans="4:44" x14ac:dyDescent="0.2">
      <c r="D1655" s="65"/>
      <c r="M1655" s="65"/>
      <c r="Z1655" s="65"/>
      <c r="AI1655" s="65"/>
      <c r="AR1655" s="65"/>
    </row>
    <row r="1656" spans="4:44" x14ac:dyDescent="0.2">
      <c r="D1656" s="65"/>
      <c r="M1656" s="65"/>
      <c r="Z1656" s="65"/>
      <c r="AI1656" s="65"/>
      <c r="AR1656" s="65"/>
    </row>
    <row r="1657" spans="4:44" x14ac:dyDescent="0.2">
      <c r="D1657" s="65"/>
      <c r="M1657" s="65"/>
      <c r="Z1657" s="65"/>
      <c r="AI1657" s="65"/>
      <c r="AR1657" s="65"/>
    </row>
    <row r="1658" spans="4:44" x14ac:dyDescent="0.2">
      <c r="D1658" s="65"/>
      <c r="M1658" s="65"/>
      <c r="Z1658" s="65"/>
      <c r="AI1658" s="65"/>
      <c r="AR1658" s="65"/>
    </row>
    <row r="1659" spans="4:44" x14ac:dyDescent="0.2">
      <c r="D1659" s="65"/>
      <c r="M1659" s="65"/>
      <c r="Z1659" s="65"/>
      <c r="AI1659" s="65"/>
      <c r="AR1659" s="65"/>
    </row>
    <row r="1660" spans="4:44" x14ac:dyDescent="0.2">
      <c r="D1660" s="65"/>
      <c r="M1660" s="65"/>
      <c r="Z1660" s="65"/>
      <c r="AI1660" s="65"/>
      <c r="AR1660" s="65"/>
    </row>
    <row r="1661" spans="4:44" x14ac:dyDescent="0.2">
      <c r="D1661" s="65"/>
      <c r="M1661" s="65"/>
      <c r="Z1661" s="65"/>
      <c r="AI1661" s="65"/>
      <c r="AR1661" s="65"/>
    </row>
    <row r="1662" spans="4:44" x14ac:dyDescent="0.2">
      <c r="D1662" s="65"/>
      <c r="M1662" s="65"/>
      <c r="Z1662" s="65"/>
      <c r="AI1662" s="65"/>
      <c r="AR1662" s="65"/>
    </row>
    <row r="1663" spans="4:44" x14ac:dyDescent="0.2">
      <c r="D1663" s="65"/>
      <c r="M1663" s="65"/>
      <c r="Z1663" s="65"/>
      <c r="AI1663" s="65"/>
      <c r="AR1663" s="65"/>
    </row>
    <row r="1664" spans="4:44" x14ac:dyDescent="0.2">
      <c r="D1664" s="65"/>
      <c r="M1664" s="65"/>
      <c r="Z1664" s="65"/>
      <c r="AI1664" s="65"/>
      <c r="AR1664" s="65"/>
    </row>
    <row r="1665" spans="4:44" x14ac:dyDescent="0.2">
      <c r="D1665" s="65"/>
      <c r="M1665" s="65"/>
      <c r="Z1665" s="65"/>
      <c r="AI1665" s="65"/>
      <c r="AR1665" s="65"/>
    </row>
    <row r="1666" spans="4:44" x14ac:dyDescent="0.2">
      <c r="D1666" s="65"/>
      <c r="M1666" s="65"/>
      <c r="Z1666" s="65"/>
      <c r="AI1666" s="65"/>
      <c r="AR1666" s="65"/>
    </row>
    <row r="1667" spans="4:44" x14ac:dyDescent="0.2">
      <c r="D1667" s="65"/>
      <c r="M1667" s="65"/>
      <c r="Z1667" s="65"/>
      <c r="AI1667" s="65"/>
      <c r="AR1667" s="65"/>
    </row>
    <row r="1668" spans="4:44" x14ac:dyDescent="0.2">
      <c r="D1668" s="65"/>
      <c r="M1668" s="65"/>
      <c r="Z1668" s="65"/>
      <c r="AI1668" s="65"/>
      <c r="AR1668" s="65"/>
    </row>
    <row r="1669" spans="4:44" x14ac:dyDescent="0.2">
      <c r="D1669" s="65"/>
      <c r="M1669" s="65"/>
      <c r="Z1669" s="65"/>
      <c r="AI1669" s="65"/>
      <c r="AR1669" s="65"/>
    </row>
    <row r="1670" spans="4:44" x14ac:dyDescent="0.2">
      <c r="D1670" s="65"/>
      <c r="M1670" s="65"/>
      <c r="Z1670" s="65"/>
      <c r="AI1670" s="65"/>
      <c r="AR1670" s="65"/>
    </row>
    <row r="1671" spans="4:44" x14ac:dyDescent="0.2">
      <c r="D1671" s="65"/>
      <c r="M1671" s="65"/>
      <c r="Z1671" s="65"/>
      <c r="AI1671" s="65"/>
      <c r="AR1671" s="65"/>
    </row>
    <row r="1672" spans="4:44" x14ac:dyDescent="0.2">
      <c r="D1672" s="65"/>
      <c r="M1672" s="65"/>
      <c r="Z1672" s="65"/>
      <c r="AI1672" s="65"/>
      <c r="AR1672" s="65"/>
    </row>
    <row r="1673" spans="4:44" x14ac:dyDescent="0.2">
      <c r="D1673" s="65"/>
      <c r="M1673" s="65"/>
      <c r="Z1673" s="65"/>
      <c r="AI1673" s="65"/>
      <c r="AR1673" s="65"/>
    </row>
    <row r="1674" spans="4:44" x14ac:dyDescent="0.2">
      <c r="D1674" s="65"/>
      <c r="M1674" s="65"/>
      <c r="Z1674" s="65"/>
      <c r="AI1674" s="65"/>
      <c r="AR1674" s="65"/>
    </row>
    <row r="1675" spans="4:44" x14ac:dyDescent="0.2">
      <c r="D1675" s="65"/>
      <c r="M1675" s="65"/>
      <c r="Z1675" s="65"/>
      <c r="AI1675" s="65"/>
      <c r="AR1675" s="65"/>
    </row>
    <row r="1676" spans="4:44" x14ac:dyDescent="0.2">
      <c r="D1676" s="65"/>
      <c r="M1676" s="65"/>
      <c r="Z1676" s="65"/>
      <c r="AI1676" s="65"/>
      <c r="AR1676" s="65"/>
    </row>
    <row r="1677" spans="4:44" x14ac:dyDescent="0.2">
      <c r="D1677" s="65"/>
      <c r="M1677" s="65"/>
      <c r="Z1677" s="65"/>
      <c r="AI1677" s="65"/>
      <c r="AR1677" s="65"/>
    </row>
    <row r="1678" spans="4:44" x14ac:dyDescent="0.2">
      <c r="D1678" s="65"/>
      <c r="M1678" s="65"/>
      <c r="Z1678" s="65"/>
      <c r="AI1678" s="65"/>
      <c r="AR1678" s="65"/>
    </row>
    <row r="1679" spans="4:44" x14ac:dyDescent="0.2">
      <c r="D1679" s="65"/>
      <c r="M1679" s="65"/>
      <c r="Z1679" s="65"/>
      <c r="AI1679" s="65"/>
      <c r="AR1679" s="65"/>
    </row>
    <row r="1680" spans="4:44" x14ac:dyDescent="0.2">
      <c r="D1680" s="65"/>
      <c r="M1680" s="65"/>
      <c r="Z1680" s="65"/>
      <c r="AI1680" s="65"/>
      <c r="AR1680" s="65"/>
    </row>
    <row r="1681" spans="4:44" x14ac:dyDescent="0.2">
      <c r="D1681" s="65"/>
      <c r="M1681" s="65"/>
      <c r="Z1681" s="65"/>
      <c r="AI1681" s="65"/>
      <c r="AR1681" s="65"/>
    </row>
    <row r="1682" spans="4:44" x14ac:dyDescent="0.2">
      <c r="D1682" s="65"/>
      <c r="M1682" s="65"/>
      <c r="Z1682" s="65"/>
      <c r="AI1682" s="65"/>
      <c r="AR1682" s="65"/>
    </row>
    <row r="1683" spans="4:44" x14ac:dyDescent="0.2">
      <c r="D1683" s="65"/>
      <c r="M1683" s="65"/>
      <c r="Z1683" s="65"/>
      <c r="AI1683" s="65"/>
      <c r="AR1683" s="65"/>
    </row>
    <row r="1684" spans="4:44" x14ac:dyDescent="0.2">
      <c r="D1684" s="65"/>
      <c r="M1684" s="65"/>
      <c r="Z1684" s="65"/>
      <c r="AI1684" s="65"/>
      <c r="AR1684" s="65"/>
    </row>
    <row r="1685" spans="4:44" x14ac:dyDescent="0.2">
      <c r="D1685" s="65"/>
      <c r="M1685" s="65"/>
      <c r="Z1685" s="65"/>
      <c r="AI1685" s="65"/>
      <c r="AR1685" s="65"/>
    </row>
    <row r="1686" spans="4:44" x14ac:dyDescent="0.2">
      <c r="D1686" s="65"/>
      <c r="M1686" s="65"/>
      <c r="Z1686" s="65"/>
      <c r="AI1686" s="65"/>
      <c r="AR1686" s="65"/>
    </row>
    <row r="1687" spans="4:44" x14ac:dyDescent="0.2">
      <c r="D1687" s="65"/>
      <c r="M1687" s="65"/>
      <c r="Z1687" s="65"/>
      <c r="AI1687" s="65"/>
      <c r="AR1687" s="65"/>
    </row>
    <row r="1688" spans="4:44" x14ac:dyDescent="0.2">
      <c r="D1688" s="65"/>
      <c r="M1688" s="65"/>
      <c r="Z1688" s="65"/>
      <c r="AI1688" s="65"/>
      <c r="AR1688" s="65"/>
    </row>
    <row r="1689" spans="4:44" x14ac:dyDescent="0.2">
      <c r="D1689" s="65"/>
      <c r="M1689" s="65"/>
      <c r="Z1689" s="65"/>
      <c r="AI1689" s="65"/>
      <c r="AR1689" s="65"/>
    </row>
    <row r="1690" spans="4:44" x14ac:dyDescent="0.2">
      <c r="D1690" s="65"/>
      <c r="M1690" s="65"/>
      <c r="Z1690" s="65"/>
      <c r="AI1690" s="65"/>
      <c r="AR1690" s="65"/>
    </row>
    <row r="1691" spans="4:44" x14ac:dyDescent="0.2">
      <c r="D1691" s="65"/>
      <c r="M1691" s="65"/>
      <c r="Z1691" s="65"/>
      <c r="AI1691" s="65"/>
      <c r="AR1691" s="65"/>
    </row>
    <row r="1692" spans="4:44" x14ac:dyDescent="0.2">
      <c r="D1692" s="65"/>
      <c r="M1692" s="65"/>
      <c r="Z1692" s="65"/>
      <c r="AI1692" s="65"/>
      <c r="AR1692" s="65"/>
    </row>
    <row r="1693" spans="4:44" x14ac:dyDescent="0.2">
      <c r="D1693" s="65"/>
      <c r="M1693" s="65"/>
      <c r="Z1693" s="65"/>
      <c r="AI1693" s="65"/>
      <c r="AR1693" s="65"/>
    </row>
    <row r="1694" spans="4:44" x14ac:dyDescent="0.2">
      <c r="D1694" s="65"/>
      <c r="M1694" s="65"/>
      <c r="Z1694" s="65"/>
      <c r="AI1694" s="65"/>
      <c r="AR1694" s="65"/>
    </row>
    <row r="1695" spans="4:44" x14ac:dyDescent="0.2">
      <c r="D1695" s="65"/>
      <c r="M1695" s="65"/>
      <c r="Z1695" s="65"/>
      <c r="AI1695" s="65"/>
      <c r="AR1695" s="65"/>
    </row>
    <row r="1696" spans="4:44" x14ac:dyDescent="0.2">
      <c r="D1696" s="65"/>
      <c r="M1696" s="65"/>
      <c r="Z1696" s="65"/>
      <c r="AI1696" s="65"/>
      <c r="AR1696" s="65"/>
    </row>
    <row r="1697" spans="4:44" x14ac:dyDescent="0.2">
      <c r="D1697" s="65"/>
      <c r="M1697" s="65"/>
      <c r="Z1697" s="65"/>
      <c r="AI1697" s="65"/>
      <c r="AR1697" s="65"/>
    </row>
    <row r="1698" spans="4:44" x14ac:dyDescent="0.2">
      <c r="D1698" s="65"/>
      <c r="M1698" s="65"/>
      <c r="Z1698" s="65"/>
      <c r="AI1698" s="65"/>
      <c r="AR1698" s="65"/>
    </row>
    <row r="1699" spans="4:44" x14ac:dyDescent="0.2">
      <c r="D1699" s="65"/>
      <c r="M1699" s="65"/>
      <c r="Z1699" s="65"/>
      <c r="AI1699" s="65"/>
      <c r="AR1699" s="65"/>
    </row>
    <row r="1700" spans="4:44" x14ac:dyDescent="0.2">
      <c r="D1700" s="65"/>
      <c r="M1700" s="65"/>
      <c r="Z1700" s="65"/>
      <c r="AI1700" s="65"/>
      <c r="AR1700" s="65"/>
    </row>
    <row r="1701" spans="4:44" x14ac:dyDescent="0.2">
      <c r="D1701" s="65"/>
      <c r="M1701" s="65"/>
      <c r="Z1701" s="65"/>
      <c r="AI1701" s="65"/>
      <c r="AR1701" s="65"/>
    </row>
    <row r="1702" spans="4:44" x14ac:dyDescent="0.2">
      <c r="D1702" s="65"/>
      <c r="M1702" s="65"/>
      <c r="Z1702" s="65"/>
      <c r="AI1702" s="65"/>
      <c r="AR1702" s="65"/>
    </row>
    <row r="1703" spans="4:44" x14ac:dyDescent="0.2">
      <c r="D1703" s="65"/>
      <c r="M1703" s="65"/>
      <c r="Z1703" s="65"/>
      <c r="AI1703" s="65"/>
      <c r="AR1703" s="65"/>
    </row>
    <row r="1704" spans="4:44" x14ac:dyDescent="0.2">
      <c r="D1704" s="65"/>
      <c r="M1704" s="65"/>
      <c r="Z1704" s="65"/>
      <c r="AI1704" s="65"/>
      <c r="AR1704" s="65"/>
    </row>
    <row r="1705" spans="4:44" x14ac:dyDescent="0.2">
      <c r="D1705" s="65"/>
      <c r="M1705" s="65"/>
      <c r="Z1705" s="65"/>
      <c r="AI1705" s="65"/>
      <c r="AR1705" s="65"/>
    </row>
    <row r="1706" spans="4:44" x14ac:dyDescent="0.2">
      <c r="D1706" s="65"/>
      <c r="M1706" s="65"/>
      <c r="Z1706" s="65"/>
      <c r="AI1706" s="65"/>
      <c r="AR1706" s="65"/>
    </row>
    <row r="1707" spans="4:44" x14ac:dyDescent="0.2">
      <c r="D1707" s="65"/>
      <c r="M1707" s="65"/>
      <c r="Z1707" s="65"/>
      <c r="AI1707" s="65"/>
      <c r="AR1707" s="65"/>
    </row>
    <row r="1708" spans="4:44" x14ac:dyDescent="0.2">
      <c r="D1708" s="65"/>
      <c r="M1708" s="65"/>
      <c r="Z1708" s="65"/>
      <c r="AI1708" s="65"/>
      <c r="AR1708" s="65"/>
    </row>
    <row r="1709" spans="4:44" x14ac:dyDescent="0.2">
      <c r="D1709" s="65"/>
      <c r="M1709" s="65"/>
      <c r="Z1709" s="65"/>
      <c r="AI1709" s="65"/>
      <c r="AR1709" s="65"/>
    </row>
    <row r="1710" spans="4:44" x14ac:dyDescent="0.2">
      <c r="D1710" s="65"/>
      <c r="M1710" s="65"/>
      <c r="Z1710" s="65"/>
      <c r="AI1710" s="65"/>
      <c r="AR1710" s="65"/>
    </row>
    <row r="1711" spans="4:44" x14ac:dyDescent="0.2">
      <c r="D1711" s="65"/>
      <c r="M1711" s="65"/>
      <c r="Z1711" s="65"/>
      <c r="AI1711" s="65"/>
      <c r="AR1711" s="65"/>
    </row>
    <row r="1712" spans="4:44" x14ac:dyDescent="0.2">
      <c r="D1712" s="65"/>
      <c r="M1712" s="65"/>
      <c r="Z1712" s="65"/>
      <c r="AI1712" s="65"/>
      <c r="AR1712" s="65"/>
    </row>
    <row r="1713" spans="4:44" x14ac:dyDescent="0.2">
      <c r="D1713" s="65"/>
      <c r="M1713" s="65"/>
      <c r="Z1713" s="65"/>
      <c r="AI1713" s="65"/>
      <c r="AR1713" s="65"/>
    </row>
    <row r="1714" spans="4:44" x14ac:dyDescent="0.2">
      <c r="D1714" s="65"/>
      <c r="M1714" s="65"/>
      <c r="Z1714" s="65"/>
      <c r="AI1714" s="65"/>
      <c r="AR1714" s="65"/>
    </row>
    <row r="1715" spans="4:44" x14ac:dyDescent="0.2">
      <c r="D1715" s="65"/>
      <c r="M1715" s="65"/>
      <c r="Z1715" s="65"/>
      <c r="AI1715" s="65"/>
      <c r="AR1715" s="65"/>
    </row>
    <row r="1716" spans="4:44" x14ac:dyDescent="0.2">
      <c r="D1716" s="65"/>
      <c r="M1716" s="65"/>
      <c r="Z1716" s="65"/>
      <c r="AI1716" s="65"/>
      <c r="AR1716" s="65"/>
    </row>
    <row r="1717" spans="4:44" x14ac:dyDescent="0.2">
      <c r="D1717" s="65"/>
      <c r="M1717" s="65"/>
      <c r="Z1717" s="65"/>
      <c r="AI1717" s="65"/>
      <c r="AR1717" s="65"/>
    </row>
    <row r="1718" spans="4:44" x14ac:dyDescent="0.2">
      <c r="D1718" s="65"/>
      <c r="M1718" s="65"/>
      <c r="Z1718" s="65"/>
      <c r="AI1718" s="65"/>
      <c r="AR1718" s="65"/>
    </row>
    <row r="1719" spans="4:44" x14ac:dyDescent="0.2">
      <c r="D1719" s="65"/>
      <c r="M1719" s="65"/>
      <c r="Z1719" s="65"/>
      <c r="AI1719" s="65"/>
      <c r="AR1719" s="65"/>
    </row>
    <row r="1720" spans="4:44" x14ac:dyDescent="0.2">
      <c r="D1720" s="65"/>
      <c r="M1720" s="65"/>
      <c r="Z1720" s="65"/>
      <c r="AI1720" s="65"/>
      <c r="AR1720" s="65"/>
    </row>
    <row r="1721" spans="4:44" x14ac:dyDescent="0.2">
      <c r="D1721" s="65"/>
      <c r="M1721" s="65"/>
      <c r="Z1721" s="65"/>
      <c r="AI1721" s="65"/>
      <c r="AR1721" s="65"/>
    </row>
    <row r="1722" spans="4:44" x14ac:dyDescent="0.2">
      <c r="D1722" s="65"/>
      <c r="M1722" s="65"/>
      <c r="Z1722" s="65"/>
      <c r="AI1722" s="65"/>
      <c r="AR1722" s="65"/>
    </row>
    <row r="1723" spans="4:44" x14ac:dyDescent="0.2">
      <c r="D1723" s="65"/>
      <c r="M1723" s="65"/>
      <c r="Z1723" s="65"/>
      <c r="AI1723" s="65"/>
      <c r="AR1723" s="65"/>
    </row>
    <row r="1724" spans="4:44" x14ac:dyDescent="0.2">
      <c r="D1724" s="65"/>
      <c r="M1724" s="65"/>
      <c r="Z1724" s="65"/>
      <c r="AI1724" s="65"/>
      <c r="AR1724" s="65"/>
    </row>
    <row r="1725" spans="4:44" x14ac:dyDescent="0.2">
      <c r="D1725" s="65"/>
      <c r="M1725" s="65"/>
      <c r="Z1725" s="65"/>
      <c r="AI1725" s="65"/>
      <c r="AR1725" s="65"/>
    </row>
    <row r="1726" spans="4:44" x14ac:dyDescent="0.2">
      <c r="D1726" s="65"/>
      <c r="M1726" s="65"/>
      <c r="Z1726" s="65"/>
      <c r="AI1726" s="65"/>
      <c r="AR1726" s="65"/>
    </row>
    <row r="1727" spans="4:44" x14ac:dyDescent="0.2">
      <c r="D1727" s="65"/>
      <c r="M1727" s="65"/>
      <c r="Z1727" s="65"/>
      <c r="AI1727" s="65"/>
      <c r="AR1727" s="65"/>
    </row>
    <row r="1728" spans="4:44" x14ac:dyDescent="0.2">
      <c r="D1728" s="65"/>
      <c r="M1728" s="65"/>
      <c r="Z1728" s="65"/>
      <c r="AI1728" s="65"/>
      <c r="AR1728" s="65"/>
    </row>
    <row r="1729" spans="4:44" x14ac:dyDescent="0.2">
      <c r="D1729" s="65"/>
      <c r="M1729" s="65"/>
      <c r="Z1729" s="65"/>
      <c r="AI1729" s="65"/>
      <c r="AR1729" s="65"/>
    </row>
    <row r="1730" spans="4:44" x14ac:dyDescent="0.2">
      <c r="D1730" s="65"/>
      <c r="M1730" s="65"/>
      <c r="Z1730" s="65"/>
      <c r="AI1730" s="65"/>
      <c r="AR1730" s="65"/>
    </row>
    <row r="1731" spans="4:44" x14ac:dyDescent="0.2">
      <c r="D1731" s="65"/>
      <c r="M1731" s="65"/>
      <c r="Z1731" s="65"/>
      <c r="AI1731" s="65"/>
      <c r="AR1731" s="65"/>
    </row>
    <row r="1732" spans="4:44" x14ac:dyDescent="0.2">
      <c r="D1732" s="65"/>
      <c r="M1732" s="65"/>
      <c r="Z1732" s="65"/>
      <c r="AI1732" s="65"/>
      <c r="AR1732" s="65"/>
    </row>
    <row r="1733" spans="4:44" x14ac:dyDescent="0.2">
      <c r="D1733" s="65"/>
      <c r="M1733" s="65"/>
      <c r="Z1733" s="65"/>
      <c r="AI1733" s="65"/>
      <c r="AR1733" s="65"/>
    </row>
    <row r="1734" spans="4:44" x14ac:dyDescent="0.2">
      <c r="D1734" s="65"/>
      <c r="M1734" s="65"/>
      <c r="Z1734" s="65"/>
      <c r="AI1734" s="65"/>
      <c r="AR1734" s="65"/>
    </row>
    <row r="1735" spans="4:44" x14ac:dyDescent="0.2">
      <c r="D1735" s="65"/>
      <c r="M1735" s="65"/>
      <c r="Z1735" s="65"/>
      <c r="AI1735" s="65"/>
      <c r="AR1735" s="65"/>
    </row>
    <row r="1736" spans="4:44" x14ac:dyDescent="0.2">
      <c r="D1736" s="65"/>
      <c r="M1736" s="65"/>
      <c r="Z1736" s="65"/>
      <c r="AI1736" s="65"/>
      <c r="AR1736" s="65"/>
    </row>
    <row r="1737" spans="4:44" x14ac:dyDescent="0.2">
      <c r="D1737" s="65"/>
      <c r="M1737" s="65"/>
      <c r="Z1737" s="65"/>
      <c r="AI1737" s="65"/>
      <c r="AR1737" s="65"/>
    </row>
    <row r="1738" spans="4:44" x14ac:dyDescent="0.2">
      <c r="D1738" s="65"/>
      <c r="M1738" s="65"/>
      <c r="Z1738" s="65"/>
      <c r="AI1738" s="65"/>
      <c r="AR1738" s="65"/>
    </row>
    <row r="1739" spans="4:44" x14ac:dyDescent="0.2">
      <c r="D1739" s="65"/>
      <c r="M1739" s="65"/>
      <c r="Z1739" s="65"/>
      <c r="AI1739" s="65"/>
      <c r="AR1739" s="65"/>
    </row>
    <row r="1740" spans="4:44" x14ac:dyDescent="0.2">
      <c r="D1740" s="65"/>
      <c r="M1740" s="65"/>
      <c r="Z1740" s="65"/>
      <c r="AI1740" s="65"/>
      <c r="AR1740" s="65"/>
    </row>
    <row r="1741" spans="4:44" x14ac:dyDescent="0.2">
      <c r="D1741" s="65"/>
      <c r="M1741" s="65"/>
      <c r="Z1741" s="65"/>
      <c r="AI1741" s="65"/>
      <c r="AR1741" s="65"/>
    </row>
    <row r="1742" spans="4:44" x14ac:dyDescent="0.2">
      <c r="D1742" s="65"/>
      <c r="M1742" s="65"/>
      <c r="Z1742" s="65"/>
      <c r="AI1742" s="65"/>
      <c r="AR1742" s="65"/>
    </row>
    <row r="1743" spans="4:44" x14ac:dyDescent="0.2">
      <c r="D1743" s="65"/>
      <c r="M1743" s="65"/>
      <c r="Z1743" s="65"/>
      <c r="AI1743" s="65"/>
      <c r="AR1743" s="65"/>
    </row>
    <row r="1744" spans="4:44" x14ac:dyDescent="0.2">
      <c r="D1744" s="65"/>
      <c r="M1744" s="65"/>
      <c r="Z1744" s="65"/>
      <c r="AI1744" s="65"/>
      <c r="AR1744" s="65"/>
    </row>
    <row r="1745" spans="4:44" x14ac:dyDescent="0.2">
      <c r="D1745" s="65"/>
      <c r="M1745" s="65"/>
      <c r="Z1745" s="65"/>
      <c r="AI1745" s="65"/>
      <c r="AR1745" s="65"/>
    </row>
    <row r="1746" spans="4:44" x14ac:dyDescent="0.2">
      <c r="D1746" s="65"/>
      <c r="M1746" s="65"/>
      <c r="Z1746" s="65"/>
      <c r="AI1746" s="65"/>
      <c r="AR1746" s="65"/>
    </row>
    <row r="1747" spans="4:44" x14ac:dyDescent="0.2">
      <c r="D1747" s="65"/>
      <c r="M1747" s="65"/>
      <c r="Z1747" s="65"/>
      <c r="AI1747" s="65"/>
      <c r="AR1747" s="65"/>
    </row>
    <row r="1748" spans="4:44" x14ac:dyDescent="0.2">
      <c r="D1748" s="65"/>
      <c r="M1748" s="65"/>
      <c r="Z1748" s="65"/>
      <c r="AI1748" s="65"/>
      <c r="AR1748" s="65"/>
    </row>
    <row r="1749" spans="4:44" x14ac:dyDescent="0.2">
      <c r="D1749" s="65"/>
      <c r="M1749" s="65"/>
      <c r="Z1749" s="65"/>
      <c r="AI1749" s="65"/>
      <c r="AR1749" s="65"/>
    </row>
    <row r="1750" spans="4:44" x14ac:dyDescent="0.2">
      <c r="D1750" s="65"/>
      <c r="M1750" s="65"/>
      <c r="Z1750" s="65"/>
      <c r="AI1750" s="65"/>
      <c r="AR1750" s="65"/>
    </row>
    <row r="1751" spans="4:44" x14ac:dyDescent="0.2">
      <c r="D1751" s="65"/>
      <c r="M1751" s="65"/>
      <c r="Z1751" s="65"/>
      <c r="AI1751" s="65"/>
      <c r="AR1751" s="65"/>
    </row>
    <row r="1752" spans="4:44" x14ac:dyDescent="0.2">
      <c r="D1752" s="65"/>
      <c r="M1752" s="65"/>
      <c r="Z1752" s="65"/>
      <c r="AI1752" s="65"/>
      <c r="AR1752" s="65"/>
    </row>
    <row r="1753" spans="4:44" x14ac:dyDescent="0.2">
      <c r="D1753" s="65"/>
      <c r="M1753" s="65"/>
      <c r="Z1753" s="65"/>
      <c r="AI1753" s="65"/>
      <c r="AR1753" s="65"/>
    </row>
    <row r="1754" spans="4:44" x14ac:dyDescent="0.2">
      <c r="D1754" s="65"/>
      <c r="M1754" s="65"/>
      <c r="Z1754" s="65"/>
      <c r="AI1754" s="65"/>
      <c r="AR1754" s="65"/>
    </row>
    <row r="1755" spans="4:44" x14ac:dyDescent="0.2">
      <c r="D1755" s="65"/>
      <c r="M1755" s="65"/>
      <c r="Z1755" s="65"/>
      <c r="AI1755" s="65"/>
      <c r="AR1755" s="65"/>
    </row>
    <row r="1756" spans="4:44" x14ac:dyDescent="0.2">
      <c r="D1756" s="65"/>
      <c r="M1756" s="65"/>
      <c r="Z1756" s="65"/>
      <c r="AI1756" s="65"/>
      <c r="AR1756" s="65"/>
    </row>
    <row r="1757" spans="4:44" x14ac:dyDescent="0.2">
      <c r="D1757" s="65"/>
      <c r="M1757" s="65"/>
      <c r="Z1757" s="65"/>
      <c r="AI1757" s="65"/>
      <c r="AR1757" s="65"/>
    </row>
    <row r="1758" spans="4:44" x14ac:dyDescent="0.2">
      <c r="D1758" s="65"/>
      <c r="M1758" s="65"/>
      <c r="Z1758" s="65"/>
      <c r="AI1758" s="65"/>
      <c r="AR1758" s="65"/>
    </row>
    <row r="1759" spans="4:44" x14ac:dyDescent="0.2">
      <c r="D1759" s="65"/>
      <c r="M1759" s="65"/>
      <c r="Z1759" s="65"/>
      <c r="AI1759" s="65"/>
      <c r="AR1759" s="65"/>
    </row>
    <row r="1760" spans="4:44" x14ac:dyDescent="0.2">
      <c r="D1760" s="65"/>
      <c r="M1760" s="65"/>
      <c r="Z1760" s="65"/>
      <c r="AI1760" s="65"/>
      <c r="AR1760" s="65"/>
    </row>
    <row r="1761" spans="4:44" x14ac:dyDescent="0.2">
      <c r="D1761" s="65"/>
      <c r="M1761" s="65"/>
      <c r="Z1761" s="65"/>
      <c r="AI1761" s="65"/>
      <c r="AR1761" s="65"/>
    </row>
    <row r="1762" spans="4:44" x14ac:dyDescent="0.2">
      <c r="D1762" s="65"/>
      <c r="M1762" s="65"/>
      <c r="Z1762" s="65"/>
      <c r="AI1762" s="65"/>
      <c r="AR1762" s="65"/>
    </row>
    <row r="1763" spans="4:44" x14ac:dyDescent="0.2">
      <c r="D1763" s="65"/>
      <c r="M1763" s="65"/>
      <c r="Z1763" s="65"/>
      <c r="AI1763" s="65"/>
      <c r="AR1763" s="65"/>
    </row>
    <row r="1764" spans="4:44" x14ac:dyDescent="0.2">
      <c r="D1764" s="65"/>
      <c r="M1764" s="65"/>
      <c r="Z1764" s="65"/>
      <c r="AI1764" s="65"/>
      <c r="AR1764" s="65"/>
    </row>
    <row r="1765" spans="4:44" x14ac:dyDescent="0.2">
      <c r="D1765" s="65"/>
      <c r="M1765" s="65"/>
      <c r="Z1765" s="65"/>
      <c r="AI1765" s="65"/>
      <c r="AR1765" s="65"/>
    </row>
    <row r="1766" spans="4:44" x14ac:dyDescent="0.2">
      <c r="D1766" s="65"/>
      <c r="M1766" s="65"/>
      <c r="Z1766" s="65"/>
      <c r="AI1766" s="65"/>
      <c r="AR1766" s="65"/>
    </row>
    <row r="1767" spans="4:44" x14ac:dyDescent="0.2">
      <c r="D1767" s="65"/>
      <c r="M1767" s="65"/>
      <c r="Z1767" s="65"/>
      <c r="AI1767" s="65"/>
      <c r="AR1767" s="65"/>
    </row>
    <row r="1768" spans="4:44" x14ac:dyDescent="0.2">
      <c r="D1768" s="65"/>
      <c r="M1768" s="65"/>
      <c r="Z1768" s="65"/>
      <c r="AI1768" s="65"/>
      <c r="AR1768" s="65"/>
    </row>
    <row r="1769" spans="4:44" x14ac:dyDescent="0.2">
      <c r="D1769" s="65"/>
      <c r="M1769" s="65"/>
      <c r="Z1769" s="65"/>
      <c r="AI1769" s="65"/>
      <c r="AR1769" s="65"/>
    </row>
    <row r="1770" spans="4:44" x14ac:dyDescent="0.2">
      <c r="D1770" s="65"/>
      <c r="M1770" s="65"/>
      <c r="Z1770" s="65"/>
      <c r="AI1770" s="65"/>
      <c r="AR1770" s="65"/>
    </row>
    <row r="1771" spans="4:44" x14ac:dyDescent="0.2">
      <c r="D1771" s="65"/>
      <c r="M1771" s="65"/>
      <c r="Z1771" s="65"/>
      <c r="AI1771" s="65"/>
      <c r="AR1771" s="65"/>
    </row>
    <row r="1772" spans="4:44" x14ac:dyDescent="0.2">
      <c r="D1772" s="65"/>
      <c r="M1772" s="65"/>
      <c r="Z1772" s="65"/>
      <c r="AI1772" s="65"/>
      <c r="AR1772" s="65"/>
    </row>
    <row r="1773" spans="4:44" x14ac:dyDescent="0.2">
      <c r="D1773" s="65"/>
      <c r="M1773" s="65"/>
      <c r="Z1773" s="65"/>
      <c r="AI1773" s="65"/>
      <c r="AR1773" s="65"/>
    </row>
    <row r="1774" spans="4:44" x14ac:dyDescent="0.2">
      <c r="D1774" s="65"/>
      <c r="M1774" s="65"/>
      <c r="Z1774" s="65"/>
      <c r="AI1774" s="65"/>
      <c r="AR1774" s="65"/>
    </row>
    <row r="1775" spans="4:44" x14ac:dyDescent="0.2">
      <c r="D1775" s="65"/>
      <c r="M1775" s="65"/>
      <c r="Z1775" s="65"/>
      <c r="AI1775" s="65"/>
      <c r="AR1775" s="65"/>
    </row>
    <row r="1776" spans="4:44" x14ac:dyDescent="0.2">
      <c r="D1776" s="65"/>
      <c r="M1776" s="65"/>
      <c r="Z1776" s="65"/>
      <c r="AI1776" s="65"/>
      <c r="AR1776" s="65"/>
    </row>
    <row r="1777" spans="4:44" x14ac:dyDescent="0.2">
      <c r="D1777" s="65"/>
      <c r="M1777" s="65"/>
      <c r="Z1777" s="65"/>
      <c r="AI1777" s="65"/>
      <c r="AR1777" s="65"/>
    </row>
    <row r="1778" spans="4:44" x14ac:dyDescent="0.2">
      <c r="D1778" s="65"/>
      <c r="M1778" s="65"/>
      <c r="Z1778" s="65"/>
      <c r="AI1778" s="65"/>
      <c r="AR1778" s="65"/>
    </row>
    <row r="1779" spans="4:44" x14ac:dyDescent="0.2">
      <c r="D1779" s="65"/>
      <c r="M1779" s="65"/>
      <c r="Z1779" s="65"/>
      <c r="AI1779" s="65"/>
      <c r="AR1779" s="65"/>
    </row>
    <row r="1780" spans="4:44" x14ac:dyDescent="0.2">
      <c r="D1780" s="65"/>
      <c r="M1780" s="65"/>
      <c r="Z1780" s="65"/>
      <c r="AI1780" s="65"/>
      <c r="AR1780" s="65"/>
    </row>
    <row r="1781" spans="4:44" x14ac:dyDescent="0.2">
      <c r="D1781" s="65"/>
      <c r="M1781" s="65"/>
      <c r="Z1781" s="65"/>
      <c r="AI1781" s="65"/>
      <c r="AR1781" s="65"/>
    </row>
    <row r="1782" spans="4:44" x14ac:dyDescent="0.2">
      <c r="D1782" s="65"/>
      <c r="M1782" s="65"/>
      <c r="Z1782" s="65"/>
      <c r="AI1782" s="65"/>
      <c r="AR1782" s="65"/>
    </row>
    <row r="1783" spans="4:44" x14ac:dyDescent="0.2">
      <c r="D1783" s="65"/>
      <c r="M1783" s="65"/>
      <c r="Z1783" s="65"/>
      <c r="AI1783" s="65"/>
      <c r="AR1783" s="65"/>
    </row>
    <row r="1784" spans="4:44" x14ac:dyDescent="0.2">
      <c r="D1784" s="65"/>
      <c r="M1784" s="65"/>
      <c r="Z1784" s="65"/>
      <c r="AI1784" s="65"/>
      <c r="AR1784" s="65"/>
    </row>
    <row r="1785" spans="4:44" x14ac:dyDescent="0.2">
      <c r="D1785" s="65"/>
      <c r="M1785" s="65"/>
      <c r="Z1785" s="65"/>
      <c r="AI1785" s="65"/>
      <c r="AR1785" s="65"/>
    </row>
    <row r="1786" spans="4:44" x14ac:dyDescent="0.2">
      <c r="D1786" s="65"/>
      <c r="M1786" s="65"/>
      <c r="Z1786" s="65"/>
      <c r="AI1786" s="65"/>
      <c r="AR1786" s="65"/>
    </row>
    <row r="1787" spans="4:44" x14ac:dyDescent="0.2">
      <c r="D1787" s="65"/>
      <c r="M1787" s="65"/>
      <c r="Z1787" s="65"/>
      <c r="AI1787" s="65"/>
      <c r="AR1787" s="65"/>
    </row>
    <row r="1788" spans="4:44" x14ac:dyDescent="0.2">
      <c r="D1788" s="65"/>
      <c r="M1788" s="65"/>
      <c r="Z1788" s="65"/>
      <c r="AI1788" s="65"/>
      <c r="AR1788" s="65"/>
    </row>
    <row r="1789" spans="4:44" x14ac:dyDescent="0.2">
      <c r="D1789" s="65"/>
      <c r="M1789" s="65"/>
      <c r="Z1789" s="65"/>
      <c r="AI1789" s="65"/>
      <c r="AR1789" s="65"/>
    </row>
    <row r="1790" spans="4:44" x14ac:dyDescent="0.2">
      <c r="D1790" s="65"/>
      <c r="M1790" s="65"/>
      <c r="Z1790" s="65"/>
      <c r="AI1790" s="65"/>
      <c r="AR1790" s="65"/>
    </row>
    <row r="1791" spans="4:44" x14ac:dyDescent="0.2">
      <c r="D1791" s="65"/>
      <c r="M1791" s="65"/>
      <c r="Z1791" s="65"/>
      <c r="AI1791" s="65"/>
      <c r="AR1791" s="65"/>
    </row>
    <row r="1792" spans="4:44" x14ac:dyDescent="0.2">
      <c r="D1792" s="65"/>
      <c r="M1792" s="65"/>
      <c r="Z1792" s="65"/>
      <c r="AI1792" s="65"/>
      <c r="AR1792" s="65"/>
    </row>
    <row r="1793" spans="4:44" x14ac:dyDescent="0.2">
      <c r="D1793" s="65"/>
      <c r="M1793" s="65"/>
      <c r="Z1793" s="65"/>
      <c r="AI1793" s="65"/>
      <c r="AR1793" s="65"/>
    </row>
    <row r="1794" spans="4:44" x14ac:dyDescent="0.2">
      <c r="D1794" s="65"/>
      <c r="M1794" s="65"/>
      <c r="Z1794" s="65"/>
      <c r="AI1794" s="65"/>
      <c r="AR1794" s="65"/>
    </row>
    <row r="1795" spans="4:44" x14ac:dyDescent="0.2">
      <c r="D1795" s="65"/>
      <c r="M1795" s="65"/>
      <c r="Z1795" s="65"/>
      <c r="AI1795" s="65"/>
      <c r="AR1795" s="65"/>
    </row>
    <row r="1796" spans="4:44" x14ac:dyDescent="0.2">
      <c r="D1796" s="65"/>
      <c r="M1796" s="65"/>
      <c r="Z1796" s="65"/>
      <c r="AI1796" s="65"/>
      <c r="AR1796" s="65"/>
    </row>
    <row r="1797" spans="4:44" x14ac:dyDescent="0.2">
      <c r="D1797" s="65"/>
      <c r="M1797" s="65"/>
      <c r="Z1797" s="65"/>
      <c r="AI1797" s="65"/>
      <c r="AR1797" s="65"/>
    </row>
    <row r="1798" spans="4:44" x14ac:dyDescent="0.2">
      <c r="D1798" s="65"/>
      <c r="M1798" s="65"/>
      <c r="Z1798" s="65"/>
      <c r="AI1798" s="65"/>
      <c r="AR1798" s="65"/>
    </row>
    <row r="1799" spans="4:44" x14ac:dyDescent="0.2">
      <c r="D1799" s="65"/>
      <c r="M1799" s="65"/>
      <c r="Z1799" s="65"/>
      <c r="AI1799" s="65"/>
      <c r="AR1799" s="65"/>
    </row>
    <row r="1800" spans="4:44" x14ac:dyDescent="0.2">
      <c r="D1800" s="65"/>
      <c r="M1800" s="65"/>
      <c r="Z1800" s="65"/>
      <c r="AI1800" s="65"/>
      <c r="AR1800" s="65"/>
    </row>
    <row r="1801" spans="4:44" x14ac:dyDescent="0.2">
      <c r="D1801" s="65"/>
      <c r="M1801" s="65"/>
      <c r="Z1801" s="65"/>
      <c r="AI1801" s="65"/>
      <c r="AR1801" s="65"/>
    </row>
    <row r="1802" spans="4:44" x14ac:dyDescent="0.2">
      <c r="D1802" s="65"/>
      <c r="M1802" s="65"/>
      <c r="Z1802" s="65"/>
      <c r="AI1802" s="65"/>
      <c r="AR1802" s="65"/>
    </row>
    <row r="1803" spans="4:44" x14ac:dyDescent="0.2">
      <c r="D1803" s="65"/>
      <c r="M1803" s="65"/>
      <c r="Z1803" s="65"/>
      <c r="AI1803" s="65"/>
      <c r="AR1803" s="65"/>
    </row>
    <row r="1804" spans="4:44" x14ac:dyDescent="0.2">
      <c r="D1804" s="65"/>
      <c r="M1804" s="65"/>
      <c r="Z1804" s="65"/>
      <c r="AI1804" s="65"/>
      <c r="AR1804" s="65"/>
    </row>
    <row r="1805" spans="4:44" x14ac:dyDescent="0.2">
      <c r="D1805" s="65"/>
      <c r="M1805" s="65"/>
      <c r="Z1805" s="65"/>
      <c r="AI1805" s="65"/>
      <c r="AR1805" s="65"/>
    </row>
    <row r="1806" spans="4:44" x14ac:dyDescent="0.2">
      <c r="D1806" s="65"/>
      <c r="M1806" s="65"/>
      <c r="Z1806" s="65"/>
      <c r="AI1806" s="65"/>
      <c r="AR1806" s="65"/>
    </row>
    <row r="1807" spans="4:44" x14ac:dyDescent="0.2">
      <c r="D1807" s="65"/>
      <c r="M1807" s="65"/>
      <c r="Z1807" s="65"/>
      <c r="AI1807" s="65"/>
      <c r="AR1807" s="65"/>
    </row>
    <row r="1808" spans="4:44" x14ac:dyDescent="0.2">
      <c r="D1808" s="65"/>
      <c r="M1808" s="65"/>
      <c r="Z1808" s="65"/>
      <c r="AI1808" s="65"/>
      <c r="AR1808" s="65"/>
    </row>
    <row r="1809" spans="4:44" x14ac:dyDescent="0.2">
      <c r="D1809" s="65"/>
      <c r="M1809" s="65"/>
      <c r="Z1809" s="65"/>
      <c r="AI1809" s="65"/>
      <c r="AR1809" s="65"/>
    </row>
    <row r="1810" spans="4:44" x14ac:dyDescent="0.2">
      <c r="D1810" s="65"/>
      <c r="M1810" s="65"/>
      <c r="Z1810" s="65"/>
      <c r="AI1810" s="65"/>
      <c r="AR1810" s="65"/>
    </row>
    <row r="1811" spans="4:44" x14ac:dyDescent="0.2">
      <c r="D1811" s="65"/>
      <c r="M1811" s="65"/>
      <c r="Z1811" s="65"/>
      <c r="AI1811" s="65"/>
      <c r="AR1811" s="65"/>
    </row>
    <row r="1812" spans="4:44" x14ac:dyDescent="0.2">
      <c r="D1812" s="65"/>
      <c r="M1812" s="65"/>
      <c r="Z1812" s="65"/>
      <c r="AI1812" s="65"/>
      <c r="AR1812" s="65"/>
    </row>
    <row r="1813" spans="4:44" x14ac:dyDescent="0.2">
      <c r="D1813" s="65"/>
      <c r="M1813" s="65"/>
      <c r="Z1813" s="65"/>
      <c r="AI1813" s="65"/>
      <c r="AR1813" s="65"/>
    </row>
    <row r="1814" spans="4:44" x14ac:dyDescent="0.2">
      <c r="D1814" s="65"/>
      <c r="M1814" s="65"/>
      <c r="Z1814" s="65"/>
      <c r="AI1814" s="65"/>
      <c r="AR1814" s="65"/>
    </row>
    <row r="1815" spans="4:44" x14ac:dyDescent="0.2">
      <c r="D1815" s="65"/>
      <c r="M1815" s="65"/>
      <c r="Z1815" s="65"/>
      <c r="AI1815" s="65"/>
      <c r="AR1815" s="65"/>
    </row>
    <row r="1816" spans="4:44" x14ac:dyDescent="0.2">
      <c r="D1816" s="65"/>
      <c r="M1816" s="65"/>
      <c r="Z1816" s="65"/>
      <c r="AI1816" s="65"/>
      <c r="AR1816" s="65"/>
    </row>
    <row r="1817" spans="4:44" x14ac:dyDescent="0.2">
      <c r="D1817" s="65"/>
      <c r="M1817" s="65"/>
      <c r="Z1817" s="65"/>
      <c r="AI1817" s="65"/>
      <c r="AR1817" s="65"/>
    </row>
    <row r="1818" spans="4:44" x14ac:dyDescent="0.2">
      <c r="D1818" s="65"/>
      <c r="M1818" s="65"/>
      <c r="Z1818" s="65"/>
      <c r="AI1818" s="65"/>
      <c r="AR1818" s="65"/>
    </row>
    <row r="1819" spans="4:44" x14ac:dyDescent="0.2">
      <c r="D1819" s="65"/>
      <c r="M1819" s="65"/>
      <c r="Z1819" s="65"/>
      <c r="AI1819" s="65"/>
      <c r="AR1819" s="65"/>
    </row>
    <row r="1820" spans="4:44" x14ac:dyDescent="0.2">
      <c r="D1820" s="65"/>
      <c r="M1820" s="65"/>
      <c r="Z1820" s="65"/>
      <c r="AI1820" s="65"/>
      <c r="AR1820" s="65"/>
    </row>
    <row r="1821" spans="4:44" x14ac:dyDescent="0.2">
      <c r="D1821" s="65"/>
      <c r="M1821" s="65"/>
      <c r="Z1821" s="65"/>
      <c r="AI1821" s="65"/>
      <c r="AR1821" s="65"/>
    </row>
    <row r="1822" spans="4:44" x14ac:dyDescent="0.2">
      <c r="D1822" s="65"/>
      <c r="M1822" s="65"/>
      <c r="Z1822" s="65"/>
      <c r="AI1822" s="65"/>
      <c r="AR1822" s="65"/>
    </row>
    <row r="1823" spans="4:44" x14ac:dyDescent="0.2">
      <c r="D1823" s="65"/>
      <c r="M1823" s="65"/>
      <c r="Z1823" s="65"/>
      <c r="AI1823" s="65"/>
      <c r="AR1823" s="65"/>
    </row>
    <row r="1824" spans="4:44" x14ac:dyDescent="0.2">
      <c r="D1824" s="65"/>
      <c r="M1824" s="65"/>
      <c r="Z1824" s="65"/>
      <c r="AI1824" s="65"/>
      <c r="AR1824" s="65"/>
    </row>
    <row r="1825" spans="4:44" x14ac:dyDescent="0.2">
      <c r="D1825" s="65"/>
      <c r="M1825" s="65"/>
      <c r="Z1825" s="65"/>
      <c r="AI1825" s="65"/>
      <c r="AR1825" s="65"/>
    </row>
    <row r="1826" spans="4:44" x14ac:dyDescent="0.2">
      <c r="D1826" s="65"/>
      <c r="M1826" s="65"/>
      <c r="Z1826" s="65"/>
      <c r="AI1826" s="65"/>
      <c r="AR1826" s="65"/>
    </row>
    <row r="1827" spans="4:44" x14ac:dyDescent="0.2">
      <c r="D1827" s="65"/>
      <c r="M1827" s="65"/>
      <c r="Z1827" s="65"/>
      <c r="AI1827" s="65"/>
      <c r="AR1827" s="65"/>
    </row>
    <row r="1828" spans="4:44" x14ac:dyDescent="0.2">
      <c r="D1828" s="65"/>
      <c r="M1828" s="65"/>
      <c r="Z1828" s="65"/>
      <c r="AI1828" s="65"/>
      <c r="AR1828" s="65"/>
    </row>
    <row r="1829" spans="4:44" x14ac:dyDescent="0.2">
      <c r="D1829" s="65"/>
      <c r="M1829" s="65"/>
      <c r="Z1829" s="65"/>
      <c r="AI1829" s="65"/>
      <c r="AR1829" s="65"/>
    </row>
    <row r="1830" spans="4:44" x14ac:dyDescent="0.2">
      <c r="D1830" s="65"/>
      <c r="M1830" s="65"/>
      <c r="Z1830" s="65"/>
      <c r="AI1830" s="65"/>
      <c r="AR1830" s="65"/>
    </row>
    <row r="1831" spans="4:44" x14ac:dyDescent="0.2">
      <c r="D1831" s="65"/>
      <c r="M1831" s="65"/>
      <c r="Z1831" s="65"/>
      <c r="AI1831" s="65"/>
      <c r="AR1831" s="65"/>
    </row>
    <row r="1832" spans="4:44" x14ac:dyDescent="0.2">
      <c r="D1832" s="65"/>
      <c r="M1832" s="65"/>
      <c r="Z1832" s="65"/>
      <c r="AI1832" s="65"/>
      <c r="AR1832" s="65"/>
    </row>
    <row r="1833" spans="4:44" x14ac:dyDescent="0.2">
      <c r="D1833" s="65"/>
      <c r="M1833" s="65"/>
      <c r="Z1833" s="65"/>
      <c r="AI1833" s="65"/>
      <c r="AR1833" s="65"/>
    </row>
    <row r="1834" spans="4:44" x14ac:dyDescent="0.2">
      <c r="D1834" s="65"/>
      <c r="M1834" s="65"/>
      <c r="Z1834" s="65"/>
      <c r="AI1834" s="65"/>
      <c r="AR1834" s="65"/>
    </row>
    <row r="1835" spans="4:44" x14ac:dyDescent="0.2">
      <c r="D1835" s="65"/>
      <c r="M1835" s="65"/>
      <c r="Z1835" s="65"/>
      <c r="AI1835" s="65"/>
      <c r="AR1835" s="65"/>
    </row>
    <row r="1836" spans="4:44" x14ac:dyDescent="0.2">
      <c r="D1836" s="65"/>
      <c r="M1836" s="65"/>
      <c r="Z1836" s="65"/>
      <c r="AI1836" s="65"/>
      <c r="AR1836" s="65"/>
    </row>
    <row r="1837" spans="4:44" x14ac:dyDescent="0.2">
      <c r="D1837" s="65"/>
      <c r="M1837" s="65"/>
      <c r="Z1837" s="65"/>
      <c r="AI1837" s="65"/>
      <c r="AR1837" s="65"/>
    </row>
    <row r="1838" spans="4:44" x14ac:dyDescent="0.2">
      <c r="D1838" s="65"/>
      <c r="M1838" s="65"/>
      <c r="Z1838" s="65"/>
      <c r="AI1838" s="65"/>
      <c r="AR1838" s="65"/>
    </row>
    <row r="1839" spans="4:44" x14ac:dyDescent="0.2">
      <c r="D1839" s="65"/>
      <c r="M1839" s="65"/>
      <c r="Z1839" s="65"/>
      <c r="AI1839" s="65"/>
      <c r="AR1839" s="65"/>
    </row>
    <row r="1840" spans="4:44" x14ac:dyDescent="0.2">
      <c r="D1840" s="65"/>
      <c r="M1840" s="65"/>
      <c r="Z1840" s="65"/>
      <c r="AI1840" s="65"/>
      <c r="AR1840" s="65"/>
    </row>
    <row r="1841" spans="4:44" x14ac:dyDescent="0.2">
      <c r="D1841" s="65"/>
      <c r="M1841" s="65"/>
      <c r="Z1841" s="65"/>
      <c r="AI1841" s="65"/>
      <c r="AR1841" s="65"/>
    </row>
    <row r="1842" spans="4:44" x14ac:dyDescent="0.2">
      <c r="D1842" s="65"/>
      <c r="M1842" s="65"/>
      <c r="Z1842" s="65"/>
      <c r="AI1842" s="65"/>
      <c r="AR1842" s="65"/>
    </row>
    <row r="1843" spans="4:44" x14ac:dyDescent="0.2">
      <c r="D1843" s="65"/>
      <c r="M1843" s="65"/>
      <c r="Z1843" s="65"/>
      <c r="AI1843" s="65"/>
      <c r="AR1843" s="65"/>
    </row>
    <row r="1844" spans="4:44" x14ac:dyDescent="0.2">
      <c r="D1844" s="65"/>
      <c r="M1844" s="65"/>
      <c r="Z1844" s="65"/>
      <c r="AI1844" s="65"/>
      <c r="AR1844" s="65"/>
    </row>
    <row r="1845" spans="4:44" x14ac:dyDescent="0.2">
      <c r="D1845" s="65"/>
      <c r="M1845" s="65"/>
      <c r="Z1845" s="65"/>
      <c r="AI1845" s="65"/>
      <c r="AR1845" s="65"/>
    </row>
    <row r="1846" spans="4:44" x14ac:dyDescent="0.2">
      <c r="D1846" s="65"/>
      <c r="M1846" s="65"/>
      <c r="Z1846" s="65"/>
      <c r="AI1846" s="65"/>
      <c r="AR1846" s="65"/>
    </row>
    <row r="1847" spans="4:44" x14ac:dyDescent="0.2">
      <c r="D1847" s="65"/>
      <c r="M1847" s="65"/>
      <c r="Z1847" s="65"/>
      <c r="AI1847" s="65"/>
      <c r="AR1847" s="65"/>
    </row>
    <row r="1848" spans="4:44" x14ac:dyDescent="0.2">
      <c r="D1848" s="65"/>
      <c r="M1848" s="65"/>
      <c r="Z1848" s="65"/>
      <c r="AI1848" s="65"/>
      <c r="AR1848" s="65"/>
    </row>
    <row r="1849" spans="4:44" x14ac:dyDescent="0.2">
      <c r="D1849" s="65"/>
      <c r="M1849" s="65"/>
      <c r="Z1849" s="65"/>
      <c r="AI1849" s="65"/>
      <c r="AR1849" s="65"/>
    </row>
    <row r="1850" spans="4:44" x14ac:dyDescent="0.2">
      <c r="D1850" s="65"/>
      <c r="M1850" s="65"/>
      <c r="Z1850" s="65"/>
      <c r="AI1850" s="65"/>
      <c r="AR1850" s="65"/>
    </row>
    <row r="1851" spans="4:44" x14ac:dyDescent="0.2">
      <c r="D1851" s="65"/>
      <c r="M1851" s="65"/>
      <c r="Z1851" s="65"/>
      <c r="AI1851" s="65"/>
      <c r="AR1851" s="65"/>
    </row>
    <row r="1852" spans="4:44" x14ac:dyDescent="0.2">
      <c r="D1852" s="65"/>
      <c r="M1852" s="65"/>
      <c r="Z1852" s="65"/>
      <c r="AI1852" s="65"/>
      <c r="AR1852" s="65"/>
    </row>
    <row r="1853" spans="4:44" x14ac:dyDescent="0.2">
      <c r="D1853" s="65"/>
      <c r="M1853" s="65"/>
      <c r="Z1853" s="65"/>
      <c r="AI1853" s="65"/>
      <c r="AR1853" s="65"/>
    </row>
    <row r="1854" spans="4:44" x14ac:dyDescent="0.2">
      <c r="D1854" s="65"/>
      <c r="M1854" s="65"/>
      <c r="Z1854" s="65"/>
      <c r="AI1854" s="65"/>
      <c r="AR1854" s="65"/>
    </row>
    <row r="1855" spans="4:44" x14ac:dyDescent="0.2">
      <c r="D1855" s="65"/>
      <c r="M1855" s="65"/>
      <c r="Z1855" s="65"/>
      <c r="AI1855" s="65"/>
      <c r="AR1855" s="65"/>
    </row>
    <row r="1856" spans="4:44" x14ac:dyDescent="0.2">
      <c r="D1856" s="65"/>
      <c r="M1856" s="65"/>
      <c r="Z1856" s="65"/>
      <c r="AI1856" s="65"/>
      <c r="AR1856" s="65"/>
    </row>
    <row r="1857" spans="4:44" x14ac:dyDescent="0.2">
      <c r="D1857" s="65"/>
      <c r="M1857" s="65"/>
      <c r="Z1857" s="65"/>
      <c r="AI1857" s="65"/>
      <c r="AR1857" s="65"/>
    </row>
    <row r="1858" spans="4:44" x14ac:dyDescent="0.2">
      <c r="D1858" s="65"/>
      <c r="M1858" s="65"/>
      <c r="Z1858" s="65"/>
      <c r="AI1858" s="65"/>
      <c r="AR1858" s="65"/>
    </row>
    <row r="1859" spans="4:44" x14ac:dyDescent="0.2">
      <c r="D1859" s="65"/>
      <c r="M1859" s="65"/>
      <c r="Z1859" s="65"/>
      <c r="AI1859" s="65"/>
      <c r="AR1859" s="65"/>
    </row>
    <row r="1860" spans="4:44" x14ac:dyDescent="0.2">
      <c r="D1860" s="65"/>
      <c r="M1860" s="65"/>
      <c r="Z1860" s="65"/>
      <c r="AI1860" s="65"/>
      <c r="AR1860" s="65"/>
    </row>
    <row r="1861" spans="4:44" x14ac:dyDescent="0.2">
      <c r="D1861" s="65"/>
      <c r="M1861" s="65"/>
      <c r="Z1861" s="65"/>
      <c r="AI1861" s="65"/>
      <c r="AR1861" s="65"/>
    </row>
    <row r="1862" spans="4:44" x14ac:dyDescent="0.2">
      <c r="D1862" s="65"/>
      <c r="M1862" s="65"/>
      <c r="Z1862" s="65"/>
      <c r="AI1862" s="65"/>
      <c r="AR1862" s="65"/>
    </row>
    <row r="1863" spans="4:44" x14ac:dyDescent="0.2">
      <c r="D1863" s="65"/>
      <c r="M1863" s="65"/>
      <c r="Z1863" s="65"/>
      <c r="AI1863" s="65"/>
      <c r="AR1863" s="65"/>
    </row>
    <row r="1864" spans="4:44" x14ac:dyDescent="0.2">
      <c r="D1864" s="65"/>
      <c r="M1864" s="65"/>
      <c r="Z1864" s="65"/>
      <c r="AI1864" s="65"/>
      <c r="AR1864" s="65"/>
    </row>
    <row r="1865" spans="4:44" x14ac:dyDescent="0.2">
      <c r="D1865" s="65"/>
      <c r="M1865" s="65"/>
      <c r="Z1865" s="65"/>
      <c r="AI1865" s="65"/>
      <c r="AR1865" s="65"/>
    </row>
    <row r="1866" spans="4:44" x14ac:dyDescent="0.2">
      <c r="D1866" s="65"/>
      <c r="M1866" s="65"/>
      <c r="Z1866" s="65"/>
      <c r="AI1866" s="65"/>
      <c r="AR1866" s="65"/>
    </row>
    <row r="1867" spans="4:44" x14ac:dyDescent="0.2">
      <c r="D1867" s="65"/>
      <c r="M1867" s="65"/>
      <c r="Z1867" s="65"/>
      <c r="AI1867" s="65"/>
      <c r="AR1867" s="65"/>
    </row>
    <row r="1868" spans="4:44" x14ac:dyDescent="0.2">
      <c r="D1868" s="65"/>
      <c r="M1868" s="65"/>
      <c r="Z1868" s="65"/>
      <c r="AI1868" s="65"/>
      <c r="AR1868" s="65"/>
    </row>
    <row r="1869" spans="4:44" x14ac:dyDescent="0.2">
      <c r="D1869" s="65"/>
      <c r="M1869" s="65"/>
      <c r="Z1869" s="65"/>
      <c r="AI1869" s="65"/>
      <c r="AR1869" s="65"/>
    </row>
    <row r="1870" spans="4:44" x14ac:dyDescent="0.2">
      <c r="D1870" s="65"/>
      <c r="M1870" s="65"/>
      <c r="Z1870" s="65"/>
      <c r="AI1870" s="65"/>
      <c r="AR1870" s="65"/>
    </row>
    <row r="1871" spans="4:44" x14ac:dyDescent="0.2">
      <c r="D1871" s="65"/>
      <c r="M1871" s="65"/>
      <c r="Z1871" s="65"/>
      <c r="AI1871" s="65"/>
      <c r="AR1871" s="65"/>
    </row>
    <row r="1872" spans="4:44" x14ac:dyDescent="0.2">
      <c r="D1872" s="65"/>
      <c r="M1872" s="65"/>
      <c r="Z1872" s="65"/>
      <c r="AI1872" s="65"/>
      <c r="AR1872" s="65"/>
    </row>
    <row r="1873" spans="4:44" x14ac:dyDescent="0.2">
      <c r="D1873" s="65"/>
      <c r="M1873" s="65"/>
      <c r="Z1873" s="65"/>
      <c r="AI1873" s="65"/>
      <c r="AR1873" s="65"/>
    </row>
    <row r="1874" spans="4:44" x14ac:dyDescent="0.2">
      <c r="D1874" s="65"/>
      <c r="M1874" s="65"/>
      <c r="Z1874" s="65"/>
      <c r="AI1874" s="65"/>
      <c r="AR1874" s="65"/>
    </row>
    <row r="1875" spans="4:44" x14ac:dyDescent="0.2">
      <c r="D1875" s="65"/>
      <c r="M1875" s="65"/>
      <c r="Z1875" s="65"/>
      <c r="AI1875" s="65"/>
      <c r="AR1875" s="65"/>
    </row>
    <row r="1876" spans="4:44" x14ac:dyDescent="0.2">
      <c r="D1876" s="65"/>
      <c r="M1876" s="65"/>
      <c r="Z1876" s="65"/>
      <c r="AI1876" s="65"/>
      <c r="AR1876" s="65"/>
    </row>
    <row r="1877" spans="4:44" x14ac:dyDescent="0.2">
      <c r="D1877" s="65"/>
      <c r="M1877" s="65"/>
      <c r="Z1877" s="65"/>
      <c r="AI1877" s="65"/>
      <c r="AR1877" s="65"/>
    </row>
    <row r="1878" spans="4:44" x14ac:dyDescent="0.2">
      <c r="D1878" s="65"/>
      <c r="M1878" s="65"/>
      <c r="Z1878" s="65"/>
      <c r="AI1878" s="65"/>
      <c r="AR1878" s="65"/>
    </row>
    <row r="1879" spans="4:44" x14ac:dyDescent="0.2">
      <c r="D1879" s="65"/>
      <c r="M1879" s="65"/>
      <c r="Z1879" s="65"/>
      <c r="AI1879" s="65"/>
      <c r="AR1879" s="65"/>
    </row>
    <row r="1880" spans="4:44" x14ac:dyDescent="0.2">
      <c r="D1880" s="65"/>
      <c r="M1880" s="65"/>
      <c r="Z1880" s="65"/>
      <c r="AI1880" s="65"/>
      <c r="AR1880" s="65"/>
    </row>
    <row r="1881" spans="4:44" x14ac:dyDescent="0.2">
      <c r="D1881" s="65"/>
      <c r="M1881" s="65"/>
      <c r="Z1881" s="65"/>
      <c r="AI1881" s="65"/>
      <c r="AR1881" s="65"/>
    </row>
    <row r="1882" spans="4:44" x14ac:dyDescent="0.2">
      <c r="D1882" s="65"/>
      <c r="M1882" s="65"/>
      <c r="Z1882" s="65"/>
      <c r="AI1882" s="65"/>
      <c r="AR1882" s="65"/>
    </row>
    <row r="1883" spans="4:44" x14ac:dyDescent="0.2">
      <c r="D1883" s="65"/>
      <c r="M1883" s="65"/>
      <c r="Z1883" s="65"/>
      <c r="AI1883" s="65"/>
      <c r="AR1883" s="65"/>
    </row>
    <row r="1884" spans="4:44" x14ac:dyDescent="0.2">
      <c r="D1884" s="65"/>
      <c r="M1884" s="65"/>
      <c r="Z1884" s="65"/>
      <c r="AI1884" s="65"/>
      <c r="AR1884" s="65"/>
    </row>
    <row r="1885" spans="4:44" x14ac:dyDescent="0.2">
      <c r="D1885" s="65"/>
      <c r="M1885" s="65"/>
      <c r="Z1885" s="65"/>
      <c r="AI1885" s="65"/>
      <c r="AR1885" s="65"/>
    </row>
    <row r="1886" spans="4:44" x14ac:dyDescent="0.2">
      <c r="D1886" s="65"/>
      <c r="M1886" s="65"/>
      <c r="Z1886" s="65"/>
      <c r="AI1886" s="65"/>
      <c r="AR1886" s="65"/>
    </row>
    <row r="1887" spans="4:44" x14ac:dyDescent="0.2">
      <c r="D1887" s="65"/>
      <c r="M1887" s="65"/>
      <c r="Z1887" s="65"/>
      <c r="AI1887" s="65"/>
      <c r="AR1887" s="65"/>
    </row>
    <row r="1888" spans="4:44" x14ac:dyDescent="0.2">
      <c r="D1888" s="65"/>
      <c r="M1888" s="65"/>
      <c r="Z1888" s="65"/>
      <c r="AI1888" s="65"/>
      <c r="AR1888" s="65"/>
    </row>
    <row r="1889" spans="4:44" x14ac:dyDescent="0.2">
      <c r="D1889" s="65"/>
      <c r="M1889" s="65"/>
      <c r="Z1889" s="65"/>
      <c r="AI1889" s="65"/>
      <c r="AR1889" s="65"/>
    </row>
    <row r="1890" spans="4:44" x14ac:dyDescent="0.2">
      <c r="D1890" s="65"/>
      <c r="M1890" s="65"/>
      <c r="Z1890" s="65"/>
      <c r="AI1890" s="65"/>
      <c r="AR1890" s="65"/>
    </row>
    <row r="1891" spans="4:44" x14ac:dyDescent="0.2">
      <c r="D1891" s="65"/>
      <c r="M1891" s="65"/>
      <c r="Z1891" s="65"/>
      <c r="AI1891" s="65"/>
      <c r="AR1891" s="65"/>
    </row>
    <row r="1892" spans="4:44" x14ac:dyDescent="0.2">
      <c r="D1892" s="65"/>
      <c r="M1892" s="65"/>
      <c r="Z1892" s="65"/>
      <c r="AI1892" s="65"/>
      <c r="AR1892" s="65"/>
    </row>
    <row r="1893" spans="4:44" x14ac:dyDescent="0.2">
      <c r="D1893" s="65"/>
      <c r="M1893" s="65"/>
      <c r="Z1893" s="65"/>
      <c r="AI1893" s="65"/>
      <c r="AR1893" s="65"/>
    </row>
    <row r="1894" spans="4:44" x14ac:dyDescent="0.2">
      <c r="D1894" s="65"/>
      <c r="M1894" s="65"/>
      <c r="Z1894" s="65"/>
      <c r="AI1894" s="65"/>
      <c r="AR1894" s="65"/>
    </row>
    <row r="1895" spans="4:44" x14ac:dyDescent="0.2">
      <c r="D1895" s="65"/>
      <c r="M1895" s="65"/>
      <c r="Z1895" s="65"/>
      <c r="AI1895" s="65"/>
      <c r="AR1895" s="65"/>
    </row>
    <row r="1896" spans="4:44" x14ac:dyDescent="0.2">
      <c r="D1896" s="65"/>
      <c r="M1896" s="65"/>
      <c r="Z1896" s="65"/>
      <c r="AI1896" s="65"/>
      <c r="AR1896" s="65"/>
    </row>
    <row r="1897" spans="4:44" x14ac:dyDescent="0.2">
      <c r="D1897" s="65"/>
      <c r="M1897" s="65"/>
      <c r="Z1897" s="65"/>
      <c r="AI1897" s="65"/>
      <c r="AR1897" s="65"/>
    </row>
    <row r="1898" spans="4:44" x14ac:dyDescent="0.2">
      <c r="D1898" s="65"/>
      <c r="M1898" s="65"/>
      <c r="Z1898" s="65"/>
      <c r="AI1898" s="65"/>
      <c r="AR1898" s="65"/>
    </row>
    <row r="1899" spans="4:44" x14ac:dyDescent="0.2">
      <c r="D1899" s="65"/>
      <c r="M1899" s="65"/>
      <c r="Z1899" s="65"/>
      <c r="AI1899" s="65"/>
      <c r="AR1899" s="65"/>
    </row>
    <row r="1900" spans="4:44" x14ac:dyDescent="0.2">
      <c r="D1900" s="65"/>
      <c r="M1900" s="65"/>
      <c r="Z1900" s="65"/>
      <c r="AI1900" s="65"/>
      <c r="AR1900" s="65"/>
    </row>
    <row r="1901" spans="4:44" x14ac:dyDescent="0.2">
      <c r="D1901" s="65"/>
      <c r="M1901" s="65"/>
      <c r="Z1901" s="65"/>
      <c r="AI1901" s="65"/>
      <c r="AR1901" s="65"/>
    </row>
    <row r="1902" spans="4:44" x14ac:dyDescent="0.2">
      <c r="D1902" s="65"/>
      <c r="M1902" s="65"/>
      <c r="Z1902" s="65"/>
      <c r="AI1902" s="65"/>
      <c r="AR1902" s="65"/>
    </row>
    <row r="1903" spans="4:44" x14ac:dyDescent="0.2">
      <c r="D1903" s="65"/>
      <c r="M1903" s="65"/>
      <c r="Z1903" s="65"/>
      <c r="AI1903" s="65"/>
      <c r="AR1903" s="65"/>
    </row>
    <row r="1904" spans="4:44" x14ac:dyDescent="0.2">
      <c r="D1904" s="65"/>
      <c r="M1904" s="65"/>
      <c r="Z1904" s="65"/>
      <c r="AI1904" s="65"/>
      <c r="AR1904" s="65"/>
    </row>
    <row r="1905" spans="4:44" x14ac:dyDescent="0.2">
      <c r="D1905" s="65"/>
      <c r="M1905" s="65"/>
      <c r="Z1905" s="65"/>
      <c r="AI1905" s="65"/>
      <c r="AR1905" s="65"/>
    </row>
    <row r="1906" spans="4:44" x14ac:dyDescent="0.2">
      <c r="D1906" s="65"/>
      <c r="M1906" s="65"/>
      <c r="Z1906" s="65"/>
      <c r="AI1906" s="65"/>
      <c r="AR1906" s="65"/>
    </row>
    <row r="1907" spans="4:44" x14ac:dyDescent="0.2">
      <c r="D1907" s="65"/>
      <c r="M1907" s="65"/>
      <c r="Z1907" s="65"/>
      <c r="AI1907" s="65"/>
      <c r="AR1907" s="65"/>
    </row>
    <row r="1908" spans="4:44" x14ac:dyDescent="0.2">
      <c r="D1908" s="65"/>
      <c r="M1908" s="65"/>
      <c r="Z1908" s="65"/>
      <c r="AI1908" s="65"/>
      <c r="AR1908" s="65"/>
    </row>
    <row r="1909" spans="4:44" x14ac:dyDescent="0.2">
      <c r="D1909" s="65"/>
      <c r="M1909" s="65"/>
      <c r="Z1909" s="65"/>
      <c r="AI1909" s="65"/>
      <c r="AR1909" s="65"/>
    </row>
    <row r="1910" spans="4:44" x14ac:dyDescent="0.2">
      <c r="D1910" s="65"/>
      <c r="M1910" s="65"/>
      <c r="Z1910" s="65"/>
      <c r="AI1910" s="65"/>
      <c r="AR1910" s="65"/>
    </row>
    <row r="1911" spans="4:44" x14ac:dyDescent="0.2">
      <c r="D1911" s="65"/>
      <c r="M1911" s="65"/>
      <c r="Z1911" s="65"/>
      <c r="AI1911" s="65"/>
      <c r="AR1911" s="65"/>
    </row>
    <row r="1912" spans="4:44" x14ac:dyDescent="0.2">
      <c r="D1912" s="65"/>
      <c r="M1912" s="65"/>
      <c r="Z1912" s="65"/>
      <c r="AI1912" s="65"/>
      <c r="AR1912" s="65"/>
    </row>
    <row r="1913" spans="4:44" x14ac:dyDescent="0.2">
      <c r="D1913" s="65"/>
      <c r="M1913" s="65"/>
      <c r="Z1913" s="65"/>
      <c r="AI1913" s="65"/>
      <c r="AR1913" s="65"/>
    </row>
    <row r="1914" spans="4:44" x14ac:dyDescent="0.2">
      <c r="D1914" s="65"/>
      <c r="M1914" s="65"/>
      <c r="Z1914" s="65"/>
      <c r="AI1914" s="65"/>
      <c r="AR1914" s="65"/>
    </row>
    <row r="1915" spans="4:44" x14ac:dyDescent="0.2">
      <c r="D1915" s="65"/>
      <c r="M1915" s="65"/>
      <c r="Z1915" s="65"/>
      <c r="AI1915" s="65"/>
      <c r="AR1915" s="65"/>
    </row>
    <row r="1916" spans="4:44" x14ac:dyDescent="0.2">
      <c r="D1916" s="65"/>
      <c r="M1916" s="65"/>
      <c r="Z1916" s="65"/>
      <c r="AI1916" s="65"/>
      <c r="AR1916" s="65"/>
    </row>
    <row r="1917" spans="4:44" x14ac:dyDescent="0.2">
      <c r="D1917" s="65"/>
      <c r="M1917" s="65"/>
      <c r="Z1917" s="65"/>
      <c r="AI1917" s="65"/>
      <c r="AR1917" s="65"/>
    </row>
    <row r="1918" spans="4:44" x14ac:dyDescent="0.2">
      <c r="D1918" s="65"/>
      <c r="M1918" s="65"/>
      <c r="Z1918" s="65"/>
      <c r="AI1918" s="65"/>
      <c r="AR1918" s="65"/>
    </row>
    <row r="1919" spans="4:44" x14ac:dyDescent="0.2">
      <c r="D1919" s="65"/>
      <c r="M1919" s="65"/>
      <c r="Z1919" s="65"/>
      <c r="AI1919" s="65"/>
      <c r="AR1919" s="65"/>
    </row>
    <row r="1920" spans="4:44" x14ac:dyDescent="0.2">
      <c r="D1920" s="65"/>
      <c r="M1920" s="65"/>
      <c r="Z1920" s="65"/>
      <c r="AI1920" s="65"/>
      <c r="AR1920" s="65"/>
    </row>
    <row r="1921" spans="4:44" x14ac:dyDescent="0.2">
      <c r="D1921" s="65"/>
      <c r="M1921" s="65"/>
      <c r="Z1921" s="65"/>
      <c r="AI1921" s="65"/>
      <c r="AR1921" s="65"/>
    </row>
    <row r="1922" spans="4:44" x14ac:dyDescent="0.2">
      <c r="D1922" s="65"/>
      <c r="M1922" s="65"/>
      <c r="Z1922" s="65"/>
      <c r="AI1922" s="65"/>
      <c r="AR1922" s="65"/>
    </row>
    <row r="1923" spans="4:44" x14ac:dyDescent="0.2">
      <c r="D1923" s="65"/>
      <c r="M1923" s="65"/>
      <c r="Z1923" s="65"/>
      <c r="AI1923" s="65"/>
      <c r="AR1923" s="65"/>
    </row>
    <row r="1924" spans="4:44" x14ac:dyDescent="0.2">
      <c r="D1924" s="65"/>
      <c r="M1924" s="65"/>
      <c r="Z1924" s="65"/>
      <c r="AI1924" s="65"/>
      <c r="AR1924" s="65"/>
    </row>
    <row r="1925" spans="4:44" x14ac:dyDescent="0.2">
      <c r="D1925" s="65"/>
      <c r="M1925" s="65"/>
      <c r="Z1925" s="65"/>
      <c r="AI1925" s="65"/>
      <c r="AR1925" s="65"/>
    </row>
    <row r="1926" spans="4:44" x14ac:dyDescent="0.2">
      <c r="D1926" s="65"/>
      <c r="M1926" s="65"/>
      <c r="Z1926" s="65"/>
      <c r="AI1926" s="65"/>
      <c r="AR1926" s="65"/>
    </row>
    <row r="1927" spans="4:44" x14ac:dyDescent="0.2">
      <c r="D1927" s="65"/>
      <c r="M1927" s="65"/>
      <c r="Z1927" s="65"/>
      <c r="AI1927" s="65"/>
      <c r="AR1927" s="65"/>
    </row>
    <row r="1928" spans="4:44" x14ac:dyDescent="0.2">
      <c r="D1928" s="65"/>
      <c r="M1928" s="65"/>
      <c r="Z1928" s="65"/>
      <c r="AI1928" s="65"/>
      <c r="AR1928" s="65"/>
    </row>
    <row r="1929" spans="4:44" x14ac:dyDescent="0.2">
      <c r="D1929" s="65"/>
      <c r="M1929" s="65"/>
      <c r="Z1929" s="65"/>
      <c r="AI1929" s="65"/>
      <c r="AR1929" s="65"/>
    </row>
    <row r="1930" spans="4:44" x14ac:dyDescent="0.2">
      <c r="D1930" s="65"/>
      <c r="M1930" s="65"/>
      <c r="Z1930" s="65"/>
      <c r="AI1930" s="65"/>
      <c r="AR1930" s="65"/>
    </row>
    <row r="1931" spans="4:44" x14ac:dyDescent="0.2">
      <c r="D1931" s="65"/>
      <c r="M1931" s="65"/>
      <c r="Z1931" s="65"/>
      <c r="AI1931" s="65"/>
      <c r="AR1931" s="65"/>
    </row>
    <row r="1932" spans="4:44" x14ac:dyDescent="0.2">
      <c r="D1932" s="65"/>
      <c r="M1932" s="65"/>
      <c r="Z1932" s="65"/>
      <c r="AI1932" s="65"/>
      <c r="AR1932" s="65"/>
    </row>
    <row r="1933" spans="4:44" x14ac:dyDescent="0.2">
      <c r="D1933" s="65"/>
      <c r="M1933" s="65"/>
      <c r="Z1933" s="65"/>
      <c r="AI1933" s="65"/>
      <c r="AR1933" s="65"/>
    </row>
    <row r="1934" spans="4:44" x14ac:dyDescent="0.2">
      <c r="D1934" s="65"/>
      <c r="M1934" s="65"/>
      <c r="Z1934" s="65"/>
      <c r="AI1934" s="65"/>
      <c r="AR1934" s="65"/>
    </row>
    <row r="1935" spans="4:44" x14ac:dyDescent="0.2">
      <c r="D1935" s="65"/>
      <c r="M1935" s="65"/>
      <c r="Z1935" s="65"/>
      <c r="AI1935" s="65"/>
      <c r="AR1935" s="65"/>
    </row>
    <row r="1936" spans="4:44" x14ac:dyDescent="0.2">
      <c r="D1936" s="65"/>
      <c r="M1936" s="65"/>
      <c r="Z1936" s="65"/>
      <c r="AI1936" s="65"/>
      <c r="AR1936" s="65"/>
    </row>
    <row r="1937" spans="4:44" x14ac:dyDescent="0.2">
      <c r="D1937" s="65"/>
      <c r="M1937" s="65"/>
      <c r="Z1937" s="65"/>
      <c r="AI1937" s="65"/>
      <c r="AR1937" s="65"/>
    </row>
    <row r="1938" spans="4:44" x14ac:dyDescent="0.2">
      <c r="D1938" s="65"/>
      <c r="M1938" s="65"/>
      <c r="Z1938" s="65"/>
      <c r="AI1938" s="65"/>
      <c r="AR1938" s="65"/>
    </row>
    <row r="1939" spans="4:44" x14ac:dyDescent="0.2">
      <c r="D1939" s="65"/>
      <c r="M1939" s="65"/>
      <c r="Z1939" s="65"/>
      <c r="AI1939" s="65"/>
      <c r="AR1939" s="65"/>
    </row>
    <row r="1940" spans="4:44" x14ac:dyDescent="0.2">
      <c r="D1940" s="65"/>
      <c r="M1940" s="65"/>
      <c r="Z1940" s="65"/>
      <c r="AI1940" s="65"/>
      <c r="AR1940" s="65"/>
    </row>
    <row r="1941" spans="4:44" x14ac:dyDescent="0.2">
      <c r="D1941" s="65"/>
      <c r="M1941" s="65"/>
      <c r="Z1941" s="65"/>
      <c r="AI1941" s="65"/>
      <c r="AR1941" s="65"/>
    </row>
    <row r="1942" spans="4:44" x14ac:dyDescent="0.2">
      <c r="D1942" s="65"/>
      <c r="M1942" s="65"/>
      <c r="Z1942" s="65"/>
      <c r="AI1942" s="65"/>
      <c r="AR1942" s="65"/>
    </row>
    <row r="1943" spans="4:44" x14ac:dyDescent="0.2">
      <c r="D1943" s="65"/>
      <c r="M1943" s="65"/>
      <c r="Z1943" s="65"/>
      <c r="AI1943" s="65"/>
      <c r="AR1943" s="65"/>
    </row>
    <row r="1944" spans="4:44" x14ac:dyDescent="0.2">
      <c r="D1944" s="65"/>
      <c r="M1944" s="65"/>
      <c r="Z1944" s="65"/>
      <c r="AI1944" s="65"/>
      <c r="AR1944" s="65"/>
    </row>
    <row r="1945" spans="4:44" x14ac:dyDescent="0.2">
      <c r="D1945" s="65"/>
      <c r="M1945" s="65"/>
      <c r="Z1945" s="65"/>
      <c r="AI1945" s="65"/>
      <c r="AR1945" s="65"/>
    </row>
    <row r="1946" spans="4:44" x14ac:dyDescent="0.2">
      <c r="D1946" s="65"/>
      <c r="M1946" s="65"/>
      <c r="Z1946" s="65"/>
      <c r="AI1946" s="65"/>
      <c r="AR1946" s="65"/>
    </row>
    <row r="1947" spans="4:44" x14ac:dyDescent="0.2">
      <c r="D1947" s="65"/>
      <c r="M1947" s="65"/>
      <c r="Z1947" s="65"/>
      <c r="AI1947" s="65"/>
      <c r="AR1947" s="65"/>
    </row>
    <row r="1948" spans="4:44" x14ac:dyDescent="0.2">
      <c r="D1948" s="65"/>
      <c r="M1948" s="65"/>
      <c r="Z1948" s="65"/>
      <c r="AI1948" s="65"/>
      <c r="AR1948" s="65"/>
    </row>
    <row r="1949" spans="4:44" x14ac:dyDescent="0.2">
      <c r="D1949" s="65"/>
      <c r="M1949" s="65"/>
      <c r="Z1949" s="65"/>
      <c r="AI1949" s="65"/>
      <c r="AR1949" s="65"/>
    </row>
    <row r="1950" spans="4:44" x14ac:dyDescent="0.2">
      <c r="D1950" s="65"/>
      <c r="M1950" s="65"/>
      <c r="Z1950" s="65"/>
      <c r="AI1950" s="65"/>
      <c r="AR1950" s="65"/>
    </row>
    <row r="1951" spans="4:44" x14ac:dyDescent="0.2">
      <c r="D1951" s="65"/>
      <c r="M1951" s="65"/>
      <c r="Z1951" s="65"/>
      <c r="AI1951" s="65"/>
      <c r="AR1951" s="65"/>
    </row>
    <row r="1952" spans="4:44" x14ac:dyDescent="0.2">
      <c r="D1952" s="65"/>
      <c r="M1952" s="65"/>
      <c r="Z1952" s="65"/>
      <c r="AI1952" s="65"/>
      <c r="AR1952" s="65"/>
    </row>
    <row r="1953" spans="4:44" x14ac:dyDescent="0.2">
      <c r="D1953" s="65"/>
      <c r="M1953" s="65"/>
      <c r="Z1953" s="65"/>
      <c r="AI1953" s="65"/>
      <c r="AR1953" s="65"/>
    </row>
    <row r="1954" spans="4:44" x14ac:dyDescent="0.2">
      <c r="D1954" s="65"/>
      <c r="M1954" s="65"/>
      <c r="Z1954" s="65"/>
      <c r="AI1954" s="65"/>
      <c r="AR1954" s="65"/>
    </row>
    <row r="1955" spans="4:44" x14ac:dyDescent="0.2">
      <c r="D1955" s="65"/>
      <c r="M1955" s="65"/>
      <c r="Z1955" s="65"/>
      <c r="AI1955" s="65"/>
      <c r="AR1955" s="65"/>
    </row>
    <row r="1956" spans="4:44" x14ac:dyDescent="0.2">
      <c r="D1956" s="65"/>
      <c r="M1956" s="65"/>
      <c r="Z1956" s="65"/>
      <c r="AI1956" s="65"/>
      <c r="AR1956" s="65"/>
    </row>
    <row r="1957" spans="4:44" x14ac:dyDescent="0.2">
      <c r="D1957" s="65"/>
      <c r="M1957" s="65"/>
      <c r="Z1957" s="65"/>
      <c r="AI1957" s="65"/>
      <c r="AR1957" s="65"/>
    </row>
    <row r="1958" spans="4:44" x14ac:dyDescent="0.2">
      <c r="D1958" s="65"/>
      <c r="M1958" s="65"/>
      <c r="Z1958" s="65"/>
      <c r="AI1958" s="65"/>
      <c r="AR1958" s="65"/>
    </row>
    <row r="1959" spans="4:44" x14ac:dyDescent="0.2">
      <c r="D1959" s="65"/>
      <c r="M1959" s="65"/>
      <c r="Z1959" s="65"/>
      <c r="AI1959" s="65"/>
      <c r="AR1959" s="65"/>
    </row>
    <row r="1960" spans="4:44" x14ac:dyDescent="0.2">
      <c r="D1960" s="65"/>
      <c r="M1960" s="65"/>
      <c r="Z1960" s="65"/>
      <c r="AI1960" s="65"/>
      <c r="AR1960" s="65"/>
    </row>
    <row r="1961" spans="4:44" x14ac:dyDescent="0.2">
      <c r="D1961" s="65"/>
      <c r="M1961" s="65"/>
      <c r="Z1961" s="65"/>
      <c r="AI1961" s="65"/>
      <c r="AR1961" s="65"/>
    </row>
    <row r="1962" spans="4:44" x14ac:dyDescent="0.2">
      <c r="D1962" s="65"/>
      <c r="M1962" s="65"/>
      <c r="Z1962" s="65"/>
      <c r="AI1962" s="65"/>
      <c r="AR1962" s="65"/>
    </row>
    <row r="1963" spans="4:44" x14ac:dyDescent="0.2">
      <c r="D1963" s="65"/>
      <c r="M1963" s="65"/>
      <c r="Z1963" s="65"/>
      <c r="AI1963" s="65"/>
      <c r="AR1963" s="65"/>
    </row>
    <row r="1964" spans="4:44" x14ac:dyDescent="0.2">
      <c r="D1964" s="65"/>
      <c r="M1964" s="65"/>
      <c r="Z1964" s="65"/>
      <c r="AI1964" s="65"/>
      <c r="AR1964" s="65"/>
    </row>
    <row r="1965" spans="4:44" x14ac:dyDescent="0.2">
      <c r="D1965" s="65"/>
      <c r="M1965" s="65"/>
      <c r="Z1965" s="65"/>
      <c r="AI1965" s="65"/>
      <c r="AR1965" s="65"/>
    </row>
    <row r="1966" spans="4:44" x14ac:dyDescent="0.2">
      <c r="D1966" s="65"/>
      <c r="M1966" s="65"/>
      <c r="Z1966" s="65"/>
      <c r="AI1966" s="65"/>
      <c r="AR1966" s="65"/>
    </row>
    <row r="1967" spans="4:44" x14ac:dyDescent="0.2">
      <c r="D1967" s="65"/>
      <c r="M1967" s="65"/>
      <c r="Z1967" s="65"/>
      <c r="AI1967" s="65"/>
      <c r="AR1967" s="65"/>
    </row>
    <row r="1968" spans="4:44" x14ac:dyDescent="0.2">
      <c r="D1968" s="65"/>
      <c r="M1968" s="65"/>
      <c r="Z1968" s="65"/>
      <c r="AI1968" s="65"/>
      <c r="AR1968" s="65"/>
    </row>
    <row r="1969" spans="4:44" x14ac:dyDescent="0.2">
      <c r="D1969" s="65"/>
      <c r="M1969" s="65"/>
      <c r="Z1969" s="65"/>
      <c r="AI1969" s="65"/>
      <c r="AR1969" s="65"/>
    </row>
    <row r="1970" spans="4:44" x14ac:dyDescent="0.2">
      <c r="D1970" s="65"/>
      <c r="M1970" s="65"/>
      <c r="Z1970" s="65"/>
      <c r="AI1970" s="65"/>
      <c r="AR1970" s="65"/>
    </row>
    <row r="1971" spans="4:44" x14ac:dyDescent="0.2">
      <c r="D1971" s="65"/>
      <c r="M1971" s="65"/>
      <c r="Z1971" s="65"/>
      <c r="AI1971" s="65"/>
      <c r="AR1971" s="65"/>
    </row>
    <row r="1972" spans="4:44" x14ac:dyDescent="0.2">
      <c r="D1972" s="65"/>
      <c r="M1972" s="65"/>
      <c r="Z1972" s="65"/>
      <c r="AI1972" s="65"/>
      <c r="AR1972" s="65"/>
    </row>
    <row r="1973" spans="4:44" x14ac:dyDescent="0.2">
      <c r="D1973" s="65"/>
      <c r="M1973" s="65"/>
      <c r="Z1973" s="65"/>
      <c r="AI1973" s="65"/>
      <c r="AR1973" s="65"/>
    </row>
    <row r="1974" spans="4:44" x14ac:dyDescent="0.2">
      <c r="D1974" s="65"/>
      <c r="M1974" s="65"/>
      <c r="Z1974" s="65"/>
      <c r="AI1974" s="65"/>
      <c r="AR1974" s="65"/>
    </row>
    <row r="1975" spans="4:44" x14ac:dyDescent="0.2">
      <c r="D1975" s="65"/>
      <c r="M1975" s="65"/>
      <c r="Z1975" s="65"/>
      <c r="AI1975" s="65"/>
      <c r="AR1975" s="65"/>
    </row>
    <row r="1976" spans="4:44" x14ac:dyDescent="0.2">
      <c r="D1976" s="65"/>
      <c r="M1976" s="65"/>
      <c r="Z1976" s="65"/>
      <c r="AI1976" s="65"/>
      <c r="AR1976" s="65"/>
    </row>
    <row r="1977" spans="4:44" x14ac:dyDescent="0.2">
      <c r="D1977" s="65"/>
      <c r="M1977" s="65"/>
      <c r="Z1977" s="65"/>
      <c r="AI1977" s="65"/>
      <c r="AR1977" s="65"/>
    </row>
    <row r="1978" spans="4:44" x14ac:dyDescent="0.2">
      <c r="D1978" s="65"/>
      <c r="M1978" s="65"/>
      <c r="Z1978" s="65"/>
      <c r="AI1978" s="65"/>
      <c r="AR1978" s="65"/>
    </row>
    <row r="1979" spans="4:44" x14ac:dyDescent="0.2">
      <c r="D1979" s="65"/>
      <c r="M1979" s="65"/>
      <c r="Z1979" s="65"/>
      <c r="AI1979" s="65"/>
      <c r="AR1979" s="65"/>
    </row>
    <row r="1980" spans="4:44" x14ac:dyDescent="0.2">
      <c r="D1980" s="65"/>
      <c r="M1980" s="65"/>
      <c r="Z1980" s="65"/>
      <c r="AI1980" s="65"/>
      <c r="AR1980" s="65"/>
    </row>
    <row r="1981" spans="4:44" x14ac:dyDescent="0.2">
      <c r="D1981" s="65"/>
      <c r="M1981" s="65"/>
      <c r="Z1981" s="65"/>
      <c r="AI1981" s="65"/>
      <c r="AR1981" s="65"/>
    </row>
    <row r="1982" spans="4:44" x14ac:dyDescent="0.2">
      <c r="D1982" s="65"/>
      <c r="M1982" s="65"/>
      <c r="Z1982" s="65"/>
      <c r="AI1982" s="65"/>
      <c r="AR1982" s="65"/>
    </row>
    <row r="1983" spans="4:44" x14ac:dyDescent="0.2">
      <c r="D1983" s="65"/>
      <c r="M1983" s="65"/>
      <c r="Z1983" s="65"/>
      <c r="AI1983" s="65"/>
      <c r="AR1983" s="65"/>
    </row>
    <row r="1984" spans="4:44" x14ac:dyDescent="0.2">
      <c r="D1984" s="65"/>
      <c r="M1984" s="65"/>
      <c r="Z1984" s="65"/>
      <c r="AI1984" s="65"/>
      <c r="AR1984" s="65"/>
    </row>
    <row r="1985" spans="4:44" x14ac:dyDescent="0.2">
      <c r="D1985" s="65"/>
      <c r="M1985" s="65"/>
      <c r="Z1985" s="65"/>
      <c r="AI1985" s="65"/>
      <c r="AR1985" s="65"/>
    </row>
    <row r="1986" spans="4:44" x14ac:dyDescent="0.2">
      <c r="D1986" s="65"/>
      <c r="M1986" s="65"/>
      <c r="Z1986" s="65"/>
      <c r="AI1986" s="65"/>
      <c r="AR1986" s="65"/>
    </row>
    <row r="1987" spans="4:44" x14ac:dyDescent="0.2">
      <c r="D1987" s="65"/>
      <c r="M1987" s="65"/>
      <c r="Z1987" s="65"/>
      <c r="AI1987" s="65"/>
      <c r="AR1987" s="65"/>
    </row>
    <row r="1988" spans="4:44" x14ac:dyDescent="0.2">
      <c r="D1988" s="65"/>
      <c r="M1988" s="65"/>
      <c r="Z1988" s="65"/>
      <c r="AI1988" s="65"/>
      <c r="AR1988" s="65"/>
    </row>
    <row r="1989" spans="4:44" x14ac:dyDescent="0.2">
      <c r="D1989" s="65"/>
      <c r="M1989" s="65"/>
      <c r="Z1989" s="65"/>
      <c r="AI1989" s="65"/>
      <c r="AR1989" s="65"/>
    </row>
    <row r="1990" spans="4:44" x14ac:dyDescent="0.2">
      <c r="D1990" s="65"/>
      <c r="M1990" s="65"/>
      <c r="Z1990" s="65"/>
      <c r="AI1990" s="65"/>
      <c r="AR1990" s="65"/>
    </row>
    <row r="1991" spans="4:44" x14ac:dyDescent="0.2">
      <c r="D1991" s="65"/>
      <c r="M1991" s="65"/>
      <c r="Z1991" s="65"/>
      <c r="AI1991" s="65"/>
      <c r="AR1991" s="65"/>
    </row>
    <row r="1992" spans="4:44" x14ac:dyDescent="0.2">
      <c r="D1992" s="65"/>
      <c r="M1992" s="65"/>
      <c r="Z1992" s="65"/>
      <c r="AI1992" s="65"/>
      <c r="AR1992" s="65"/>
    </row>
    <row r="1993" spans="4:44" x14ac:dyDescent="0.2">
      <c r="D1993" s="65"/>
      <c r="M1993" s="65"/>
      <c r="Z1993" s="65"/>
      <c r="AI1993" s="65"/>
      <c r="AR1993" s="65"/>
    </row>
    <row r="1994" spans="4:44" x14ac:dyDescent="0.2">
      <c r="D1994" s="65"/>
      <c r="M1994" s="65"/>
      <c r="Z1994" s="65"/>
      <c r="AI1994" s="65"/>
      <c r="AR1994" s="65"/>
    </row>
    <row r="1995" spans="4:44" x14ac:dyDescent="0.2">
      <c r="D1995" s="65"/>
      <c r="M1995" s="65"/>
      <c r="Z1995" s="65"/>
      <c r="AI1995" s="65"/>
      <c r="AR1995" s="65"/>
    </row>
    <row r="1996" spans="4:44" x14ac:dyDescent="0.2">
      <c r="D1996" s="65"/>
      <c r="M1996" s="65"/>
      <c r="Z1996" s="65"/>
      <c r="AI1996" s="65"/>
      <c r="AR1996" s="65"/>
    </row>
    <row r="1997" spans="4:44" x14ac:dyDescent="0.2">
      <c r="D1997" s="65"/>
      <c r="M1997" s="65"/>
      <c r="Z1997" s="65"/>
      <c r="AI1997" s="65"/>
      <c r="AR1997" s="65"/>
    </row>
    <row r="1998" spans="4:44" x14ac:dyDescent="0.2">
      <c r="D1998" s="65"/>
      <c r="M1998" s="65"/>
      <c r="Z1998" s="65"/>
      <c r="AI1998" s="65"/>
      <c r="AR1998" s="65"/>
    </row>
    <row r="1999" spans="4:44" x14ac:dyDescent="0.2">
      <c r="D1999" s="65"/>
      <c r="M1999" s="65"/>
      <c r="Z1999" s="65"/>
      <c r="AI1999" s="65"/>
      <c r="AR1999" s="65"/>
    </row>
    <row r="2000" spans="4:44" x14ac:dyDescent="0.2">
      <c r="D2000" s="65"/>
      <c r="M2000" s="65"/>
      <c r="Z2000" s="65"/>
      <c r="AI2000" s="65"/>
      <c r="AR2000" s="65"/>
    </row>
    <row r="2001" spans="4:44" x14ac:dyDescent="0.2">
      <c r="D2001" s="65"/>
      <c r="M2001" s="65"/>
      <c r="Z2001" s="65"/>
      <c r="AI2001" s="65"/>
      <c r="AR2001" s="65"/>
    </row>
    <row r="2002" spans="4:44" x14ac:dyDescent="0.2">
      <c r="D2002" s="65"/>
      <c r="M2002" s="65"/>
      <c r="Z2002" s="65"/>
      <c r="AI2002" s="65"/>
      <c r="AR2002" s="65"/>
    </row>
    <row r="2003" spans="4:44" x14ac:dyDescent="0.2">
      <c r="D2003" s="65"/>
      <c r="M2003" s="65"/>
      <c r="Z2003" s="65"/>
      <c r="AI2003" s="65"/>
      <c r="AR2003" s="65"/>
    </row>
    <row r="2004" spans="4:44" x14ac:dyDescent="0.2">
      <c r="D2004" s="65"/>
      <c r="M2004" s="65"/>
      <c r="Z2004" s="65"/>
      <c r="AI2004" s="65"/>
      <c r="AR2004" s="65"/>
    </row>
    <row r="2005" spans="4:44" x14ac:dyDescent="0.2">
      <c r="D2005" s="65"/>
      <c r="M2005" s="65"/>
      <c r="Z2005" s="65"/>
      <c r="AI2005" s="65"/>
      <c r="AR2005" s="65"/>
    </row>
    <row r="2006" spans="4:44" x14ac:dyDescent="0.2">
      <c r="D2006" s="65"/>
      <c r="M2006" s="65"/>
      <c r="Z2006" s="65"/>
      <c r="AI2006" s="65"/>
      <c r="AR2006" s="65"/>
    </row>
    <row r="2007" spans="4:44" x14ac:dyDescent="0.2">
      <c r="D2007" s="65"/>
      <c r="M2007" s="65"/>
      <c r="Z2007" s="65"/>
      <c r="AI2007" s="65"/>
      <c r="AR2007" s="65"/>
    </row>
    <row r="2008" spans="4:44" x14ac:dyDescent="0.2">
      <c r="D2008" s="65"/>
      <c r="M2008" s="65"/>
      <c r="Z2008" s="65"/>
      <c r="AI2008" s="65"/>
      <c r="AR2008" s="65"/>
    </row>
    <row r="2009" spans="4:44" x14ac:dyDescent="0.2">
      <c r="D2009" s="65"/>
      <c r="M2009" s="65"/>
      <c r="Z2009" s="65"/>
      <c r="AI2009" s="65"/>
      <c r="AR2009" s="65"/>
    </row>
    <row r="2010" spans="4:44" x14ac:dyDescent="0.2">
      <c r="D2010" s="65"/>
      <c r="M2010" s="65"/>
      <c r="Z2010" s="65"/>
      <c r="AI2010" s="65"/>
      <c r="AR2010" s="65"/>
    </row>
    <row r="2011" spans="4:44" x14ac:dyDescent="0.2">
      <c r="D2011" s="65"/>
      <c r="M2011" s="65"/>
      <c r="Z2011" s="65"/>
      <c r="AI2011" s="65"/>
      <c r="AR2011" s="65"/>
    </row>
    <row r="2012" spans="4:44" x14ac:dyDescent="0.2">
      <c r="D2012" s="65"/>
      <c r="M2012" s="65"/>
      <c r="Z2012" s="65"/>
      <c r="AI2012" s="65"/>
      <c r="AR2012" s="65"/>
    </row>
    <row r="2013" spans="4:44" x14ac:dyDescent="0.2">
      <c r="D2013" s="65"/>
      <c r="M2013" s="65"/>
      <c r="Z2013" s="65"/>
      <c r="AI2013" s="65"/>
      <c r="AR2013" s="65"/>
    </row>
    <row r="2014" spans="4:44" x14ac:dyDescent="0.2">
      <c r="D2014" s="65"/>
      <c r="M2014" s="65"/>
      <c r="Z2014" s="65"/>
      <c r="AI2014" s="65"/>
      <c r="AR2014" s="65"/>
    </row>
    <row r="2015" spans="4:44" x14ac:dyDescent="0.2">
      <c r="D2015" s="65"/>
      <c r="M2015" s="65"/>
      <c r="Z2015" s="65"/>
      <c r="AI2015" s="65"/>
      <c r="AR2015" s="65"/>
    </row>
    <row r="2016" spans="4:44" x14ac:dyDescent="0.2">
      <c r="D2016" s="65"/>
      <c r="M2016" s="65"/>
      <c r="Z2016" s="65"/>
      <c r="AI2016" s="65"/>
      <c r="AR2016" s="65"/>
    </row>
    <row r="2017" spans="4:44" x14ac:dyDescent="0.2">
      <c r="D2017" s="65"/>
      <c r="M2017" s="65"/>
      <c r="Z2017" s="65"/>
      <c r="AI2017" s="65"/>
      <c r="AR2017" s="65"/>
    </row>
    <row r="2018" spans="4:44" x14ac:dyDescent="0.2">
      <c r="D2018" s="65"/>
      <c r="M2018" s="65"/>
      <c r="Z2018" s="65"/>
      <c r="AI2018" s="65"/>
      <c r="AR2018" s="65"/>
    </row>
    <row r="2019" spans="4:44" x14ac:dyDescent="0.2">
      <c r="D2019" s="65"/>
      <c r="M2019" s="65"/>
      <c r="Z2019" s="65"/>
      <c r="AI2019" s="65"/>
      <c r="AR2019" s="65"/>
    </row>
    <row r="2020" spans="4:44" x14ac:dyDescent="0.2">
      <c r="D2020" s="65"/>
      <c r="M2020" s="65"/>
      <c r="Z2020" s="65"/>
      <c r="AI2020" s="65"/>
      <c r="AR2020" s="65"/>
    </row>
    <row r="2021" spans="4:44" x14ac:dyDescent="0.2">
      <c r="D2021" s="65"/>
      <c r="M2021" s="65"/>
      <c r="Z2021" s="65"/>
      <c r="AI2021" s="65"/>
      <c r="AR2021" s="65"/>
    </row>
    <row r="2022" spans="4:44" x14ac:dyDescent="0.2">
      <c r="D2022" s="65"/>
      <c r="M2022" s="65"/>
      <c r="Z2022" s="65"/>
      <c r="AI2022" s="65"/>
      <c r="AR2022" s="65"/>
    </row>
    <row r="2023" spans="4:44" x14ac:dyDescent="0.2">
      <c r="D2023" s="65"/>
      <c r="M2023" s="65"/>
      <c r="Z2023" s="65"/>
      <c r="AI2023" s="65"/>
      <c r="AR2023" s="65"/>
    </row>
    <row r="2024" spans="4:44" x14ac:dyDescent="0.2">
      <c r="D2024" s="65"/>
      <c r="M2024" s="65"/>
      <c r="Z2024" s="65"/>
      <c r="AI2024" s="65"/>
      <c r="AR2024" s="65"/>
    </row>
    <row r="2025" spans="4:44" x14ac:dyDescent="0.2">
      <c r="D2025" s="65"/>
      <c r="M2025" s="65"/>
      <c r="Z2025" s="65"/>
      <c r="AI2025" s="65"/>
      <c r="AR2025" s="65"/>
    </row>
    <row r="2026" spans="4:44" x14ac:dyDescent="0.2">
      <c r="D2026" s="65"/>
      <c r="M2026" s="65"/>
      <c r="Z2026" s="65"/>
      <c r="AI2026" s="65"/>
      <c r="AR2026" s="65"/>
    </row>
    <row r="2027" spans="4:44" x14ac:dyDescent="0.2">
      <c r="D2027" s="65"/>
      <c r="M2027" s="65"/>
      <c r="Z2027" s="65"/>
      <c r="AI2027" s="65"/>
      <c r="AR2027" s="65"/>
    </row>
    <row r="2028" spans="4:44" x14ac:dyDescent="0.2">
      <c r="D2028" s="65"/>
      <c r="M2028" s="65"/>
      <c r="Z2028" s="65"/>
      <c r="AI2028" s="65"/>
      <c r="AR2028" s="65"/>
    </row>
    <row r="2029" spans="4:44" x14ac:dyDescent="0.2">
      <c r="D2029" s="65"/>
      <c r="M2029" s="65"/>
      <c r="Z2029" s="65"/>
      <c r="AI2029" s="65"/>
      <c r="AR2029" s="65"/>
    </row>
    <row r="2030" spans="4:44" x14ac:dyDescent="0.2">
      <c r="D2030" s="65"/>
      <c r="M2030" s="65"/>
      <c r="Z2030" s="65"/>
      <c r="AI2030" s="65"/>
      <c r="AR2030" s="65"/>
    </row>
    <row r="2031" spans="4:44" x14ac:dyDescent="0.2">
      <c r="D2031" s="65"/>
      <c r="M2031" s="65"/>
      <c r="Z2031" s="65"/>
      <c r="AI2031" s="65"/>
      <c r="AR2031" s="65"/>
    </row>
    <row r="2032" spans="4:44" x14ac:dyDescent="0.2">
      <c r="D2032" s="65"/>
      <c r="M2032" s="65"/>
      <c r="Z2032" s="65"/>
      <c r="AI2032" s="65"/>
      <c r="AR2032" s="65"/>
    </row>
    <row r="2033" spans="4:44" x14ac:dyDescent="0.2">
      <c r="D2033" s="65"/>
      <c r="M2033" s="65"/>
      <c r="Z2033" s="65"/>
      <c r="AI2033" s="65"/>
      <c r="AR2033" s="65"/>
    </row>
    <row r="2034" spans="4:44" x14ac:dyDescent="0.2">
      <c r="D2034" s="65"/>
      <c r="M2034" s="65"/>
      <c r="Z2034" s="65"/>
      <c r="AI2034" s="65"/>
      <c r="AR2034" s="65"/>
    </row>
    <row r="2035" spans="4:44" x14ac:dyDescent="0.2">
      <c r="D2035" s="65"/>
      <c r="M2035" s="65"/>
      <c r="Z2035" s="65"/>
      <c r="AI2035" s="65"/>
      <c r="AR2035" s="65"/>
    </row>
    <row r="2036" spans="4:44" x14ac:dyDescent="0.2">
      <c r="D2036" s="65"/>
      <c r="M2036" s="65"/>
      <c r="Z2036" s="65"/>
      <c r="AI2036" s="65"/>
      <c r="AR2036" s="65"/>
    </row>
    <row r="2037" spans="4:44" x14ac:dyDescent="0.2">
      <c r="D2037" s="65"/>
      <c r="M2037" s="65"/>
      <c r="Z2037" s="65"/>
      <c r="AI2037" s="65"/>
      <c r="AR2037" s="65"/>
    </row>
    <row r="2038" spans="4:44" x14ac:dyDescent="0.2">
      <c r="D2038" s="65"/>
      <c r="M2038" s="65"/>
      <c r="Z2038" s="65"/>
      <c r="AI2038" s="65"/>
      <c r="AR2038" s="65"/>
    </row>
    <row r="2039" spans="4:44" x14ac:dyDescent="0.2">
      <c r="D2039" s="65"/>
      <c r="M2039" s="65"/>
      <c r="Z2039" s="65"/>
      <c r="AI2039" s="65"/>
      <c r="AR2039" s="65"/>
    </row>
    <row r="2040" spans="4:44" x14ac:dyDescent="0.2">
      <c r="D2040" s="65"/>
      <c r="M2040" s="65"/>
      <c r="Z2040" s="65"/>
      <c r="AI2040" s="65"/>
      <c r="AR2040" s="65"/>
    </row>
    <row r="2041" spans="4:44" x14ac:dyDescent="0.2">
      <c r="D2041" s="65"/>
      <c r="M2041" s="65"/>
      <c r="Z2041" s="65"/>
      <c r="AI2041" s="65"/>
      <c r="AR2041" s="65"/>
    </row>
    <row r="2042" spans="4:44" x14ac:dyDescent="0.2">
      <c r="D2042" s="65"/>
      <c r="M2042" s="65"/>
      <c r="Z2042" s="65"/>
      <c r="AI2042" s="65"/>
      <c r="AR2042" s="65"/>
    </row>
    <row r="2043" spans="4:44" x14ac:dyDescent="0.2">
      <c r="D2043" s="65"/>
      <c r="M2043" s="65"/>
      <c r="Z2043" s="65"/>
      <c r="AI2043" s="65"/>
      <c r="AR2043" s="65"/>
    </row>
    <row r="2044" spans="4:44" x14ac:dyDescent="0.2">
      <c r="D2044" s="65"/>
      <c r="M2044" s="65"/>
      <c r="Z2044" s="65"/>
      <c r="AI2044" s="65"/>
      <c r="AR2044" s="65"/>
    </row>
    <row r="2045" spans="4:44" x14ac:dyDescent="0.2">
      <c r="D2045" s="65"/>
      <c r="M2045" s="65"/>
      <c r="Z2045" s="65"/>
      <c r="AI2045" s="65"/>
      <c r="AR2045" s="65"/>
    </row>
    <row r="2046" spans="4:44" x14ac:dyDescent="0.2">
      <c r="D2046" s="65"/>
      <c r="M2046" s="65"/>
      <c r="Z2046" s="65"/>
      <c r="AI2046" s="65"/>
      <c r="AR2046" s="65"/>
    </row>
    <row r="2047" spans="4:44" x14ac:dyDescent="0.2">
      <c r="D2047" s="65"/>
      <c r="M2047" s="65"/>
      <c r="Z2047" s="65"/>
      <c r="AI2047" s="65"/>
      <c r="AR2047" s="65"/>
    </row>
    <row r="2048" spans="4:44" x14ac:dyDescent="0.2">
      <c r="D2048" s="65"/>
      <c r="M2048" s="65"/>
      <c r="Z2048" s="65"/>
      <c r="AI2048" s="65"/>
      <c r="AR2048" s="65"/>
    </row>
    <row r="2049" spans="4:44" x14ac:dyDescent="0.2">
      <c r="D2049" s="65"/>
      <c r="M2049" s="65"/>
      <c r="Z2049" s="65"/>
      <c r="AI2049" s="65"/>
      <c r="AR2049" s="65"/>
    </row>
    <row r="2050" spans="4:44" x14ac:dyDescent="0.2">
      <c r="D2050" s="65"/>
      <c r="M2050" s="65"/>
      <c r="Z2050" s="65"/>
      <c r="AI2050" s="65"/>
      <c r="AR2050" s="65"/>
    </row>
    <row r="2051" spans="4:44" x14ac:dyDescent="0.2">
      <c r="D2051" s="65"/>
      <c r="M2051" s="65"/>
      <c r="Z2051" s="65"/>
      <c r="AI2051" s="65"/>
      <c r="AR2051" s="65"/>
    </row>
    <row r="2052" spans="4:44" x14ac:dyDescent="0.2">
      <c r="D2052" s="65"/>
      <c r="M2052" s="65"/>
      <c r="Z2052" s="65"/>
      <c r="AI2052" s="65"/>
      <c r="AR2052" s="65"/>
    </row>
    <row r="2053" spans="4:44" x14ac:dyDescent="0.2">
      <c r="D2053" s="65"/>
      <c r="M2053" s="65"/>
      <c r="Z2053" s="65"/>
      <c r="AI2053" s="65"/>
      <c r="AR2053" s="65"/>
    </row>
    <row r="2054" spans="4:44" x14ac:dyDescent="0.2">
      <c r="D2054" s="65"/>
      <c r="M2054" s="65"/>
      <c r="Z2054" s="65"/>
      <c r="AI2054" s="65"/>
      <c r="AR2054" s="65"/>
    </row>
    <row r="2055" spans="4:44" x14ac:dyDescent="0.2">
      <c r="D2055" s="65"/>
      <c r="M2055" s="65"/>
      <c r="Z2055" s="65"/>
      <c r="AI2055" s="65"/>
      <c r="AR2055" s="65"/>
    </row>
    <row r="2056" spans="4:44" x14ac:dyDescent="0.2">
      <c r="D2056" s="65"/>
      <c r="M2056" s="65"/>
      <c r="Z2056" s="65"/>
      <c r="AI2056" s="65"/>
      <c r="AR2056" s="65"/>
    </row>
    <row r="2057" spans="4:44" x14ac:dyDescent="0.2">
      <c r="D2057" s="65"/>
      <c r="M2057" s="65"/>
      <c r="Z2057" s="65"/>
      <c r="AI2057" s="65"/>
      <c r="AR2057" s="65"/>
    </row>
    <row r="2058" spans="4:44" x14ac:dyDescent="0.2">
      <c r="D2058" s="65"/>
      <c r="M2058" s="65"/>
      <c r="Z2058" s="65"/>
      <c r="AI2058" s="65"/>
      <c r="AR2058" s="65"/>
    </row>
    <row r="2059" spans="4:44" x14ac:dyDescent="0.2">
      <c r="D2059" s="65"/>
      <c r="M2059" s="65"/>
      <c r="Z2059" s="65"/>
      <c r="AI2059" s="65"/>
      <c r="AR2059" s="65"/>
    </row>
    <row r="2060" spans="4:44" x14ac:dyDescent="0.2">
      <c r="D2060" s="65"/>
      <c r="M2060" s="65"/>
      <c r="Z2060" s="65"/>
      <c r="AI2060" s="65"/>
      <c r="AR2060" s="65"/>
    </row>
    <row r="2061" spans="4:44" x14ac:dyDescent="0.2">
      <c r="D2061" s="65"/>
      <c r="M2061" s="65"/>
      <c r="Z2061" s="65"/>
      <c r="AI2061" s="65"/>
      <c r="AR2061" s="65"/>
    </row>
    <row r="2062" spans="4:44" x14ac:dyDescent="0.2">
      <c r="D2062" s="65"/>
      <c r="M2062" s="65"/>
      <c r="Z2062" s="65"/>
      <c r="AI2062" s="65"/>
      <c r="AR2062" s="65"/>
    </row>
    <row r="2063" spans="4:44" x14ac:dyDescent="0.2">
      <c r="D2063" s="65"/>
      <c r="M2063" s="65"/>
      <c r="Z2063" s="65"/>
      <c r="AI2063" s="65"/>
      <c r="AR2063" s="65"/>
    </row>
    <row r="2064" spans="4:44" x14ac:dyDescent="0.2">
      <c r="D2064" s="65"/>
      <c r="M2064" s="65"/>
      <c r="Z2064" s="65"/>
      <c r="AI2064" s="65"/>
      <c r="AR2064" s="65"/>
    </row>
    <row r="2065" spans="4:44" x14ac:dyDescent="0.2">
      <c r="D2065" s="65"/>
      <c r="M2065" s="65"/>
      <c r="Z2065" s="65"/>
      <c r="AI2065" s="65"/>
      <c r="AR2065" s="65"/>
    </row>
    <row r="2066" spans="4:44" x14ac:dyDescent="0.2">
      <c r="D2066" s="65"/>
      <c r="M2066" s="65"/>
      <c r="Z2066" s="65"/>
      <c r="AI2066" s="65"/>
      <c r="AR2066" s="65"/>
    </row>
    <row r="2067" spans="4:44" x14ac:dyDescent="0.2">
      <c r="D2067" s="65"/>
      <c r="M2067" s="65"/>
      <c r="Z2067" s="65"/>
      <c r="AI2067" s="65"/>
      <c r="AR2067" s="65"/>
    </row>
    <row r="2068" spans="4:44" x14ac:dyDescent="0.2">
      <c r="D2068" s="65"/>
      <c r="M2068" s="65"/>
      <c r="Z2068" s="65"/>
      <c r="AI2068" s="65"/>
      <c r="AR2068" s="65"/>
    </row>
    <row r="2069" spans="4:44" x14ac:dyDescent="0.2">
      <c r="D2069" s="65"/>
      <c r="M2069" s="65"/>
      <c r="Z2069" s="65"/>
      <c r="AI2069" s="65"/>
      <c r="AR2069" s="65"/>
    </row>
    <row r="2070" spans="4:44" x14ac:dyDescent="0.2">
      <c r="D2070" s="65"/>
      <c r="M2070" s="65"/>
      <c r="Z2070" s="65"/>
      <c r="AI2070" s="65"/>
      <c r="AR2070" s="65"/>
    </row>
    <row r="2071" spans="4:44" x14ac:dyDescent="0.2">
      <c r="D2071" s="65"/>
      <c r="M2071" s="65"/>
      <c r="Z2071" s="65"/>
      <c r="AI2071" s="65"/>
      <c r="AR2071" s="65"/>
    </row>
    <row r="2072" spans="4:44" x14ac:dyDescent="0.2">
      <c r="D2072" s="65"/>
      <c r="M2072" s="65"/>
      <c r="Z2072" s="65"/>
      <c r="AI2072" s="65"/>
      <c r="AR2072" s="65"/>
    </row>
    <row r="2073" spans="4:44" x14ac:dyDescent="0.2">
      <c r="D2073" s="65"/>
      <c r="M2073" s="65"/>
      <c r="Z2073" s="65"/>
      <c r="AI2073" s="65"/>
      <c r="AR2073" s="65"/>
    </row>
    <row r="2074" spans="4:44" x14ac:dyDescent="0.2">
      <c r="D2074" s="65"/>
      <c r="M2074" s="65"/>
      <c r="Z2074" s="65"/>
      <c r="AI2074" s="65"/>
      <c r="AR2074" s="65"/>
    </row>
    <row r="2075" spans="4:44" x14ac:dyDescent="0.2">
      <c r="D2075" s="65"/>
      <c r="M2075" s="65"/>
      <c r="Z2075" s="65"/>
      <c r="AI2075" s="65"/>
      <c r="AR2075" s="65"/>
    </row>
    <row r="2076" spans="4:44" x14ac:dyDescent="0.2">
      <c r="D2076" s="65"/>
      <c r="M2076" s="65"/>
      <c r="Z2076" s="65"/>
      <c r="AI2076" s="65"/>
      <c r="AR2076" s="65"/>
    </row>
    <row r="2077" spans="4:44" x14ac:dyDescent="0.2">
      <c r="D2077" s="65"/>
      <c r="M2077" s="65"/>
      <c r="Z2077" s="65"/>
      <c r="AI2077" s="65"/>
      <c r="AR2077" s="65"/>
    </row>
    <row r="2078" spans="4:44" x14ac:dyDescent="0.2">
      <c r="D2078" s="65"/>
      <c r="M2078" s="65"/>
      <c r="Z2078" s="65"/>
      <c r="AI2078" s="65"/>
      <c r="AR2078" s="65"/>
    </row>
    <row r="2079" spans="4:44" x14ac:dyDescent="0.2">
      <c r="D2079" s="65"/>
      <c r="M2079" s="65"/>
      <c r="Z2079" s="65"/>
      <c r="AI2079" s="65"/>
      <c r="AR2079" s="65"/>
    </row>
    <row r="2080" spans="4:44" x14ac:dyDescent="0.2">
      <c r="D2080" s="65"/>
      <c r="M2080" s="65"/>
      <c r="Z2080" s="65"/>
      <c r="AI2080" s="65"/>
      <c r="AR2080" s="65"/>
    </row>
    <row r="2081" spans="4:44" x14ac:dyDescent="0.2">
      <c r="D2081" s="65"/>
      <c r="M2081" s="65"/>
      <c r="Z2081" s="65"/>
      <c r="AI2081" s="65"/>
      <c r="AR2081" s="65"/>
    </row>
    <row r="2082" spans="4:44" x14ac:dyDescent="0.2">
      <c r="D2082" s="65"/>
      <c r="M2082" s="65"/>
      <c r="Z2082" s="65"/>
      <c r="AI2082" s="65"/>
      <c r="AR2082" s="65"/>
    </row>
    <row r="2083" spans="4:44" x14ac:dyDescent="0.2">
      <c r="D2083" s="65"/>
      <c r="M2083" s="65"/>
      <c r="Z2083" s="65"/>
      <c r="AI2083" s="65"/>
      <c r="AR2083" s="65"/>
    </row>
    <row r="2084" spans="4:44" x14ac:dyDescent="0.2">
      <c r="D2084" s="65"/>
      <c r="M2084" s="65"/>
      <c r="Z2084" s="65"/>
      <c r="AI2084" s="65"/>
      <c r="AR2084" s="65"/>
    </row>
    <row r="2085" spans="4:44" x14ac:dyDescent="0.2">
      <c r="D2085" s="65"/>
      <c r="M2085" s="65"/>
      <c r="Z2085" s="65"/>
      <c r="AI2085" s="65"/>
      <c r="AR2085" s="65"/>
    </row>
    <row r="2086" spans="4:44" x14ac:dyDescent="0.2">
      <c r="D2086" s="65"/>
      <c r="M2086" s="65"/>
      <c r="Z2086" s="65"/>
      <c r="AI2086" s="65"/>
      <c r="AR2086" s="65"/>
    </row>
    <row r="2087" spans="4:44" x14ac:dyDescent="0.2">
      <c r="D2087" s="65"/>
      <c r="M2087" s="65"/>
      <c r="Z2087" s="65"/>
      <c r="AI2087" s="65"/>
      <c r="AR2087" s="65"/>
    </row>
    <row r="2088" spans="4:44" x14ac:dyDescent="0.2">
      <c r="D2088" s="65"/>
      <c r="M2088" s="65"/>
      <c r="Z2088" s="65"/>
      <c r="AI2088" s="65"/>
      <c r="AR2088" s="65"/>
    </row>
    <row r="2089" spans="4:44" x14ac:dyDescent="0.2">
      <c r="D2089" s="65"/>
      <c r="M2089" s="65"/>
      <c r="Z2089" s="65"/>
      <c r="AI2089" s="65"/>
      <c r="AR2089" s="65"/>
    </row>
    <row r="2090" spans="4:44" x14ac:dyDescent="0.2">
      <c r="D2090" s="65"/>
      <c r="M2090" s="65"/>
      <c r="Z2090" s="65"/>
      <c r="AI2090" s="65"/>
      <c r="AR2090" s="65"/>
    </row>
    <row r="2091" spans="4:44" x14ac:dyDescent="0.2">
      <c r="D2091" s="65"/>
      <c r="M2091" s="65"/>
      <c r="Z2091" s="65"/>
      <c r="AI2091" s="65"/>
      <c r="AR2091" s="65"/>
    </row>
    <row r="2092" spans="4:44" x14ac:dyDescent="0.2">
      <c r="D2092" s="65"/>
      <c r="M2092" s="65"/>
      <c r="Z2092" s="65"/>
      <c r="AI2092" s="65"/>
      <c r="AR2092" s="65"/>
    </row>
    <row r="2093" spans="4:44" x14ac:dyDescent="0.2">
      <c r="D2093" s="65"/>
      <c r="M2093" s="65"/>
      <c r="Z2093" s="65"/>
      <c r="AI2093" s="65"/>
      <c r="AR2093" s="65"/>
    </row>
    <row r="2094" spans="4:44" x14ac:dyDescent="0.2">
      <c r="D2094" s="65"/>
      <c r="M2094" s="65"/>
      <c r="Z2094" s="65"/>
      <c r="AI2094" s="65"/>
      <c r="AR2094" s="65"/>
    </row>
    <row r="2095" spans="4:44" x14ac:dyDescent="0.2">
      <c r="D2095" s="65"/>
      <c r="M2095" s="65"/>
      <c r="Z2095" s="65"/>
      <c r="AI2095" s="65"/>
      <c r="AR2095" s="65"/>
    </row>
    <row r="2096" spans="4:44" x14ac:dyDescent="0.2">
      <c r="D2096" s="65"/>
      <c r="M2096" s="65"/>
      <c r="Z2096" s="65"/>
      <c r="AI2096" s="65"/>
      <c r="AR2096" s="65"/>
    </row>
    <row r="2097" spans="4:44" x14ac:dyDescent="0.2">
      <c r="D2097" s="65"/>
      <c r="M2097" s="65"/>
      <c r="Z2097" s="65"/>
      <c r="AI2097" s="65"/>
      <c r="AR2097" s="65"/>
    </row>
    <row r="2098" spans="4:44" x14ac:dyDescent="0.2">
      <c r="D2098" s="65"/>
      <c r="M2098" s="65"/>
      <c r="Z2098" s="65"/>
      <c r="AI2098" s="65"/>
      <c r="AR2098" s="65"/>
    </row>
    <row r="2099" spans="4:44" x14ac:dyDescent="0.2">
      <c r="D2099" s="65"/>
      <c r="M2099" s="65"/>
      <c r="Z2099" s="65"/>
      <c r="AI2099" s="65"/>
      <c r="AR2099" s="65"/>
    </row>
    <row r="2100" spans="4:44" x14ac:dyDescent="0.2">
      <c r="D2100" s="65"/>
      <c r="M2100" s="65"/>
      <c r="Z2100" s="65"/>
      <c r="AI2100" s="65"/>
      <c r="AR2100" s="65"/>
    </row>
    <row r="2101" spans="4:44" x14ac:dyDescent="0.2">
      <c r="D2101" s="65"/>
      <c r="M2101" s="65"/>
      <c r="Z2101" s="65"/>
      <c r="AI2101" s="65"/>
      <c r="AR2101" s="65"/>
    </row>
    <row r="2102" spans="4:44" x14ac:dyDescent="0.2">
      <c r="D2102" s="65"/>
      <c r="M2102" s="65"/>
      <c r="Z2102" s="65"/>
      <c r="AI2102" s="65"/>
      <c r="AR2102" s="65"/>
    </row>
    <row r="2103" spans="4:44" x14ac:dyDescent="0.2">
      <c r="D2103" s="65"/>
      <c r="M2103" s="65"/>
      <c r="Z2103" s="65"/>
      <c r="AI2103" s="65"/>
      <c r="AR2103" s="65"/>
    </row>
    <row r="2104" spans="4:44" x14ac:dyDescent="0.2">
      <c r="D2104" s="65"/>
      <c r="M2104" s="65"/>
      <c r="Z2104" s="65"/>
      <c r="AI2104" s="65"/>
      <c r="AR2104" s="65"/>
    </row>
    <row r="2105" spans="4:44" x14ac:dyDescent="0.2">
      <c r="D2105" s="65"/>
      <c r="M2105" s="65"/>
      <c r="Z2105" s="65"/>
      <c r="AI2105" s="65"/>
      <c r="AR2105" s="65"/>
    </row>
    <row r="2106" spans="4:44" x14ac:dyDescent="0.2">
      <c r="D2106" s="65"/>
      <c r="M2106" s="65"/>
      <c r="Z2106" s="65"/>
      <c r="AI2106" s="65"/>
      <c r="AR2106" s="65"/>
    </row>
    <row r="2107" spans="4:44" x14ac:dyDescent="0.2">
      <c r="D2107" s="65"/>
      <c r="M2107" s="65"/>
      <c r="Z2107" s="65"/>
      <c r="AI2107" s="65"/>
      <c r="AR2107" s="65"/>
    </row>
    <row r="2108" spans="4:44" x14ac:dyDescent="0.2">
      <c r="D2108" s="65"/>
      <c r="M2108" s="65"/>
      <c r="Z2108" s="65"/>
      <c r="AI2108" s="65"/>
      <c r="AR2108" s="65"/>
    </row>
    <row r="2109" spans="4:44" x14ac:dyDescent="0.2">
      <c r="D2109" s="65"/>
      <c r="M2109" s="65"/>
      <c r="Z2109" s="65"/>
      <c r="AI2109" s="65"/>
      <c r="AR2109" s="65"/>
    </row>
    <row r="2110" spans="4:44" x14ac:dyDescent="0.2">
      <c r="D2110" s="65"/>
      <c r="M2110" s="65"/>
      <c r="Z2110" s="65"/>
      <c r="AI2110" s="65"/>
      <c r="AR2110" s="65"/>
    </row>
    <row r="2111" spans="4:44" x14ac:dyDescent="0.2">
      <c r="D2111" s="65"/>
      <c r="M2111" s="65"/>
      <c r="Z2111" s="65"/>
      <c r="AI2111" s="65"/>
      <c r="AR2111" s="65"/>
    </row>
    <row r="2112" spans="4:44" x14ac:dyDescent="0.2">
      <c r="D2112" s="65"/>
      <c r="M2112" s="65"/>
      <c r="Z2112" s="65"/>
      <c r="AI2112" s="65"/>
      <c r="AR2112" s="65"/>
    </row>
    <row r="2113" spans="4:44" x14ac:dyDescent="0.2">
      <c r="D2113" s="65"/>
      <c r="M2113" s="65"/>
      <c r="Z2113" s="65"/>
      <c r="AI2113" s="65"/>
      <c r="AR2113" s="65"/>
    </row>
    <row r="2114" spans="4:44" x14ac:dyDescent="0.2">
      <c r="D2114" s="65"/>
      <c r="M2114" s="65"/>
      <c r="Z2114" s="65"/>
      <c r="AI2114" s="65"/>
      <c r="AR2114" s="65"/>
    </row>
    <row r="2115" spans="4:44" x14ac:dyDescent="0.2">
      <c r="D2115" s="65"/>
      <c r="M2115" s="65"/>
      <c r="Z2115" s="65"/>
      <c r="AI2115" s="65"/>
      <c r="AR2115" s="65"/>
    </row>
    <row r="2116" spans="4:44" x14ac:dyDescent="0.2">
      <c r="D2116" s="65"/>
      <c r="M2116" s="65"/>
      <c r="Z2116" s="65"/>
      <c r="AI2116" s="65"/>
      <c r="AR2116" s="65"/>
    </row>
    <row r="2117" spans="4:44" x14ac:dyDescent="0.2">
      <c r="D2117" s="65"/>
      <c r="M2117" s="65"/>
      <c r="Z2117" s="65"/>
      <c r="AI2117" s="65"/>
      <c r="AR2117" s="65"/>
    </row>
    <row r="2118" spans="4:44" x14ac:dyDescent="0.2">
      <c r="D2118" s="65"/>
      <c r="M2118" s="65"/>
      <c r="Z2118" s="65"/>
      <c r="AI2118" s="65"/>
      <c r="AR2118" s="65"/>
    </row>
    <row r="2119" spans="4:44" x14ac:dyDescent="0.2">
      <c r="D2119" s="65"/>
      <c r="M2119" s="65"/>
      <c r="Z2119" s="65"/>
      <c r="AI2119" s="65"/>
      <c r="AR2119" s="65"/>
    </row>
    <row r="2120" spans="4:44" x14ac:dyDescent="0.2">
      <c r="D2120" s="65"/>
      <c r="M2120" s="65"/>
      <c r="Z2120" s="65"/>
      <c r="AI2120" s="65"/>
      <c r="AR2120" s="65"/>
    </row>
    <row r="2121" spans="4:44" x14ac:dyDescent="0.2">
      <c r="D2121" s="65"/>
      <c r="M2121" s="65"/>
      <c r="Z2121" s="65"/>
      <c r="AI2121" s="65"/>
      <c r="AR2121" s="65"/>
    </row>
    <row r="2122" spans="4:44" x14ac:dyDescent="0.2">
      <c r="D2122" s="65"/>
      <c r="M2122" s="65"/>
      <c r="Z2122" s="65"/>
      <c r="AI2122" s="65"/>
      <c r="AR2122" s="65"/>
    </row>
    <row r="2123" spans="4:44" x14ac:dyDescent="0.2">
      <c r="D2123" s="65"/>
      <c r="M2123" s="65"/>
      <c r="Z2123" s="65"/>
      <c r="AI2123" s="65"/>
      <c r="AR2123" s="65"/>
    </row>
    <row r="2124" spans="4:44" x14ac:dyDescent="0.2">
      <c r="D2124" s="65"/>
      <c r="M2124" s="65"/>
      <c r="Z2124" s="65"/>
      <c r="AI2124" s="65"/>
      <c r="AR2124" s="65"/>
    </row>
    <row r="2125" spans="4:44" x14ac:dyDescent="0.2">
      <c r="D2125" s="65"/>
      <c r="M2125" s="65"/>
      <c r="Z2125" s="65"/>
      <c r="AI2125" s="65"/>
      <c r="AR2125" s="65"/>
    </row>
    <row r="2126" spans="4:44" x14ac:dyDescent="0.2">
      <c r="D2126" s="65"/>
      <c r="M2126" s="65"/>
      <c r="Z2126" s="65"/>
      <c r="AI2126" s="65"/>
      <c r="AR2126" s="65"/>
    </row>
    <row r="2127" spans="4:44" x14ac:dyDescent="0.2">
      <c r="D2127" s="65"/>
      <c r="M2127" s="65"/>
      <c r="Z2127" s="65"/>
      <c r="AI2127" s="65"/>
      <c r="AR2127" s="65"/>
    </row>
    <row r="2128" spans="4:44" x14ac:dyDescent="0.2">
      <c r="D2128" s="65"/>
      <c r="M2128" s="65"/>
      <c r="Z2128" s="65"/>
      <c r="AI2128" s="65"/>
      <c r="AR2128" s="65"/>
    </row>
    <row r="2129" spans="4:44" x14ac:dyDescent="0.2">
      <c r="D2129" s="65"/>
      <c r="M2129" s="65"/>
      <c r="Z2129" s="65"/>
      <c r="AI2129" s="65"/>
      <c r="AR2129" s="65"/>
    </row>
    <row r="2130" spans="4:44" x14ac:dyDescent="0.2">
      <c r="D2130" s="65"/>
      <c r="M2130" s="65"/>
      <c r="Z2130" s="65"/>
      <c r="AI2130" s="65"/>
      <c r="AR2130" s="65"/>
    </row>
    <row r="2131" spans="4:44" x14ac:dyDescent="0.2">
      <c r="D2131" s="65"/>
      <c r="M2131" s="65"/>
      <c r="Z2131" s="65"/>
      <c r="AI2131" s="65"/>
      <c r="AR2131" s="65"/>
    </row>
    <row r="2132" spans="4:44" x14ac:dyDescent="0.2">
      <c r="D2132" s="65"/>
      <c r="M2132" s="65"/>
      <c r="Z2132" s="65"/>
      <c r="AI2132" s="65"/>
      <c r="AR2132" s="65"/>
    </row>
    <row r="2133" spans="4:44" x14ac:dyDescent="0.2">
      <c r="D2133" s="65"/>
      <c r="M2133" s="65"/>
      <c r="Z2133" s="65"/>
      <c r="AI2133" s="65"/>
      <c r="AR2133" s="65"/>
    </row>
    <row r="2134" spans="4:44" x14ac:dyDescent="0.2">
      <c r="D2134" s="65"/>
      <c r="M2134" s="65"/>
      <c r="Z2134" s="65"/>
      <c r="AI2134" s="65"/>
      <c r="AR2134" s="65"/>
    </row>
    <row r="2135" spans="4:44" x14ac:dyDescent="0.2">
      <c r="D2135" s="65"/>
      <c r="M2135" s="65"/>
      <c r="Z2135" s="65"/>
      <c r="AI2135" s="65"/>
      <c r="AR2135" s="65"/>
    </row>
    <row r="2136" spans="4:44" x14ac:dyDescent="0.2">
      <c r="D2136" s="65"/>
      <c r="M2136" s="65"/>
      <c r="Z2136" s="65"/>
      <c r="AI2136" s="65"/>
      <c r="AR2136" s="65"/>
    </row>
    <row r="2137" spans="4:44" x14ac:dyDescent="0.2">
      <c r="D2137" s="65"/>
      <c r="M2137" s="65"/>
      <c r="Z2137" s="65"/>
      <c r="AI2137" s="65"/>
      <c r="AR2137" s="65"/>
    </row>
    <row r="2138" spans="4:44" x14ac:dyDescent="0.2">
      <c r="D2138" s="65"/>
      <c r="M2138" s="65"/>
      <c r="Z2138" s="65"/>
      <c r="AI2138" s="65"/>
      <c r="AR2138" s="65"/>
    </row>
    <row r="2139" spans="4:44" x14ac:dyDescent="0.2">
      <c r="D2139" s="65"/>
      <c r="M2139" s="65"/>
      <c r="Z2139" s="65"/>
      <c r="AI2139" s="65"/>
      <c r="AR2139" s="65"/>
    </row>
    <row r="2140" spans="4:44" x14ac:dyDescent="0.2">
      <c r="D2140" s="65"/>
      <c r="M2140" s="65"/>
      <c r="Z2140" s="65"/>
      <c r="AI2140" s="65"/>
      <c r="AR2140" s="65"/>
    </row>
    <row r="2141" spans="4:44" x14ac:dyDescent="0.2">
      <c r="D2141" s="65"/>
      <c r="M2141" s="65"/>
      <c r="Z2141" s="65"/>
      <c r="AI2141" s="65"/>
      <c r="AR2141" s="65"/>
    </row>
    <row r="2142" spans="4:44" x14ac:dyDescent="0.2">
      <c r="D2142" s="65"/>
      <c r="M2142" s="65"/>
      <c r="Z2142" s="65"/>
      <c r="AI2142" s="65"/>
      <c r="AR2142" s="65"/>
    </row>
    <row r="2143" spans="4:44" x14ac:dyDescent="0.2">
      <c r="D2143" s="65"/>
      <c r="M2143" s="65"/>
      <c r="Z2143" s="65"/>
      <c r="AI2143" s="65"/>
      <c r="AR2143" s="65"/>
    </row>
    <row r="2144" spans="4:44" x14ac:dyDescent="0.2">
      <c r="D2144" s="65"/>
      <c r="M2144" s="65"/>
      <c r="Z2144" s="65"/>
      <c r="AI2144" s="65"/>
      <c r="AR2144" s="65"/>
    </row>
    <row r="2145" spans="4:44" x14ac:dyDescent="0.2">
      <c r="D2145" s="65"/>
      <c r="M2145" s="65"/>
      <c r="Z2145" s="65"/>
      <c r="AI2145" s="65"/>
      <c r="AR2145" s="65"/>
    </row>
    <row r="2146" spans="4:44" x14ac:dyDescent="0.2">
      <c r="D2146" s="65"/>
      <c r="M2146" s="65"/>
      <c r="Z2146" s="65"/>
      <c r="AI2146" s="65"/>
      <c r="AR2146" s="65"/>
    </row>
    <row r="2147" spans="4:44" x14ac:dyDescent="0.2">
      <c r="D2147" s="65"/>
      <c r="M2147" s="65"/>
      <c r="Z2147" s="65"/>
      <c r="AI2147" s="65"/>
      <c r="AR2147" s="65"/>
    </row>
    <row r="2148" spans="4:44" x14ac:dyDescent="0.2">
      <c r="D2148" s="65"/>
      <c r="M2148" s="65"/>
      <c r="Z2148" s="65"/>
      <c r="AI2148" s="65"/>
      <c r="AR2148" s="65"/>
    </row>
    <row r="2149" spans="4:44" x14ac:dyDescent="0.2">
      <c r="D2149" s="65"/>
      <c r="M2149" s="65"/>
      <c r="Z2149" s="65"/>
      <c r="AI2149" s="65"/>
      <c r="AR2149" s="65"/>
    </row>
    <row r="2150" spans="4:44" x14ac:dyDescent="0.2">
      <c r="D2150" s="65"/>
      <c r="M2150" s="65"/>
      <c r="Z2150" s="65"/>
      <c r="AI2150" s="65"/>
      <c r="AR2150" s="65"/>
    </row>
    <row r="2151" spans="4:44" x14ac:dyDescent="0.2">
      <c r="D2151" s="65"/>
      <c r="M2151" s="65"/>
      <c r="Z2151" s="65"/>
      <c r="AI2151" s="65"/>
      <c r="AR2151" s="65"/>
    </row>
    <row r="2152" spans="4:44" x14ac:dyDescent="0.2">
      <c r="D2152" s="65"/>
      <c r="M2152" s="65"/>
      <c r="Z2152" s="65"/>
      <c r="AI2152" s="65"/>
      <c r="AR2152" s="65"/>
    </row>
    <row r="2153" spans="4:44" x14ac:dyDescent="0.2">
      <c r="D2153" s="65"/>
      <c r="M2153" s="65"/>
      <c r="Z2153" s="65"/>
      <c r="AI2153" s="65"/>
      <c r="AR2153" s="65"/>
    </row>
    <row r="2154" spans="4:44" x14ac:dyDescent="0.2">
      <c r="D2154" s="65"/>
      <c r="M2154" s="65"/>
      <c r="Z2154" s="65"/>
      <c r="AI2154" s="65"/>
      <c r="AR2154" s="65"/>
    </row>
    <row r="2155" spans="4:44" x14ac:dyDescent="0.2">
      <c r="D2155" s="65"/>
      <c r="M2155" s="65"/>
      <c r="Z2155" s="65"/>
      <c r="AI2155" s="65"/>
      <c r="AR2155" s="65"/>
    </row>
    <row r="2156" spans="4:44" x14ac:dyDescent="0.2">
      <c r="D2156" s="65"/>
      <c r="M2156" s="65"/>
      <c r="Z2156" s="65"/>
      <c r="AI2156" s="65"/>
      <c r="AR2156" s="65"/>
    </row>
    <row r="2157" spans="4:44" x14ac:dyDescent="0.2">
      <c r="D2157" s="65"/>
      <c r="M2157" s="65"/>
      <c r="Z2157" s="65"/>
      <c r="AI2157" s="65"/>
      <c r="AR2157" s="65"/>
    </row>
    <row r="2158" spans="4:44" x14ac:dyDescent="0.2">
      <c r="D2158" s="65"/>
      <c r="M2158" s="65"/>
      <c r="Z2158" s="65"/>
      <c r="AI2158" s="65"/>
      <c r="AR2158" s="65"/>
    </row>
    <row r="2159" spans="4:44" x14ac:dyDescent="0.2">
      <c r="D2159" s="65"/>
      <c r="M2159" s="65"/>
      <c r="Z2159" s="65"/>
      <c r="AI2159" s="65"/>
      <c r="AR2159" s="65"/>
    </row>
    <row r="2160" spans="4:44" x14ac:dyDescent="0.2">
      <c r="D2160" s="65"/>
      <c r="M2160" s="65"/>
      <c r="Z2160" s="65"/>
      <c r="AI2160" s="65"/>
      <c r="AR2160" s="65"/>
    </row>
    <row r="2161" spans="4:44" x14ac:dyDescent="0.2">
      <c r="D2161" s="65"/>
      <c r="M2161" s="65"/>
      <c r="Z2161" s="65"/>
      <c r="AI2161" s="65"/>
      <c r="AR2161" s="65"/>
    </row>
    <row r="2162" spans="4:44" x14ac:dyDescent="0.2">
      <c r="D2162" s="65"/>
      <c r="M2162" s="65"/>
      <c r="Z2162" s="65"/>
      <c r="AI2162" s="65"/>
      <c r="AR2162" s="65"/>
    </row>
    <row r="2163" spans="4:44" x14ac:dyDescent="0.2">
      <c r="D2163" s="65"/>
      <c r="M2163" s="65"/>
      <c r="Z2163" s="65"/>
      <c r="AI2163" s="65"/>
      <c r="AR2163" s="65"/>
    </row>
    <row r="2164" spans="4:44" x14ac:dyDescent="0.2">
      <c r="D2164" s="65"/>
      <c r="M2164" s="65"/>
      <c r="Z2164" s="65"/>
      <c r="AI2164" s="65"/>
      <c r="AR2164" s="65"/>
    </row>
    <row r="2165" spans="4:44" x14ac:dyDescent="0.2">
      <c r="D2165" s="65"/>
      <c r="M2165" s="65"/>
      <c r="Z2165" s="65"/>
      <c r="AI2165" s="65"/>
      <c r="AR2165" s="65"/>
    </row>
    <row r="2166" spans="4:44" x14ac:dyDescent="0.2">
      <c r="D2166" s="65"/>
      <c r="M2166" s="65"/>
      <c r="Z2166" s="65"/>
      <c r="AI2166" s="65"/>
      <c r="AR2166" s="65"/>
    </row>
    <row r="2167" spans="4:44" x14ac:dyDescent="0.2">
      <c r="D2167" s="65"/>
      <c r="M2167" s="65"/>
      <c r="Z2167" s="65"/>
      <c r="AI2167" s="65"/>
      <c r="AR2167" s="65"/>
    </row>
    <row r="2168" spans="4:44" x14ac:dyDescent="0.2">
      <c r="D2168" s="65"/>
      <c r="M2168" s="65"/>
      <c r="Z2168" s="65"/>
      <c r="AI2168" s="65"/>
      <c r="AR2168" s="65"/>
    </row>
    <row r="2169" spans="4:44" x14ac:dyDescent="0.2">
      <c r="D2169" s="65"/>
      <c r="M2169" s="65"/>
      <c r="Z2169" s="65"/>
      <c r="AI2169" s="65"/>
      <c r="AR2169" s="65"/>
    </row>
    <row r="2170" spans="4:44" x14ac:dyDescent="0.2">
      <c r="D2170" s="65"/>
      <c r="M2170" s="65"/>
      <c r="Z2170" s="65"/>
      <c r="AI2170" s="65"/>
      <c r="AR2170" s="65"/>
    </row>
    <row r="2171" spans="4:44" x14ac:dyDescent="0.2">
      <c r="D2171" s="65"/>
      <c r="M2171" s="65"/>
      <c r="Z2171" s="65"/>
      <c r="AI2171" s="65"/>
      <c r="AR2171" s="65"/>
    </row>
    <row r="2172" spans="4:44" x14ac:dyDescent="0.2">
      <c r="D2172" s="65"/>
      <c r="M2172" s="65"/>
      <c r="Z2172" s="65"/>
      <c r="AI2172" s="65"/>
      <c r="AR2172" s="65"/>
    </row>
    <row r="2173" spans="4:44" x14ac:dyDescent="0.2">
      <c r="D2173" s="65"/>
      <c r="M2173" s="65"/>
      <c r="Z2173" s="65"/>
      <c r="AI2173" s="65"/>
      <c r="AR2173" s="65"/>
    </row>
    <row r="2174" spans="4:44" x14ac:dyDescent="0.2">
      <c r="D2174" s="65"/>
      <c r="M2174" s="65"/>
      <c r="Z2174" s="65"/>
      <c r="AI2174" s="65"/>
      <c r="AR2174" s="65"/>
    </row>
    <row r="2175" spans="4:44" x14ac:dyDescent="0.2">
      <c r="D2175" s="65"/>
      <c r="M2175" s="65"/>
      <c r="Z2175" s="65"/>
      <c r="AI2175" s="65"/>
      <c r="AR2175" s="65"/>
    </row>
    <row r="2176" spans="4:44" x14ac:dyDescent="0.2">
      <c r="D2176" s="65"/>
      <c r="M2176" s="65"/>
      <c r="Z2176" s="65"/>
      <c r="AI2176" s="65"/>
      <c r="AR2176" s="65"/>
    </row>
    <row r="2177" spans="4:44" x14ac:dyDescent="0.2">
      <c r="D2177" s="65"/>
      <c r="M2177" s="65"/>
      <c r="Z2177" s="65"/>
      <c r="AI2177" s="65"/>
      <c r="AR2177" s="65"/>
    </row>
    <row r="2178" spans="4:44" x14ac:dyDescent="0.2">
      <c r="D2178" s="65"/>
      <c r="M2178" s="65"/>
      <c r="Z2178" s="65"/>
      <c r="AI2178" s="65"/>
      <c r="AR2178" s="65"/>
    </row>
    <row r="2179" spans="4:44" x14ac:dyDescent="0.2">
      <c r="D2179" s="65"/>
      <c r="M2179" s="65"/>
      <c r="Z2179" s="65"/>
      <c r="AI2179" s="65"/>
      <c r="AR2179" s="65"/>
    </row>
    <row r="2180" spans="4:44" x14ac:dyDescent="0.2">
      <c r="D2180" s="65"/>
      <c r="M2180" s="65"/>
      <c r="Z2180" s="65"/>
      <c r="AI2180" s="65"/>
      <c r="AR2180" s="65"/>
    </row>
    <row r="2181" spans="4:44" x14ac:dyDescent="0.2">
      <c r="D2181" s="65"/>
      <c r="M2181" s="65"/>
      <c r="Z2181" s="65"/>
      <c r="AI2181" s="65"/>
      <c r="AR2181" s="65"/>
    </row>
    <row r="2182" spans="4:44" x14ac:dyDescent="0.2">
      <c r="D2182" s="65"/>
      <c r="M2182" s="65"/>
      <c r="Z2182" s="65"/>
      <c r="AI2182" s="65"/>
      <c r="AR2182" s="65"/>
    </row>
    <row r="2183" spans="4:44" x14ac:dyDescent="0.2">
      <c r="D2183" s="65"/>
      <c r="M2183" s="65"/>
      <c r="Z2183" s="65"/>
      <c r="AI2183" s="65"/>
      <c r="AR2183" s="65"/>
    </row>
    <row r="2184" spans="4:44" x14ac:dyDescent="0.2">
      <c r="D2184" s="65"/>
      <c r="M2184" s="65"/>
      <c r="Z2184" s="65"/>
      <c r="AI2184" s="65"/>
      <c r="AR2184" s="65"/>
    </row>
    <row r="2185" spans="4:44" x14ac:dyDescent="0.2">
      <c r="D2185" s="65"/>
      <c r="M2185" s="65"/>
      <c r="Z2185" s="65"/>
      <c r="AI2185" s="65"/>
      <c r="AR2185" s="65"/>
    </row>
    <row r="2186" spans="4:44" x14ac:dyDescent="0.2">
      <c r="D2186" s="65"/>
      <c r="M2186" s="65"/>
      <c r="Z2186" s="65"/>
      <c r="AI2186" s="65"/>
      <c r="AR2186" s="65"/>
    </row>
    <row r="2187" spans="4:44" x14ac:dyDescent="0.2">
      <c r="D2187" s="65"/>
      <c r="M2187" s="65"/>
      <c r="Z2187" s="65"/>
      <c r="AI2187" s="65"/>
      <c r="AR2187" s="65"/>
    </row>
    <row r="2188" spans="4:44" x14ac:dyDescent="0.2">
      <c r="D2188" s="65"/>
      <c r="M2188" s="65"/>
      <c r="Z2188" s="65"/>
      <c r="AI2188" s="65"/>
      <c r="AR2188" s="65"/>
    </row>
    <row r="2189" spans="4:44" x14ac:dyDescent="0.2">
      <c r="D2189" s="65"/>
      <c r="M2189" s="65"/>
      <c r="Z2189" s="65"/>
      <c r="AI2189" s="65"/>
      <c r="AR2189" s="65"/>
    </row>
    <row r="2190" spans="4:44" x14ac:dyDescent="0.2">
      <c r="D2190" s="65"/>
      <c r="M2190" s="65"/>
      <c r="Z2190" s="65"/>
      <c r="AI2190" s="65"/>
      <c r="AR2190" s="65"/>
    </row>
    <row r="2191" spans="4:44" x14ac:dyDescent="0.2">
      <c r="D2191" s="65"/>
      <c r="M2191" s="65"/>
      <c r="Z2191" s="65"/>
      <c r="AI2191" s="65"/>
      <c r="AR2191" s="65"/>
    </row>
    <row r="2192" spans="4:44" x14ac:dyDescent="0.2">
      <c r="D2192" s="65"/>
      <c r="M2192" s="65"/>
      <c r="Z2192" s="65"/>
      <c r="AI2192" s="65"/>
      <c r="AR2192" s="65"/>
    </row>
    <row r="2193" spans="4:44" x14ac:dyDescent="0.2">
      <c r="D2193" s="65"/>
      <c r="M2193" s="65"/>
      <c r="Z2193" s="65"/>
      <c r="AI2193" s="65"/>
      <c r="AR2193" s="65"/>
    </row>
    <row r="2194" spans="4:44" x14ac:dyDescent="0.2">
      <c r="D2194" s="65"/>
      <c r="M2194" s="65"/>
      <c r="Z2194" s="65"/>
      <c r="AI2194" s="65"/>
      <c r="AR2194" s="65"/>
    </row>
    <row r="2195" spans="4:44" x14ac:dyDescent="0.2">
      <c r="D2195" s="65"/>
      <c r="M2195" s="65"/>
      <c r="Z2195" s="65"/>
      <c r="AI2195" s="65"/>
      <c r="AR2195" s="65"/>
    </row>
    <row r="2196" spans="4:44" x14ac:dyDescent="0.2">
      <c r="D2196" s="65"/>
      <c r="M2196" s="65"/>
      <c r="Z2196" s="65"/>
      <c r="AI2196" s="65"/>
      <c r="AR2196" s="65"/>
    </row>
    <row r="2197" spans="4:44" x14ac:dyDescent="0.2">
      <c r="D2197" s="65"/>
      <c r="M2197" s="65"/>
      <c r="Z2197" s="65"/>
      <c r="AI2197" s="65"/>
      <c r="AR2197" s="65"/>
    </row>
    <row r="2198" spans="4:44" x14ac:dyDescent="0.2">
      <c r="D2198" s="65"/>
      <c r="M2198" s="65"/>
      <c r="Z2198" s="65"/>
      <c r="AI2198" s="65"/>
      <c r="AR2198" s="65"/>
    </row>
    <row r="2199" spans="4:44" x14ac:dyDescent="0.2">
      <c r="D2199" s="65"/>
      <c r="M2199" s="65"/>
      <c r="Z2199" s="65"/>
      <c r="AI2199" s="65"/>
      <c r="AR2199" s="65"/>
    </row>
    <row r="2200" spans="4:44" x14ac:dyDescent="0.2">
      <c r="D2200" s="65"/>
      <c r="M2200" s="65"/>
      <c r="Z2200" s="65"/>
      <c r="AI2200" s="65"/>
      <c r="AR2200" s="65"/>
    </row>
    <row r="2201" spans="4:44" x14ac:dyDescent="0.2">
      <c r="D2201" s="65"/>
      <c r="M2201" s="65"/>
      <c r="Z2201" s="65"/>
      <c r="AI2201" s="65"/>
      <c r="AR2201" s="65"/>
    </row>
    <row r="2202" spans="4:44" x14ac:dyDescent="0.2">
      <c r="D2202" s="65"/>
      <c r="M2202" s="65"/>
      <c r="Z2202" s="65"/>
      <c r="AI2202" s="65"/>
      <c r="AR2202" s="65"/>
    </row>
    <row r="2203" spans="4:44" x14ac:dyDescent="0.2">
      <c r="D2203" s="65"/>
      <c r="M2203" s="65"/>
      <c r="Z2203" s="65"/>
      <c r="AI2203" s="65"/>
      <c r="AR2203" s="65"/>
    </row>
    <row r="2204" spans="4:44" x14ac:dyDescent="0.2">
      <c r="D2204" s="65"/>
      <c r="M2204" s="65"/>
      <c r="Z2204" s="65"/>
      <c r="AI2204" s="65"/>
      <c r="AR2204" s="65"/>
    </row>
    <row r="2205" spans="4:44" x14ac:dyDescent="0.2">
      <c r="D2205" s="65"/>
      <c r="M2205" s="65"/>
      <c r="Z2205" s="65"/>
      <c r="AI2205" s="65"/>
      <c r="AR2205" s="65"/>
    </row>
    <row r="2206" spans="4:44" x14ac:dyDescent="0.2">
      <c r="D2206" s="65"/>
      <c r="M2206" s="65"/>
      <c r="Z2206" s="65"/>
      <c r="AI2206" s="65"/>
      <c r="AR2206" s="65"/>
    </row>
    <row r="2207" spans="4:44" x14ac:dyDescent="0.2">
      <c r="D2207" s="65"/>
      <c r="M2207" s="65"/>
      <c r="Z2207" s="65"/>
      <c r="AI2207" s="65"/>
      <c r="AR2207" s="65"/>
    </row>
    <row r="2208" spans="4:44" x14ac:dyDescent="0.2">
      <c r="D2208" s="65"/>
      <c r="M2208" s="65"/>
      <c r="Z2208" s="65"/>
      <c r="AI2208" s="65"/>
      <c r="AR2208" s="65"/>
    </row>
    <row r="2209" spans="4:44" x14ac:dyDescent="0.2">
      <c r="D2209" s="65"/>
      <c r="M2209" s="65"/>
      <c r="Z2209" s="65"/>
      <c r="AI2209" s="65"/>
      <c r="AR2209" s="65"/>
    </row>
    <row r="2210" spans="4:44" x14ac:dyDescent="0.2">
      <c r="D2210" s="65"/>
      <c r="M2210" s="65"/>
      <c r="Z2210" s="65"/>
      <c r="AI2210" s="65"/>
      <c r="AR2210" s="65"/>
    </row>
    <row r="2211" spans="4:44" x14ac:dyDescent="0.2">
      <c r="D2211" s="65"/>
      <c r="M2211" s="65"/>
      <c r="Z2211" s="65"/>
      <c r="AI2211" s="65"/>
      <c r="AR2211" s="65"/>
    </row>
    <row r="2212" spans="4:44" x14ac:dyDescent="0.2">
      <c r="D2212" s="65"/>
      <c r="M2212" s="65"/>
      <c r="Z2212" s="65"/>
      <c r="AI2212" s="65"/>
      <c r="AR2212" s="65"/>
    </row>
    <row r="2213" spans="4:44" x14ac:dyDescent="0.2">
      <c r="D2213" s="65"/>
      <c r="M2213" s="65"/>
      <c r="Z2213" s="65"/>
      <c r="AI2213" s="65"/>
      <c r="AR2213" s="65"/>
    </row>
    <row r="2214" spans="4:44" x14ac:dyDescent="0.2">
      <c r="D2214" s="65"/>
      <c r="M2214" s="65"/>
      <c r="Z2214" s="65"/>
      <c r="AI2214" s="65"/>
      <c r="AR2214" s="65"/>
    </row>
    <row r="2215" spans="4:44" x14ac:dyDescent="0.2">
      <c r="D2215" s="65"/>
      <c r="M2215" s="65"/>
      <c r="Z2215" s="65"/>
      <c r="AI2215" s="65"/>
      <c r="AR2215" s="65"/>
    </row>
    <row r="2216" spans="4:44" x14ac:dyDescent="0.2">
      <c r="D2216" s="65"/>
      <c r="M2216" s="65"/>
      <c r="Z2216" s="65"/>
      <c r="AI2216" s="65"/>
      <c r="AR2216" s="65"/>
    </row>
    <row r="2217" spans="4:44" x14ac:dyDescent="0.2">
      <c r="D2217" s="65"/>
      <c r="M2217" s="65"/>
      <c r="Z2217" s="65"/>
      <c r="AI2217" s="65"/>
      <c r="AR2217" s="65"/>
    </row>
    <row r="2218" spans="4:44" x14ac:dyDescent="0.2">
      <c r="D2218" s="65"/>
      <c r="M2218" s="65"/>
      <c r="Z2218" s="65"/>
      <c r="AI2218" s="65"/>
      <c r="AR2218" s="65"/>
    </row>
    <row r="2219" spans="4:44" x14ac:dyDescent="0.2">
      <c r="D2219" s="65"/>
      <c r="M2219" s="65"/>
      <c r="Z2219" s="65"/>
      <c r="AI2219" s="65"/>
      <c r="AR2219" s="65"/>
    </row>
    <row r="2220" spans="4:44" x14ac:dyDescent="0.2">
      <c r="D2220" s="65"/>
      <c r="M2220" s="65"/>
      <c r="Z2220" s="65"/>
      <c r="AI2220" s="65"/>
      <c r="AR2220" s="65"/>
    </row>
    <row r="2221" spans="4:44" x14ac:dyDescent="0.2">
      <c r="D2221" s="65"/>
      <c r="M2221" s="65"/>
      <c r="Z2221" s="65"/>
      <c r="AI2221" s="65"/>
      <c r="AR2221" s="65"/>
    </row>
    <row r="2222" spans="4:44" x14ac:dyDescent="0.2">
      <c r="D2222" s="65"/>
      <c r="M2222" s="65"/>
      <c r="Z2222" s="65"/>
      <c r="AI2222" s="65"/>
      <c r="AR2222" s="65"/>
    </row>
    <row r="2223" spans="4:44" x14ac:dyDescent="0.2">
      <c r="D2223" s="65"/>
      <c r="M2223" s="65"/>
      <c r="Z2223" s="65"/>
      <c r="AI2223" s="65"/>
      <c r="AR2223" s="65"/>
    </row>
    <row r="2224" spans="4:44" x14ac:dyDescent="0.2">
      <c r="D2224" s="65"/>
      <c r="M2224" s="65"/>
      <c r="Z2224" s="65"/>
      <c r="AI2224" s="65"/>
      <c r="AR2224" s="65"/>
    </row>
    <row r="2225" spans="4:44" x14ac:dyDescent="0.2">
      <c r="D2225" s="65"/>
      <c r="M2225" s="65"/>
      <c r="Z2225" s="65"/>
      <c r="AI2225" s="65"/>
      <c r="AR2225" s="65"/>
    </row>
    <row r="2226" spans="4:44" x14ac:dyDescent="0.2">
      <c r="D2226" s="65"/>
      <c r="M2226" s="65"/>
      <c r="Z2226" s="65"/>
      <c r="AI2226" s="65"/>
      <c r="AR2226" s="65"/>
    </row>
    <row r="2227" spans="4:44" x14ac:dyDescent="0.2">
      <c r="D2227" s="65"/>
      <c r="M2227" s="65"/>
      <c r="Z2227" s="65"/>
      <c r="AI2227" s="65"/>
      <c r="AR2227" s="65"/>
    </row>
    <row r="2228" spans="4:44" x14ac:dyDescent="0.2">
      <c r="D2228" s="65"/>
      <c r="M2228" s="65"/>
      <c r="Z2228" s="65"/>
      <c r="AI2228" s="65"/>
      <c r="AR2228" s="65"/>
    </row>
    <row r="2229" spans="4:44" x14ac:dyDescent="0.2">
      <c r="D2229" s="65"/>
      <c r="M2229" s="65"/>
      <c r="Z2229" s="65"/>
      <c r="AI2229" s="65"/>
      <c r="AR2229" s="65"/>
    </row>
    <row r="2230" spans="4:44" x14ac:dyDescent="0.2">
      <c r="D2230" s="65"/>
      <c r="M2230" s="65"/>
      <c r="Z2230" s="65"/>
      <c r="AI2230" s="65"/>
      <c r="AR2230" s="65"/>
    </row>
    <row r="2231" spans="4:44" x14ac:dyDescent="0.2">
      <c r="D2231" s="65"/>
      <c r="M2231" s="65"/>
      <c r="Z2231" s="65"/>
      <c r="AI2231" s="65"/>
      <c r="AR2231" s="65"/>
    </row>
    <row r="2232" spans="4:44" x14ac:dyDescent="0.2">
      <c r="D2232" s="65"/>
      <c r="M2232" s="65"/>
      <c r="Z2232" s="65"/>
      <c r="AI2232" s="65"/>
      <c r="AR2232" s="65"/>
    </row>
    <row r="2233" spans="4:44" x14ac:dyDescent="0.2">
      <c r="D2233" s="65"/>
      <c r="M2233" s="65"/>
      <c r="Z2233" s="65"/>
      <c r="AI2233" s="65"/>
      <c r="AR2233" s="65"/>
    </row>
    <row r="2234" spans="4:44" x14ac:dyDescent="0.2">
      <c r="D2234" s="65"/>
      <c r="M2234" s="65"/>
      <c r="Z2234" s="65"/>
      <c r="AI2234" s="65"/>
      <c r="AR2234" s="65"/>
    </row>
    <row r="2235" spans="4:44" x14ac:dyDescent="0.2">
      <c r="D2235" s="65"/>
      <c r="M2235" s="65"/>
      <c r="Z2235" s="65"/>
      <c r="AI2235" s="65"/>
      <c r="AR2235" s="65"/>
    </row>
    <row r="2236" spans="4:44" x14ac:dyDescent="0.2">
      <c r="D2236" s="65"/>
      <c r="M2236" s="65"/>
      <c r="Z2236" s="65"/>
      <c r="AI2236" s="65"/>
      <c r="AR2236" s="65"/>
    </row>
    <row r="2237" spans="4:44" x14ac:dyDescent="0.2">
      <c r="D2237" s="65"/>
      <c r="M2237" s="65"/>
      <c r="Z2237" s="65"/>
      <c r="AI2237" s="65"/>
      <c r="AR2237" s="65"/>
    </row>
    <row r="2238" spans="4:44" x14ac:dyDescent="0.2">
      <c r="D2238" s="65"/>
      <c r="M2238" s="65"/>
      <c r="Z2238" s="65"/>
      <c r="AI2238" s="65"/>
      <c r="AR2238" s="65"/>
    </row>
    <row r="2239" spans="4:44" x14ac:dyDescent="0.2">
      <c r="D2239" s="65"/>
      <c r="M2239" s="65"/>
      <c r="Z2239" s="65"/>
      <c r="AI2239" s="65"/>
      <c r="AR2239" s="65"/>
    </row>
    <row r="2240" spans="4:44" x14ac:dyDescent="0.2">
      <c r="D2240" s="65"/>
      <c r="M2240" s="65"/>
      <c r="Z2240" s="65"/>
      <c r="AI2240" s="65"/>
      <c r="AR2240" s="65"/>
    </row>
    <row r="2241" spans="4:44" x14ac:dyDescent="0.2">
      <c r="D2241" s="65"/>
      <c r="M2241" s="65"/>
      <c r="Z2241" s="65"/>
      <c r="AI2241" s="65"/>
      <c r="AR2241" s="65"/>
    </row>
    <row r="2242" spans="4:44" x14ac:dyDescent="0.2">
      <c r="D2242" s="65"/>
      <c r="M2242" s="65"/>
      <c r="Z2242" s="65"/>
      <c r="AI2242" s="65"/>
      <c r="AR2242" s="65"/>
    </row>
    <row r="2243" spans="4:44" x14ac:dyDescent="0.2">
      <c r="D2243" s="65"/>
      <c r="M2243" s="65"/>
      <c r="Z2243" s="65"/>
      <c r="AI2243" s="65"/>
      <c r="AR2243" s="65"/>
    </row>
    <row r="2244" spans="4:44" x14ac:dyDescent="0.2">
      <c r="D2244" s="65"/>
      <c r="M2244" s="65"/>
      <c r="Z2244" s="65"/>
      <c r="AI2244" s="65"/>
      <c r="AR2244" s="65"/>
    </row>
    <row r="2245" spans="4:44" x14ac:dyDescent="0.2">
      <c r="D2245" s="65"/>
      <c r="M2245" s="65"/>
      <c r="Z2245" s="65"/>
      <c r="AI2245" s="65"/>
      <c r="AR2245" s="65"/>
    </row>
    <row r="2246" spans="4:44" x14ac:dyDescent="0.2">
      <c r="D2246" s="65"/>
      <c r="M2246" s="65"/>
      <c r="Z2246" s="65"/>
      <c r="AI2246" s="65"/>
      <c r="AR2246" s="65"/>
    </row>
    <row r="2247" spans="4:44" x14ac:dyDescent="0.2">
      <c r="D2247" s="65"/>
      <c r="M2247" s="65"/>
      <c r="Z2247" s="65"/>
      <c r="AI2247" s="65"/>
      <c r="AR2247" s="65"/>
    </row>
    <row r="2248" spans="4:44" x14ac:dyDescent="0.2">
      <c r="D2248" s="65"/>
      <c r="M2248" s="65"/>
      <c r="Z2248" s="65"/>
      <c r="AI2248" s="65"/>
      <c r="AR2248" s="65"/>
    </row>
    <row r="2249" spans="4:44" x14ac:dyDescent="0.2">
      <c r="D2249" s="65"/>
      <c r="M2249" s="65"/>
      <c r="Z2249" s="65"/>
      <c r="AI2249" s="65"/>
      <c r="AR2249" s="65"/>
    </row>
    <row r="2250" spans="4:44" x14ac:dyDescent="0.2">
      <c r="D2250" s="65"/>
      <c r="M2250" s="65"/>
      <c r="Z2250" s="65"/>
      <c r="AI2250" s="65"/>
      <c r="AR2250" s="65"/>
    </row>
    <row r="2251" spans="4:44" x14ac:dyDescent="0.2">
      <c r="D2251" s="65"/>
      <c r="M2251" s="65"/>
      <c r="Z2251" s="65"/>
      <c r="AI2251" s="65"/>
      <c r="AR2251" s="65"/>
    </row>
    <row r="2252" spans="4:44" x14ac:dyDescent="0.2">
      <c r="D2252" s="65"/>
      <c r="M2252" s="65"/>
      <c r="Z2252" s="65"/>
      <c r="AI2252" s="65"/>
      <c r="AR2252" s="65"/>
    </row>
    <row r="2253" spans="4:44" x14ac:dyDescent="0.2">
      <c r="D2253" s="65"/>
      <c r="M2253" s="65"/>
      <c r="Z2253" s="65"/>
      <c r="AI2253" s="65"/>
      <c r="AR2253" s="65"/>
    </row>
    <row r="2254" spans="4:44" x14ac:dyDescent="0.2">
      <c r="D2254" s="65"/>
      <c r="M2254" s="65"/>
      <c r="Z2254" s="65"/>
      <c r="AI2254" s="65"/>
      <c r="AR2254" s="65"/>
    </row>
    <row r="2255" spans="4:44" x14ac:dyDescent="0.2">
      <c r="D2255" s="65"/>
      <c r="M2255" s="65"/>
      <c r="Z2255" s="65"/>
      <c r="AI2255" s="65"/>
      <c r="AR2255" s="65"/>
    </row>
    <row r="2256" spans="4:44" x14ac:dyDescent="0.2">
      <c r="D2256" s="65"/>
      <c r="M2256" s="65"/>
      <c r="Z2256" s="65"/>
      <c r="AI2256" s="65"/>
      <c r="AR2256" s="65"/>
    </row>
    <row r="2257" spans="4:44" x14ac:dyDescent="0.2">
      <c r="D2257" s="65"/>
      <c r="M2257" s="65"/>
      <c r="Z2257" s="65"/>
      <c r="AI2257" s="65"/>
      <c r="AR2257" s="65"/>
    </row>
    <row r="2258" spans="4:44" x14ac:dyDescent="0.2">
      <c r="D2258" s="65"/>
      <c r="M2258" s="65"/>
      <c r="Z2258" s="65"/>
      <c r="AI2258" s="65"/>
      <c r="AR2258" s="65"/>
    </row>
    <row r="2259" spans="4:44" x14ac:dyDescent="0.2">
      <c r="D2259" s="65"/>
      <c r="M2259" s="65"/>
      <c r="Z2259" s="65"/>
      <c r="AI2259" s="65"/>
      <c r="AR2259" s="65"/>
    </row>
    <row r="2260" spans="4:44" x14ac:dyDescent="0.2">
      <c r="D2260" s="65"/>
      <c r="M2260" s="65"/>
      <c r="Z2260" s="65"/>
      <c r="AI2260" s="65"/>
      <c r="AR2260" s="65"/>
    </row>
    <row r="2261" spans="4:44" x14ac:dyDescent="0.2">
      <c r="D2261" s="65"/>
      <c r="M2261" s="65"/>
      <c r="Z2261" s="65"/>
      <c r="AI2261" s="65"/>
      <c r="AR2261" s="65"/>
    </row>
    <row r="2262" spans="4:44" x14ac:dyDescent="0.2">
      <c r="D2262" s="65"/>
      <c r="M2262" s="65"/>
      <c r="Z2262" s="65"/>
      <c r="AI2262" s="65"/>
      <c r="AR2262" s="65"/>
    </row>
    <row r="2263" spans="4:44" x14ac:dyDescent="0.2">
      <c r="D2263" s="65"/>
      <c r="M2263" s="65"/>
      <c r="Z2263" s="65"/>
      <c r="AI2263" s="65"/>
      <c r="AR2263" s="65"/>
    </row>
    <row r="2264" spans="4:44" x14ac:dyDescent="0.2">
      <c r="D2264" s="65"/>
      <c r="M2264" s="65"/>
      <c r="Z2264" s="65"/>
      <c r="AI2264" s="65"/>
      <c r="AR2264" s="65"/>
    </row>
    <row r="2265" spans="4:44" x14ac:dyDescent="0.2">
      <c r="D2265" s="65"/>
      <c r="M2265" s="65"/>
      <c r="Z2265" s="65"/>
      <c r="AI2265" s="65"/>
      <c r="AR2265" s="65"/>
    </row>
    <row r="2266" spans="4:44" x14ac:dyDescent="0.2">
      <c r="D2266" s="65"/>
      <c r="M2266" s="65"/>
      <c r="Z2266" s="65"/>
      <c r="AI2266" s="65"/>
      <c r="AR2266" s="65"/>
    </row>
    <row r="2267" spans="4:44" x14ac:dyDescent="0.2">
      <c r="D2267" s="65"/>
      <c r="M2267" s="65"/>
      <c r="Z2267" s="65"/>
      <c r="AI2267" s="65"/>
      <c r="AR2267" s="65"/>
    </row>
    <row r="2268" spans="4:44" x14ac:dyDescent="0.2">
      <c r="D2268" s="65"/>
      <c r="M2268" s="65"/>
      <c r="Z2268" s="65"/>
      <c r="AI2268" s="65"/>
      <c r="AR2268" s="65"/>
    </row>
    <row r="2269" spans="4:44" x14ac:dyDescent="0.2">
      <c r="D2269" s="65"/>
      <c r="M2269" s="65"/>
      <c r="Z2269" s="65"/>
      <c r="AI2269" s="65"/>
      <c r="AR2269" s="65"/>
    </row>
    <row r="2270" spans="4:44" x14ac:dyDescent="0.2">
      <c r="D2270" s="65"/>
      <c r="M2270" s="65"/>
      <c r="Z2270" s="65"/>
      <c r="AI2270" s="65"/>
      <c r="AR2270" s="65"/>
    </row>
    <row r="2271" spans="4:44" x14ac:dyDescent="0.2">
      <c r="D2271" s="65"/>
      <c r="M2271" s="65"/>
      <c r="Z2271" s="65"/>
      <c r="AI2271" s="65"/>
      <c r="AR2271" s="65"/>
    </row>
    <row r="2272" spans="4:44" x14ac:dyDescent="0.2">
      <c r="D2272" s="65"/>
      <c r="M2272" s="65"/>
      <c r="Z2272" s="65"/>
      <c r="AI2272" s="65"/>
      <c r="AR2272" s="65"/>
    </row>
    <row r="2273" spans="4:44" x14ac:dyDescent="0.2">
      <c r="D2273" s="65"/>
      <c r="M2273" s="65"/>
      <c r="Z2273" s="65"/>
      <c r="AI2273" s="65"/>
      <c r="AR2273" s="65"/>
    </row>
    <row r="2274" spans="4:44" x14ac:dyDescent="0.2">
      <c r="D2274" s="65"/>
      <c r="M2274" s="65"/>
      <c r="Z2274" s="65"/>
      <c r="AI2274" s="65"/>
      <c r="AR2274" s="65"/>
    </row>
    <row r="2275" spans="4:44" x14ac:dyDescent="0.2">
      <c r="D2275" s="65"/>
      <c r="M2275" s="65"/>
      <c r="Z2275" s="65"/>
      <c r="AI2275" s="65"/>
      <c r="AR2275" s="65"/>
    </row>
    <row r="2276" spans="4:44" x14ac:dyDescent="0.2">
      <c r="D2276" s="65"/>
      <c r="M2276" s="65"/>
      <c r="Z2276" s="65"/>
      <c r="AI2276" s="65"/>
      <c r="AR2276" s="65"/>
    </row>
    <row r="2277" spans="4:44" x14ac:dyDescent="0.2">
      <c r="D2277" s="65"/>
      <c r="M2277" s="65"/>
      <c r="Z2277" s="65"/>
      <c r="AI2277" s="65"/>
      <c r="AR2277" s="65"/>
    </row>
    <row r="2278" spans="4:44" x14ac:dyDescent="0.2">
      <c r="D2278" s="65"/>
      <c r="M2278" s="65"/>
      <c r="Z2278" s="65"/>
      <c r="AI2278" s="65"/>
      <c r="AR2278" s="65"/>
    </row>
  </sheetData>
  <autoFilter ref="A8:AZ347" xr:uid="{AC45C0BE-AF84-4FA3-98B5-88D2B4E385AF}">
    <sortState xmlns:xlrd2="http://schemas.microsoft.com/office/spreadsheetml/2017/richdata2" ref="A9:AZ353">
      <sortCondition sortBy="cellColor" ref="C8" dxfId="20"/>
    </sortState>
  </autoFilter>
  <conditionalFormatting sqref="C9:C996">
    <cfRule type="duplicateValues" dxfId="1" priority="1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1158-DB73-47FA-B1F5-42E6AFD38347}">
  <dimension ref="A1:N19"/>
  <sheetViews>
    <sheetView showGridLines="0" zoomScale="132" workbookViewId="0">
      <selection activeCell="D2" sqref="D2"/>
    </sheetView>
  </sheetViews>
  <sheetFormatPr baseColWidth="10" defaultColWidth="11.5" defaultRowHeight="15" x14ac:dyDescent="0.2"/>
  <cols>
    <col min="1" max="1" width="7.83203125" customWidth="1"/>
    <col min="2" max="2" width="9.33203125" customWidth="1"/>
    <col min="3" max="3" width="8.1640625" customWidth="1"/>
    <col min="4" max="4" width="16.5" style="72" customWidth="1"/>
    <col min="5" max="5" width="14.83203125" customWidth="1"/>
    <col min="6" max="6" width="12.33203125" bestFit="1" customWidth="1"/>
    <col min="7" max="7" width="15.5" customWidth="1"/>
    <col min="8" max="14" width="12.83203125" bestFit="1" customWidth="1"/>
  </cols>
  <sheetData>
    <row r="1" spans="1:14" s="56" customFormat="1" ht="16" x14ac:dyDescent="0.2">
      <c r="A1" s="57" t="s">
        <v>708</v>
      </c>
      <c r="B1" s="57" t="s">
        <v>715</v>
      </c>
      <c r="C1" s="57" t="s">
        <v>709</v>
      </c>
      <c r="D1" s="57" t="s">
        <v>710</v>
      </c>
    </row>
    <row r="2" spans="1:14" s="56" customFormat="1" x14ac:dyDescent="0.2">
      <c r="A2" s="70">
        <v>1</v>
      </c>
      <c r="B2" s="70">
        <v>2024</v>
      </c>
      <c r="C2" s="58" t="s">
        <v>4</v>
      </c>
      <c r="D2" s="71"/>
    </row>
    <row r="3" spans="1:14" s="56" customFormat="1" x14ac:dyDescent="0.2">
      <c r="A3" s="70">
        <v>2</v>
      </c>
      <c r="B3" s="70">
        <v>2024</v>
      </c>
      <c r="C3" s="58" t="s">
        <v>5</v>
      </c>
      <c r="D3" s="71"/>
    </row>
    <row r="4" spans="1:14" s="56" customFormat="1" x14ac:dyDescent="0.2">
      <c r="A4" s="70">
        <v>3</v>
      </c>
      <c r="B4" s="70">
        <v>2024</v>
      </c>
      <c r="C4" s="58" t="s">
        <v>6</v>
      </c>
      <c r="D4" s="71"/>
    </row>
    <row r="5" spans="1:14" x14ac:dyDescent="0.2">
      <c r="A5" s="70">
        <v>4</v>
      </c>
      <c r="B5" s="70">
        <v>2024</v>
      </c>
      <c r="C5" s="58" t="s">
        <v>7</v>
      </c>
      <c r="D5" s="71"/>
    </row>
    <row r="6" spans="1:14" x14ac:dyDescent="0.2">
      <c r="A6" s="70">
        <v>5</v>
      </c>
      <c r="B6" s="70">
        <v>2024</v>
      </c>
      <c r="C6" s="58" t="s">
        <v>8</v>
      </c>
      <c r="D6" s="71"/>
    </row>
    <row r="7" spans="1:14" x14ac:dyDescent="0.2">
      <c r="A7" s="70">
        <v>6</v>
      </c>
      <c r="B7" s="70">
        <v>2024</v>
      </c>
      <c r="C7" s="58" t="s">
        <v>9</v>
      </c>
      <c r="D7" s="71"/>
    </row>
    <row r="8" spans="1:14" x14ac:dyDescent="0.2">
      <c r="A8" s="70">
        <v>7</v>
      </c>
      <c r="B8" s="70">
        <v>2024</v>
      </c>
      <c r="C8" s="58" t="s">
        <v>10</v>
      </c>
      <c r="D8" s="71"/>
      <c r="G8" s="60"/>
      <c r="H8" s="60"/>
      <c r="I8" s="60"/>
      <c r="J8" s="60"/>
      <c r="K8" s="60"/>
      <c r="L8" s="60"/>
      <c r="M8" s="60"/>
      <c r="N8" s="60"/>
    </row>
    <row r="9" spans="1:14" x14ac:dyDescent="0.2">
      <c r="A9" s="70">
        <v>8</v>
      </c>
      <c r="B9" s="70">
        <v>2024</v>
      </c>
      <c r="C9" s="58" t="s">
        <v>11</v>
      </c>
      <c r="D9" s="71"/>
      <c r="E9" s="59"/>
      <c r="G9" s="59"/>
    </row>
    <row r="10" spans="1:14" x14ac:dyDescent="0.2">
      <c r="A10" s="70">
        <v>9</v>
      </c>
      <c r="B10" s="70">
        <v>2024</v>
      </c>
      <c r="C10" s="58" t="s">
        <v>21</v>
      </c>
      <c r="D10" s="73"/>
      <c r="E10" s="115"/>
      <c r="F10" s="59"/>
    </row>
    <row r="11" spans="1:14" x14ac:dyDescent="0.2">
      <c r="A11" s="70">
        <v>10</v>
      </c>
      <c r="B11" s="70">
        <v>2024</v>
      </c>
      <c r="C11" s="58" t="s">
        <v>22</v>
      </c>
      <c r="D11" s="73"/>
      <c r="E11" s="115"/>
      <c r="F11" s="59"/>
    </row>
    <row r="12" spans="1:14" x14ac:dyDescent="0.2">
      <c r="A12" s="70">
        <v>11</v>
      </c>
      <c r="B12" s="70">
        <v>2024</v>
      </c>
      <c r="C12" s="58" t="s">
        <v>23</v>
      </c>
      <c r="D12" s="73"/>
      <c r="E12" s="115"/>
      <c r="F12" s="59"/>
    </row>
    <row r="13" spans="1:14" x14ac:dyDescent="0.2">
      <c r="A13" s="70">
        <v>12</v>
      </c>
      <c r="B13" s="70">
        <v>2024</v>
      </c>
      <c r="C13" s="58" t="s">
        <v>24</v>
      </c>
      <c r="D13" s="73"/>
      <c r="E13" s="115"/>
      <c r="F13" s="59"/>
    </row>
    <row r="14" spans="1:14" x14ac:dyDescent="0.2">
      <c r="C14" s="125" t="s">
        <v>745</v>
      </c>
      <c r="D14" s="126">
        <f>SUM(D2:D13)</f>
        <v>0</v>
      </c>
      <c r="E14" s="59"/>
    </row>
    <row r="15" spans="1:14" x14ac:dyDescent="0.2">
      <c r="D15" s="59"/>
    </row>
    <row r="16" spans="1:14" x14ac:dyDescent="0.2">
      <c r="D16" s="59"/>
    </row>
    <row r="17" spans="4:4" x14ac:dyDescent="0.2">
      <c r="D17" s="59"/>
    </row>
    <row r="18" spans="4:4" x14ac:dyDescent="0.2">
      <c r="D18" s="59"/>
    </row>
    <row r="19" spans="4:4" x14ac:dyDescent="0.2">
      <c r="D19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74FD-FB3A-CC4A-A374-323DE78DD778}">
  <dimension ref="A2:GNH198"/>
  <sheetViews>
    <sheetView showGridLines="0" workbookViewId="0">
      <selection activeCell="E3" sqref="E3"/>
    </sheetView>
  </sheetViews>
  <sheetFormatPr baseColWidth="10" defaultRowHeight="15" x14ac:dyDescent="0.2"/>
  <cols>
    <col min="1" max="1" width="18.6640625" bestFit="1" customWidth="1"/>
    <col min="2" max="2" width="12.5" bestFit="1" customWidth="1"/>
    <col min="3" max="3" width="11.83203125" bestFit="1" customWidth="1"/>
    <col min="4" max="4" width="12.1640625" bestFit="1" customWidth="1"/>
    <col min="5" max="5" width="12.5" bestFit="1" customWidth="1"/>
    <col min="6" max="6" width="12.1640625" bestFit="1" customWidth="1"/>
    <col min="7" max="7" width="12.5" bestFit="1" customWidth="1"/>
    <col min="8" max="8" width="12" bestFit="1" customWidth="1"/>
    <col min="9" max="9" width="12.33203125" bestFit="1" customWidth="1"/>
    <col min="10" max="10" width="18.33203125" bestFit="1" customWidth="1"/>
    <col min="11" max="12" width="7.83203125" bestFit="1" customWidth="1"/>
    <col min="13" max="13" width="6.1640625" bestFit="1" customWidth="1"/>
    <col min="14" max="14" width="12.1640625" bestFit="1" customWidth="1"/>
    <col min="15" max="15" width="7.83203125" bestFit="1" customWidth="1"/>
    <col min="16" max="16" width="12.1640625" bestFit="1" customWidth="1"/>
    <col min="17" max="17" width="11.83203125" bestFit="1" customWidth="1"/>
    <col min="18" max="18" width="7.83203125" bestFit="1" customWidth="1"/>
    <col min="19" max="19" width="9.33203125" bestFit="1" customWidth="1"/>
    <col min="20" max="20" width="13.6640625" bestFit="1" customWidth="1"/>
    <col min="21" max="23" width="12.6640625" bestFit="1" customWidth="1"/>
    <col min="24" max="24" width="13.6640625" bestFit="1" customWidth="1"/>
    <col min="25" max="25" width="12.6640625" bestFit="1" customWidth="1"/>
    <col min="26" max="26" width="13.1640625" bestFit="1" customWidth="1"/>
    <col min="27" max="28" width="12.6640625" bestFit="1" customWidth="1"/>
    <col min="29" max="29" width="12.1640625" bestFit="1" customWidth="1"/>
    <col min="30" max="30" width="7.1640625" bestFit="1" customWidth="1"/>
    <col min="31" max="31" width="12.1640625" bestFit="1" customWidth="1"/>
    <col min="32" max="32" width="9.1640625" bestFit="1" customWidth="1"/>
    <col min="33" max="33" width="12.1640625" bestFit="1" customWidth="1"/>
    <col min="34" max="34" width="11.1640625" bestFit="1" customWidth="1"/>
    <col min="35" max="35" width="10.1640625" bestFit="1" customWidth="1"/>
    <col min="36" max="36" width="9.1640625" bestFit="1" customWidth="1"/>
    <col min="37" max="37" width="7.1640625" bestFit="1" customWidth="1"/>
    <col min="38" max="39" width="12.1640625" bestFit="1" customWidth="1"/>
    <col min="40" max="40" width="10.1640625" bestFit="1" customWidth="1"/>
    <col min="41" max="41" width="12.1640625" bestFit="1" customWidth="1"/>
    <col min="42" max="42" width="9.1640625" bestFit="1" customWidth="1"/>
    <col min="43" max="43" width="12.1640625" bestFit="1" customWidth="1"/>
    <col min="44" max="44" width="9.1640625" bestFit="1" customWidth="1"/>
    <col min="45" max="45" width="11.1640625" bestFit="1" customWidth="1"/>
    <col min="46" max="50" width="12.1640625" bestFit="1" customWidth="1"/>
    <col min="51" max="51" width="9.1640625" bestFit="1" customWidth="1"/>
    <col min="52" max="52" width="10.1640625" bestFit="1" customWidth="1"/>
    <col min="53" max="53" width="8.1640625" bestFit="1" customWidth="1"/>
    <col min="54" max="58" width="12.1640625" bestFit="1" customWidth="1"/>
    <col min="59" max="59" width="11.1640625" bestFit="1" customWidth="1"/>
    <col min="60" max="60" width="9.1640625" bestFit="1" customWidth="1"/>
    <col min="61" max="63" width="12.1640625" bestFit="1" customWidth="1"/>
    <col min="64" max="64" width="9.1640625" bestFit="1" customWidth="1"/>
    <col min="65" max="65" width="12.1640625" bestFit="1" customWidth="1"/>
    <col min="66" max="66" width="9.1640625" bestFit="1" customWidth="1"/>
    <col min="67" max="69" width="12.1640625" bestFit="1" customWidth="1"/>
    <col min="70" max="70" width="7.1640625" bestFit="1" customWidth="1"/>
    <col min="71" max="71" width="12.1640625" bestFit="1" customWidth="1"/>
    <col min="72" max="72" width="7.1640625" bestFit="1" customWidth="1"/>
    <col min="73" max="73" width="12.1640625" bestFit="1" customWidth="1"/>
    <col min="74" max="74" width="9.1640625" bestFit="1" customWidth="1"/>
    <col min="75" max="75" width="12.1640625" bestFit="1" customWidth="1"/>
    <col min="76" max="76" width="11.1640625" bestFit="1" customWidth="1"/>
    <col min="77" max="80" width="12.1640625" bestFit="1" customWidth="1"/>
    <col min="81" max="81" width="11.1640625" bestFit="1" customWidth="1"/>
    <col min="82" max="84" width="12.1640625" bestFit="1" customWidth="1"/>
    <col min="85" max="85" width="11.1640625" bestFit="1" customWidth="1"/>
    <col min="86" max="87" width="12.1640625" bestFit="1" customWidth="1"/>
    <col min="88" max="89" width="9.1640625" bestFit="1" customWidth="1"/>
    <col min="90" max="93" width="12.1640625" bestFit="1" customWidth="1"/>
    <col min="94" max="94" width="10.1640625" bestFit="1" customWidth="1"/>
    <col min="95" max="95" width="9.1640625" bestFit="1" customWidth="1"/>
    <col min="96" max="96" width="12.1640625" bestFit="1" customWidth="1"/>
    <col min="97" max="97" width="10.1640625" bestFit="1" customWidth="1"/>
    <col min="98" max="105" width="12.1640625" bestFit="1" customWidth="1"/>
    <col min="106" max="106" width="7.1640625" bestFit="1" customWidth="1"/>
    <col min="107" max="108" width="12.1640625" bestFit="1" customWidth="1"/>
    <col min="109" max="109" width="10.1640625" bestFit="1" customWidth="1"/>
    <col min="110" max="111" width="12.1640625" bestFit="1" customWidth="1"/>
    <col min="112" max="112" width="8.1640625" bestFit="1" customWidth="1"/>
    <col min="113" max="113" width="12.1640625" bestFit="1" customWidth="1"/>
    <col min="114" max="114" width="8.1640625" bestFit="1" customWidth="1"/>
    <col min="115" max="118" width="12.1640625" bestFit="1" customWidth="1"/>
    <col min="119" max="120" width="9.1640625" bestFit="1" customWidth="1"/>
    <col min="121" max="123" width="12.1640625" bestFit="1" customWidth="1"/>
    <col min="124" max="124" width="8.1640625" bestFit="1" customWidth="1"/>
    <col min="125" max="129" width="12.1640625" bestFit="1" customWidth="1"/>
    <col min="130" max="130" width="9.1640625" bestFit="1" customWidth="1"/>
    <col min="131" max="133" width="12.1640625" bestFit="1" customWidth="1"/>
    <col min="134" max="134" width="7.1640625" bestFit="1" customWidth="1"/>
    <col min="135" max="136" width="9.1640625" bestFit="1" customWidth="1"/>
    <col min="137" max="137" width="7.1640625" bestFit="1" customWidth="1"/>
    <col min="138" max="139" width="12.1640625" bestFit="1" customWidth="1"/>
    <col min="140" max="140" width="10.1640625" bestFit="1" customWidth="1"/>
    <col min="141" max="141" width="8.1640625" bestFit="1" customWidth="1"/>
    <col min="142" max="142" width="12.1640625" bestFit="1" customWidth="1"/>
    <col min="143" max="143" width="8.1640625" bestFit="1" customWidth="1"/>
    <col min="144" max="145" width="12.1640625" bestFit="1" customWidth="1"/>
    <col min="146" max="146" width="10.1640625" bestFit="1" customWidth="1"/>
    <col min="147" max="147" width="12.1640625" bestFit="1" customWidth="1"/>
    <col min="148" max="148" width="10.1640625" bestFit="1" customWidth="1"/>
    <col min="149" max="152" width="12.1640625" bestFit="1" customWidth="1"/>
    <col min="153" max="153" width="7.1640625" bestFit="1" customWidth="1"/>
    <col min="154" max="154" width="9.1640625" bestFit="1" customWidth="1"/>
    <col min="155" max="161" width="12.1640625" bestFit="1" customWidth="1"/>
    <col min="162" max="162" width="10.1640625" bestFit="1" customWidth="1"/>
    <col min="163" max="167" width="12.1640625" bestFit="1" customWidth="1"/>
    <col min="168" max="168" width="8.1640625" bestFit="1" customWidth="1"/>
    <col min="169" max="169" width="11.1640625" bestFit="1" customWidth="1"/>
    <col min="170" max="170" width="12.1640625" bestFit="1" customWidth="1"/>
    <col min="171" max="172" width="8.1640625" bestFit="1" customWidth="1"/>
    <col min="173" max="173" width="9.1640625" bestFit="1" customWidth="1"/>
    <col min="174" max="181" width="12.1640625" bestFit="1" customWidth="1"/>
    <col min="182" max="182" width="8.1640625" bestFit="1" customWidth="1"/>
    <col min="183" max="183" width="11.1640625" bestFit="1" customWidth="1"/>
    <col min="184" max="184" width="12.1640625" bestFit="1" customWidth="1"/>
    <col min="185" max="185" width="8.1640625" bestFit="1" customWidth="1"/>
    <col min="186" max="186" width="10.1640625" bestFit="1" customWidth="1"/>
    <col min="187" max="187" width="12.1640625" bestFit="1" customWidth="1"/>
    <col min="188" max="188" width="11.1640625" bestFit="1" customWidth="1"/>
    <col min="189" max="189" width="9.1640625" bestFit="1" customWidth="1"/>
    <col min="190" max="191" width="12.6640625" bestFit="1" customWidth="1"/>
    <col min="192" max="193" width="12.1640625" bestFit="1" customWidth="1"/>
    <col min="194" max="194" width="7.1640625" bestFit="1" customWidth="1"/>
    <col min="195" max="197" width="12.1640625" bestFit="1" customWidth="1"/>
    <col min="198" max="200" width="11.1640625" bestFit="1" customWidth="1"/>
    <col min="201" max="201" width="7.1640625" bestFit="1" customWidth="1"/>
    <col min="202" max="202" width="12.1640625" bestFit="1" customWidth="1"/>
    <col min="203" max="203" width="9.1640625" bestFit="1" customWidth="1"/>
    <col min="204" max="206" width="12.1640625" bestFit="1" customWidth="1"/>
    <col min="207" max="207" width="11.1640625" bestFit="1" customWidth="1"/>
    <col min="208" max="211" width="12.1640625" bestFit="1" customWidth="1"/>
    <col min="212" max="212" width="9.1640625" bestFit="1" customWidth="1"/>
    <col min="213" max="214" width="12.1640625" bestFit="1" customWidth="1"/>
    <col min="215" max="215" width="7.1640625" bestFit="1" customWidth="1"/>
    <col min="216" max="217" width="12.1640625" bestFit="1" customWidth="1"/>
    <col min="218" max="218" width="7.1640625" bestFit="1" customWidth="1"/>
    <col min="219" max="219" width="12.1640625" bestFit="1" customWidth="1"/>
    <col min="220" max="220" width="9.1640625" bestFit="1" customWidth="1"/>
    <col min="221" max="221" width="12.1640625" bestFit="1" customWidth="1"/>
    <col min="222" max="222" width="11.1640625" bestFit="1" customWidth="1"/>
    <col min="223" max="223" width="10.1640625" bestFit="1" customWidth="1"/>
    <col min="224" max="224" width="9.1640625" bestFit="1" customWidth="1"/>
    <col min="225" max="225" width="7.1640625" bestFit="1" customWidth="1"/>
    <col min="226" max="227" width="12.1640625" bestFit="1" customWidth="1"/>
    <col min="228" max="228" width="10.1640625" bestFit="1" customWidth="1"/>
    <col min="229" max="229" width="12.1640625" bestFit="1" customWidth="1"/>
    <col min="230" max="230" width="9.1640625" bestFit="1" customWidth="1"/>
    <col min="231" max="231" width="12.1640625" bestFit="1" customWidth="1"/>
    <col min="232" max="232" width="9.1640625" bestFit="1" customWidth="1"/>
    <col min="233" max="233" width="11.1640625" bestFit="1" customWidth="1"/>
    <col min="234" max="238" width="12.1640625" bestFit="1" customWidth="1"/>
    <col min="239" max="239" width="9.1640625" bestFit="1" customWidth="1"/>
    <col min="240" max="240" width="10.1640625" bestFit="1" customWidth="1"/>
    <col min="241" max="241" width="8.1640625" bestFit="1" customWidth="1"/>
    <col min="242" max="246" width="12.1640625" bestFit="1" customWidth="1"/>
    <col min="247" max="247" width="11.1640625" bestFit="1" customWidth="1"/>
    <col min="248" max="248" width="9.1640625" bestFit="1" customWidth="1"/>
    <col min="249" max="251" width="12.1640625" bestFit="1" customWidth="1"/>
    <col min="252" max="252" width="9.1640625" bestFit="1" customWidth="1"/>
    <col min="253" max="253" width="12.1640625" bestFit="1" customWidth="1"/>
    <col min="254" max="254" width="9.1640625" bestFit="1" customWidth="1"/>
    <col min="255" max="257" width="12.1640625" bestFit="1" customWidth="1"/>
    <col min="258" max="258" width="7.1640625" bestFit="1" customWidth="1"/>
    <col min="259" max="259" width="12.1640625" bestFit="1" customWidth="1"/>
    <col min="260" max="260" width="7.1640625" bestFit="1" customWidth="1"/>
    <col min="261" max="261" width="12.1640625" bestFit="1" customWidth="1"/>
    <col min="262" max="262" width="9.1640625" bestFit="1" customWidth="1"/>
    <col min="263" max="263" width="12.1640625" bestFit="1" customWidth="1"/>
    <col min="264" max="264" width="11.1640625" bestFit="1" customWidth="1"/>
    <col min="265" max="268" width="12.1640625" bestFit="1" customWidth="1"/>
    <col min="269" max="269" width="11.1640625" bestFit="1" customWidth="1"/>
    <col min="270" max="272" width="12.1640625" bestFit="1" customWidth="1"/>
    <col min="273" max="273" width="11.1640625" bestFit="1" customWidth="1"/>
    <col min="274" max="275" width="12.1640625" bestFit="1" customWidth="1"/>
    <col min="276" max="277" width="9.1640625" bestFit="1" customWidth="1"/>
    <col min="278" max="281" width="12.1640625" bestFit="1" customWidth="1"/>
    <col min="282" max="282" width="10.1640625" bestFit="1" customWidth="1"/>
    <col min="283" max="283" width="9.1640625" bestFit="1" customWidth="1"/>
    <col min="284" max="284" width="12.1640625" bestFit="1" customWidth="1"/>
    <col min="285" max="285" width="10.1640625" bestFit="1" customWidth="1"/>
    <col min="286" max="293" width="12.1640625" bestFit="1" customWidth="1"/>
    <col min="294" max="294" width="7.6640625" bestFit="1" customWidth="1"/>
    <col min="295" max="296" width="12.1640625" bestFit="1" customWidth="1"/>
    <col min="297" max="297" width="10.1640625" bestFit="1" customWidth="1"/>
    <col min="298" max="299" width="12.1640625" bestFit="1" customWidth="1"/>
    <col min="300" max="300" width="8.1640625" bestFit="1" customWidth="1"/>
    <col min="301" max="301" width="12.1640625" bestFit="1" customWidth="1"/>
    <col min="302" max="302" width="8.1640625" bestFit="1" customWidth="1"/>
    <col min="303" max="306" width="12.1640625" bestFit="1" customWidth="1"/>
    <col min="307" max="308" width="9.1640625" bestFit="1" customWidth="1"/>
    <col min="309" max="311" width="12.1640625" bestFit="1" customWidth="1"/>
    <col min="312" max="312" width="8.1640625" bestFit="1" customWidth="1"/>
    <col min="313" max="317" width="12.1640625" bestFit="1" customWidth="1"/>
    <col min="318" max="318" width="9.1640625" bestFit="1" customWidth="1"/>
    <col min="319" max="321" width="12.1640625" bestFit="1" customWidth="1"/>
    <col min="322" max="322" width="7.1640625" bestFit="1" customWidth="1"/>
    <col min="323" max="324" width="9.1640625" bestFit="1" customWidth="1"/>
    <col min="325" max="325" width="7.1640625" bestFit="1" customWidth="1"/>
    <col min="326" max="327" width="12.1640625" bestFit="1" customWidth="1"/>
    <col min="328" max="328" width="10.1640625" bestFit="1" customWidth="1"/>
    <col min="329" max="329" width="8.1640625" bestFit="1" customWidth="1"/>
    <col min="330" max="330" width="12.1640625" bestFit="1" customWidth="1"/>
    <col min="331" max="331" width="8.1640625" bestFit="1" customWidth="1"/>
    <col min="332" max="333" width="12.1640625" bestFit="1" customWidth="1"/>
    <col min="334" max="334" width="10.1640625" bestFit="1" customWidth="1"/>
    <col min="335" max="335" width="12.1640625" bestFit="1" customWidth="1"/>
    <col min="336" max="336" width="10.1640625" bestFit="1" customWidth="1"/>
    <col min="337" max="340" width="12.1640625" bestFit="1" customWidth="1"/>
    <col min="341" max="341" width="7.1640625" bestFit="1" customWidth="1"/>
    <col min="342" max="342" width="9.1640625" bestFit="1" customWidth="1"/>
    <col min="343" max="349" width="12.1640625" bestFit="1" customWidth="1"/>
    <col min="350" max="350" width="10.1640625" bestFit="1" customWidth="1"/>
    <col min="351" max="355" width="12.1640625" bestFit="1" customWidth="1"/>
    <col min="356" max="356" width="8.1640625" bestFit="1" customWidth="1"/>
    <col min="357" max="357" width="11.1640625" bestFit="1" customWidth="1"/>
    <col min="358" max="358" width="12.1640625" bestFit="1" customWidth="1"/>
    <col min="359" max="360" width="8.1640625" bestFit="1" customWidth="1"/>
    <col min="361" max="361" width="9.1640625" bestFit="1" customWidth="1"/>
    <col min="362" max="369" width="12.1640625" bestFit="1" customWidth="1"/>
    <col min="370" max="370" width="8.1640625" bestFit="1" customWidth="1"/>
    <col min="371" max="371" width="11.1640625" bestFit="1" customWidth="1"/>
    <col min="372" max="372" width="12.1640625" bestFit="1" customWidth="1"/>
    <col min="373" max="373" width="8.1640625" bestFit="1" customWidth="1"/>
    <col min="374" max="374" width="10.1640625" bestFit="1" customWidth="1"/>
    <col min="375" max="375" width="12.1640625" bestFit="1" customWidth="1"/>
    <col min="376" max="376" width="11.1640625" bestFit="1" customWidth="1"/>
    <col min="377" max="377" width="9.1640625" bestFit="1" customWidth="1"/>
    <col min="378" max="379" width="12.6640625" bestFit="1" customWidth="1"/>
    <col min="380" max="381" width="12.1640625" bestFit="1" customWidth="1"/>
    <col min="382" max="382" width="7.1640625" bestFit="1" customWidth="1"/>
    <col min="383" max="385" width="12.1640625" bestFit="1" customWidth="1"/>
    <col min="386" max="386" width="11.1640625" bestFit="1" customWidth="1"/>
    <col min="387" max="387" width="13.1640625" bestFit="1" customWidth="1"/>
    <col min="388" max="388" width="11.1640625" bestFit="1" customWidth="1"/>
    <col min="389" max="389" width="7.1640625" bestFit="1" customWidth="1"/>
    <col min="390" max="390" width="12.1640625" bestFit="1" customWidth="1"/>
    <col min="391" max="391" width="9.1640625" bestFit="1" customWidth="1"/>
    <col min="392" max="394" width="12.1640625" bestFit="1" customWidth="1"/>
    <col min="395" max="395" width="11.1640625" bestFit="1" customWidth="1"/>
    <col min="396" max="399" width="12.1640625" bestFit="1" customWidth="1"/>
    <col min="400" max="400" width="9.1640625" bestFit="1" customWidth="1"/>
    <col min="401" max="402" width="12.1640625" bestFit="1" customWidth="1"/>
    <col min="403" max="403" width="7.1640625" bestFit="1" customWidth="1"/>
    <col min="404" max="405" width="12.1640625" bestFit="1" customWidth="1"/>
    <col min="406" max="406" width="7.1640625" bestFit="1" customWidth="1"/>
    <col min="407" max="407" width="12.1640625" bestFit="1" customWidth="1"/>
    <col min="408" max="408" width="9.1640625" bestFit="1" customWidth="1"/>
    <col min="409" max="409" width="12.1640625" bestFit="1" customWidth="1"/>
    <col min="410" max="410" width="11.1640625" bestFit="1" customWidth="1"/>
    <col min="411" max="411" width="10.1640625" bestFit="1" customWidth="1"/>
    <col min="412" max="412" width="9.1640625" bestFit="1" customWidth="1"/>
    <col min="413" max="413" width="7.1640625" bestFit="1" customWidth="1"/>
    <col min="414" max="415" width="12.1640625" bestFit="1" customWidth="1"/>
    <col min="416" max="416" width="10.1640625" bestFit="1" customWidth="1"/>
    <col min="417" max="417" width="12.1640625" bestFit="1" customWidth="1"/>
    <col min="418" max="418" width="9.1640625" bestFit="1" customWidth="1"/>
    <col min="419" max="419" width="12.1640625" bestFit="1" customWidth="1"/>
    <col min="420" max="420" width="9.1640625" bestFit="1" customWidth="1"/>
    <col min="421" max="421" width="11.1640625" bestFit="1" customWidth="1"/>
    <col min="422" max="426" width="12.1640625" bestFit="1" customWidth="1"/>
    <col min="427" max="427" width="9.1640625" bestFit="1" customWidth="1"/>
    <col min="428" max="428" width="10.1640625" bestFit="1" customWidth="1"/>
    <col min="429" max="429" width="8.1640625" bestFit="1" customWidth="1"/>
    <col min="430" max="434" width="12.1640625" bestFit="1" customWidth="1"/>
    <col min="435" max="435" width="11.1640625" bestFit="1" customWidth="1"/>
    <col min="436" max="436" width="9.1640625" bestFit="1" customWidth="1"/>
    <col min="437" max="439" width="12.1640625" bestFit="1" customWidth="1"/>
    <col min="440" max="440" width="9.1640625" bestFit="1" customWidth="1"/>
    <col min="441" max="441" width="12.1640625" bestFit="1" customWidth="1"/>
    <col min="442" max="442" width="9.1640625" bestFit="1" customWidth="1"/>
    <col min="443" max="445" width="12.1640625" bestFit="1" customWidth="1"/>
    <col min="446" max="446" width="7.1640625" bestFit="1" customWidth="1"/>
    <col min="447" max="447" width="12.1640625" bestFit="1" customWidth="1"/>
    <col min="448" max="448" width="7.1640625" bestFit="1" customWidth="1"/>
    <col min="449" max="449" width="12.1640625" bestFit="1" customWidth="1"/>
    <col min="450" max="450" width="9.1640625" bestFit="1" customWidth="1"/>
    <col min="451" max="451" width="12.1640625" bestFit="1" customWidth="1"/>
    <col min="452" max="452" width="11.1640625" bestFit="1" customWidth="1"/>
    <col min="453" max="456" width="12.1640625" bestFit="1" customWidth="1"/>
    <col min="457" max="457" width="11.1640625" bestFit="1" customWidth="1"/>
    <col min="458" max="460" width="12.1640625" bestFit="1" customWidth="1"/>
    <col min="461" max="461" width="11.1640625" bestFit="1" customWidth="1"/>
    <col min="462" max="463" width="12.1640625" bestFit="1" customWidth="1"/>
    <col min="464" max="465" width="9.1640625" bestFit="1" customWidth="1"/>
    <col min="466" max="469" width="12.1640625" bestFit="1" customWidth="1"/>
    <col min="470" max="470" width="10.1640625" bestFit="1" customWidth="1"/>
    <col min="471" max="471" width="9.1640625" bestFit="1" customWidth="1"/>
    <col min="472" max="472" width="12.1640625" bestFit="1" customWidth="1"/>
    <col min="473" max="473" width="10.1640625" bestFit="1" customWidth="1"/>
    <col min="474" max="481" width="12.1640625" bestFit="1" customWidth="1"/>
    <col min="482" max="482" width="7.1640625" bestFit="1" customWidth="1"/>
    <col min="483" max="484" width="12.1640625" bestFit="1" customWidth="1"/>
    <col min="485" max="485" width="10.1640625" bestFit="1" customWidth="1"/>
    <col min="486" max="487" width="12.1640625" bestFit="1" customWidth="1"/>
    <col min="488" max="488" width="8.1640625" bestFit="1" customWidth="1"/>
    <col min="489" max="489" width="12.1640625" bestFit="1" customWidth="1"/>
    <col min="490" max="490" width="8.1640625" bestFit="1" customWidth="1"/>
    <col min="491" max="494" width="12.1640625" bestFit="1" customWidth="1"/>
    <col min="495" max="496" width="9.1640625" bestFit="1" customWidth="1"/>
    <col min="497" max="499" width="12.1640625" bestFit="1" customWidth="1"/>
    <col min="500" max="500" width="8.1640625" bestFit="1" customWidth="1"/>
    <col min="501" max="505" width="12.1640625" bestFit="1" customWidth="1"/>
    <col min="506" max="506" width="9.1640625" bestFit="1" customWidth="1"/>
    <col min="507" max="509" width="12.1640625" bestFit="1" customWidth="1"/>
    <col min="510" max="510" width="7.1640625" bestFit="1" customWidth="1"/>
    <col min="511" max="512" width="9.1640625" bestFit="1" customWidth="1"/>
    <col min="513" max="513" width="7.1640625" bestFit="1" customWidth="1"/>
    <col min="514" max="515" width="12.1640625" bestFit="1" customWidth="1"/>
    <col min="516" max="516" width="10.1640625" bestFit="1" customWidth="1"/>
    <col min="517" max="517" width="8.1640625" bestFit="1" customWidth="1"/>
    <col min="518" max="518" width="12.1640625" bestFit="1" customWidth="1"/>
    <col min="519" max="519" width="8.1640625" bestFit="1" customWidth="1"/>
    <col min="520" max="521" width="12.1640625" bestFit="1" customWidth="1"/>
    <col min="522" max="522" width="10.1640625" bestFit="1" customWidth="1"/>
    <col min="523" max="523" width="12.1640625" bestFit="1" customWidth="1"/>
    <col min="524" max="524" width="10.1640625" bestFit="1" customWidth="1"/>
    <col min="525" max="528" width="12.1640625" bestFit="1" customWidth="1"/>
    <col min="529" max="529" width="7.1640625" bestFit="1" customWidth="1"/>
    <col min="530" max="530" width="9.1640625" bestFit="1" customWidth="1"/>
    <col min="531" max="537" width="12.1640625" bestFit="1" customWidth="1"/>
    <col min="538" max="538" width="10.1640625" bestFit="1" customWidth="1"/>
    <col min="539" max="543" width="12.1640625" bestFit="1" customWidth="1"/>
    <col min="544" max="544" width="8.1640625" bestFit="1" customWidth="1"/>
    <col min="545" max="545" width="11.1640625" bestFit="1" customWidth="1"/>
    <col min="546" max="546" width="12.1640625" bestFit="1" customWidth="1"/>
    <col min="547" max="548" width="8.1640625" bestFit="1" customWidth="1"/>
    <col min="549" max="549" width="9.1640625" bestFit="1" customWidth="1"/>
    <col min="550" max="557" width="12.1640625" bestFit="1" customWidth="1"/>
    <col min="558" max="558" width="8.1640625" bestFit="1" customWidth="1"/>
    <col min="559" max="559" width="11.1640625" bestFit="1" customWidth="1"/>
    <col min="560" max="560" width="12.1640625" bestFit="1" customWidth="1"/>
    <col min="561" max="561" width="8.1640625" bestFit="1" customWidth="1"/>
    <col min="562" max="562" width="10.1640625" bestFit="1" customWidth="1"/>
    <col min="563" max="563" width="12.1640625" bestFit="1" customWidth="1"/>
    <col min="564" max="564" width="11.1640625" bestFit="1" customWidth="1"/>
    <col min="565" max="565" width="9.1640625" bestFit="1" customWidth="1"/>
    <col min="566" max="567" width="12.6640625" bestFit="1" customWidth="1"/>
    <col min="568" max="569" width="12.1640625" bestFit="1" customWidth="1"/>
    <col min="570" max="570" width="7.1640625" bestFit="1" customWidth="1"/>
    <col min="571" max="573" width="12.1640625" bestFit="1" customWidth="1"/>
    <col min="574" max="576" width="11.1640625" bestFit="1" customWidth="1"/>
    <col min="577" max="577" width="7.1640625" bestFit="1" customWidth="1"/>
    <col min="578" max="578" width="12.1640625" bestFit="1" customWidth="1"/>
    <col min="579" max="579" width="9.1640625" bestFit="1" customWidth="1"/>
    <col min="580" max="582" width="12.1640625" bestFit="1" customWidth="1"/>
    <col min="583" max="583" width="11.1640625" bestFit="1" customWidth="1"/>
    <col min="584" max="587" width="12.1640625" bestFit="1" customWidth="1"/>
    <col min="588" max="588" width="9.1640625" bestFit="1" customWidth="1"/>
    <col min="589" max="590" width="12.1640625" bestFit="1" customWidth="1"/>
    <col min="591" max="591" width="7.1640625" bestFit="1" customWidth="1"/>
    <col min="592" max="593" width="12.1640625" bestFit="1" customWidth="1"/>
    <col min="594" max="594" width="7.1640625" bestFit="1" customWidth="1"/>
    <col min="595" max="595" width="12.1640625" bestFit="1" customWidth="1"/>
    <col min="596" max="596" width="9.1640625" bestFit="1" customWidth="1"/>
    <col min="597" max="597" width="12.1640625" bestFit="1" customWidth="1"/>
    <col min="598" max="598" width="11.1640625" bestFit="1" customWidth="1"/>
    <col min="599" max="599" width="10.1640625" bestFit="1" customWidth="1"/>
    <col min="600" max="600" width="9.1640625" bestFit="1" customWidth="1"/>
    <col min="601" max="601" width="7.1640625" bestFit="1" customWidth="1"/>
    <col min="602" max="603" width="12.1640625" bestFit="1" customWidth="1"/>
    <col min="604" max="604" width="10.1640625" bestFit="1" customWidth="1"/>
    <col min="605" max="605" width="12.1640625" bestFit="1" customWidth="1"/>
    <col min="606" max="606" width="9.1640625" bestFit="1" customWidth="1"/>
    <col min="607" max="607" width="12.1640625" bestFit="1" customWidth="1"/>
    <col min="608" max="608" width="9.1640625" bestFit="1" customWidth="1"/>
    <col min="609" max="609" width="11.1640625" bestFit="1" customWidth="1"/>
    <col min="610" max="614" width="12.1640625" bestFit="1" customWidth="1"/>
    <col min="615" max="615" width="9.1640625" bestFit="1" customWidth="1"/>
    <col min="616" max="616" width="10.1640625" bestFit="1" customWidth="1"/>
    <col min="617" max="617" width="8.1640625" bestFit="1" customWidth="1"/>
    <col min="618" max="622" width="12.1640625" bestFit="1" customWidth="1"/>
    <col min="623" max="623" width="11.1640625" bestFit="1" customWidth="1"/>
    <col min="624" max="624" width="9.1640625" bestFit="1" customWidth="1"/>
    <col min="625" max="627" width="12.1640625" bestFit="1" customWidth="1"/>
    <col min="628" max="628" width="9.1640625" bestFit="1" customWidth="1"/>
    <col min="629" max="629" width="12.1640625" bestFit="1" customWidth="1"/>
    <col min="630" max="630" width="9.1640625" bestFit="1" customWidth="1"/>
    <col min="631" max="633" width="12.1640625" bestFit="1" customWidth="1"/>
    <col min="634" max="634" width="7.1640625" bestFit="1" customWidth="1"/>
    <col min="635" max="635" width="12.1640625" bestFit="1" customWidth="1"/>
    <col min="636" max="636" width="7.1640625" bestFit="1" customWidth="1"/>
    <col min="637" max="637" width="12.1640625" bestFit="1" customWidth="1"/>
    <col min="638" max="638" width="9.1640625" bestFit="1" customWidth="1"/>
    <col min="639" max="639" width="12.1640625" bestFit="1" customWidth="1"/>
    <col min="640" max="640" width="11.1640625" bestFit="1" customWidth="1"/>
    <col min="641" max="644" width="12.1640625" bestFit="1" customWidth="1"/>
    <col min="645" max="645" width="11.1640625" bestFit="1" customWidth="1"/>
    <col min="646" max="648" width="12.1640625" bestFit="1" customWidth="1"/>
    <col min="649" max="649" width="11.1640625" bestFit="1" customWidth="1"/>
    <col min="650" max="651" width="12.1640625" bestFit="1" customWidth="1"/>
    <col min="652" max="653" width="9.1640625" bestFit="1" customWidth="1"/>
    <col min="654" max="657" width="12.1640625" bestFit="1" customWidth="1"/>
    <col min="658" max="658" width="10.1640625" bestFit="1" customWidth="1"/>
    <col min="659" max="659" width="9.1640625" bestFit="1" customWidth="1"/>
    <col min="660" max="660" width="12.1640625" bestFit="1" customWidth="1"/>
    <col min="661" max="661" width="10.1640625" bestFit="1" customWidth="1"/>
    <col min="662" max="669" width="12.1640625" bestFit="1" customWidth="1"/>
    <col min="670" max="670" width="7.1640625" bestFit="1" customWidth="1"/>
    <col min="671" max="672" width="12.1640625" bestFit="1" customWidth="1"/>
    <col min="673" max="673" width="10.1640625" bestFit="1" customWidth="1"/>
    <col min="674" max="675" width="12.1640625" bestFit="1" customWidth="1"/>
    <col min="676" max="676" width="8.1640625" bestFit="1" customWidth="1"/>
    <col min="677" max="677" width="12.1640625" bestFit="1" customWidth="1"/>
    <col min="678" max="678" width="8.1640625" bestFit="1" customWidth="1"/>
    <col min="679" max="682" width="12.1640625" bestFit="1" customWidth="1"/>
    <col min="683" max="684" width="9.1640625" bestFit="1" customWidth="1"/>
    <col min="685" max="687" width="12.1640625" bestFit="1" customWidth="1"/>
    <col min="688" max="688" width="8.1640625" bestFit="1" customWidth="1"/>
    <col min="689" max="693" width="12.1640625" bestFit="1" customWidth="1"/>
    <col min="694" max="694" width="9.1640625" bestFit="1" customWidth="1"/>
    <col min="695" max="697" width="12.1640625" bestFit="1" customWidth="1"/>
    <col min="698" max="698" width="7.1640625" bestFit="1" customWidth="1"/>
    <col min="699" max="700" width="9.1640625" bestFit="1" customWidth="1"/>
    <col min="701" max="701" width="7.1640625" bestFit="1" customWidth="1"/>
    <col min="702" max="703" width="12.1640625" bestFit="1" customWidth="1"/>
    <col min="704" max="704" width="10.1640625" bestFit="1" customWidth="1"/>
    <col min="705" max="705" width="8.1640625" bestFit="1" customWidth="1"/>
    <col min="706" max="706" width="12.1640625" bestFit="1" customWidth="1"/>
    <col min="707" max="707" width="8.1640625" bestFit="1" customWidth="1"/>
    <col min="708" max="709" width="12.1640625" bestFit="1" customWidth="1"/>
    <col min="710" max="710" width="10.1640625" bestFit="1" customWidth="1"/>
    <col min="711" max="711" width="12.1640625" bestFit="1" customWidth="1"/>
    <col min="712" max="712" width="10.1640625" bestFit="1" customWidth="1"/>
    <col min="713" max="716" width="12.1640625" bestFit="1" customWidth="1"/>
    <col min="717" max="717" width="7.1640625" bestFit="1" customWidth="1"/>
    <col min="718" max="718" width="9.1640625" bestFit="1" customWidth="1"/>
    <col min="719" max="725" width="12.1640625" bestFit="1" customWidth="1"/>
    <col min="726" max="726" width="10.1640625" bestFit="1" customWidth="1"/>
    <col min="727" max="731" width="12.1640625" bestFit="1" customWidth="1"/>
    <col min="732" max="732" width="8.1640625" bestFit="1" customWidth="1"/>
    <col min="733" max="733" width="11.1640625" bestFit="1" customWidth="1"/>
    <col min="734" max="734" width="12.1640625" bestFit="1" customWidth="1"/>
    <col min="735" max="736" width="8.1640625" bestFit="1" customWidth="1"/>
    <col min="737" max="737" width="9.1640625" bestFit="1" customWidth="1"/>
    <col min="738" max="745" width="12.1640625" bestFit="1" customWidth="1"/>
    <col min="746" max="746" width="8.1640625" bestFit="1" customWidth="1"/>
    <col min="747" max="747" width="11.1640625" bestFit="1" customWidth="1"/>
    <col min="748" max="748" width="12.1640625" bestFit="1" customWidth="1"/>
    <col min="749" max="749" width="8.1640625" bestFit="1" customWidth="1"/>
    <col min="750" max="750" width="10.1640625" bestFit="1" customWidth="1"/>
    <col min="751" max="751" width="12.1640625" bestFit="1" customWidth="1"/>
    <col min="752" max="753" width="11.1640625" bestFit="1" customWidth="1"/>
    <col min="754" max="755" width="12.6640625" bestFit="1" customWidth="1"/>
    <col min="756" max="757" width="12.1640625" bestFit="1" customWidth="1"/>
    <col min="758" max="758" width="7.1640625" bestFit="1" customWidth="1"/>
    <col min="759" max="761" width="12.1640625" bestFit="1" customWidth="1"/>
    <col min="762" max="762" width="11.1640625" bestFit="1" customWidth="1"/>
    <col min="763" max="763" width="12.6640625" bestFit="1" customWidth="1"/>
    <col min="764" max="764" width="11.1640625" bestFit="1" customWidth="1"/>
    <col min="765" max="765" width="7.1640625" bestFit="1" customWidth="1"/>
    <col min="766" max="766" width="12.1640625" bestFit="1" customWidth="1"/>
    <col min="767" max="767" width="9.1640625" bestFit="1" customWidth="1"/>
    <col min="768" max="770" width="12.1640625" bestFit="1" customWidth="1"/>
    <col min="771" max="771" width="11.1640625" bestFit="1" customWidth="1"/>
    <col min="772" max="775" width="12.1640625" bestFit="1" customWidth="1"/>
    <col min="776" max="776" width="9.1640625" bestFit="1" customWidth="1"/>
    <col min="777" max="778" width="12.1640625" bestFit="1" customWidth="1"/>
    <col min="779" max="779" width="7.1640625" bestFit="1" customWidth="1"/>
    <col min="780" max="781" width="12.1640625" bestFit="1" customWidth="1"/>
    <col min="782" max="782" width="7.1640625" bestFit="1" customWidth="1"/>
    <col min="783" max="783" width="12.1640625" bestFit="1" customWidth="1"/>
    <col min="784" max="784" width="9.1640625" bestFit="1" customWidth="1"/>
    <col min="785" max="785" width="12.1640625" bestFit="1" customWidth="1"/>
    <col min="786" max="786" width="11.1640625" bestFit="1" customWidth="1"/>
    <col min="787" max="787" width="10.1640625" bestFit="1" customWidth="1"/>
    <col min="788" max="788" width="9.1640625" bestFit="1" customWidth="1"/>
    <col min="789" max="789" width="7.1640625" bestFit="1" customWidth="1"/>
    <col min="790" max="791" width="12.1640625" bestFit="1" customWidth="1"/>
    <col min="792" max="792" width="10.1640625" bestFit="1" customWidth="1"/>
    <col min="793" max="793" width="12.1640625" bestFit="1" customWidth="1"/>
    <col min="794" max="794" width="9.1640625" bestFit="1" customWidth="1"/>
    <col min="795" max="795" width="12.1640625" bestFit="1" customWidth="1"/>
    <col min="796" max="796" width="9.1640625" bestFit="1" customWidth="1"/>
    <col min="797" max="797" width="11.1640625" bestFit="1" customWidth="1"/>
    <col min="798" max="802" width="12.1640625" bestFit="1" customWidth="1"/>
    <col min="803" max="803" width="9.1640625" bestFit="1" customWidth="1"/>
    <col min="804" max="804" width="10.1640625" bestFit="1" customWidth="1"/>
    <col min="805" max="805" width="8.1640625" bestFit="1" customWidth="1"/>
    <col min="806" max="810" width="12.1640625" bestFit="1" customWidth="1"/>
    <col min="811" max="811" width="11.1640625" bestFit="1" customWidth="1"/>
    <col min="812" max="812" width="9.1640625" bestFit="1" customWidth="1"/>
    <col min="813" max="815" width="12.1640625" bestFit="1" customWidth="1"/>
    <col min="816" max="816" width="9.1640625" bestFit="1" customWidth="1"/>
    <col min="817" max="817" width="12.1640625" bestFit="1" customWidth="1"/>
    <col min="818" max="818" width="9.1640625" bestFit="1" customWidth="1"/>
    <col min="819" max="821" width="12.1640625" bestFit="1" customWidth="1"/>
    <col min="822" max="822" width="7.1640625" bestFit="1" customWidth="1"/>
    <col min="823" max="823" width="12.1640625" bestFit="1" customWidth="1"/>
    <col min="824" max="824" width="7.1640625" bestFit="1" customWidth="1"/>
    <col min="825" max="825" width="12.1640625" bestFit="1" customWidth="1"/>
    <col min="826" max="826" width="9.1640625" bestFit="1" customWidth="1"/>
    <col min="827" max="827" width="12.1640625" bestFit="1" customWidth="1"/>
    <col min="828" max="828" width="11.1640625" bestFit="1" customWidth="1"/>
    <col min="829" max="832" width="12.1640625" bestFit="1" customWidth="1"/>
    <col min="833" max="833" width="11.1640625" bestFit="1" customWidth="1"/>
    <col min="834" max="836" width="12.1640625" bestFit="1" customWidth="1"/>
    <col min="837" max="837" width="11.1640625" bestFit="1" customWidth="1"/>
    <col min="838" max="839" width="12.1640625" bestFit="1" customWidth="1"/>
    <col min="840" max="841" width="9.1640625" bestFit="1" customWidth="1"/>
    <col min="842" max="845" width="12.1640625" bestFit="1" customWidth="1"/>
    <col min="846" max="846" width="10.1640625" bestFit="1" customWidth="1"/>
    <col min="847" max="847" width="9.1640625" bestFit="1" customWidth="1"/>
    <col min="848" max="848" width="12.1640625" bestFit="1" customWidth="1"/>
    <col min="849" max="849" width="10.1640625" bestFit="1" customWidth="1"/>
    <col min="850" max="857" width="12.1640625" bestFit="1" customWidth="1"/>
    <col min="858" max="858" width="7.1640625" bestFit="1" customWidth="1"/>
    <col min="859" max="860" width="12.1640625" bestFit="1" customWidth="1"/>
    <col min="861" max="861" width="10.1640625" bestFit="1" customWidth="1"/>
    <col min="862" max="863" width="12.1640625" bestFit="1" customWidth="1"/>
    <col min="864" max="864" width="8.1640625" bestFit="1" customWidth="1"/>
    <col min="865" max="865" width="12.1640625" bestFit="1" customWidth="1"/>
    <col min="866" max="866" width="8.1640625" bestFit="1" customWidth="1"/>
    <col min="867" max="870" width="12.1640625" bestFit="1" customWidth="1"/>
    <col min="871" max="872" width="9.1640625" bestFit="1" customWidth="1"/>
    <col min="873" max="875" width="12.1640625" bestFit="1" customWidth="1"/>
    <col min="876" max="876" width="8.1640625" bestFit="1" customWidth="1"/>
    <col min="877" max="881" width="12.1640625" bestFit="1" customWidth="1"/>
    <col min="882" max="882" width="9.1640625" bestFit="1" customWidth="1"/>
    <col min="883" max="885" width="12.1640625" bestFit="1" customWidth="1"/>
    <col min="886" max="886" width="7.1640625" bestFit="1" customWidth="1"/>
    <col min="887" max="888" width="9.1640625" bestFit="1" customWidth="1"/>
    <col min="889" max="889" width="7.1640625" bestFit="1" customWidth="1"/>
    <col min="890" max="891" width="12.1640625" bestFit="1" customWidth="1"/>
    <col min="892" max="892" width="10.1640625" bestFit="1" customWidth="1"/>
    <col min="893" max="893" width="8.1640625" bestFit="1" customWidth="1"/>
    <col min="894" max="894" width="12.1640625" bestFit="1" customWidth="1"/>
    <col min="895" max="895" width="8.1640625" bestFit="1" customWidth="1"/>
    <col min="896" max="897" width="12.1640625" bestFit="1" customWidth="1"/>
    <col min="898" max="898" width="10.1640625" bestFit="1" customWidth="1"/>
    <col min="899" max="899" width="12.1640625" bestFit="1" customWidth="1"/>
    <col min="900" max="900" width="10.1640625" bestFit="1" customWidth="1"/>
    <col min="901" max="904" width="12.1640625" bestFit="1" customWidth="1"/>
    <col min="905" max="905" width="7.1640625" bestFit="1" customWidth="1"/>
    <col min="906" max="906" width="9.1640625" bestFit="1" customWidth="1"/>
    <col min="907" max="913" width="12.1640625" bestFit="1" customWidth="1"/>
    <col min="914" max="914" width="10.1640625" bestFit="1" customWidth="1"/>
    <col min="915" max="919" width="12.1640625" bestFit="1" customWidth="1"/>
    <col min="920" max="920" width="8.1640625" bestFit="1" customWidth="1"/>
    <col min="921" max="921" width="11.1640625" bestFit="1" customWidth="1"/>
    <col min="922" max="922" width="12.1640625" bestFit="1" customWidth="1"/>
    <col min="923" max="924" width="8.1640625" bestFit="1" customWidth="1"/>
    <col min="925" max="925" width="9.1640625" bestFit="1" customWidth="1"/>
    <col min="926" max="933" width="12.1640625" bestFit="1" customWidth="1"/>
    <col min="934" max="934" width="8.1640625" bestFit="1" customWidth="1"/>
    <col min="935" max="935" width="11.1640625" bestFit="1" customWidth="1"/>
    <col min="936" max="936" width="12.1640625" bestFit="1" customWidth="1"/>
    <col min="937" max="937" width="8.1640625" bestFit="1" customWidth="1"/>
    <col min="938" max="938" width="10.1640625" bestFit="1" customWidth="1"/>
    <col min="939" max="939" width="12.1640625" bestFit="1" customWidth="1"/>
    <col min="940" max="940" width="11.1640625" bestFit="1" customWidth="1"/>
    <col min="941" max="941" width="10.1640625" bestFit="1" customWidth="1"/>
    <col min="942" max="943" width="12.6640625" bestFit="1" customWidth="1"/>
    <col min="944" max="945" width="12.1640625" bestFit="1" customWidth="1"/>
    <col min="946" max="946" width="7.1640625" bestFit="1" customWidth="1"/>
    <col min="947" max="949" width="12.1640625" bestFit="1" customWidth="1"/>
    <col min="950" max="952" width="11.1640625" bestFit="1" customWidth="1"/>
    <col min="953" max="953" width="7.1640625" bestFit="1" customWidth="1"/>
    <col min="954" max="954" width="12.1640625" bestFit="1" customWidth="1"/>
    <col min="955" max="955" width="9.1640625" bestFit="1" customWidth="1"/>
    <col min="956" max="958" width="12.1640625" bestFit="1" customWidth="1"/>
    <col min="959" max="959" width="11.1640625" bestFit="1" customWidth="1"/>
    <col min="960" max="963" width="12.1640625" bestFit="1" customWidth="1"/>
    <col min="964" max="964" width="9.1640625" bestFit="1" customWidth="1"/>
    <col min="965" max="966" width="12.1640625" bestFit="1" customWidth="1"/>
    <col min="967" max="967" width="7.1640625" bestFit="1" customWidth="1"/>
    <col min="968" max="969" width="12.1640625" bestFit="1" customWidth="1"/>
    <col min="970" max="970" width="7.1640625" bestFit="1" customWidth="1"/>
    <col min="971" max="971" width="12.1640625" bestFit="1" customWidth="1"/>
    <col min="972" max="972" width="9.1640625" bestFit="1" customWidth="1"/>
    <col min="973" max="973" width="12.1640625" bestFit="1" customWidth="1"/>
    <col min="974" max="974" width="11.1640625" bestFit="1" customWidth="1"/>
    <col min="975" max="975" width="10.1640625" bestFit="1" customWidth="1"/>
    <col min="976" max="976" width="9.1640625" bestFit="1" customWidth="1"/>
    <col min="977" max="977" width="7.1640625" bestFit="1" customWidth="1"/>
    <col min="978" max="979" width="12.1640625" bestFit="1" customWidth="1"/>
    <col min="980" max="980" width="10.1640625" bestFit="1" customWidth="1"/>
    <col min="981" max="981" width="12.1640625" bestFit="1" customWidth="1"/>
    <col min="982" max="982" width="9.1640625" bestFit="1" customWidth="1"/>
    <col min="983" max="983" width="12.1640625" bestFit="1" customWidth="1"/>
    <col min="984" max="984" width="9.1640625" bestFit="1" customWidth="1"/>
    <col min="985" max="985" width="11.1640625" bestFit="1" customWidth="1"/>
    <col min="986" max="990" width="12.1640625" bestFit="1" customWidth="1"/>
    <col min="991" max="991" width="9.1640625" bestFit="1" customWidth="1"/>
    <col min="992" max="992" width="10.1640625" bestFit="1" customWidth="1"/>
    <col min="993" max="993" width="8.1640625" bestFit="1" customWidth="1"/>
    <col min="994" max="998" width="12.1640625" bestFit="1" customWidth="1"/>
    <col min="999" max="999" width="11.1640625" bestFit="1" customWidth="1"/>
    <col min="1000" max="1000" width="9.1640625" bestFit="1" customWidth="1"/>
    <col min="1001" max="1003" width="12.1640625" bestFit="1" customWidth="1"/>
    <col min="1004" max="1004" width="9.1640625" bestFit="1" customWidth="1"/>
    <col min="1005" max="1005" width="12.1640625" bestFit="1" customWidth="1"/>
    <col min="1006" max="1006" width="9.1640625" bestFit="1" customWidth="1"/>
    <col min="1007" max="1009" width="12.1640625" bestFit="1" customWidth="1"/>
    <col min="1010" max="1010" width="7.1640625" bestFit="1" customWidth="1"/>
    <col min="1011" max="1011" width="12.1640625" bestFit="1" customWidth="1"/>
    <col min="1012" max="1012" width="7.1640625" bestFit="1" customWidth="1"/>
    <col min="1013" max="1013" width="12.1640625" bestFit="1" customWidth="1"/>
    <col min="1014" max="1014" width="9.1640625" bestFit="1" customWidth="1"/>
    <col min="1015" max="1015" width="12.1640625" bestFit="1" customWidth="1"/>
    <col min="1016" max="1016" width="11.1640625" bestFit="1" customWidth="1"/>
    <col min="1017" max="1020" width="12.1640625" bestFit="1" customWidth="1"/>
    <col min="1021" max="1021" width="11.1640625" bestFit="1" customWidth="1"/>
    <col min="1022" max="1024" width="12.1640625" bestFit="1" customWidth="1"/>
    <col min="1025" max="1025" width="11.1640625" bestFit="1" customWidth="1"/>
    <col min="1026" max="1027" width="12.1640625" bestFit="1" customWidth="1"/>
    <col min="1028" max="1029" width="9.1640625" bestFit="1" customWidth="1"/>
    <col min="1030" max="1033" width="12.1640625" bestFit="1" customWidth="1"/>
    <col min="1034" max="1034" width="10.1640625" bestFit="1" customWidth="1"/>
    <col min="1035" max="1035" width="9.1640625" bestFit="1" customWidth="1"/>
    <col min="1036" max="1036" width="12.1640625" bestFit="1" customWidth="1"/>
    <col min="1037" max="1037" width="10.1640625" bestFit="1" customWidth="1"/>
    <col min="1038" max="1045" width="12.1640625" bestFit="1" customWidth="1"/>
    <col min="1046" max="1046" width="7.6640625" bestFit="1" customWidth="1"/>
    <col min="1047" max="1048" width="12.1640625" bestFit="1" customWidth="1"/>
    <col min="1049" max="1049" width="10.1640625" bestFit="1" customWidth="1"/>
    <col min="1050" max="1051" width="12.1640625" bestFit="1" customWidth="1"/>
    <col min="1052" max="1052" width="8.1640625" bestFit="1" customWidth="1"/>
    <col min="1053" max="1053" width="12.1640625" bestFit="1" customWidth="1"/>
    <col min="1054" max="1054" width="8.1640625" bestFit="1" customWidth="1"/>
    <col min="1055" max="1058" width="12.1640625" bestFit="1" customWidth="1"/>
    <col min="1059" max="1060" width="9.1640625" bestFit="1" customWidth="1"/>
    <col min="1061" max="1063" width="12.1640625" bestFit="1" customWidth="1"/>
    <col min="1064" max="1064" width="8.1640625" bestFit="1" customWidth="1"/>
    <col min="1065" max="1069" width="12.1640625" bestFit="1" customWidth="1"/>
    <col min="1070" max="1070" width="9.1640625" bestFit="1" customWidth="1"/>
    <col min="1071" max="1073" width="12.1640625" bestFit="1" customWidth="1"/>
    <col min="1074" max="1074" width="7.1640625" bestFit="1" customWidth="1"/>
    <col min="1075" max="1076" width="9.1640625" bestFit="1" customWidth="1"/>
    <col min="1077" max="1077" width="7.1640625" bestFit="1" customWidth="1"/>
    <col min="1078" max="1079" width="12.1640625" bestFit="1" customWidth="1"/>
    <col min="1080" max="1080" width="10.1640625" bestFit="1" customWidth="1"/>
    <col min="1081" max="1081" width="8.1640625" bestFit="1" customWidth="1"/>
    <col min="1082" max="1082" width="12.1640625" bestFit="1" customWidth="1"/>
    <col min="1083" max="1083" width="8.1640625" bestFit="1" customWidth="1"/>
    <col min="1084" max="1085" width="12.1640625" bestFit="1" customWidth="1"/>
    <col min="1086" max="1086" width="10.1640625" bestFit="1" customWidth="1"/>
    <col min="1087" max="1087" width="12.1640625" bestFit="1" customWidth="1"/>
    <col min="1088" max="1088" width="10.1640625" bestFit="1" customWidth="1"/>
    <col min="1089" max="1092" width="12.1640625" bestFit="1" customWidth="1"/>
    <col min="1093" max="1093" width="7.1640625" bestFit="1" customWidth="1"/>
    <col min="1094" max="1094" width="9.1640625" bestFit="1" customWidth="1"/>
    <col min="1095" max="1101" width="12.1640625" bestFit="1" customWidth="1"/>
    <col min="1102" max="1102" width="10.1640625" bestFit="1" customWidth="1"/>
    <col min="1103" max="1107" width="12.1640625" bestFit="1" customWidth="1"/>
    <col min="1108" max="1108" width="8.1640625" bestFit="1" customWidth="1"/>
    <col min="1109" max="1109" width="11.1640625" bestFit="1" customWidth="1"/>
    <col min="1110" max="1110" width="12.1640625" bestFit="1" customWidth="1"/>
    <col min="1111" max="1112" width="8.1640625" bestFit="1" customWidth="1"/>
    <col min="1113" max="1113" width="9.1640625" bestFit="1" customWidth="1"/>
    <col min="1114" max="1121" width="12.1640625" bestFit="1" customWidth="1"/>
    <col min="1122" max="1122" width="8.1640625" bestFit="1" customWidth="1"/>
    <col min="1123" max="1123" width="11.1640625" bestFit="1" customWidth="1"/>
    <col min="1124" max="1124" width="12.1640625" bestFit="1" customWidth="1"/>
    <col min="1125" max="1125" width="8.1640625" bestFit="1" customWidth="1"/>
    <col min="1126" max="1126" width="10.1640625" bestFit="1" customWidth="1"/>
    <col min="1127" max="1127" width="12.1640625" bestFit="1" customWidth="1"/>
    <col min="1128" max="1128" width="11.1640625" bestFit="1" customWidth="1"/>
    <col min="1129" max="1129" width="10.1640625" bestFit="1" customWidth="1"/>
    <col min="1130" max="1131" width="12.6640625" bestFit="1" customWidth="1"/>
    <col min="1132" max="1133" width="12.1640625" bestFit="1" customWidth="1"/>
    <col min="1134" max="1134" width="7.1640625" bestFit="1" customWidth="1"/>
    <col min="1135" max="1137" width="12.1640625" bestFit="1" customWidth="1"/>
    <col min="1138" max="1140" width="11.1640625" bestFit="1" customWidth="1"/>
    <col min="1141" max="1141" width="7.1640625" bestFit="1" customWidth="1"/>
    <col min="1142" max="1142" width="12.1640625" bestFit="1" customWidth="1"/>
    <col min="1143" max="1143" width="9.1640625" bestFit="1" customWidth="1"/>
    <col min="1144" max="1146" width="12.1640625" bestFit="1" customWidth="1"/>
    <col min="1147" max="1147" width="11.1640625" bestFit="1" customWidth="1"/>
    <col min="1148" max="1151" width="12.1640625" bestFit="1" customWidth="1"/>
    <col min="1152" max="1152" width="9.1640625" bestFit="1" customWidth="1"/>
    <col min="1153" max="1154" width="12.1640625" bestFit="1" customWidth="1"/>
    <col min="1155" max="1155" width="7.1640625" bestFit="1" customWidth="1"/>
    <col min="1156" max="1157" width="12.1640625" bestFit="1" customWidth="1"/>
    <col min="1158" max="1158" width="7.1640625" bestFit="1" customWidth="1"/>
    <col min="1159" max="1159" width="12.1640625" bestFit="1" customWidth="1"/>
    <col min="1160" max="1160" width="9.1640625" bestFit="1" customWidth="1"/>
    <col min="1161" max="1161" width="12.1640625" bestFit="1" customWidth="1"/>
    <col min="1162" max="1162" width="11.1640625" bestFit="1" customWidth="1"/>
    <col min="1163" max="1163" width="10.1640625" bestFit="1" customWidth="1"/>
    <col min="1164" max="1164" width="9.1640625" bestFit="1" customWidth="1"/>
    <col min="1165" max="1165" width="7.1640625" bestFit="1" customWidth="1"/>
    <col min="1166" max="1167" width="12.1640625" bestFit="1" customWidth="1"/>
    <col min="1168" max="1168" width="10.1640625" bestFit="1" customWidth="1"/>
    <col min="1169" max="1169" width="12.1640625" bestFit="1" customWidth="1"/>
    <col min="1170" max="1170" width="9.1640625" bestFit="1" customWidth="1"/>
    <col min="1171" max="1171" width="12.1640625" bestFit="1" customWidth="1"/>
    <col min="1172" max="1172" width="9.1640625" bestFit="1" customWidth="1"/>
    <col min="1173" max="1173" width="11.1640625" bestFit="1" customWidth="1"/>
    <col min="1174" max="1178" width="12.1640625" bestFit="1" customWidth="1"/>
    <col min="1179" max="1179" width="9.1640625" bestFit="1" customWidth="1"/>
    <col min="1180" max="1180" width="10.1640625" bestFit="1" customWidth="1"/>
    <col min="1181" max="1181" width="8.1640625" bestFit="1" customWidth="1"/>
    <col min="1182" max="1186" width="12.1640625" bestFit="1" customWidth="1"/>
    <col min="1187" max="1187" width="11.1640625" bestFit="1" customWidth="1"/>
    <col min="1188" max="1188" width="9.1640625" bestFit="1" customWidth="1"/>
    <col min="1189" max="1191" width="12.1640625" bestFit="1" customWidth="1"/>
    <col min="1192" max="1192" width="9.1640625" bestFit="1" customWidth="1"/>
    <col min="1193" max="1193" width="12.1640625" bestFit="1" customWidth="1"/>
    <col min="1194" max="1194" width="9.1640625" bestFit="1" customWidth="1"/>
    <col min="1195" max="1197" width="12.1640625" bestFit="1" customWidth="1"/>
    <col min="1198" max="1198" width="7.1640625" bestFit="1" customWidth="1"/>
    <col min="1199" max="1199" width="12.1640625" bestFit="1" customWidth="1"/>
    <col min="1200" max="1200" width="7.1640625" bestFit="1" customWidth="1"/>
    <col min="1201" max="1201" width="12.1640625" bestFit="1" customWidth="1"/>
    <col min="1202" max="1202" width="9.1640625" bestFit="1" customWidth="1"/>
    <col min="1203" max="1203" width="12.1640625" bestFit="1" customWidth="1"/>
    <col min="1204" max="1204" width="11.1640625" bestFit="1" customWidth="1"/>
    <col min="1205" max="1208" width="12.1640625" bestFit="1" customWidth="1"/>
    <col min="1209" max="1209" width="11.1640625" bestFit="1" customWidth="1"/>
    <col min="1210" max="1212" width="12.1640625" bestFit="1" customWidth="1"/>
    <col min="1213" max="1213" width="11.1640625" bestFit="1" customWidth="1"/>
    <col min="1214" max="1215" width="12.1640625" bestFit="1" customWidth="1"/>
    <col min="1216" max="1217" width="9.1640625" bestFit="1" customWidth="1"/>
    <col min="1218" max="1221" width="12.1640625" bestFit="1" customWidth="1"/>
    <col min="1222" max="1222" width="10.1640625" bestFit="1" customWidth="1"/>
    <col min="1223" max="1223" width="9.1640625" bestFit="1" customWidth="1"/>
    <col min="1224" max="1224" width="12.1640625" bestFit="1" customWidth="1"/>
    <col min="1225" max="1225" width="10.1640625" bestFit="1" customWidth="1"/>
    <col min="1226" max="1233" width="12.1640625" bestFit="1" customWidth="1"/>
    <col min="1234" max="1234" width="7.1640625" bestFit="1" customWidth="1"/>
    <col min="1235" max="1236" width="12.1640625" bestFit="1" customWidth="1"/>
    <col min="1237" max="1237" width="10.1640625" bestFit="1" customWidth="1"/>
    <col min="1238" max="1239" width="12.1640625" bestFit="1" customWidth="1"/>
    <col min="1240" max="1240" width="8.1640625" bestFit="1" customWidth="1"/>
    <col min="1241" max="1241" width="12.1640625" bestFit="1" customWidth="1"/>
    <col min="1242" max="1242" width="8.1640625" bestFit="1" customWidth="1"/>
    <col min="1243" max="1246" width="12.1640625" bestFit="1" customWidth="1"/>
    <col min="1247" max="1248" width="9.1640625" bestFit="1" customWidth="1"/>
    <col min="1249" max="1251" width="12.1640625" bestFit="1" customWidth="1"/>
    <col min="1252" max="1252" width="8.1640625" bestFit="1" customWidth="1"/>
    <col min="1253" max="1257" width="12.1640625" bestFit="1" customWidth="1"/>
    <col min="1258" max="1258" width="9.1640625" bestFit="1" customWidth="1"/>
    <col min="1259" max="1261" width="12.1640625" bestFit="1" customWidth="1"/>
    <col min="1262" max="1262" width="7.1640625" bestFit="1" customWidth="1"/>
    <col min="1263" max="1264" width="9.1640625" bestFit="1" customWidth="1"/>
    <col min="1265" max="1265" width="7.1640625" bestFit="1" customWidth="1"/>
    <col min="1266" max="1267" width="12.1640625" bestFit="1" customWidth="1"/>
    <col min="1268" max="1268" width="10.1640625" bestFit="1" customWidth="1"/>
    <col min="1269" max="1269" width="8.1640625" bestFit="1" customWidth="1"/>
    <col min="1270" max="1270" width="12.1640625" bestFit="1" customWidth="1"/>
    <col min="1271" max="1271" width="8.1640625" bestFit="1" customWidth="1"/>
    <col min="1272" max="1273" width="12.1640625" bestFit="1" customWidth="1"/>
    <col min="1274" max="1274" width="10.1640625" bestFit="1" customWidth="1"/>
    <col min="1275" max="1275" width="12.1640625" bestFit="1" customWidth="1"/>
    <col min="1276" max="1276" width="10.1640625" bestFit="1" customWidth="1"/>
    <col min="1277" max="1280" width="12.1640625" bestFit="1" customWidth="1"/>
    <col min="1281" max="1281" width="7.1640625" bestFit="1" customWidth="1"/>
    <col min="1282" max="1282" width="9.1640625" bestFit="1" customWidth="1"/>
    <col min="1283" max="1289" width="12.1640625" bestFit="1" customWidth="1"/>
    <col min="1290" max="1290" width="10.1640625" bestFit="1" customWidth="1"/>
    <col min="1291" max="1295" width="12.1640625" bestFit="1" customWidth="1"/>
    <col min="1296" max="1296" width="8.1640625" bestFit="1" customWidth="1"/>
    <col min="1297" max="1297" width="11.1640625" bestFit="1" customWidth="1"/>
    <col min="1298" max="1298" width="12.1640625" bestFit="1" customWidth="1"/>
    <col min="1299" max="1300" width="8.1640625" bestFit="1" customWidth="1"/>
    <col min="1301" max="1301" width="9.1640625" bestFit="1" customWidth="1"/>
    <col min="1302" max="1309" width="12.1640625" bestFit="1" customWidth="1"/>
    <col min="1310" max="1310" width="8.1640625" bestFit="1" customWidth="1"/>
    <col min="1311" max="1311" width="11.1640625" bestFit="1" customWidth="1"/>
    <col min="1312" max="1312" width="12.1640625" bestFit="1" customWidth="1"/>
    <col min="1313" max="1313" width="8.1640625" bestFit="1" customWidth="1"/>
    <col min="1314" max="1314" width="10.1640625" bestFit="1" customWidth="1"/>
    <col min="1315" max="1315" width="12.1640625" bestFit="1" customWidth="1"/>
    <col min="1316" max="1316" width="11.1640625" bestFit="1" customWidth="1"/>
    <col min="1317" max="1317" width="10.1640625" bestFit="1" customWidth="1"/>
    <col min="1318" max="1319" width="12.6640625" bestFit="1" customWidth="1"/>
    <col min="1320" max="1321" width="12.1640625" bestFit="1" customWidth="1"/>
    <col min="1322" max="1322" width="7.1640625" bestFit="1" customWidth="1"/>
    <col min="1323" max="1325" width="12.1640625" bestFit="1" customWidth="1"/>
    <col min="1326" max="1328" width="11.1640625" bestFit="1" customWidth="1"/>
    <col min="1329" max="1329" width="7.1640625" bestFit="1" customWidth="1"/>
    <col min="1330" max="1330" width="12.1640625" bestFit="1" customWidth="1"/>
    <col min="1331" max="1331" width="9.1640625" bestFit="1" customWidth="1"/>
    <col min="1332" max="1334" width="12.1640625" bestFit="1" customWidth="1"/>
    <col min="1335" max="1335" width="11.1640625" bestFit="1" customWidth="1"/>
    <col min="1336" max="1339" width="12.1640625" bestFit="1" customWidth="1"/>
    <col min="1340" max="1340" width="9.1640625" bestFit="1" customWidth="1"/>
    <col min="1341" max="1342" width="12.1640625" bestFit="1" customWidth="1"/>
    <col min="1343" max="1343" width="7.1640625" bestFit="1" customWidth="1"/>
    <col min="1344" max="1345" width="12.1640625" bestFit="1" customWidth="1"/>
    <col min="1346" max="1346" width="7.1640625" bestFit="1" customWidth="1"/>
    <col min="1347" max="1347" width="12.1640625" bestFit="1" customWidth="1"/>
    <col min="1348" max="1348" width="9.1640625" bestFit="1" customWidth="1"/>
    <col min="1349" max="1349" width="12.1640625" bestFit="1" customWidth="1"/>
    <col min="1350" max="1350" width="11.1640625" bestFit="1" customWidth="1"/>
    <col min="1351" max="1351" width="10.1640625" bestFit="1" customWidth="1"/>
    <col min="1352" max="1352" width="9.1640625" bestFit="1" customWidth="1"/>
    <col min="1353" max="1353" width="7.1640625" bestFit="1" customWidth="1"/>
    <col min="1354" max="1355" width="12.1640625" bestFit="1" customWidth="1"/>
    <col min="1356" max="1356" width="10.1640625" bestFit="1" customWidth="1"/>
    <col min="1357" max="1357" width="12.1640625" bestFit="1" customWidth="1"/>
    <col min="1358" max="1358" width="9.1640625" bestFit="1" customWidth="1"/>
    <col min="1359" max="1359" width="12.1640625" bestFit="1" customWidth="1"/>
    <col min="1360" max="1360" width="9.1640625" bestFit="1" customWidth="1"/>
    <col min="1361" max="1361" width="11.1640625" bestFit="1" customWidth="1"/>
    <col min="1362" max="1366" width="12.1640625" bestFit="1" customWidth="1"/>
    <col min="1367" max="1367" width="9.1640625" bestFit="1" customWidth="1"/>
    <col min="1368" max="1368" width="10.1640625" bestFit="1" customWidth="1"/>
    <col min="1369" max="1369" width="8.1640625" bestFit="1" customWidth="1"/>
    <col min="1370" max="1374" width="12.1640625" bestFit="1" customWidth="1"/>
    <col min="1375" max="1375" width="11.1640625" bestFit="1" customWidth="1"/>
    <col min="1376" max="1376" width="9.1640625" bestFit="1" customWidth="1"/>
    <col min="1377" max="1379" width="12.1640625" bestFit="1" customWidth="1"/>
    <col min="1380" max="1380" width="9.1640625" bestFit="1" customWidth="1"/>
    <col min="1381" max="1381" width="12.1640625" bestFit="1" customWidth="1"/>
    <col min="1382" max="1382" width="9.1640625" bestFit="1" customWidth="1"/>
    <col min="1383" max="1385" width="12.1640625" bestFit="1" customWidth="1"/>
    <col min="1386" max="1386" width="7.1640625" bestFit="1" customWidth="1"/>
    <col min="1387" max="1387" width="12.1640625" bestFit="1" customWidth="1"/>
    <col min="1388" max="1388" width="7.1640625" bestFit="1" customWidth="1"/>
    <col min="1389" max="1389" width="12.1640625" bestFit="1" customWidth="1"/>
    <col min="1390" max="1390" width="9.1640625" bestFit="1" customWidth="1"/>
    <col min="1391" max="1391" width="12.1640625" bestFit="1" customWidth="1"/>
    <col min="1392" max="1392" width="11.1640625" bestFit="1" customWidth="1"/>
    <col min="1393" max="1396" width="12.1640625" bestFit="1" customWidth="1"/>
    <col min="1397" max="1397" width="11.1640625" bestFit="1" customWidth="1"/>
    <col min="1398" max="1400" width="12.1640625" bestFit="1" customWidth="1"/>
    <col min="1401" max="1401" width="11.1640625" bestFit="1" customWidth="1"/>
    <col min="1402" max="1403" width="12.1640625" bestFit="1" customWidth="1"/>
    <col min="1404" max="1405" width="9.1640625" bestFit="1" customWidth="1"/>
    <col min="1406" max="1409" width="12.1640625" bestFit="1" customWidth="1"/>
    <col min="1410" max="1410" width="10.1640625" bestFit="1" customWidth="1"/>
    <col min="1411" max="1411" width="9.1640625" bestFit="1" customWidth="1"/>
    <col min="1412" max="1412" width="12.1640625" bestFit="1" customWidth="1"/>
    <col min="1413" max="1413" width="10.1640625" bestFit="1" customWidth="1"/>
    <col min="1414" max="1421" width="12.1640625" bestFit="1" customWidth="1"/>
    <col min="1422" max="1422" width="7.6640625" bestFit="1" customWidth="1"/>
    <col min="1423" max="1424" width="12.1640625" bestFit="1" customWidth="1"/>
    <col min="1425" max="1425" width="10.1640625" bestFit="1" customWidth="1"/>
    <col min="1426" max="1427" width="12.1640625" bestFit="1" customWidth="1"/>
    <col min="1428" max="1428" width="8.1640625" bestFit="1" customWidth="1"/>
    <col min="1429" max="1429" width="12.1640625" bestFit="1" customWidth="1"/>
    <col min="1430" max="1430" width="8.1640625" bestFit="1" customWidth="1"/>
    <col min="1431" max="1434" width="12.1640625" bestFit="1" customWidth="1"/>
    <col min="1435" max="1436" width="9.1640625" bestFit="1" customWidth="1"/>
    <col min="1437" max="1439" width="12.1640625" bestFit="1" customWidth="1"/>
    <col min="1440" max="1440" width="8.1640625" bestFit="1" customWidth="1"/>
    <col min="1441" max="1445" width="12.1640625" bestFit="1" customWidth="1"/>
    <col min="1446" max="1446" width="9.1640625" bestFit="1" customWidth="1"/>
    <col min="1447" max="1449" width="12.1640625" bestFit="1" customWidth="1"/>
    <col min="1450" max="1450" width="7.1640625" bestFit="1" customWidth="1"/>
    <col min="1451" max="1452" width="9.1640625" bestFit="1" customWidth="1"/>
    <col min="1453" max="1453" width="7.1640625" bestFit="1" customWidth="1"/>
    <col min="1454" max="1455" width="12.1640625" bestFit="1" customWidth="1"/>
    <col min="1456" max="1456" width="10.1640625" bestFit="1" customWidth="1"/>
    <col min="1457" max="1457" width="8.1640625" bestFit="1" customWidth="1"/>
    <col min="1458" max="1458" width="12.1640625" bestFit="1" customWidth="1"/>
    <col min="1459" max="1459" width="8.1640625" bestFit="1" customWidth="1"/>
    <col min="1460" max="1461" width="12.1640625" bestFit="1" customWidth="1"/>
    <col min="1462" max="1462" width="10.1640625" bestFit="1" customWidth="1"/>
    <col min="1463" max="1463" width="12.1640625" bestFit="1" customWidth="1"/>
    <col min="1464" max="1464" width="10.1640625" bestFit="1" customWidth="1"/>
    <col min="1465" max="1468" width="12.1640625" bestFit="1" customWidth="1"/>
    <col min="1469" max="1469" width="7.1640625" bestFit="1" customWidth="1"/>
    <col min="1470" max="1470" width="9.1640625" bestFit="1" customWidth="1"/>
    <col min="1471" max="1477" width="12.1640625" bestFit="1" customWidth="1"/>
    <col min="1478" max="1478" width="10.1640625" bestFit="1" customWidth="1"/>
    <col min="1479" max="1483" width="12.1640625" bestFit="1" customWidth="1"/>
    <col min="1484" max="1484" width="8.1640625" bestFit="1" customWidth="1"/>
    <col min="1485" max="1485" width="11.1640625" bestFit="1" customWidth="1"/>
    <col min="1486" max="1486" width="12.1640625" bestFit="1" customWidth="1"/>
    <col min="1487" max="1488" width="8.1640625" bestFit="1" customWidth="1"/>
    <col min="1489" max="1489" width="9.1640625" bestFit="1" customWidth="1"/>
    <col min="1490" max="1497" width="12.1640625" bestFit="1" customWidth="1"/>
    <col min="1498" max="1498" width="8.1640625" bestFit="1" customWidth="1"/>
    <col min="1499" max="1499" width="11.1640625" bestFit="1" customWidth="1"/>
    <col min="1500" max="1500" width="12.1640625" bestFit="1" customWidth="1"/>
    <col min="1501" max="1501" width="8.1640625" bestFit="1" customWidth="1"/>
    <col min="1502" max="1502" width="10.1640625" bestFit="1" customWidth="1"/>
    <col min="1503" max="1503" width="12.1640625" bestFit="1" customWidth="1"/>
    <col min="1504" max="1504" width="11.1640625" bestFit="1" customWidth="1"/>
    <col min="1505" max="1505" width="10.1640625" bestFit="1" customWidth="1"/>
    <col min="1506" max="1506" width="18.33203125" bestFit="1" customWidth="1"/>
    <col min="1507" max="1507" width="12.6640625" bestFit="1" customWidth="1"/>
    <col min="1508" max="1509" width="12.1640625" bestFit="1" customWidth="1"/>
    <col min="1510" max="1510" width="7.1640625" bestFit="1" customWidth="1"/>
    <col min="1511" max="1513" width="12.1640625" bestFit="1" customWidth="1"/>
    <col min="1514" max="1516" width="11.1640625" bestFit="1" customWidth="1"/>
    <col min="1517" max="1517" width="7.1640625" bestFit="1" customWidth="1"/>
    <col min="1518" max="1518" width="12.1640625" bestFit="1" customWidth="1"/>
    <col min="1519" max="1519" width="9.1640625" bestFit="1" customWidth="1"/>
    <col min="1520" max="1522" width="12.1640625" bestFit="1" customWidth="1"/>
    <col min="1523" max="1523" width="11.1640625" bestFit="1" customWidth="1"/>
    <col min="1524" max="1527" width="12.1640625" bestFit="1" customWidth="1"/>
    <col min="1528" max="1528" width="9.1640625" bestFit="1" customWidth="1"/>
    <col min="1529" max="1530" width="12.1640625" bestFit="1" customWidth="1"/>
    <col min="1531" max="1531" width="7.1640625" bestFit="1" customWidth="1"/>
    <col min="1532" max="1533" width="12.1640625" bestFit="1" customWidth="1"/>
    <col min="1534" max="1534" width="7.1640625" bestFit="1" customWidth="1"/>
    <col min="1535" max="1535" width="12.1640625" bestFit="1" customWidth="1"/>
    <col min="1536" max="1536" width="9.1640625" bestFit="1" customWidth="1"/>
    <col min="1537" max="1537" width="12.1640625" bestFit="1" customWidth="1"/>
    <col min="1538" max="1538" width="11.1640625" bestFit="1" customWidth="1"/>
    <col min="1539" max="1539" width="10.1640625" bestFit="1" customWidth="1"/>
    <col min="1540" max="1540" width="9.1640625" bestFit="1" customWidth="1"/>
    <col min="1541" max="1541" width="7.1640625" bestFit="1" customWidth="1"/>
    <col min="1542" max="1543" width="12.1640625" bestFit="1" customWidth="1"/>
    <col min="1544" max="1544" width="10.1640625" bestFit="1" customWidth="1"/>
    <col min="1545" max="1545" width="12.1640625" bestFit="1" customWidth="1"/>
    <col min="1546" max="1546" width="9.1640625" bestFit="1" customWidth="1"/>
    <col min="1547" max="1547" width="12.1640625" bestFit="1" customWidth="1"/>
    <col min="1548" max="1548" width="9.1640625" bestFit="1" customWidth="1"/>
    <col min="1549" max="1549" width="11.1640625" bestFit="1" customWidth="1"/>
    <col min="1550" max="1554" width="12.1640625" bestFit="1" customWidth="1"/>
    <col min="1555" max="1555" width="9.1640625" bestFit="1" customWidth="1"/>
    <col min="1556" max="1556" width="10.1640625" bestFit="1" customWidth="1"/>
    <col min="1557" max="1557" width="8.1640625" bestFit="1" customWidth="1"/>
    <col min="1558" max="1562" width="12.1640625" bestFit="1" customWidth="1"/>
    <col min="1563" max="1563" width="11.1640625" bestFit="1" customWidth="1"/>
    <col min="1564" max="1564" width="9.1640625" bestFit="1" customWidth="1"/>
    <col min="1565" max="1567" width="12.1640625" bestFit="1" customWidth="1"/>
    <col min="1568" max="1568" width="9.1640625" bestFit="1" customWidth="1"/>
    <col min="1569" max="1569" width="12.1640625" bestFit="1" customWidth="1"/>
    <col min="1570" max="1570" width="9.1640625" bestFit="1" customWidth="1"/>
    <col min="1571" max="1573" width="12.1640625" bestFit="1" customWidth="1"/>
    <col min="1574" max="1574" width="7.1640625" bestFit="1" customWidth="1"/>
    <col min="1575" max="1575" width="12.1640625" bestFit="1" customWidth="1"/>
    <col min="1576" max="1576" width="7.1640625" bestFit="1" customWidth="1"/>
    <col min="1577" max="1577" width="12.1640625" bestFit="1" customWidth="1"/>
    <col min="1578" max="1578" width="9.1640625" bestFit="1" customWidth="1"/>
    <col min="1579" max="1579" width="12.1640625" bestFit="1" customWidth="1"/>
    <col min="1580" max="1580" width="11.1640625" bestFit="1" customWidth="1"/>
    <col min="1581" max="1584" width="12.1640625" bestFit="1" customWidth="1"/>
    <col min="1585" max="1585" width="11.1640625" bestFit="1" customWidth="1"/>
    <col min="1586" max="1588" width="12.1640625" bestFit="1" customWidth="1"/>
    <col min="1589" max="1589" width="11.1640625" bestFit="1" customWidth="1"/>
    <col min="1590" max="1591" width="12.1640625" bestFit="1" customWidth="1"/>
    <col min="1592" max="1593" width="9.1640625" bestFit="1" customWidth="1"/>
    <col min="1594" max="1597" width="12.1640625" bestFit="1" customWidth="1"/>
    <col min="1598" max="1598" width="10.1640625" bestFit="1" customWidth="1"/>
    <col min="1599" max="1599" width="9.1640625" bestFit="1" customWidth="1"/>
    <col min="1600" max="1600" width="12.1640625" bestFit="1" customWidth="1"/>
    <col min="1601" max="1601" width="10.1640625" bestFit="1" customWidth="1"/>
    <col min="1602" max="1609" width="12.1640625" bestFit="1" customWidth="1"/>
    <col min="1610" max="1610" width="7.6640625" bestFit="1" customWidth="1"/>
    <col min="1611" max="1612" width="12.1640625" bestFit="1" customWidth="1"/>
    <col min="1613" max="1613" width="10.1640625" bestFit="1" customWidth="1"/>
    <col min="1614" max="1615" width="12.1640625" bestFit="1" customWidth="1"/>
    <col min="1616" max="1616" width="9.1640625" bestFit="1" customWidth="1"/>
    <col min="1617" max="1617" width="12.1640625" bestFit="1" customWidth="1"/>
    <col min="1618" max="1618" width="9.1640625" bestFit="1" customWidth="1"/>
    <col min="1619" max="1622" width="12.1640625" bestFit="1" customWidth="1"/>
    <col min="1623" max="1624" width="9.1640625" bestFit="1" customWidth="1"/>
    <col min="1625" max="1627" width="12.1640625" bestFit="1" customWidth="1"/>
    <col min="1628" max="1628" width="8.1640625" bestFit="1" customWidth="1"/>
    <col min="1629" max="1633" width="12.1640625" bestFit="1" customWidth="1"/>
    <col min="1634" max="1634" width="9.1640625" bestFit="1" customWidth="1"/>
    <col min="1635" max="1637" width="12.1640625" bestFit="1" customWidth="1"/>
    <col min="1638" max="1638" width="7.1640625" bestFit="1" customWidth="1"/>
    <col min="1639" max="1640" width="9.1640625" bestFit="1" customWidth="1"/>
    <col min="1641" max="1641" width="7.1640625" bestFit="1" customWidth="1"/>
    <col min="1642" max="1643" width="12.1640625" bestFit="1" customWidth="1"/>
    <col min="1644" max="1644" width="10.1640625" bestFit="1" customWidth="1"/>
    <col min="1645" max="1645" width="9.1640625" bestFit="1" customWidth="1"/>
    <col min="1646" max="1646" width="12.1640625" bestFit="1" customWidth="1"/>
    <col min="1647" max="1647" width="8.1640625" bestFit="1" customWidth="1"/>
    <col min="1648" max="1649" width="12.1640625" bestFit="1" customWidth="1"/>
    <col min="1650" max="1650" width="10.1640625" bestFit="1" customWidth="1"/>
    <col min="1651" max="1651" width="12.1640625" bestFit="1" customWidth="1"/>
    <col min="1652" max="1652" width="10.1640625" bestFit="1" customWidth="1"/>
    <col min="1653" max="1656" width="12.1640625" bestFit="1" customWidth="1"/>
    <col min="1657" max="1657" width="7.1640625" bestFit="1" customWidth="1"/>
    <col min="1658" max="1658" width="9.1640625" bestFit="1" customWidth="1"/>
    <col min="1659" max="1665" width="12.1640625" bestFit="1" customWidth="1"/>
    <col min="1666" max="1666" width="10.1640625" bestFit="1" customWidth="1"/>
    <col min="1667" max="1671" width="12.1640625" bestFit="1" customWidth="1"/>
    <col min="1672" max="1672" width="8.1640625" bestFit="1" customWidth="1"/>
    <col min="1673" max="1673" width="11.1640625" bestFit="1" customWidth="1"/>
    <col min="1674" max="1674" width="12.1640625" bestFit="1" customWidth="1"/>
    <col min="1675" max="1676" width="8.1640625" bestFit="1" customWidth="1"/>
    <col min="1677" max="1677" width="9.1640625" bestFit="1" customWidth="1"/>
    <col min="1678" max="1685" width="12.1640625" bestFit="1" customWidth="1"/>
    <col min="1686" max="1686" width="8.1640625" bestFit="1" customWidth="1"/>
    <col min="1687" max="1687" width="11.1640625" bestFit="1" customWidth="1"/>
    <col min="1688" max="1688" width="12.1640625" bestFit="1" customWidth="1"/>
    <col min="1689" max="1689" width="8.1640625" bestFit="1" customWidth="1"/>
    <col min="1690" max="1690" width="10.1640625" bestFit="1" customWidth="1"/>
    <col min="1691" max="1691" width="12.1640625" bestFit="1" customWidth="1"/>
    <col min="1692" max="1693" width="11.1640625" bestFit="1" customWidth="1"/>
    <col min="1694" max="1695" width="12.6640625" bestFit="1" customWidth="1"/>
    <col min="1696" max="1697" width="12.1640625" bestFit="1" customWidth="1"/>
    <col min="1698" max="1698" width="7.1640625" bestFit="1" customWidth="1"/>
    <col min="1699" max="1701" width="12.1640625" bestFit="1" customWidth="1"/>
    <col min="1702" max="1704" width="11.1640625" bestFit="1" customWidth="1"/>
    <col min="1705" max="1705" width="7.1640625" bestFit="1" customWidth="1"/>
    <col min="1706" max="1706" width="12.1640625" bestFit="1" customWidth="1"/>
    <col min="1707" max="1707" width="9.1640625" bestFit="1" customWidth="1"/>
    <col min="1708" max="1710" width="12.1640625" bestFit="1" customWidth="1"/>
    <col min="1711" max="1711" width="11.1640625" bestFit="1" customWidth="1"/>
    <col min="1712" max="1715" width="12.1640625" bestFit="1" customWidth="1"/>
    <col min="1716" max="1716" width="9.1640625" bestFit="1" customWidth="1"/>
    <col min="1717" max="1718" width="12.1640625" bestFit="1" customWidth="1"/>
    <col min="1719" max="1719" width="7.1640625" bestFit="1" customWidth="1"/>
    <col min="1720" max="1721" width="12.1640625" bestFit="1" customWidth="1"/>
    <col min="1722" max="1722" width="7.1640625" bestFit="1" customWidth="1"/>
    <col min="1723" max="1723" width="12.1640625" bestFit="1" customWidth="1"/>
    <col min="1724" max="1724" width="9.1640625" bestFit="1" customWidth="1"/>
    <col min="1725" max="1725" width="12.1640625" bestFit="1" customWidth="1"/>
    <col min="1726" max="1726" width="11.1640625" bestFit="1" customWidth="1"/>
    <col min="1727" max="1727" width="10.1640625" bestFit="1" customWidth="1"/>
    <col min="1728" max="1728" width="9.1640625" bestFit="1" customWidth="1"/>
    <col min="1729" max="1729" width="7.1640625" bestFit="1" customWidth="1"/>
    <col min="1730" max="1731" width="12.1640625" bestFit="1" customWidth="1"/>
    <col min="1732" max="1732" width="10.1640625" bestFit="1" customWidth="1"/>
    <col min="1733" max="1733" width="12.1640625" bestFit="1" customWidth="1"/>
    <col min="1734" max="1734" width="9.1640625" bestFit="1" customWidth="1"/>
    <col min="1735" max="1735" width="12.1640625" bestFit="1" customWidth="1"/>
    <col min="1736" max="1736" width="9.1640625" bestFit="1" customWidth="1"/>
    <col min="1737" max="1737" width="11.1640625" bestFit="1" customWidth="1"/>
    <col min="1738" max="1742" width="12.1640625" bestFit="1" customWidth="1"/>
    <col min="1743" max="1743" width="9.1640625" bestFit="1" customWidth="1"/>
    <col min="1744" max="1744" width="10.1640625" bestFit="1" customWidth="1"/>
    <col min="1745" max="1745" width="8.1640625" bestFit="1" customWidth="1"/>
    <col min="1746" max="1750" width="12.1640625" bestFit="1" customWidth="1"/>
    <col min="1751" max="1751" width="11.1640625" bestFit="1" customWidth="1"/>
    <col min="1752" max="1752" width="9.1640625" bestFit="1" customWidth="1"/>
    <col min="1753" max="1755" width="12.1640625" bestFit="1" customWidth="1"/>
    <col min="1756" max="1756" width="9.1640625" bestFit="1" customWidth="1"/>
    <col min="1757" max="1757" width="12.1640625" bestFit="1" customWidth="1"/>
    <col min="1758" max="1758" width="9.1640625" bestFit="1" customWidth="1"/>
    <col min="1759" max="1761" width="12.1640625" bestFit="1" customWidth="1"/>
    <col min="1762" max="1762" width="7.1640625" bestFit="1" customWidth="1"/>
    <col min="1763" max="1763" width="12.1640625" bestFit="1" customWidth="1"/>
    <col min="1764" max="1764" width="7.1640625" bestFit="1" customWidth="1"/>
    <col min="1765" max="1765" width="12.1640625" bestFit="1" customWidth="1"/>
    <col min="1766" max="1766" width="9.1640625" bestFit="1" customWidth="1"/>
    <col min="1767" max="1767" width="12.1640625" bestFit="1" customWidth="1"/>
    <col min="1768" max="1768" width="11.1640625" bestFit="1" customWidth="1"/>
    <col min="1769" max="1772" width="12.1640625" bestFit="1" customWidth="1"/>
    <col min="1773" max="1773" width="11.1640625" bestFit="1" customWidth="1"/>
    <col min="1774" max="1776" width="12.1640625" bestFit="1" customWidth="1"/>
    <col min="1777" max="1777" width="11.1640625" bestFit="1" customWidth="1"/>
    <col min="1778" max="1779" width="12.1640625" bestFit="1" customWidth="1"/>
    <col min="1780" max="1781" width="9.1640625" bestFit="1" customWidth="1"/>
    <col min="1782" max="1785" width="12.1640625" bestFit="1" customWidth="1"/>
    <col min="1786" max="1786" width="10.1640625" bestFit="1" customWidth="1"/>
    <col min="1787" max="1787" width="9.1640625" bestFit="1" customWidth="1"/>
    <col min="1788" max="1788" width="12.1640625" bestFit="1" customWidth="1"/>
    <col min="1789" max="1789" width="10.1640625" bestFit="1" customWidth="1"/>
    <col min="1790" max="1797" width="12.1640625" bestFit="1" customWidth="1"/>
    <col min="1798" max="1798" width="7.1640625" bestFit="1" customWidth="1"/>
    <col min="1799" max="1800" width="12.1640625" bestFit="1" customWidth="1"/>
    <col min="1801" max="1801" width="10.1640625" bestFit="1" customWidth="1"/>
    <col min="1802" max="1803" width="12.1640625" bestFit="1" customWidth="1"/>
    <col min="1804" max="1804" width="8.1640625" bestFit="1" customWidth="1"/>
    <col min="1805" max="1805" width="12.1640625" bestFit="1" customWidth="1"/>
    <col min="1806" max="1806" width="8.1640625" bestFit="1" customWidth="1"/>
    <col min="1807" max="1810" width="12.1640625" bestFit="1" customWidth="1"/>
    <col min="1811" max="1812" width="9.1640625" bestFit="1" customWidth="1"/>
    <col min="1813" max="1815" width="12.1640625" bestFit="1" customWidth="1"/>
    <col min="1816" max="1816" width="8.1640625" bestFit="1" customWidth="1"/>
    <col min="1817" max="1821" width="12.1640625" bestFit="1" customWidth="1"/>
    <col min="1822" max="1822" width="9.1640625" bestFit="1" customWidth="1"/>
    <col min="1823" max="1825" width="12.1640625" bestFit="1" customWidth="1"/>
    <col min="1826" max="1826" width="7.1640625" bestFit="1" customWidth="1"/>
    <col min="1827" max="1828" width="9.1640625" bestFit="1" customWidth="1"/>
    <col min="1829" max="1829" width="7.1640625" bestFit="1" customWidth="1"/>
    <col min="1830" max="1831" width="12.1640625" bestFit="1" customWidth="1"/>
    <col min="1832" max="1832" width="10.1640625" bestFit="1" customWidth="1"/>
    <col min="1833" max="1833" width="8.1640625" bestFit="1" customWidth="1"/>
    <col min="1834" max="1834" width="12.1640625" bestFit="1" customWidth="1"/>
    <col min="1835" max="1835" width="8.1640625" bestFit="1" customWidth="1"/>
    <col min="1836" max="1837" width="12.1640625" bestFit="1" customWidth="1"/>
    <col min="1838" max="1838" width="10.1640625" bestFit="1" customWidth="1"/>
    <col min="1839" max="1839" width="12.1640625" bestFit="1" customWidth="1"/>
    <col min="1840" max="1840" width="10.1640625" bestFit="1" customWidth="1"/>
    <col min="1841" max="1844" width="12.1640625" bestFit="1" customWidth="1"/>
    <col min="1845" max="1845" width="7.1640625" bestFit="1" customWidth="1"/>
    <col min="1846" max="1846" width="9.1640625" bestFit="1" customWidth="1"/>
    <col min="1847" max="1853" width="12.1640625" bestFit="1" customWidth="1"/>
    <col min="1854" max="1854" width="10.1640625" bestFit="1" customWidth="1"/>
    <col min="1855" max="1859" width="12.1640625" bestFit="1" customWidth="1"/>
    <col min="1860" max="1860" width="8.1640625" bestFit="1" customWidth="1"/>
    <col min="1861" max="1861" width="11.1640625" bestFit="1" customWidth="1"/>
    <col min="1862" max="1862" width="12.1640625" bestFit="1" customWidth="1"/>
    <col min="1863" max="1864" width="8.1640625" bestFit="1" customWidth="1"/>
    <col min="1865" max="1865" width="9.1640625" bestFit="1" customWidth="1"/>
    <col min="1866" max="1873" width="12.1640625" bestFit="1" customWidth="1"/>
    <col min="1874" max="1874" width="8.1640625" bestFit="1" customWidth="1"/>
    <col min="1875" max="1875" width="11.1640625" bestFit="1" customWidth="1"/>
    <col min="1876" max="1876" width="12.1640625" bestFit="1" customWidth="1"/>
    <col min="1877" max="1877" width="8.1640625" bestFit="1" customWidth="1"/>
    <col min="1878" max="1878" width="10.1640625" bestFit="1" customWidth="1"/>
    <col min="1879" max="1879" width="12.1640625" bestFit="1" customWidth="1"/>
    <col min="1880" max="1880" width="11.1640625" bestFit="1" customWidth="1"/>
    <col min="1881" max="1881" width="7.6640625" bestFit="1" customWidth="1"/>
    <col min="1882" max="1883" width="12.6640625" bestFit="1" customWidth="1"/>
    <col min="1884" max="1885" width="12.1640625" bestFit="1" customWidth="1"/>
    <col min="1886" max="1886" width="7.1640625" bestFit="1" customWidth="1"/>
    <col min="1887" max="1889" width="12.1640625" bestFit="1" customWidth="1"/>
    <col min="1890" max="1892" width="11.1640625" bestFit="1" customWidth="1"/>
    <col min="1893" max="1893" width="7.1640625" bestFit="1" customWidth="1"/>
    <col min="1894" max="1894" width="12.1640625" bestFit="1" customWidth="1"/>
    <col min="1895" max="1895" width="9.1640625" bestFit="1" customWidth="1"/>
    <col min="1896" max="1898" width="12.1640625" bestFit="1" customWidth="1"/>
    <col min="1899" max="1899" width="11.1640625" bestFit="1" customWidth="1"/>
    <col min="1900" max="1903" width="12.1640625" bestFit="1" customWidth="1"/>
    <col min="1904" max="1904" width="9.1640625" bestFit="1" customWidth="1"/>
    <col min="1905" max="1906" width="12.1640625" bestFit="1" customWidth="1"/>
    <col min="1907" max="1907" width="7.1640625" bestFit="1" customWidth="1"/>
    <col min="1908" max="1909" width="12.1640625" bestFit="1" customWidth="1"/>
    <col min="1910" max="1910" width="7.1640625" bestFit="1" customWidth="1"/>
    <col min="1911" max="1911" width="12.1640625" bestFit="1" customWidth="1"/>
    <col min="1912" max="1912" width="9.1640625" bestFit="1" customWidth="1"/>
    <col min="1913" max="1913" width="12.1640625" bestFit="1" customWidth="1"/>
    <col min="1914" max="1914" width="11.1640625" bestFit="1" customWidth="1"/>
    <col min="1915" max="1915" width="10.1640625" bestFit="1" customWidth="1"/>
    <col min="1916" max="1916" width="9.1640625" bestFit="1" customWidth="1"/>
    <col min="1917" max="1917" width="7.1640625" bestFit="1" customWidth="1"/>
    <col min="1918" max="1919" width="12.1640625" bestFit="1" customWidth="1"/>
    <col min="1920" max="1920" width="10.1640625" bestFit="1" customWidth="1"/>
    <col min="1921" max="1921" width="12.1640625" bestFit="1" customWidth="1"/>
    <col min="1922" max="1922" width="9.1640625" bestFit="1" customWidth="1"/>
    <col min="1923" max="1923" width="12.1640625" bestFit="1" customWidth="1"/>
    <col min="1924" max="1924" width="9.1640625" bestFit="1" customWidth="1"/>
    <col min="1925" max="1925" width="11.1640625" bestFit="1" customWidth="1"/>
    <col min="1926" max="1930" width="12.1640625" bestFit="1" customWidth="1"/>
    <col min="1931" max="1931" width="9.1640625" bestFit="1" customWidth="1"/>
    <col min="1932" max="1932" width="10.1640625" bestFit="1" customWidth="1"/>
    <col min="1933" max="1933" width="8.1640625" bestFit="1" customWidth="1"/>
    <col min="1934" max="1938" width="12.1640625" bestFit="1" customWidth="1"/>
    <col min="1939" max="1939" width="11.1640625" bestFit="1" customWidth="1"/>
    <col min="1940" max="1940" width="9.1640625" bestFit="1" customWidth="1"/>
    <col min="1941" max="1943" width="12.1640625" bestFit="1" customWidth="1"/>
    <col min="1944" max="1944" width="9.1640625" bestFit="1" customWidth="1"/>
    <col min="1945" max="1945" width="12.1640625" bestFit="1" customWidth="1"/>
    <col min="1946" max="1946" width="9.1640625" bestFit="1" customWidth="1"/>
    <col min="1947" max="1949" width="12.1640625" bestFit="1" customWidth="1"/>
    <col min="1950" max="1950" width="7.1640625" bestFit="1" customWidth="1"/>
    <col min="1951" max="1951" width="12.1640625" bestFit="1" customWidth="1"/>
    <col min="1952" max="1952" width="7.1640625" bestFit="1" customWidth="1"/>
    <col min="1953" max="1953" width="12.1640625" bestFit="1" customWidth="1"/>
    <col min="1954" max="1954" width="9.1640625" bestFit="1" customWidth="1"/>
    <col min="1955" max="1955" width="12.1640625" bestFit="1" customWidth="1"/>
    <col min="1956" max="1956" width="11.1640625" bestFit="1" customWidth="1"/>
    <col min="1957" max="1960" width="12.1640625" bestFit="1" customWidth="1"/>
    <col min="1961" max="1961" width="11.1640625" bestFit="1" customWidth="1"/>
    <col min="1962" max="1964" width="12.1640625" bestFit="1" customWidth="1"/>
    <col min="1965" max="1965" width="11.1640625" bestFit="1" customWidth="1"/>
    <col min="1966" max="1967" width="12.1640625" bestFit="1" customWidth="1"/>
    <col min="1968" max="1969" width="9.1640625" bestFit="1" customWidth="1"/>
    <col min="1970" max="1973" width="12.1640625" bestFit="1" customWidth="1"/>
    <col min="1974" max="1974" width="10.1640625" bestFit="1" customWidth="1"/>
    <col min="1975" max="1975" width="9.1640625" bestFit="1" customWidth="1"/>
    <col min="1976" max="1976" width="12.1640625" bestFit="1" customWidth="1"/>
    <col min="1977" max="1977" width="10.1640625" bestFit="1" customWidth="1"/>
    <col min="1978" max="1985" width="12.1640625" bestFit="1" customWidth="1"/>
    <col min="1986" max="1986" width="7.1640625" bestFit="1" customWidth="1"/>
    <col min="1987" max="1988" width="12.1640625" bestFit="1" customWidth="1"/>
    <col min="1989" max="1989" width="10.1640625" bestFit="1" customWidth="1"/>
    <col min="1990" max="1991" width="12.1640625" bestFit="1" customWidth="1"/>
    <col min="1992" max="1992" width="8.1640625" bestFit="1" customWidth="1"/>
    <col min="1993" max="1993" width="12.1640625" bestFit="1" customWidth="1"/>
    <col min="1994" max="1994" width="8.1640625" bestFit="1" customWidth="1"/>
    <col min="1995" max="1998" width="12.1640625" bestFit="1" customWidth="1"/>
    <col min="1999" max="2000" width="9.1640625" bestFit="1" customWidth="1"/>
    <col min="2001" max="2003" width="12.1640625" bestFit="1" customWidth="1"/>
    <col min="2004" max="2004" width="8.1640625" bestFit="1" customWidth="1"/>
    <col min="2005" max="2009" width="12.1640625" bestFit="1" customWidth="1"/>
    <col min="2010" max="2010" width="9.1640625" bestFit="1" customWidth="1"/>
    <col min="2011" max="2013" width="12.1640625" bestFit="1" customWidth="1"/>
    <col min="2014" max="2014" width="7.1640625" bestFit="1" customWidth="1"/>
    <col min="2015" max="2016" width="9.1640625" bestFit="1" customWidth="1"/>
    <col min="2017" max="2017" width="7.1640625" bestFit="1" customWidth="1"/>
    <col min="2018" max="2019" width="12.1640625" bestFit="1" customWidth="1"/>
    <col min="2020" max="2020" width="10.1640625" bestFit="1" customWidth="1"/>
    <col min="2021" max="2021" width="8.1640625" bestFit="1" customWidth="1"/>
    <col min="2022" max="2022" width="12.1640625" bestFit="1" customWidth="1"/>
    <col min="2023" max="2023" width="8.1640625" bestFit="1" customWidth="1"/>
    <col min="2024" max="2025" width="12.1640625" bestFit="1" customWidth="1"/>
    <col min="2026" max="2026" width="10.1640625" bestFit="1" customWidth="1"/>
    <col min="2027" max="2027" width="12.1640625" bestFit="1" customWidth="1"/>
    <col min="2028" max="2028" width="10.1640625" bestFit="1" customWidth="1"/>
    <col min="2029" max="2032" width="12.1640625" bestFit="1" customWidth="1"/>
    <col min="2033" max="2033" width="7.1640625" bestFit="1" customWidth="1"/>
    <col min="2034" max="2034" width="9.1640625" bestFit="1" customWidth="1"/>
    <col min="2035" max="2041" width="12.1640625" bestFit="1" customWidth="1"/>
    <col min="2042" max="2042" width="10.1640625" bestFit="1" customWidth="1"/>
    <col min="2043" max="2047" width="12.1640625" bestFit="1" customWidth="1"/>
    <col min="2048" max="2048" width="8.1640625" bestFit="1" customWidth="1"/>
    <col min="2049" max="2049" width="11.1640625" bestFit="1" customWidth="1"/>
    <col min="2050" max="2050" width="12.1640625" bestFit="1" customWidth="1"/>
    <col min="2051" max="2052" width="8.1640625" bestFit="1" customWidth="1"/>
    <col min="2053" max="2053" width="9.1640625" bestFit="1" customWidth="1"/>
    <col min="2054" max="2061" width="12.1640625" bestFit="1" customWidth="1"/>
    <col min="2062" max="2062" width="8.1640625" bestFit="1" customWidth="1"/>
    <col min="2063" max="2063" width="11.1640625" bestFit="1" customWidth="1"/>
    <col min="2064" max="2064" width="12.1640625" bestFit="1" customWidth="1"/>
    <col min="2065" max="2065" width="8.1640625" bestFit="1" customWidth="1"/>
    <col min="2066" max="2066" width="10.1640625" bestFit="1" customWidth="1"/>
    <col min="2067" max="2067" width="12.1640625" bestFit="1" customWidth="1"/>
    <col min="2068" max="2068" width="11.1640625" bestFit="1" customWidth="1"/>
    <col min="2069" max="2069" width="2.1640625" bestFit="1" customWidth="1"/>
    <col min="2070" max="2071" width="12.6640625" bestFit="1" customWidth="1"/>
    <col min="2072" max="2073" width="12.1640625" bestFit="1" customWidth="1"/>
    <col min="2074" max="2074" width="7.1640625" bestFit="1" customWidth="1"/>
    <col min="2075" max="2077" width="12.1640625" bestFit="1" customWidth="1"/>
    <col min="2078" max="2080" width="11.1640625" bestFit="1" customWidth="1"/>
    <col min="2081" max="2081" width="7.1640625" bestFit="1" customWidth="1"/>
    <col min="2082" max="2082" width="12.1640625" bestFit="1" customWidth="1"/>
    <col min="2083" max="2083" width="9.1640625" bestFit="1" customWidth="1"/>
    <col min="2084" max="2086" width="12.1640625" bestFit="1" customWidth="1"/>
    <col min="2087" max="2087" width="11.1640625" bestFit="1" customWidth="1"/>
    <col min="2088" max="2091" width="12.1640625" bestFit="1" customWidth="1"/>
    <col min="2092" max="2092" width="9.1640625" bestFit="1" customWidth="1"/>
    <col min="2093" max="2094" width="12.1640625" bestFit="1" customWidth="1"/>
    <col min="2095" max="2095" width="7.1640625" bestFit="1" customWidth="1"/>
    <col min="2096" max="2097" width="12.1640625" bestFit="1" customWidth="1"/>
    <col min="2098" max="2098" width="7.1640625" bestFit="1" customWidth="1"/>
    <col min="2099" max="2099" width="12.1640625" bestFit="1" customWidth="1"/>
    <col min="2100" max="2100" width="9.1640625" bestFit="1" customWidth="1"/>
    <col min="2101" max="2101" width="12.1640625" bestFit="1" customWidth="1"/>
    <col min="2102" max="2102" width="11.1640625" bestFit="1" customWidth="1"/>
    <col min="2103" max="2103" width="10.1640625" bestFit="1" customWidth="1"/>
    <col min="2104" max="2104" width="9.1640625" bestFit="1" customWidth="1"/>
    <col min="2105" max="2105" width="7.1640625" bestFit="1" customWidth="1"/>
    <col min="2106" max="2107" width="12.1640625" bestFit="1" customWidth="1"/>
    <col min="2108" max="2108" width="10.1640625" bestFit="1" customWidth="1"/>
    <col min="2109" max="2109" width="12.1640625" bestFit="1" customWidth="1"/>
    <col min="2110" max="2110" width="9.1640625" bestFit="1" customWidth="1"/>
    <col min="2111" max="2111" width="12.1640625" bestFit="1" customWidth="1"/>
    <col min="2112" max="2112" width="9.1640625" bestFit="1" customWidth="1"/>
    <col min="2113" max="2113" width="11.1640625" bestFit="1" customWidth="1"/>
    <col min="2114" max="2118" width="12.1640625" bestFit="1" customWidth="1"/>
    <col min="2119" max="2119" width="9.1640625" bestFit="1" customWidth="1"/>
    <col min="2120" max="2120" width="10.1640625" bestFit="1" customWidth="1"/>
    <col min="2121" max="2121" width="8.1640625" bestFit="1" customWidth="1"/>
    <col min="2122" max="2126" width="12.1640625" bestFit="1" customWidth="1"/>
    <col min="2127" max="2127" width="11.1640625" bestFit="1" customWidth="1"/>
    <col min="2128" max="2128" width="9.1640625" bestFit="1" customWidth="1"/>
    <col min="2129" max="2131" width="12.1640625" bestFit="1" customWidth="1"/>
    <col min="2132" max="2132" width="9.1640625" bestFit="1" customWidth="1"/>
    <col min="2133" max="2133" width="12.1640625" bestFit="1" customWidth="1"/>
    <col min="2134" max="2134" width="9.1640625" bestFit="1" customWidth="1"/>
    <col min="2135" max="2137" width="12.1640625" bestFit="1" customWidth="1"/>
    <col min="2138" max="2138" width="7.1640625" bestFit="1" customWidth="1"/>
    <col min="2139" max="2139" width="12.1640625" bestFit="1" customWidth="1"/>
    <col min="2140" max="2140" width="7.1640625" bestFit="1" customWidth="1"/>
    <col min="2141" max="2141" width="12.1640625" bestFit="1" customWidth="1"/>
    <col min="2142" max="2142" width="9.1640625" bestFit="1" customWidth="1"/>
    <col min="2143" max="2143" width="12.1640625" bestFit="1" customWidth="1"/>
    <col min="2144" max="2144" width="11.1640625" bestFit="1" customWidth="1"/>
    <col min="2145" max="2148" width="12.1640625" bestFit="1" customWidth="1"/>
    <col min="2149" max="2149" width="11.1640625" bestFit="1" customWidth="1"/>
    <col min="2150" max="2152" width="12.1640625" bestFit="1" customWidth="1"/>
    <col min="2153" max="2153" width="11.1640625" bestFit="1" customWidth="1"/>
    <col min="2154" max="2155" width="12.1640625" bestFit="1" customWidth="1"/>
    <col min="2156" max="2157" width="9.1640625" bestFit="1" customWidth="1"/>
    <col min="2158" max="2161" width="12.1640625" bestFit="1" customWidth="1"/>
    <col min="2162" max="2162" width="10.1640625" bestFit="1" customWidth="1"/>
    <col min="2163" max="2163" width="9.1640625" bestFit="1" customWidth="1"/>
    <col min="2164" max="2164" width="12.1640625" bestFit="1" customWidth="1"/>
    <col min="2165" max="2165" width="10.1640625" bestFit="1" customWidth="1"/>
    <col min="2166" max="2173" width="12.1640625" bestFit="1" customWidth="1"/>
    <col min="2174" max="2174" width="7.1640625" bestFit="1" customWidth="1"/>
    <col min="2175" max="2176" width="12.1640625" bestFit="1" customWidth="1"/>
    <col min="2177" max="2177" width="10.1640625" bestFit="1" customWidth="1"/>
    <col min="2178" max="2179" width="12.1640625" bestFit="1" customWidth="1"/>
    <col min="2180" max="2180" width="8.1640625" bestFit="1" customWidth="1"/>
    <col min="2181" max="2181" width="12.1640625" bestFit="1" customWidth="1"/>
    <col min="2182" max="2182" width="8.1640625" bestFit="1" customWidth="1"/>
    <col min="2183" max="2186" width="12.1640625" bestFit="1" customWidth="1"/>
    <col min="2187" max="2188" width="9.1640625" bestFit="1" customWidth="1"/>
    <col min="2189" max="2191" width="12.1640625" bestFit="1" customWidth="1"/>
    <col min="2192" max="2192" width="8.1640625" bestFit="1" customWidth="1"/>
    <col min="2193" max="2197" width="12.1640625" bestFit="1" customWidth="1"/>
    <col min="2198" max="2198" width="9.1640625" bestFit="1" customWidth="1"/>
    <col min="2199" max="2201" width="12.1640625" bestFit="1" customWidth="1"/>
    <col min="2202" max="2202" width="7.1640625" bestFit="1" customWidth="1"/>
    <col min="2203" max="2204" width="9.1640625" bestFit="1" customWidth="1"/>
    <col min="2205" max="2205" width="7.1640625" bestFit="1" customWidth="1"/>
    <col min="2206" max="2207" width="12.1640625" bestFit="1" customWidth="1"/>
    <col min="2208" max="2208" width="10.1640625" bestFit="1" customWidth="1"/>
    <col min="2209" max="2209" width="8.1640625" bestFit="1" customWidth="1"/>
    <col min="2210" max="2210" width="12.1640625" bestFit="1" customWidth="1"/>
    <col min="2211" max="2211" width="8.1640625" bestFit="1" customWidth="1"/>
    <col min="2212" max="2213" width="12.1640625" bestFit="1" customWidth="1"/>
    <col min="2214" max="2214" width="10.1640625" bestFit="1" customWidth="1"/>
    <col min="2215" max="2215" width="12.1640625" bestFit="1" customWidth="1"/>
    <col min="2216" max="2216" width="10.1640625" bestFit="1" customWidth="1"/>
    <col min="2217" max="2220" width="12.1640625" bestFit="1" customWidth="1"/>
    <col min="2221" max="2221" width="7.1640625" bestFit="1" customWidth="1"/>
    <col min="2222" max="2222" width="9.1640625" bestFit="1" customWidth="1"/>
    <col min="2223" max="2229" width="12.1640625" bestFit="1" customWidth="1"/>
    <col min="2230" max="2230" width="10.1640625" bestFit="1" customWidth="1"/>
    <col min="2231" max="2235" width="12.1640625" bestFit="1" customWidth="1"/>
    <col min="2236" max="2236" width="8.1640625" bestFit="1" customWidth="1"/>
    <col min="2237" max="2237" width="11.1640625" bestFit="1" customWidth="1"/>
    <col min="2238" max="2238" width="12.1640625" bestFit="1" customWidth="1"/>
    <col min="2239" max="2240" width="8.1640625" bestFit="1" customWidth="1"/>
    <col min="2241" max="2241" width="9.1640625" bestFit="1" customWidth="1"/>
    <col min="2242" max="2249" width="12.1640625" bestFit="1" customWidth="1"/>
    <col min="2250" max="2250" width="8.1640625" bestFit="1" customWidth="1"/>
    <col min="2251" max="2251" width="11.1640625" bestFit="1" customWidth="1"/>
    <col min="2252" max="2252" width="12.1640625" bestFit="1" customWidth="1"/>
    <col min="2253" max="2253" width="8.1640625" bestFit="1" customWidth="1"/>
    <col min="2254" max="2254" width="10.1640625" bestFit="1" customWidth="1"/>
    <col min="2255" max="2255" width="12.1640625" bestFit="1" customWidth="1"/>
    <col min="2256" max="2256" width="11.1640625" bestFit="1" customWidth="1"/>
    <col min="2257" max="2257" width="2.1640625" bestFit="1" customWidth="1"/>
    <col min="2258" max="2259" width="12.6640625" bestFit="1" customWidth="1"/>
    <col min="2260" max="2261" width="12.1640625" bestFit="1" customWidth="1"/>
    <col min="2262" max="2262" width="7.1640625" bestFit="1" customWidth="1"/>
    <col min="2263" max="2265" width="12.1640625" bestFit="1" customWidth="1"/>
    <col min="2266" max="2268" width="11.1640625" bestFit="1" customWidth="1"/>
    <col min="2269" max="2269" width="7.1640625" bestFit="1" customWidth="1"/>
    <col min="2270" max="2270" width="12.1640625" bestFit="1" customWidth="1"/>
    <col min="2271" max="2271" width="9.1640625" bestFit="1" customWidth="1"/>
    <col min="2272" max="2274" width="12.1640625" bestFit="1" customWidth="1"/>
    <col min="2275" max="2275" width="11.1640625" bestFit="1" customWidth="1"/>
    <col min="2276" max="2279" width="12.1640625" bestFit="1" customWidth="1"/>
    <col min="2280" max="2280" width="9.1640625" bestFit="1" customWidth="1"/>
    <col min="2281" max="2282" width="12.1640625" bestFit="1" customWidth="1"/>
    <col min="2283" max="2283" width="7.1640625" bestFit="1" customWidth="1"/>
    <col min="2284" max="2285" width="12.1640625" bestFit="1" customWidth="1"/>
    <col min="2286" max="2286" width="7.1640625" bestFit="1" customWidth="1"/>
    <col min="2287" max="2287" width="12.1640625" bestFit="1" customWidth="1"/>
    <col min="2288" max="2288" width="9.1640625" bestFit="1" customWidth="1"/>
    <col min="2289" max="2289" width="12.1640625" bestFit="1" customWidth="1"/>
    <col min="2290" max="2290" width="11.1640625" bestFit="1" customWidth="1"/>
    <col min="2291" max="2291" width="10.1640625" bestFit="1" customWidth="1"/>
    <col min="2292" max="2292" width="9.1640625" bestFit="1" customWidth="1"/>
    <col min="2293" max="2293" width="7.1640625" bestFit="1" customWidth="1"/>
    <col min="2294" max="2295" width="12.1640625" bestFit="1" customWidth="1"/>
    <col min="2296" max="2296" width="10.1640625" bestFit="1" customWidth="1"/>
    <col min="2297" max="2297" width="12.1640625" bestFit="1" customWidth="1"/>
    <col min="2298" max="2298" width="9.1640625" bestFit="1" customWidth="1"/>
    <col min="2299" max="2299" width="12.1640625" bestFit="1" customWidth="1"/>
    <col min="2300" max="2300" width="9.1640625" bestFit="1" customWidth="1"/>
    <col min="2301" max="2301" width="11.1640625" bestFit="1" customWidth="1"/>
    <col min="2302" max="2306" width="12.1640625" bestFit="1" customWidth="1"/>
    <col min="2307" max="2307" width="9.1640625" bestFit="1" customWidth="1"/>
    <col min="2308" max="2308" width="10.1640625" bestFit="1" customWidth="1"/>
    <col min="2309" max="2309" width="8.1640625" bestFit="1" customWidth="1"/>
    <col min="2310" max="2314" width="12.1640625" bestFit="1" customWidth="1"/>
    <col min="2315" max="2315" width="11.1640625" bestFit="1" customWidth="1"/>
    <col min="2316" max="2316" width="9.1640625" bestFit="1" customWidth="1"/>
    <col min="2317" max="2319" width="12.1640625" bestFit="1" customWidth="1"/>
    <col min="2320" max="2320" width="9.1640625" bestFit="1" customWidth="1"/>
    <col min="2321" max="2321" width="12.1640625" bestFit="1" customWidth="1"/>
    <col min="2322" max="2322" width="9.1640625" bestFit="1" customWidth="1"/>
    <col min="2323" max="2325" width="12.1640625" bestFit="1" customWidth="1"/>
    <col min="2326" max="2326" width="7.1640625" bestFit="1" customWidth="1"/>
    <col min="2327" max="2327" width="12.1640625" bestFit="1" customWidth="1"/>
    <col min="2328" max="2328" width="7.1640625" bestFit="1" customWidth="1"/>
    <col min="2329" max="2329" width="12.1640625" bestFit="1" customWidth="1"/>
    <col min="2330" max="2330" width="9.1640625" bestFit="1" customWidth="1"/>
    <col min="2331" max="2331" width="12.1640625" bestFit="1" customWidth="1"/>
    <col min="2332" max="2332" width="11.1640625" bestFit="1" customWidth="1"/>
    <col min="2333" max="2336" width="12.1640625" bestFit="1" customWidth="1"/>
    <col min="2337" max="2337" width="11.1640625" bestFit="1" customWidth="1"/>
    <col min="2338" max="2340" width="12.1640625" bestFit="1" customWidth="1"/>
    <col min="2341" max="2341" width="11.1640625" bestFit="1" customWidth="1"/>
    <col min="2342" max="2343" width="12.1640625" bestFit="1" customWidth="1"/>
    <col min="2344" max="2345" width="9.1640625" bestFit="1" customWidth="1"/>
    <col min="2346" max="2349" width="12.1640625" bestFit="1" customWidth="1"/>
    <col min="2350" max="2350" width="10.1640625" bestFit="1" customWidth="1"/>
    <col min="2351" max="2351" width="9.1640625" bestFit="1" customWidth="1"/>
    <col min="2352" max="2352" width="12.1640625" bestFit="1" customWidth="1"/>
    <col min="2353" max="2353" width="10.1640625" bestFit="1" customWidth="1"/>
    <col min="2354" max="2361" width="12.1640625" bestFit="1" customWidth="1"/>
    <col min="2362" max="2362" width="7.1640625" bestFit="1" customWidth="1"/>
    <col min="2363" max="2364" width="12.1640625" bestFit="1" customWidth="1"/>
    <col min="2365" max="2365" width="10.1640625" bestFit="1" customWidth="1"/>
    <col min="2366" max="2367" width="12.1640625" bestFit="1" customWidth="1"/>
    <col min="2368" max="2368" width="8.1640625" bestFit="1" customWidth="1"/>
    <col min="2369" max="2369" width="12.1640625" bestFit="1" customWidth="1"/>
    <col min="2370" max="2370" width="8.1640625" bestFit="1" customWidth="1"/>
    <col min="2371" max="2374" width="12.1640625" bestFit="1" customWidth="1"/>
    <col min="2375" max="2376" width="9.1640625" bestFit="1" customWidth="1"/>
    <col min="2377" max="2379" width="12.1640625" bestFit="1" customWidth="1"/>
    <col min="2380" max="2380" width="8.1640625" bestFit="1" customWidth="1"/>
    <col min="2381" max="2385" width="12.1640625" bestFit="1" customWidth="1"/>
    <col min="2386" max="2386" width="9.1640625" bestFit="1" customWidth="1"/>
    <col min="2387" max="2389" width="12.1640625" bestFit="1" customWidth="1"/>
    <col min="2390" max="2390" width="7.1640625" bestFit="1" customWidth="1"/>
    <col min="2391" max="2392" width="9.1640625" bestFit="1" customWidth="1"/>
    <col min="2393" max="2393" width="7.1640625" bestFit="1" customWidth="1"/>
    <col min="2394" max="2395" width="12.1640625" bestFit="1" customWidth="1"/>
    <col min="2396" max="2396" width="10.1640625" bestFit="1" customWidth="1"/>
    <col min="2397" max="2397" width="8.1640625" bestFit="1" customWidth="1"/>
    <col min="2398" max="2398" width="12.1640625" bestFit="1" customWidth="1"/>
    <col min="2399" max="2399" width="8.1640625" bestFit="1" customWidth="1"/>
    <col min="2400" max="2401" width="12.1640625" bestFit="1" customWidth="1"/>
    <col min="2402" max="2402" width="10.1640625" bestFit="1" customWidth="1"/>
    <col min="2403" max="2403" width="12.1640625" bestFit="1" customWidth="1"/>
    <col min="2404" max="2404" width="10.1640625" bestFit="1" customWidth="1"/>
    <col min="2405" max="2408" width="12.1640625" bestFit="1" customWidth="1"/>
    <col min="2409" max="2409" width="7.1640625" bestFit="1" customWidth="1"/>
    <col min="2410" max="2410" width="9.1640625" bestFit="1" customWidth="1"/>
    <col min="2411" max="2417" width="12.1640625" bestFit="1" customWidth="1"/>
    <col min="2418" max="2418" width="10.1640625" bestFit="1" customWidth="1"/>
    <col min="2419" max="2423" width="12.1640625" bestFit="1" customWidth="1"/>
    <col min="2424" max="2424" width="8.1640625" bestFit="1" customWidth="1"/>
    <col min="2425" max="2425" width="11.1640625" bestFit="1" customWidth="1"/>
    <col min="2426" max="2426" width="12.1640625" bestFit="1" customWidth="1"/>
    <col min="2427" max="2428" width="8.1640625" bestFit="1" customWidth="1"/>
    <col min="2429" max="2429" width="9.1640625" bestFit="1" customWidth="1"/>
    <col min="2430" max="2437" width="12.1640625" bestFit="1" customWidth="1"/>
    <col min="2438" max="2438" width="8.1640625" bestFit="1" customWidth="1"/>
    <col min="2439" max="2439" width="11.1640625" bestFit="1" customWidth="1"/>
    <col min="2440" max="2440" width="12.1640625" bestFit="1" customWidth="1"/>
    <col min="2441" max="2441" width="8.1640625" bestFit="1" customWidth="1"/>
    <col min="2442" max="2442" width="10.1640625" bestFit="1" customWidth="1"/>
    <col min="2443" max="2443" width="12.1640625" bestFit="1" customWidth="1"/>
    <col min="2444" max="2444" width="11.1640625" bestFit="1" customWidth="1"/>
    <col min="2445" max="2445" width="2.1640625" bestFit="1" customWidth="1"/>
    <col min="2446" max="2447" width="12.6640625" bestFit="1" customWidth="1"/>
    <col min="2448" max="2449" width="12.1640625" bestFit="1" customWidth="1"/>
    <col min="2450" max="2450" width="7.1640625" bestFit="1" customWidth="1"/>
    <col min="2451" max="2453" width="12.1640625" bestFit="1" customWidth="1"/>
    <col min="2454" max="2456" width="11.1640625" bestFit="1" customWidth="1"/>
    <col min="2457" max="2457" width="7.1640625" bestFit="1" customWidth="1"/>
    <col min="2458" max="2458" width="12.1640625" bestFit="1" customWidth="1"/>
    <col min="2459" max="2459" width="9.1640625" bestFit="1" customWidth="1"/>
    <col min="2460" max="2462" width="12.1640625" bestFit="1" customWidth="1"/>
    <col min="2463" max="2463" width="11.1640625" bestFit="1" customWidth="1"/>
    <col min="2464" max="2467" width="12.1640625" bestFit="1" customWidth="1"/>
    <col min="2468" max="2468" width="9.1640625" bestFit="1" customWidth="1"/>
    <col min="2469" max="2470" width="12.1640625" bestFit="1" customWidth="1"/>
    <col min="2471" max="2471" width="7.1640625" bestFit="1" customWidth="1"/>
    <col min="2472" max="2473" width="12.1640625" bestFit="1" customWidth="1"/>
    <col min="2474" max="2474" width="7.1640625" bestFit="1" customWidth="1"/>
    <col min="2475" max="2475" width="12.1640625" bestFit="1" customWidth="1"/>
    <col min="2476" max="2476" width="9.1640625" bestFit="1" customWidth="1"/>
    <col min="2477" max="2477" width="12.1640625" bestFit="1" customWidth="1"/>
    <col min="2478" max="2478" width="11.1640625" bestFit="1" customWidth="1"/>
    <col min="2479" max="2479" width="10.1640625" bestFit="1" customWidth="1"/>
    <col min="2480" max="2480" width="9.1640625" bestFit="1" customWidth="1"/>
    <col min="2481" max="2481" width="7.1640625" bestFit="1" customWidth="1"/>
    <col min="2482" max="2483" width="12.1640625" bestFit="1" customWidth="1"/>
    <col min="2484" max="2484" width="10.1640625" bestFit="1" customWidth="1"/>
    <col min="2485" max="2485" width="12.1640625" bestFit="1" customWidth="1"/>
    <col min="2486" max="2486" width="9.1640625" bestFit="1" customWidth="1"/>
    <col min="2487" max="2487" width="12.1640625" bestFit="1" customWidth="1"/>
    <col min="2488" max="2488" width="9.1640625" bestFit="1" customWidth="1"/>
    <col min="2489" max="2489" width="11.1640625" bestFit="1" customWidth="1"/>
    <col min="2490" max="2494" width="12.1640625" bestFit="1" customWidth="1"/>
    <col min="2495" max="2495" width="9.1640625" bestFit="1" customWidth="1"/>
    <col min="2496" max="2496" width="10.1640625" bestFit="1" customWidth="1"/>
    <col min="2497" max="2497" width="8.1640625" bestFit="1" customWidth="1"/>
    <col min="2498" max="2502" width="12.1640625" bestFit="1" customWidth="1"/>
    <col min="2503" max="2503" width="11.1640625" bestFit="1" customWidth="1"/>
    <col min="2504" max="2504" width="9.1640625" bestFit="1" customWidth="1"/>
    <col min="2505" max="2507" width="12.1640625" bestFit="1" customWidth="1"/>
    <col min="2508" max="2508" width="9.1640625" bestFit="1" customWidth="1"/>
    <col min="2509" max="2509" width="12.1640625" bestFit="1" customWidth="1"/>
    <col min="2510" max="2510" width="9.1640625" bestFit="1" customWidth="1"/>
    <col min="2511" max="2513" width="12.1640625" bestFit="1" customWidth="1"/>
    <col min="2514" max="2514" width="7.1640625" bestFit="1" customWidth="1"/>
    <col min="2515" max="2515" width="12.1640625" bestFit="1" customWidth="1"/>
    <col min="2516" max="2516" width="7.1640625" bestFit="1" customWidth="1"/>
    <col min="2517" max="2517" width="12.1640625" bestFit="1" customWidth="1"/>
    <col min="2518" max="2518" width="9.1640625" bestFit="1" customWidth="1"/>
    <col min="2519" max="2519" width="12.1640625" bestFit="1" customWidth="1"/>
    <col min="2520" max="2520" width="11.1640625" bestFit="1" customWidth="1"/>
    <col min="2521" max="2524" width="12.1640625" bestFit="1" customWidth="1"/>
    <col min="2525" max="2525" width="11.1640625" bestFit="1" customWidth="1"/>
    <col min="2526" max="2528" width="12.1640625" bestFit="1" customWidth="1"/>
    <col min="2529" max="2529" width="11.1640625" bestFit="1" customWidth="1"/>
    <col min="2530" max="2531" width="12.1640625" bestFit="1" customWidth="1"/>
    <col min="2532" max="2533" width="9.1640625" bestFit="1" customWidth="1"/>
    <col min="2534" max="2537" width="12.1640625" bestFit="1" customWidth="1"/>
    <col min="2538" max="2538" width="10.1640625" bestFit="1" customWidth="1"/>
    <col min="2539" max="2539" width="9.1640625" bestFit="1" customWidth="1"/>
    <col min="2540" max="2540" width="12.1640625" bestFit="1" customWidth="1"/>
    <col min="2541" max="2541" width="10.1640625" bestFit="1" customWidth="1"/>
    <col min="2542" max="2549" width="12.1640625" bestFit="1" customWidth="1"/>
    <col min="2550" max="2550" width="7.1640625" bestFit="1" customWidth="1"/>
    <col min="2551" max="2552" width="12.1640625" bestFit="1" customWidth="1"/>
    <col min="2553" max="2553" width="10.1640625" bestFit="1" customWidth="1"/>
    <col min="2554" max="2555" width="12.1640625" bestFit="1" customWidth="1"/>
    <col min="2556" max="2556" width="8.1640625" bestFit="1" customWidth="1"/>
    <col min="2557" max="2557" width="12.1640625" bestFit="1" customWidth="1"/>
    <col min="2558" max="2558" width="8.1640625" bestFit="1" customWidth="1"/>
    <col min="2559" max="2562" width="12.1640625" bestFit="1" customWidth="1"/>
    <col min="2563" max="2564" width="9.1640625" bestFit="1" customWidth="1"/>
    <col min="2565" max="2567" width="12.1640625" bestFit="1" customWidth="1"/>
    <col min="2568" max="2568" width="8.1640625" bestFit="1" customWidth="1"/>
    <col min="2569" max="2573" width="12.1640625" bestFit="1" customWidth="1"/>
    <col min="2574" max="2574" width="9.1640625" bestFit="1" customWidth="1"/>
    <col min="2575" max="2577" width="12.1640625" bestFit="1" customWidth="1"/>
    <col min="2578" max="2578" width="7.1640625" bestFit="1" customWidth="1"/>
    <col min="2579" max="2580" width="9.1640625" bestFit="1" customWidth="1"/>
    <col min="2581" max="2581" width="7.1640625" bestFit="1" customWidth="1"/>
    <col min="2582" max="2583" width="12.1640625" bestFit="1" customWidth="1"/>
    <col min="2584" max="2584" width="10.1640625" bestFit="1" customWidth="1"/>
    <col min="2585" max="2585" width="8.1640625" bestFit="1" customWidth="1"/>
    <col min="2586" max="2586" width="12.1640625" bestFit="1" customWidth="1"/>
    <col min="2587" max="2587" width="8.1640625" bestFit="1" customWidth="1"/>
    <col min="2588" max="2589" width="12.1640625" bestFit="1" customWidth="1"/>
    <col min="2590" max="2590" width="10.1640625" bestFit="1" customWidth="1"/>
    <col min="2591" max="2591" width="12.1640625" bestFit="1" customWidth="1"/>
    <col min="2592" max="2592" width="10.1640625" bestFit="1" customWidth="1"/>
    <col min="2593" max="2596" width="12.1640625" bestFit="1" customWidth="1"/>
    <col min="2597" max="2597" width="7.1640625" bestFit="1" customWidth="1"/>
    <col min="2598" max="2598" width="9.1640625" bestFit="1" customWidth="1"/>
    <col min="2599" max="2605" width="12.1640625" bestFit="1" customWidth="1"/>
    <col min="2606" max="2606" width="10.1640625" bestFit="1" customWidth="1"/>
    <col min="2607" max="2611" width="12.1640625" bestFit="1" customWidth="1"/>
    <col min="2612" max="2612" width="8.1640625" bestFit="1" customWidth="1"/>
    <col min="2613" max="2613" width="11.1640625" bestFit="1" customWidth="1"/>
    <col min="2614" max="2614" width="12.1640625" bestFit="1" customWidth="1"/>
    <col min="2615" max="2616" width="8.1640625" bestFit="1" customWidth="1"/>
    <col min="2617" max="2617" width="9.1640625" bestFit="1" customWidth="1"/>
    <col min="2618" max="2625" width="12.1640625" bestFit="1" customWidth="1"/>
    <col min="2626" max="2626" width="8.1640625" bestFit="1" customWidth="1"/>
    <col min="2627" max="2627" width="11.1640625" bestFit="1" customWidth="1"/>
    <col min="2628" max="2628" width="12.1640625" bestFit="1" customWidth="1"/>
    <col min="2629" max="2629" width="8.1640625" bestFit="1" customWidth="1"/>
    <col min="2630" max="2630" width="10.1640625" bestFit="1" customWidth="1"/>
    <col min="2631" max="2631" width="12.1640625" bestFit="1" customWidth="1"/>
    <col min="2632" max="2632" width="11.1640625" bestFit="1" customWidth="1"/>
    <col min="2633" max="2633" width="8.1640625" bestFit="1" customWidth="1"/>
    <col min="2634" max="2635" width="12.6640625" bestFit="1" customWidth="1"/>
    <col min="2636" max="2637" width="12.1640625" bestFit="1" customWidth="1"/>
    <col min="2638" max="2638" width="7.6640625" bestFit="1" customWidth="1"/>
    <col min="2639" max="2641" width="12.1640625" bestFit="1" customWidth="1"/>
    <col min="2642" max="2644" width="11.1640625" bestFit="1" customWidth="1"/>
    <col min="2645" max="2645" width="7.6640625" bestFit="1" customWidth="1"/>
    <col min="2646" max="2646" width="12.1640625" bestFit="1" customWidth="1"/>
    <col min="2647" max="2647" width="9.1640625" bestFit="1" customWidth="1"/>
    <col min="2648" max="2650" width="12.1640625" bestFit="1" customWidth="1"/>
    <col min="2651" max="2651" width="11.1640625" bestFit="1" customWidth="1"/>
    <col min="2652" max="2655" width="12.1640625" bestFit="1" customWidth="1"/>
    <col min="2656" max="2656" width="9.1640625" bestFit="1" customWidth="1"/>
    <col min="2657" max="2658" width="12.1640625" bestFit="1" customWidth="1"/>
    <col min="2659" max="2659" width="7.1640625" bestFit="1" customWidth="1"/>
    <col min="2660" max="2661" width="12.1640625" bestFit="1" customWidth="1"/>
    <col min="2662" max="2662" width="7.1640625" bestFit="1" customWidth="1"/>
    <col min="2663" max="2663" width="12.1640625" bestFit="1" customWidth="1"/>
    <col min="2664" max="2664" width="9.1640625" bestFit="1" customWidth="1"/>
    <col min="2665" max="2665" width="12.1640625" bestFit="1" customWidth="1"/>
    <col min="2666" max="2666" width="11.1640625" bestFit="1" customWidth="1"/>
    <col min="2667" max="2667" width="10.1640625" bestFit="1" customWidth="1"/>
    <col min="2668" max="2668" width="9.1640625" bestFit="1" customWidth="1"/>
    <col min="2669" max="2669" width="7.1640625" bestFit="1" customWidth="1"/>
    <col min="2670" max="2671" width="12.1640625" bestFit="1" customWidth="1"/>
    <col min="2672" max="2672" width="10.1640625" bestFit="1" customWidth="1"/>
    <col min="2673" max="2673" width="12.1640625" bestFit="1" customWidth="1"/>
    <col min="2674" max="2674" width="9.1640625" bestFit="1" customWidth="1"/>
    <col min="2675" max="2675" width="12.1640625" bestFit="1" customWidth="1"/>
    <col min="2676" max="2676" width="9.1640625" bestFit="1" customWidth="1"/>
    <col min="2677" max="2677" width="11.1640625" bestFit="1" customWidth="1"/>
    <col min="2678" max="2682" width="12.1640625" bestFit="1" customWidth="1"/>
    <col min="2683" max="2683" width="9.1640625" bestFit="1" customWidth="1"/>
    <col min="2684" max="2684" width="10.1640625" bestFit="1" customWidth="1"/>
    <col min="2685" max="2685" width="8.1640625" bestFit="1" customWidth="1"/>
    <col min="2686" max="2690" width="12.1640625" bestFit="1" customWidth="1"/>
    <col min="2691" max="2691" width="11.1640625" bestFit="1" customWidth="1"/>
    <col min="2692" max="2692" width="9.1640625" bestFit="1" customWidth="1"/>
    <col min="2693" max="2695" width="12.1640625" bestFit="1" customWidth="1"/>
    <col min="2696" max="2696" width="9.1640625" bestFit="1" customWidth="1"/>
    <col min="2697" max="2697" width="12.1640625" bestFit="1" customWidth="1"/>
    <col min="2698" max="2698" width="9.1640625" bestFit="1" customWidth="1"/>
    <col min="2699" max="2701" width="12.1640625" bestFit="1" customWidth="1"/>
    <col min="2702" max="2702" width="7.1640625" bestFit="1" customWidth="1"/>
    <col min="2703" max="2703" width="12.1640625" bestFit="1" customWidth="1"/>
    <col min="2704" max="2704" width="7.1640625" bestFit="1" customWidth="1"/>
    <col min="2705" max="2705" width="12.1640625" bestFit="1" customWidth="1"/>
    <col min="2706" max="2706" width="9.1640625" bestFit="1" customWidth="1"/>
    <col min="2707" max="2707" width="12.1640625" bestFit="1" customWidth="1"/>
    <col min="2708" max="2708" width="11.1640625" bestFit="1" customWidth="1"/>
    <col min="2709" max="2712" width="12.1640625" bestFit="1" customWidth="1"/>
    <col min="2713" max="2713" width="11.1640625" bestFit="1" customWidth="1"/>
    <col min="2714" max="2716" width="12.1640625" bestFit="1" customWidth="1"/>
    <col min="2717" max="2717" width="11.1640625" bestFit="1" customWidth="1"/>
    <col min="2718" max="2719" width="12.1640625" bestFit="1" customWidth="1"/>
    <col min="2720" max="2721" width="9.1640625" bestFit="1" customWidth="1"/>
    <col min="2722" max="2725" width="12.1640625" bestFit="1" customWidth="1"/>
    <col min="2726" max="2726" width="10.1640625" bestFit="1" customWidth="1"/>
    <col min="2727" max="2727" width="9.1640625" bestFit="1" customWidth="1"/>
    <col min="2728" max="2728" width="12.1640625" bestFit="1" customWidth="1"/>
    <col min="2729" max="2729" width="10.1640625" bestFit="1" customWidth="1"/>
    <col min="2730" max="2737" width="12.1640625" bestFit="1" customWidth="1"/>
    <col min="2738" max="2738" width="7.1640625" bestFit="1" customWidth="1"/>
    <col min="2739" max="2740" width="12.1640625" bestFit="1" customWidth="1"/>
    <col min="2741" max="2741" width="10.1640625" bestFit="1" customWidth="1"/>
    <col min="2742" max="2743" width="12.1640625" bestFit="1" customWidth="1"/>
    <col min="2744" max="2744" width="8.1640625" bestFit="1" customWidth="1"/>
    <col min="2745" max="2745" width="12.1640625" bestFit="1" customWidth="1"/>
    <col min="2746" max="2746" width="8.1640625" bestFit="1" customWidth="1"/>
    <col min="2747" max="2750" width="12.1640625" bestFit="1" customWidth="1"/>
    <col min="2751" max="2752" width="9.1640625" bestFit="1" customWidth="1"/>
    <col min="2753" max="2755" width="12.1640625" bestFit="1" customWidth="1"/>
    <col min="2756" max="2756" width="8.1640625" bestFit="1" customWidth="1"/>
    <col min="2757" max="2761" width="12.1640625" bestFit="1" customWidth="1"/>
    <col min="2762" max="2762" width="9.1640625" bestFit="1" customWidth="1"/>
    <col min="2763" max="2765" width="12.1640625" bestFit="1" customWidth="1"/>
    <col min="2766" max="2766" width="7.1640625" bestFit="1" customWidth="1"/>
    <col min="2767" max="2768" width="9.1640625" bestFit="1" customWidth="1"/>
    <col min="2769" max="2769" width="7.1640625" bestFit="1" customWidth="1"/>
    <col min="2770" max="2771" width="12.1640625" bestFit="1" customWidth="1"/>
    <col min="2772" max="2772" width="10.1640625" bestFit="1" customWidth="1"/>
    <col min="2773" max="2773" width="8.1640625" bestFit="1" customWidth="1"/>
    <col min="2774" max="2774" width="12.1640625" bestFit="1" customWidth="1"/>
    <col min="2775" max="2775" width="8.1640625" bestFit="1" customWidth="1"/>
    <col min="2776" max="2777" width="12.1640625" bestFit="1" customWidth="1"/>
    <col min="2778" max="2778" width="10.1640625" bestFit="1" customWidth="1"/>
    <col min="2779" max="2779" width="12.1640625" bestFit="1" customWidth="1"/>
    <col min="2780" max="2780" width="10.1640625" bestFit="1" customWidth="1"/>
    <col min="2781" max="2784" width="12.1640625" bestFit="1" customWidth="1"/>
    <col min="2785" max="2785" width="7.1640625" bestFit="1" customWidth="1"/>
    <col min="2786" max="2786" width="9.1640625" bestFit="1" customWidth="1"/>
    <col min="2787" max="2793" width="12.1640625" bestFit="1" customWidth="1"/>
    <col min="2794" max="2794" width="10.1640625" bestFit="1" customWidth="1"/>
    <col min="2795" max="2799" width="12.1640625" bestFit="1" customWidth="1"/>
    <col min="2800" max="2800" width="8.1640625" bestFit="1" customWidth="1"/>
    <col min="2801" max="2801" width="11.1640625" bestFit="1" customWidth="1"/>
    <col min="2802" max="2802" width="12.1640625" bestFit="1" customWidth="1"/>
    <col min="2803" max="2804" width="8.1640625" bestFit="1" customWidth="1"/>
    <col min="2805" max="2805" width="9.1640625" bestFit="1" customWidth="1"/>
    <col min="2806" max="2813" width="12.1640625" bestFit="1" customWidth="1"/>
    <col min="2814" max="2814" width="8.1640625" bestFit="1" customWidth="1"/>
    <col min="2815" max="2815" width="11.1640625" bestFit="1" customWidth="1"/>
    <col min="2816" max="2816" width="12.1640625" bestFit="1" customWidth="1"/>
    <col min="2817" max="2817" width="8.1640625" bestFit="1" customWidth="1"/>
    <col min="2818" max="2818" width="10.1640625" bestFit="1" customWidth="1"/>
    <col min="2819" max="2819" width="12.1640625" bestFit="1" customWidth="1"/>
    <col min="2820" max="2820" width="11.1640625" bestFit="1" customWidth="1"/>
    <col min="2821" max="2821" width="7.6640625" bestFit="1" customWidth="1"/>
    <col min="2822" max="2823" width="12.6640625" bestFit="1" customWidth="1"/>
    <col min="2824" max="2825" width="12.1640625" bestFit="1" customWidth="1"/>
    <col min="2826" max="2826" width="7.1640625" bestFit="1" customWidth="1"/>
    <col min="2827" max="2829" width="12.1640625" bestFit="1" customWidth="1"/>
    <col min="2830" max="2832" width="11.1640625" bestFit="1" customWidth="1"/>
    <col min="2833" max="2833" width="7.1640625" bestFit="1" customWidth="1"/>
    <col min="2834" max="2834" width="12.1640625" bestFit="1" customWidth="1"/>
    <col min="2835" max="2835" width="9.1640625" bestFit="1" customWidth="1"/>
    <col min="2836" max="2838" width="12.1640625" bestFit="1" customWidth="1"/>
    <col min="2839" max="2839" width="11.1640625" bestFit="1" customWidth="1"/>
    <col min="2840" max="2843" width="12.1640625" bestFit="1" customWidth="1"/>
    <col min="2844" max="2844" width="9.1640625" bestFit="1" customWidth="1"/>
    <col min="2845" max="2846" width="12.1640625" bestFit="1" customWidth="1"/>
    <col min="2847" max="2847" width="7.1640625" bestFit="1" customWidth="1"/>
    <col min="2848" max="2849" width="12.1640625" bestFit="1" customWidth="1"/>
    <col min="2850" max="2850" width="7.1640625" bestFit="1" customWidth="1"/>
    <col min="2851" max="2851" width="12.1640625" bestFit="1" customWidth="1"/>
    <col min="2852" max="2852" width="9.1640625" bestFit="1" customWidth="1"/>
    <col min="2853" max="2853" width="12.1640625" bestFit="1" customWidth="1"/>
    <col min="2854" max="2854" width="11.1640625" bestFit="1" customWidth="1"/>
    <col min="2855" max="2855" width="10.1640625" bestFit="1" customWidth="1"/>
    <col min="2856" max="2856" width="9.1640625" bestFit="1" customWidth="1"/>
    <col min="2857" max="2857" width="7.1640625" bestFit="1" customWidth="1"/>
    <col min="2858" max="2859" width="12.1640625" bestFit="1" customWidth="1"/>
    <col min="2860" max="2860" width="10.1640625" bestFit="1" customWidth="1"/>
    <col min="2861" max="2861" width="12.1640625" bestFit="1" customWidth="1"/>
    <col min="2862" max="2862" width="9.1640625" bestFit="1" customWidth="1"/>
    <col min="2863" max="2863" width="12.1640625" bestFit="1" customWidth="1"/>
    <col min="2864" max="2864" width="9.1640625" bestFit="1" customWidth="1"/>
    <col min="2865" max="2865" width="11.1640625" bestFit="1" customWidth="1"/>
    <col min="2866" max="2870" width="12.1640625" bestFit="1" customWidth="1"/>
    <col min="2871" max="2871" width="9.1640625" bestFit="1" customWidth="1"/>
    <col min="2872" max="2872" width="10.1640625" bestFit="1" customWidth="1"/>
    <col min="2873" max="2873" width="8.1640625" bestFit="1" customWidth="1"/>
    <col min="2874" max="2878" width="12.1640625" bestFit="1" customWidth="1"/>
    <col min="2879" max="2879" width="11.1640625" bestFit="1" customWidth="1"/>
    <col min="2880" max="2880" width="9.1640625" bestFit="1" customWidth="1"/>
    <col min="2881" max="2883" width="12.1640625" bestFit="1" customWidth="1"/>
    <col min="2884" max="2884" width="9.1640625" bestFit="1" customWidth="1"/>
    <col min="2885" max="2885" width="12.1640625" bestFit="1" customWidth="1"/>
    <col min="2886" max="2886" width="9.1640625" bestFit="1" customWidth="1"/>
    <col min="2887" max="2889" width="12.1640625" bestFit="1" customWidth="1"/>
    <col min="2890" max="2890" width="7.1640625" bestFit="1" customWidth="1"/>
    <col min="2891" max="2891" width="12.1640625" bestFit="1" customWidth="1"/>
    <col min="2892" max="2892" width="7.1640625" bestFit="1" customWidth="1"/>
    <col min="2893" max="2893" width="12.1640625" bestFit="1" customWidth="1"/>
    <col min="2894" max="2894" width="9.1640625" bestFit="1" customWidth="1"/>
    <col min="2895" max="2895" width="12.1640625" bestFit="1" customWidth="1"/>
    <col min="2896" max="2896" width="11.1640625" bestFit="1" customWidth="1"/>
    <col min="2897" max="2900" width="12.1640625" bestFit="1" customWidth="1"/>
    <col min="2901" max="2901" width="11.1640625" bestFit="1" customWidth="1"/>
    <col min="2902" max="2904" width="12.1640625" bestFit="1" customWidth="1"/>
    <col min="2905" max="2905" width="11.1640625" bestFit="1" customWidth="1"/>
    <col min="2906" max="2907" width="12.1640625" bestFit="1" customWidth="1"/>
    <col min="2908" max="2909" width="9.1640625" bestFit="1" customWidth="1"/>
    <col min="2910" max="2913" width="12.1640625" bestFit="1" customWidth="1"/>
    <col min="2914" max="2914" width="10.1640625" bestFit="1" customWidth="1"/>
    <col min="2915" max="2915" width="9.1640625" bestFit="1" customWidth="1"/>
    <col min="2916" max="2916" width="12.1640625" bestFit="1" customWidth="1"/>
    <col min="2917" max="2917" width="10.1640625" bestFit="1" customWidth="1"/>
    <col min="2918" max="2925" width="12.1640625" bestFit="1" customWidth="1"/>
    <col min="2926" max="2926" width="7.1640625" bestFit="1" customWidth="1"/>
    <col min="2927" max="2928" width="12.1640625" bestFit="1" customWidth="1"/>
    <col min="2929" max="2929" width="10.1640625" bestFit="1" customWidth="1"/>
    <col min="2930" max="2931" width="12.1640625" bestFit="1" customWidth="1"/>
    <col min="2932" max="2932" width="8.1640625" bestFit="1" customWidth="1"/>
    <col min="2933" max="2933" width="12.1640625" bestFit="1" customWidth="1"/>
    <col min="2934" max="2934" width="8.1640625" bestFit="1" customWidth="1"/>
    <col min="2935" max="2938" width="12.1640625" bestFit="1" customWidth="1"/>
    <col min="2939" max="2940" width="9.1640625" bestFit="1" customWidth="1"/>
    <col min="2941" max="2943" width="12.1640625" bestFit="1" customWidth="1"/>
    <col min="2944" max="2944" width="8.1640625" bestFit="1" customWidth="1"/>
    <col min="2945" max="2949" width="12.1640625" bestFit="1" customWidth="1"/>
    <col min="2950" max="2950" width="9.1640625" bestFit="1" customWidth="1"/>
    <col min="2951" max="2953" width="12.1640625" bestFit="1" customWidth="1"/>
    <col min="2954" max="2954" width="7.1640625" bestFit="1" customWidth="1"/>
    <col min="2955" max="2956" width="9.1640625" bestFit="1" customWidth="1"/>
    <col min="2957" max="2957" width="7.1640625" bestFit="1" customWidth="1"/>
    <col min="2958" max="2959" width="12.1640625" bestFit="1" customWidth="1"/>
    <col min="2960" max="2960" width="10.1640625" bestFit="1" customWidth="1"/>
    <col min="2961" max="2961" width="8.1640625" bestFit="1" customWidth="1"/>
    <col min="2962" max="2962" width="12.1640625" bestFit="1" customWidth="1"/>
    <col min="2963" max="2963" width="8.1640625" bestFit="1" customWidth="1"/>
    <col min="2964" max="2965" width="12.1640625" bestFit="1" customWidth="1"/>
    <col min="2966" max="2966" width="10.1640625" bestFit="1" customWidth="1"/>
    <col min="2967" max="2967" width="12.1640625" bestFit="1" customWidth="1"/>
    <col min="2968" max="2968" width="10.1640625" bestFit="1" customWidth="1"/>
    <col min="2969" max="2972" width="12.1640625" bestFit="1" customWidth="1"/>
    <col min="2973" max="2973" width="7.1640625" bestFit="1" customWidth="1"/>
    <col min="2974" max="2974" width="9.1640625" bestFit="1" customWidth="1"/>
    <col min="2975" max="2981" width="12.1640625" bestFit="1" customWidth="1"/>
    <col min="2982" max="2982" width="10.1640625" bestFit="1" customWidth="1"/>
    <col min="2983" max="2987" width="12.1640625" bestFit="1" customWidth="1"/>
    <col min="2988" max="2988" width="8.1640625" bestFit="1" customWidth="1"/>
    <col min="2989" max="2989" width="11.1640625" bestFit="1" customWidth="1"/>
    <col min="2990" max="2990" width="12.1640625" bestFit="1" customWidth="1"/>
    <col min="2991" max="2992" width="8.1640625" bestFit="1" customWidth="1"/>
    <col min="2993" max="2993" width="9.1640625" bestFit="1" customWidth="1"/>
    <col min="2994" max="3001" width="12.1640625" bestFit="1" customWidth="1"/>
    <col min="3002" max="3002" width="8.1640625" bestFit="1" customWidth="1"/>
    <col min="3003" max="3003" width="11.1640625" bestFit="1" customWidth="1"/>
    <col min="3004" max="3004" width="12.1640625" bestFit="1" customWidth="1"/>
    <col min="3005" max="3005" width="8.1640625" bestFit="1" customWidth="1"/>
    <col min="3006" max="3006" width="10.1640625" bestFit="1" customWidth="1"/>
    <col min="3007" max="3007" width="12.1640625" bestFit="1" customWidth="1"/>
    <col min="3008" max="3008" width="11.1640625" bestFit="1" customWidth="1"/>
    <col min="3009" max="3009" width="8.1640625" bestFit="1" customWidth="1"/>
    <col min="3010" max="3011" width="12.6640625" bestFit="1" customWidth="1"/>
    <col min="3012" max="3013" width="12.1640625" bestFit="1" customWidth="1"/>
    <col min="3014" max="3014" width="7.1640625" bestFit="1" customWidth="1"/>
    <col min="3015" max="3017" width="12.1640625" bestFit="1" customWidth="1"/>
    <col min="3018" max="3020" width="11.1640625" bestFit="1" customWidth="1"/>
    <col min="3021" max="3021" width="7.1640625" bestFit="1" customWidth="1"/>
    <col min="3022" max="3022" width="12.1640625" bestFit="1" customWidth="1"/>
    <col min="3023" max="3023" width="9.1640625" bestFit="1" customWidth="1"/>
    <col min="3024" max="3026" width="12.1640625" bestFit="1" customWidth="1"/>
    <col min="3027" max="3027" width="11.1640625" bestFit="1" customWidth="1"/>
    <col min="3028" max="3031" width="12.1640625" bestFit="1" customWidth="1"/>
    <col min="3032" max="3032" width="9.1640625" bestFit="1" customWidth="1"/>
    <col min="3033" max="3034" width="12.1640625" bestFit="1" customWidth="1"/>
    <col min="3035" max="3035" width="7.1640625" bestFit="1" customWidth="1"/>
    <col min="3036" max="3037" width="12.1640625" bestFit="1" customWidth="1"/>
    <col min="3038" max="3038" width="7.1640625" bestFit="1" customWidth="1"/>
    <col min="3039" max="3039" width="12.1640625" bestFit="1" customWidth="1"/>
    <col min="3040" max="3040" width="9.1640625" bestFit="1" customWidth="1"/>
    <col min="3041" max="3041" width="12.1640625" bestFit="1" customWidth="1"/>
    <col min="3042" max="3042" width="11.1640625" bestFit="1" customWidth="1"/>
    <col min="3043" max="3043" width="10.1640625" bestFit="1" customWidth="1"/>
    <col min="3044" max="3044" width="9.1640625" bestFit="1" customWidth="1"/>
    <col min="3045" max="3045" width="7.1640625" bestFit="1" customWidth="1"/>
    <col min="3046" max="3047" width="12.1640625" bestFit="1" customWidth="1"/>
    <col min="3048" max="3048" width="10.1640625" bestFit="1" customWidth="1"/>
    <col min="3049" max="3049" width="12.1640625" bestFit="1" customWidth="1"/>
    <col min="3050" max="3050" width="9.1640625" bestFit="1" customWidth="1"/>
    <col min="3051" max="3051" width="12.1640625" bestFit="1" customWidth="1"/>
    <col min="3052" max="3052" width="9.1640625" bestFit="1" customWidth="1"/>
    <col min="3053" max="3053" width="11.1640625" bestFit="1" customWidth="1"/>
    <col min="3054" max="3058" width="12.1640625" bestFit="1" customWidth="1"/>
    <col min="3059" max="3059" width="9.1640625" bestFit="1" customWidth="1"/>
    <col min="3060" max="3060" width="10.1640625" bestFit="1" customWidth="1"/>
    <col min="3061" max="3061" width="8.1640625" bestFit="1" customWidth="1"/>
    <col min="3062" max="3066" width="12.1640625" bestFit="1" customWidth="1"/>
    <col min="3067" max="3067" width="11.1640625" bestFit="1" customWidth="1"/>
    <col min="3068" max="3068" width="9.1640625" bestFit="1" customWidth="1"/>
    <col min="3069" max="3071" width="12.1640625" bestFit="1" customWidth="1"/>
    <col min="3072" max="3072" width="9.1640625" bestFit="1" customWidth="1"/>
    <col min="3073" max="3073" width="12.1640625" bestFit="1" customWidth="1"/>
    <col min="3074" max="3074" width="9.1640625" bestFit="1" customWidth="1"/>
    <col min="3075" max="3077" width="12.1640625" bestFit="1" customWidth="1"/>
    <col min="3078" max="3078" width="7.1640625" bestFit="1" customWidth="1"/>
    <col min="3079" max="3079" width="12.1640625" bestFit="1" customWidth="1"/>
    <col min="3080" max="3080" width="7.1640625" bestFit="1" customWidth="1"/>
    <col min="3081" max="3081" width="12.1640625" bestFit="1" customWidth="1"/>
    <col min="3082" max="3082" width="9.1640625" bestFit="1" customWidth="1"/>
    <col min="3083" max="3083" width="12.1640625" bestFit="1" customWidth="1"/>
    <col min="3084" max="3084" width="11.1640625" bestFit="1" customWidth="1"/>
    <col min="3085" max="3088" width="12.1640625" bestFit="1" customWidth="1"/>
    <col min="3089" max="3089" width="11.1640625" bestFit="1" customWidth="1"/>
    <col min="3090" max="3092" width="12.1640625" bestFit="1" customWidth="1"/>
    <col min="3093" max="3093" width="11.1640625" bestFit="1" customWidth="1"/>
    <col min="3094" max="3095" width="12.1640625" bestFit="1" customWidth="1"/>
    <col min="3096" max="3097" width="9.1640625" bestFit="1" customWidth="1"/>
    <col min="3098" max="3101" width="12.1640625" bestFit="1" customWidth="1"/>
    <col min="3102" max="3102" width="10.1640625" bestFit="1" customWidth="1"/>
    <col min="3103" max="3103" width="9.1640625" bestFit="1" customWidth="1"/>
    <col min="3104" max="3104" width="12.1640625" bestFit="1" customWidth="1"/>
    <col min="3105" max="3105" width="10.1640625" bestFit="1" customWidth="1"/>
    <col min="3106" max="3113" width="12.1640625" bestFit="1" customWidth="1"/>
    <col min="3114" max="3114" width="7.1640625" bestFit="1" customWidth="1"/>
    <col min="3115" max="3116" width="12.1640625" bestFit="1" customWidth="1"/>
    <col min="3117" max="3117" width="10.1640625" bestFit="1" customWidth="1"/>
    <col min="3118" max="3119" width="12.1640625" bestFit="1" customWidth="1"/>
    <col min="3120" max="3120" width="8.1640625" bestFit="1" customWidth="1"/>
    <col min="3121" max="3121" width="12.1640625" bestFit="1" customWidth="1"/>
    <col min="3122" max="3122" width="8.1640625" bestFit="1" customWidth="1"/>
    <col min="3123" max="3126" width="12.1640625" bestFit="1" customWidth="1"/>
    <col min="3127" max="3128" width="9.1640625" bestFit="1" customWidth="1"/>
    <col min="3129" max="3131" width="12.1640625" bestFit="1" customWidth="1"/>
    <col min="3132" max="3132" width="8.1640625" bestFit="1" customWidth="1"/>
    <col min="3133" max="3137" width="12.1640625" bestFit="1" customWidth="1"/>
    <col min="3138" max="3138" width="9.1640625" bestFit="1" customWidth="1"/>
    <col min="3139" max="3141" width="12.1640625" bestFit="1" customWidth="1"/>
    <col min="3142" max="3142" width="7.1640625" bestFit="1" customWidth="1"/>
    <col min="3143" max="3144" width="9.1640625" bestFit="1" customWidth="1"/>
    <col min="3145" max="3145" width="7.1640625" bestFit="1" customWidth="1"/>
    <col min="3146" max="3147" width="12.1640625" bestFit="1" customWidth="1"/>
    <col min="3148" max="3148" width="10.1640625" bestFit="1" customWidth="1"/>
    <col min="3149" max="3149" width="8.1640625" bestFit="1" customWidth="1"/>
    <col min="3150" max="3150" width="12.1640625" bestFit="1" customWidth="1"/>
    <col min="3151" max="3151" width="8.1640625" bestFit="1" customWidth="1"/>
    <col min="3152" max="3153" width="12.1640625" bestFit="1" customWidth="1"/>
    <col min="3154" max="3154" width="10.1640625" bestFit="1" customWidth="1"/>
    <col min="3155" max="3155" width="12.1640625" bestFit="1" customWidth="1"/>
    <col min="3156" max="3156" width="10.1640625" bestFit="1" customWidth="1"/>
    <col min="3157" max="3160" width="12.1640625" bestFit="1" customWidth="1"/>
    <col min="3161" max="3161" width="7.1640625" bestFit="1" customWidth="1"/>
    <col min="3162" max="3162" width="9.1640625" bestFit="1" customWidth="1"/>
    <col min="3163" max="3169" width="12.1640625" bestFit="1" customWidth="1"/>
    <col min="3170" max="3170" width="10.1640625" bestFit="1" customWidth="1"/>
    <col min="3171" max="3175" width="12.1640625" bestFit="1" customWidth="1"/>
    <col min="3176" max="3176" width="8.1640625" bestFit="1" customWidth="1"/>
    <col min="3177" max="3177" width="11.1640625" bestFit="1" customWidth="1"/>
    <col min="3178" max="3178" width="12.1640625" bestFit="1" customWidth="1"/>
    <col min="3179" max="3180" width="8.1640625" bestFit="1" customWidth="1"/>
    <col min="3181" max="3181" width="9.1640625" bestFit="1" customWidth="1"/>
    <col min="3182" max="3189" width="12.1640625" bestFit="1" customWidth="1"/>
    <col min="3190" max="3190" width="8.1640625" bestFit="1" customWidth="1"/>
    <col min="3191" max="3191" width="11.1640625" bestFit="1" customWidth="1"/>
    <col min="3192" max="3192" width="12.1640625" bestFit="1" customWidth="1"/>
    <col min="3193" max="3193" width="8.1640625" bestFit="1" customWidth="1"/>
    <col min="3194" max="3194" width="10.1640625" bestFit="1" customWidth="1"/>
    <col min="3195" max="3195" width="12.1640625" bestFit="1" customWidth="1"/>
    <col min="3196" max="3196" width="11.1640625" bestFit="1" customWidth="1"/>
    <col min="3197" max="3197" width="2.1640625" bestFit="1" customWidth="1"/>
    <col min="3198" max="3199" width="12.6640625" bestFit="1" customWidth="1"/>
    <col min="3200" max="3201" width="12.1640625" bestFit="1" customWidth="1"/>
    <col min="3202" max="3202" width="7.6640625" bestFit="1" customWidth="1"/>
    <col min="3203" max="3205" width="12.1640625" bestFit="1" customWidth="1"/>
    <col min="3206" max="3208" width="11.1640625" bestFit="1" customWidth="1"/>
    <col min="3209" max="3209" width="7.6640625" bestFit="1" customWidth="1"/>
    <col min="3210" max="3210" width="12.1640625" bestFit="1" customWidth="1"/>
    <col min="3211" max="3211" width="9.1640625" bestFit="1" customWidth="1"/>
    <col min="3212" max="3214" width="12.1640625" bestFit="1" customWidth="1"/>
    <col min="3215" max="3215" width="11.1640625" bestFit="1" customWidth="1"/>
    <col min="3216" max="3219" width="12.1640625" bestFit="1" customWidth="1"/>
    <col min="3220" max="3220" width="9.1640625" bestFit="1" customWidth="1"/>
    <col min="3221" max="3222" width="12.1640625" bestFit="1" customWidth="1"/>
    <col min="3223" max="3223" width="7.1640625" bestFit="1" customWidth="1"/>
    <col min="3224" max="3225" width="12.1640625" bestFit="1" customWidth="1"/>
    <col min="3226" max="3226" width="7.1640625" bestFit="1" customWidth="1"/>
    <col min="3227" max="3227" width="12.1640625" bestFit="1" customWidth="1"/>
    <col min="3228" max="3228" width="9.1640625" bestFit="1" customWidth="1"/>
    <col min="3229" max="3229" width="12.1640625" bestFit="1" customWidth="1"/>
    <col min="3230" max="3230" width="11.1640625" bestFit="1" customWidth="1"/>
    <col min="3231" max="3231" width="10.1640625" bestFit="1" customWidth="1"/>
    <col min="3232" max="3232" width="9.1640625" bestFit="1" customWidth="1"/>
    <col min="3233" max="3233" width="7.1640625" bestFit="1" customWidth="1"/>
    <col min="3234" max="3235" width="12.1640625" bestFit="1" customWidth="1"/>
    <col min="3236" max="3236" width="10.1640625" bestFit="1" customWidth="1"/>
    <col min="3237" max="3237" width="12.1640625" bestFit="1" customWidth="1"/>
    <col min="3238" max="3238" width="9.1640625" bestFit="1" customWidth="1"/>
    <col min="3239" max="3239" width="12.1640625" bestFit="1" customWidth="1"/>
    <col min="3240" max="3240" width="9.1640625" bestFit="1" customWidth="1"/>
    <col min="3241" max="3241" width="11.1640625" bestFit="1" customWidth="1"/>
    <col min="3242" max="3246" width="12.1640625" bestFit="1" customWidth="1"/>
    <col min="3247" max="3247" width="9.1640625" bestFit="1" customWidth="1"/>
    <col min="3248" max="3248" width="10.1640625" bestFit="1" customWidth="1"/>
    <col min="3249" max="3249" width="8.1640625" bestFit="1" customWidth="1"/>
    <col min="3250" max="3254" width="12.1640625" bestFit="1" customWidth="1"/>
    <col min="3255" max="3255" width="11.1640625" bestFit="1" customWidth="1"/>
    <col min="3256" max="3256" width="9.1640625" bestFit="1" customWidth="1"/>
    <col min="3257" max="3259" width="12.1640625" bestFit="1" customWidth="1"/>
    <col min="3260" max="3260" width="9.1640625" bestFit="1" customWidth="1"/>
    <col min="3261" max="3261" width="12.1640625" bestFit="1" customWidth="1"/>
    <col min="3262" max="3262" width="9.1640625" bestFit="1" customWidth="1"/>
    <col min="3263" max="3265" width="12.1640625" bestFit="1" customWidth="1"/>
    <col min="3266" max="3266" width="7.1640625" bestFit="1" customWidth="1"/>
    <col min="3267" max="3267" width="12.1640625" bestFit="1" customWidth="1"/>
    <col min="3268" max="3268" width="7.1640625" bestFit="1" customWidth="1"/>
    <col min="3269" max="3269" width="12.1640625" bestFit="1" customWidth="1"/>
    <col min="3270" max="3270" width="9.1640625" bestFit="1" customWidth="1"/>
    <col min="3271" max="3271" width="12.1640625" bestFit="1" customWidth="1"/>
    <col min="3272" max="3272" width="11.1640625" bestFit="1" customWidth="1"/>
    <col min="3273" max="3276" width="12.1640625" bestFit="1" customWidth="1"/>
    <col min="3277" max="3277" width="11.1640625" bestFit="1" customWidth="1"/>
    <col min="3278" max="3280" width="12.1640625" bestFit="1" customWidth="1"/>
    <col min="3281" max="3281" width="11.1640625" bestFit="1" customWidth="1"/>
    <col min="3282" max="3283" width="12.1640625" bestFit="1" customWidth="1"/>
    <col min="3284" max="3285" width="9.1640625" bestFit="1" customWidth="1"/>
    <col min="3286" max="3289" width="12.1640625" bestFit="1" customWidth="1"/>
    <col min="3290" max="3290" width="10.1640625" bestFit="1" customWidth="1"/>
    <col min="3291" max="3291" width="9.1640625" bestFit="1" customWidth="1"/>
    <col min="3292" max="3292" width="12.1640625" bestFit="1" customWidth="1"/>
    <col min="3293" max="3293" width="10.1640625" bestFit="1" customWidth="1"/>
    <col min="3294" max="3301" width="12.1640625" bestFit="1" customWidth="1"/>
    <col min="3302" max="3302" width="7.1640625" bestFit="1" customWidth="1"/>
    <col min="3303" max="3304" width="12.1640625" bestFit="1" customWidth="1"/>
    <col min="3305" max="3305" width="10.1640625" bestFit="1" customWidth="1"/>
    <col min="3306" max="3307" width="12.1640625" bestFit="1" customWidth="1"/>
    <col min="3308" max="3308" width="8.1640625" bestFit="1" customWidth="1"/>
    <col min="3309" max="3309" width="12.1640625" bestFit="1" customWidth="1"/>
    <col min="3310" max="3310" width="8.1640625" bestFit="1" customWidth="1"/>
    <col min="3311" max="3314" width="12.1640625" bestFit="1" customWidth="1"/>
    <col min="3315" max="3316" width="9.1640625" bestFit="1" customWidth="1"/>
    <col min="3317" max="3319" width="12.1640625" bestFit="1" customWidth="1"/>
    <col min="3320" max="3320" width="8.1640625" bestFit="1" customWidth="1"/>
    <col min="3321" max="3325" width="12.1640625" bestFit="1" customWidth="1"/>
    <col min="3326" max="3326" width="9.1640625" bestFit="1" customWidth="1"/>
    <col min="3327" max="3329" width="12.1640625" bestFit="1" customWidth="1"/>
    <col min="3330" max="3330" width="7.1640625" bestFit="1" customWidth="1"/>
    <col min="3331" max="3332" width="9.1640625" bestFit="1" customWidth="1"/>
    <col min="3333" max="3333" width="7.1640625" bestFit="1" customWidth="1"/>
    <col min="3334" max="3335" width="12.1640625" bestFit="1" customWidth="1"/>
    <col min="3336" max="3336" width="10.1640625" bestFit="1" customWidth="1"/>
    <col min="3337" max="3337" width="8.1640625" bestFit="1" customWidth="1"/>
    <col min="3338" max="3338" width="12.1640625" bestFit="1" customWidth="1"/>
    <col min="3339" max="3339" width="8.1640625" bestFit="1" customWidth="1"/>
    <col min="3340" max="3341" width="12.1640625" bestFit="1" customWidth="1"/>
    <col min="3342" max="3342" width="10.1640625" bestFit="1" customWidth="1"/>
    <col min="3343" max="3343" width="12.1640625" bestFit="1" customWidth="1"/>
    <col min="3344" max="3344" width="10.1640625" bestFit="1" customWidth="1"/>
    <col min="3345" max="3348" width="12.1640625" bestFit="1" customWidth="1"/>
    <col min="3349" max="3349" width="7.1640625" bestFit="1" customWidth="1"/>
    <col min="3350" max="3350" width="9.1640625" bestFit="1" customWidth="1"/>
    <col min="3351" max="3357" width="12.1640625" bestFit="1" customWidth="1"/>
    <col min="3358" max="3358" width="10.1640625" bestFit="1" customWidth="1"/>
    <col min="3359" max="3363" width="12.1640625" bestFit="1" customWidth="1"/>
    <col min="3364" max="3364" width="8.1640625" bestFit="1" customWidth="1"/>
    <col min="3365" max="3365" width="11.1640625" bestFit="1" customWidth="1"/>
    <col min="3366" max="3366" width="12.1640625" bestFit="1" customWidth="1"/>
    <col min="3367" max="3368" width="8.1640625" bestFit="1" customWidth="1"/>
    <col min="3369" max="3369" width="9.1640625" bestFit="1" customWidth="1"/>
    <col min="3370" max="3377" width="12.1640625" bestFit="1" customWidth="1"/>
    <col min="3378" max="3378" width="8.1640625" bestFit="1" customWidth="1"/>
    <col min="3379" max="3379" width="11.1640625" bestFit="1" customWidth="1"/>
    <col min="3380" max="3380" width="12.1640625" bestFit="1" customWidth="1"/>
    <col min="3381" max="3381" width="8.1640625" bestFit="1" customWidth="1"/>
    <col min="3382" max="3382" width="10.1640625" bestFit="1" customWidth="1"/>
    <col min="3383" max="3383" width="12.1640625" bestFit="1" customWidth="1"/>
    <col min="3384" max="3384" width="11.1640625" bestFit="1" customWidth="1"/>
    <col min="3385" max="3385" width="2.1640625" bestFit="1" customWidth="1"/>
    <col min="3386" max="3387" width="12.6640625" bestFit="1" customWidth="1"/>
    <col min="3388" max="3388" width="13.1640625" bestFit="1" customWidth="1"/>
    <col min="3389" max="3389" width="12.6640625" bestFit="1" customWidth="1"/>
    <col min="3390" max="3390" width="10.1640625" bestFit="1" customWidth="1"/>
    <col min="3391" max="3392" width="12.6640625" bestFit="1" customWidth="1"/>
    <col min="3393" max="3393" width="12.1640625" bestFit="1" customWidth="1"/>
    <col min="3394" max="3394" width="11.1640625" bestFit="1" customWidth="1"/>
    <col min="3395" max="3396" width="12.6640625" bestFit="1" customWidth="1"/>
    <col min="3397" max="3397" width="10.1640625" bestFit="1" customWidth="1"/>
    <col min="3398" max="3398" width="12.1640625" bestFit="1" customWidth="1"/>
    <col min="3399" max="3399" width="9.1640625" bestFit="1" customWidth="1"/>
    <col min="3400" max="3401" width="12.1640625" bestFit="1" customWidth="1"/>
    <col min="3402" max="3402" width="12.6640625" bestFit="1" customWidth="1"/>
    <col min="3403" max="3403" width="11.1640625" bestFit="1" customWidth="1"/>
    <col min="3404" max="3407" width="12.1640625" bestFit="1" customWidth="1"/>
    <col min="3408" max="3408" width="10.1640625" bestFit="1" customWidth="1"/>
    <col min="3409" max="3410" width="12.1640625" bestFit="1" customWidth="1"/>
    <col min="3411" max="3411" width="7.6640625" bestFit="1" customWidth="1"/>
    <col min="3412" max="3413" width="12.1640625" bestFit="1" customWidth="1"/>
    <col min="3414" max="3414" width="7.6640625" bestFit="1" customWidth="1"/>
    <col min="3415" max="3415" width="12.6640625" bestFit="1" customWidth="1"/>
    <col min="3416" max="3416" width="10.1640625" bestFit="1" customWidth="1"/>
    <col min="3417" max="3417" width="12.1640625" bestFit="1" customWidth="1"/>
    <col min="3418" max="3418" width="11.1640625" bestFit="1" customWidth="1"/>
    <col min="3419" max="3420" width="10.1640625" bestFit="1" customWidth="1"/>
    <col min="3421" max="3421" width="9.1640625" bestFit="1" customWidth="1"/>
    <col min="3422" max="3422" width="12.6640625" bestFit="1" customWidth="1"/>
    <col min="3423" max="3423" width="12.1640625" bestFit="1" customWidth="1"/>
    <col min="3424" max="3424" width="10.1640625" bestFit="1" customWidth="1"/>
    <col min="3425" max="3425" width="12.1640625" bestFit="1" customWidth="1"/>
    <col min="3426" max="3426" width="10.1640625" bestFit="1" customWidth="1"/>
    <col min="3427" max="3427" width="12.1640625" bestFit="1" customWidth="1"/>
    <col min="3428" max="3428" width="9.1640625" bestFit="1" customWidth="1"/>
    <col min="3429" max="3429" width="11.1640625" bestFit="1" customWidth="1"/>
    <col min="3430" max="3434" width="12.1640625" bestFit="1" customWidth="1"/>
    <col min="3435" max="3437" width="10.1640625" bestFit="1" customWidth="1"/>
    <col min="3438" max="3442" width="12.1640625" bestFit="1" customWidth="1"/>
    <col min="3443" max="3443" width="11.1640625" bestFit="1" customWidth="1"/>
    <col min="3444" max="3444" width="10.1640625" bestFit="1" customWidth="1"/>
    <col min="3445" max="3447" width="12.1640625" bestFit="1" customWidth="1"/>
    <col min="3448" max="3448" width="10.1640625" bestFit="1" customWidth="1"/>
    <col min="3449" max="3449" width="12.1640625" bestFit="1" customWidth="1"/>
    <col min="3450" max="3450" width="10.1640625" bestFit="1" customWidth="1"/>
    <col min="3451" max="3453" width="12.1640625" bestFit="1" customWidth="1"/>
    <col min="3454" max="3454" width="9.1640625" bestFit="1" customWidth="1"/>
    <col min="3455" max="3455" width="12.1640625" bestFit="1" customWidth="1"/>
    <col min="3456" max="3456" width="10.1640625" bestFit="1" customWidth="1"/>
    <col min="3457" max="3457" width="12.1640625" bestFit="1" customWidth="1"/>
    <col min="3458" max="3458" width="10.1640625" bestFit="1" customWidth="1"/>
    <col min="3459" max="3459" width="12.1640625" bestFit="1" customWidth="1"/>
    <col min="3460" max="3460" width="11.1640625" bestFit="1" customWidth="1"/>
    <col min="3461" max="3464" width="12.1640625" bestFit="1" customWidth="1"/>
    <col min="3465" max="3465" width="11.1640625" bestFit="1" customWidth="1"/>
    <col min="3466" max="3468" width="12.1640625" bestFit="1" customWidth="1"/>
    <col min="3469" max="3469" width="11.1640625" bestFit="1" customWidth="1"/>
    <col min="3470" max="3471" width="12.1640625" bestFit="1" customWidth="1"/>
    <col min="3472" max="3473" width="10.1640625" bestFit="1" customWidth="1"/>
    <col min="3474" max="3477" width="12.1640625" bestFit="1" customWidth="1"/>
    <col min="3478" max="3479" width="10.1640625" bestFit="1" customWidth="1"/>
    <col min="3480" max="3480" width="12.1640625" bestFit="1" customWidth="1"/>
    <col min="3481" max="3481" width="10.1640625" bestFit="1" customWidth="1"/>
    <col min="3482" max="3484" width="12.1640625" bestFit="1" customWidth="1"/>
    <col min="3485" max="3485" width="12.6640625" bestFit="1" customWidth="1"/>
    <col min="3486" max="3489" width="12.1640625" bestFit="1" customWidth="1"/>
    <col min="3490" max="3490" width="10.1640625" bestFit="1" customWidth="1"/>
    <col min="3491" max="3492" width="12.1640625" bestFit="1" customWidth="1"/>
    <col min="3493" max="3493" width="11.1640625" bestFit="1" customWidth="1"/>
    <col min="3494" max="3495" width="12.1640625" bestFit="1" customWidth="1"/>
    <col min="3496" max="3496" width="10.1640625" bestFit="1" customWidth="1"/>
    <col min="3497" max="3497" width="12.1640625" bestFit="1" customWidth="1"/>
    <col min="3498" max="3498" width="10.1640625" bestFit="1" customWidth="1"/>
    <col min="3499" max="3502" width="12.1640625" bestFit="1" customWidth="1"/>
    <col min="3503" max="3504" width="10.1640625" bestFit="1" customWidth="1"/>
    <col min="3505" max="3507" width="12.1640625" bestFit="1" customWidth="1"/>
    <col min="3508" max="3508" width="9.1640625" bestFit="1" customWidth="1"/>
    <col min="3509" max="3513" width="12.1640625" bestFit="1" customWidth="1"/>
    <col min="3514" max="3514" width="9.1640625" bestFit="1" customWidth="1"/>
    <col min="3515" max="3517" width="12.1640625" bestFit="1" customWidth="1"/>
    <col min="3518" max="3519" width="9.1640625" bestFit="1" customWidth="1"/>
    <col min="3520" max="3520" width="10.1640625" bestFit="1" customWidth="1"/>
    <col min="3521" max="3521" width="9.1640625" bestFit="1" customWidth="1"/>
    <col min="3522" max="3523" width="12.1640625" bestFit="1" customWidth="1"/>
    <col min="3524" max="3525" width="10.1640625" bestFit="1" customWidth="1"/>
    <col min="3526" max="3526" width="12.1640625" bestFit="1" customWidth="1"/>
    <col min="3527" max="3527" width="9.1640625" bestFit="1" customWidth="1"/>
    <col min="3528" max="3529" width="12.1640625" bestFit="1" customWidth="1"/>
    <col min="3530" max="3530" width="10.1640625" bestFit="1" customWidth="1"/>
    <col min="3531" max="3531" width="12.1640625" bestFit="1" customWidth="1"/>
    <col min="3532" max="3532" width="11.1640625" bestFit="1" customWidth="1"/>
    <col min="3533" max="3534" width="12.1640625" bestFit="1" customWidth="1"/>
    <col min="3535" max="3535" width="12.6640625" bestFit="1" customWidth="1"/>
    <col min="3536" max="3536" width="12.1640625" bestFit="1" customWidth="1"/>
    <col min="3537" max="3537" width="9.1640625" bestFit="1" customWidth="1"/>
    <col min="3538" max="3538" width="10.1640625" bestFit="1" customWidth="1"/>
    <col min="3539" max="3544" width="12.1640625" bestFit="1" customWidth="1"/>
    <col min="3545" max="3545" width="12.6640625" bestFit="1" customWidth="1"/>
    <col min="3546" max="3546" width="10.1640625" bestFit="1" customWidth="1"/>
    <col min="3547" max="3551" width="12.1640625" bestFit="1" customWidth="1"/>
    <col min="3552" max="3552" width="9.1640625" bestFit="1" customWidth="1"/>
    <col min="3553" max="3553" width="11.1640625" bestFit="1" customWidth="1"/>
    <col min="3554" max="3554" width="12.1640625" bestFit="1" customWidth="1"/>
    <col min="3555" max="3556" width="9.1640625" bestFit="1" customWidth="1"/>
    <col min="3557" max="3557" width="10.1640625" bestFit="1" customWidth="1"/>
    <col min="3558" max="3565" width="12.1640625" bestFit="1" customWidth="1"/>
    <col min="3566" max="3566" width="10.1640625" bestFit="1" customWidth="1"/>
    <col min="3567" max="3567" width="11.1640625" bestFit="1" customWidth="1"/>
    <col min="3568" max="3568" width="12.1640625" bestFit="1" customWidth="1"/>
    <col min="3569" max="3569" width="9.6640625" bestFit="1" customWidth="1"/>
    <col min="3570" max="3570" width="10.1640625" bestFit="1" customWidth="1"/>
    <col min="3571" max="3571" width="12.1640625" bestFit="1" customWidth="1"/>
    <col min="3572" max="3572" width="11.1640625" bestFit="1" customWidth="1"/>
    <col min="3573" max="3575" width="12.6640625" bestFit="1" customWidth="1"/>
    <col min="3576" max="3577" width="12.1640625" bestFit="1" customWidth="1"/>
    <col min="3578" max="3578" width="7.1640625" bestFit="1" customWidth="1"/>
    <col min="3579" max="3581" width="12.1640625" bestFit="1" customWidth="1"/>
    <col min="3582" max="3583" width="11.1640625" bestFit="1" customWidth="1"/>
    <col min="3584" max="3584" width="12.6640625" bestFit="1" customWidth="1"/>
    <col min="3585" max="3585" width="7.1640625" bestFit="1" customWidth="1"/>
    <col min="3586" max="3586" width="12.1640625" bestFit="1" customWidth="1"/>
    <col min="3587" max="3587" width="9.1640625" bestFit="1" customWidth="1"/>
    <col min="3588" max="3590" width="12.1640625" bestFit="1" customWidth="1"/>
    <col min="3591" max="3591" width="11.1640625" bestFit="1" customWidth="1"/>
    <col min="3592" max="3595" width="12.1640625" bestFit="1" customWidth="1"/>
    <col min="3596" max="3596" width="9.1640625" bestFit="1" customWidth="1"/>
    <col min="3597" max="3598" width="12.1640625" bestFit="1" customWidth="1"/>
    <col min="3599" max="3599" width="7.6640625" bestFit="1" customWidth="1"/>
    <col min="3600" max="3601" width="12.1640625" bestFit="1" customWidth="1"/>
    <col min="3602" max="3602" width="7.1640625" bestFit="1" customWidth="1"/>
    <col min="3603" max="3603" width="12.1640625" bestFit="1" customWidth="1"/>
    <col min="3604" max="3604" width="9.1640625" bestFit="1" customWidth="1"/>
    <col min="3605" max="3605" width="12.1640625" bestFit="1" customWidth="1"/>
    <col min="3606" max="3606" width="11.1640625" bestFit="1" customWidth="1"/>
    <col min="3607" max="3607" width="10.1640625" bestFit="1" customWidth="1"/>
    <col min="3608" max="3608" width="9.1640625" bestFit="1" customWidth="1"/>
    <col min="3609" max="3609" width="7.1640625" bestFit="1" customWidth="1"/>
    <col min="3610" max="3611" width="12.1640625" bestFit="1" customWidth="1"/>
    <col min="3612" max="3612" width="10.1640625" bestFit="1" customWidth="1"/>
    <col min="3613" max="3613" width="12.1640625" bestFit="1" customWidth="1"/>
    <col min="3614" max="3614" width="9.1640625" bestFit="1" customWidth="1"/>
    <col min="3615" max="3615" width="12.1640625" bestFit="1" customWidth="1"/>
    <col min="3616" max="3616" width="9.1640625" bestFit="1" customWidth="1"/>
    <col min="3617" max="3617" width="11.1640625" bestFit="1" customWidth="1"/>
    <col min="3618" max="3622" width="12.1640625" bestFit="1" customWidth="1"/>
    <col min="3623" max="3623" width="9.1640625" bestFit="1" customWidth="1"/>
    <col min="3624" max="3624" width="10.1640625" bestFit="1" customWidth="1"/>
    <col min="3625" max="3625" width="8.1640625" bestFit="1" customWidth="1"/>
    <col min="3626" max="3630" width="12.1640625" bestFit="1" customWidth="1"/>
    <col min="3631" max="3631" width="11.1640625" bestFit="1" customWidth="1"/>
    <col min="3632" max="3632" width="9.1640625" bestFit="1" customWidth="1"/>
    <col min="3633" max="3635" width="12.1640625" bestFit="1" customWidth="1"/>
    <col min="3636" max="3636" width="9.1640625" bestFit="1" customWidth="1"/>
    <col min="3637" max="3637" width="12.1640625" bestFit="1" customWidth="1"/>
    <col min="3638" max="3638" width="9.1640625" bestFit="1" customWidth="1"/>
    <col min="3639" max="3641" width="12.1640625" bestFit="1" customWidth="1"/>
    <col min="3642" max="3642" width="7.1640625" bestFit="1" customWidth="1"/>
    <col min="3643" max="3643" width="12.1640625" bestFit="1" customWidth="1"/>
    <col min="3644" max="3644" width="7.1640625" bestFit="1" customWidth="1"/>
    <col min="3645" max="3645" width="12.1640625" bestFit="1" customWidth="1"/>
    <col min="3646" max="3646" width="9.1640625" bestFit="1" customWidth="1"/>
    <col min="3647" max="3647" width="12.1640625" bestFit="1" customWidth="1"/>
    <col min="3648" max="3648" width="11.1640625" bestFit="1" customWidth="1"/>
    <col min="3649" max="3652" width="12.1640625" bestFit="1" customWidth="1"/>
    <col min="3653" max="3653" width="11.1640625" bestFit="1" customWidth="1"/>
    <col min="3654" max="3656" width="12.1640625" bestFit="1" customWidth="1"/>
    <col min="3657" max="3657" width="11.1640625" bestFit="1" customWidth="1"/>
    <col min="3658" max="3659" width="12.1640625" bestFit="1" customWidth="1"/>
    <col min="3660" max="3660" width="10.1640625" bestFit="1" customWidth="1"/>
    <col min="3661" max="3661" width="9.1640625" bestFit="1" customWidth="1"/>
    <col min="3662" max="3665" width="12.1640625" bestFit="1" customWidth="1"/>
    <col min="3666" max="3666" width="10.1640625" bestFit="1" customWidth="1"/>
    <col min="3667" max="3667" width="9.1640625" bestFit="1" customWidth="1"/>
    <col min="3668" max="3668" width="12.1640625" bestFit="1" customWidth="1"/>
    <col min="3669" max="3669" width="10.1640625" bestFit="1" customWidth="1"/>
    <col min="3670" max="3677" width="12.1640625" bestFit="1" customWidth="1"/>
    <col min="3678" max="3678" width="9.1640625" bestFit="1" customWidth="1"/>
    <col min="3679" max="3680" width="12.1640625" bestFit="1" customWidth="1"/>
    <col min="3681" max="3681" width="10.1640625" bestFit="1" customWidth="1"/>
    <col min="3682" max="3683" width="12.1640625" bestFit="1" customWidth="1"/>
    <col min="3684" max="3684" width="8.1640625" bestFit="1" customWidth="1"/>
    <col min="3685" max="3685" width="12.1640625" bestFit="1" customWidth="1"/>
    <col min="3686" max="3686" width="8.1640625" bestFit="1" customWidth="1"/>
    <col min="3687" max="3690" width="12.1640625" bestFit="1" customWidth="1"/>
    <col min="3691" max="3692" width="9.1640625" bestFit="1" customWidth="1"/>
    <col min="3693" max="3695" width="12.1640625" bestFit="1" customWidth="1"/>
    <col min="3696" max="3696" width="8.1640625" bestFit="1" customWidth="1"/>
    <col min="3697" max="3701" width="12.1640625" bestFit="1" customWidth="1"/>
    <col min="3702" max="3702" width="9.1640625" bestFit="1" customWidth="1"/>
    <col min="3703" max="3705" width="12.1640625" bestFit="1" customWidth="1"/>
    <col min="3706" max="3706" width="7.6640625" bestFit="1" customWidth="1"/>
    <col min="3707" max="3708" width="9.1640625" bestFit="1" customWidth="1"/>
    <col min="3709" max="3709" width="7.6640625" bestFit="1" customWidth="1"/>
    <col min="3710" max="3711" width="12.1640625" bestFit="1" customWidth="1"/>
    <col min="3712" max="3712" width="10.1640625" bestFit="1" customWidth="1"/>
    <col min="3713" max="3713" width="9.1640625" bestFit="1" customWidth="1"/>
    <col min="3714" max="3714" width="12.1640625" bestFit="1" customWidth="1"/>
    <col min="3715" max="3715" width="8.1640625" bestFit="1" customWidth="1"/>
    <col min="3716" max="3717" width="12.1640625" bestFit="1" customWidth="1"/>
    <col min="3718" max="3718" width="10.1640625" bestFit="1" customWidth="1"/>
    <col min="3719" max="3719" width="12.1640625" bestFit="1" customWidth="1"/>
    <col min="3720" max="3720" width="10.1640625" bestFit="1" customWidth="1"/>
    <col min="3721" max="3724" width="12.1640625" bestFit="1" customWidth="1"/>
    <col min="3725" max="3725" width="7.1640625" bestFit="1" customWidth="1"/>
    <col min="3726" max="3726" width="9.1640625" bestFit="1" customWidth="1"/>
    <col min="3727" max="3733" width="12.1640625" bestFit="1" customWidth="1"/>
    <col min="3734" max="3734" width="10.1640625" bestFit="1" customWidth="1"/>
    <col min="3735" max="3739" width="12.1640625" bestFit="1" customWidth="1"/>
    <col min="3740" max="3740" width="8.1640625" bestFit="1" customWidth="1"/>
    <col min="3741" max="3741" width="11.1640625" bestFit="1" customWidth="1"/>
    <col min="3742" max="3742" width="12.1640625" bestFit="1" customWidth="1"/>
    <col min="3743" max="3743" width="9.1640625" bestFit="1" customWidth="1"/>
    <col min="3744" max="3744" width="8.1640625" bestFit="1" customWidth="1"/>
    <col min="3745" max="3745" width="10.1640625" bestFit="1" customWidth="1"/>
    <col min="3746" max="3753" width="12.1640625" bestFit="1" customWidth="1"/>
    <col min="3754" max="3754" width="10.1640625" bestFit="1" customWidth="1"/>
    <col min="3755" max="3755" width="11.1640625" bestFit="1" customWidth="1"/>
    <col min="3756" max="3756" width="12.1640625" bestFit="1" customWidth="1"/>
    <col min="3757" max="3757" width="9.6640625" bestFit="1" customWidth="1"/>
    <col min="3758" max="3758" width="10.1640625" bestFit="1" customWidth="1"/>
    <col min="3759" max="3759" width="12.1640625" bestFit="1" customWidth="1"/>
    <col min="3760" max="3761" width="11.1640625" bestFit="1" customWidth="1"/>
    <col min="3762" max="3763" width="12.6640625" bestFit="1" customWidth="1"/>
    <col min="3764" max="3765" width="12.1640625" bestFit="1" customWidth="1"/>
    <col min="3766" max="3766" width="7.1640625" bestFit="1" customWidth="1"/>
    <col min="3767" max="3769" width="12.1640625" bestFit="1" customWidth="1"/>
    <col min="3770" max="3771" width="11.1640625" bestFit="1" customWidth="1"/>
    <col min="3772" max="3772" width="12.6640625" bestFit="1" customWidth="1"/>
    <col min="3773" max="3773" width="7.1640625" bestFit="1" customWidth="1"/>
    <col min="3774" max="3774" width="12.1640625" bestFit="1" customWidth="1"/>
    <col min="3775" max="3775" width="9.1640625" bestFit="1" customWidth="1"/>
    <col min="3776" max="3778" width="12.1640625" bestFit="1" customWidth="1"/>
    <col min="3779" max="3779" width="11.1640625" bestFit="1" customWidth="1"/>
    <col min="3780" max="3783" width="12.1640625" bestFit="1" customWidth="1"/>
    <col min="3784" max="3784" width="9.1640625" bestFit="1" customWidth="1"/>
    <col min="3785" max="3786" width="12.1640625" bestFit="1" customWidth="1"/>
    <col min="3787" max="3787" width="7.1640625" bestFit="1" customWidth="1"/>
    <col min="3788" max="3789" width="12.1640625" bestFit="1" customWidth="1"/>
    <col min="3790" max="3790" width="7.1640625" bestFit="1" customWidth="1"/>
    <col min="3791" max="3791" width="12.1640625" bestFit="1" customWidth="1"/>
    <col min="3792" max="3792" width="9.1640625" bestFit="1" customWidth="1"/>
    <col min="3793" max="3793" width="12.1640625" bestFit="1" customWidth="1"/>
    <col min="3794" max="3794" width="11.1640625" bestFit="1" customWidth="1"/>
    <col min="3795" max="3795" width="10.1640625" bestFit="1" customWidth="1"/>
    <col min="3796" max="3797" width="9.1640625" bestFit="1" customWidth="1"/>
    <col min="3798" max="3799" width="12.1640625" bestFit="1" customWidth="1"/>
    <col min="3800" max="3800" width="10.1640625" bestFit="1" customWidth="1"/>
    <col min="3801" max="3801" width="12.1640625" bestFit="1" customWidth="1"/>
    <col min="3802" max="3802" width="9.1640625" bestFit="1" customWidth="1"/>
    <col min="3803" max="3803" width="12.1640625" bestFit="1" customWidth="1"/>
    <col min="3804" max="3804" width="9.1640625" bestFit="1" customWidth="1"/>
    <col min="3805" max="3805" width="11.1640625" bestFit="1" customWidth="1"/>
    <col min="3806" max="3810" width="12.1640625" bestFit="1" customWidth="1"/>
    <col min="3811" max="3811" width="9.1640625" bestFit="1" customWidth="1"/>
    <col min="3812" max="3813" width="10.1640625" bestFit="1" customWidth="1"/>
    <col min="3814" max="3818" width="12.1640625" bestFit="1" customWidth="1"/>
    <col min="3819" max="3819" width="11.1640625" bestFit="1" customWidth="1"/>
    <col min="3820" max="3820" width="9.1640625" bestFit="1" customWidth="1"/>
    <col min="3821" max="3823" width="12.1640625" bestFit="1" customWidth="1"/>
    <col min="3824" max="3824" width="9.1640625" bestFit="1" customWidth="1"/>
    <col min="3825" max="3825" width="12.1640625" bestFit="1" customWidth="1"/>
    <col min="3826" max="3826" width="9.1640625" bestFit="1" customWidth="1"/>
    <col min="3827" max="3829" width="12.1640625" bestFit="1" customWidth="1"/>
    <col min="3830" max="3830" width="7.1640625" bestFit="1" customWidth="1"/>
    <col min="3831" max="3831" width="12.1640625" bestFit="1" customWidth="1"/>
    <col min="3832" max="3832" width="7.1640625" bestFit="1" customWidth="1"/>
    <col min="3833" max="3833" width="12.1640625" bestFit="1" customWidth="1"/>
    <col min="3834" max="3834" width="9.1640625" bestFit="1" customWidth="1"/>
    <col min="3835" max="3835" width="12.1640625" bestFit="1" customWidth="1"/>
    <col min="3836" max="3836" width="11.1640625" bestFit="1" customWidth="1"/>
    <col min="3837" max="3840" width="12.1640625" bestFit="1" customWidth="1"/>
    <col min="3841" max="3841" width="11.1640625" bestFit="1" customWidth="1"/>
    <col min="3842" max="3844" width="12.1640625" bestFit="1" customWidth="1"/>
    <col min="3845" max="3845" width="11.1640625" bestFit="1" customWidth="1"/>
    <col min="3846" max="3847" width="12.1640625" bestFit="1" customWidth="1"/>
    <col min="3848" max="3848" width="9.1640625" bestFit="1" customWidth="1"/>
    <col min="3849" max="3849" width="10.1640625" bestFit="1" customWidth="1"/>
    <col min="3850" max="3853" width="12.1640625" bestFit="1" customWidth="1"/>
    <col min="3854" max="3854" width="10.1640625" bestFit="1" customWidth="1"/>
    <col min="3855" max="3855" width="9.1640625" bestFit="1" customWidth="1"/>
    <col min="3856" max="3856" width="12.1640625" bestFit="1" customWidth="1"/>
    <col min="3857" max="3857" width="10.1640625" bestFit="1" customWidth="1"/>
    <col min="3858" max="3865" width="12.1640625" bestFit="1" customWidth="1"/>
    <col min="3866" max="3866" width="9.1640625" bestFit="1" customWidth="1"/>
    <col min="3867" max="3868" width="12.1640625" bestFit="1" customWidth="1"/>
    <col min="3869" max="3869" width="10.1640625" bestFit="1" customWidth="1"/>
    <col min="3870" max="3871" width="12.1640625" bestFit="1" customWidth="1"/>
    <col min="3872" max="3872" width="8.1640625" bestFit="1" customWidth="1"/>
    <col min="3873" max="3873" width="12.1640625" bestFit="1" customWidth="1"/>
    <col min="3874" max="3874" width="9.1640625" bestFit="1" customWidth="1"/>
    <col min="3875" max="3878" width="12.1640625" bestFit="1" customWidth="1"/>
    <col min="3879" max="3880" width="9.1640625" bestFit="1" customWidth="1"/>
    <col min="3881" max="3883" width="12.1640625" bestFit="1" customWidth="1"/>
    <col min="3884" max="3884" width="8.1640625" bestFit="1" customWidth="1"/>
    <col min="3885" max="3889" width="12.1640625" bestFit="1" customWidth="1"/>
    <col min="3890" max="3890" width="9.1640625" bestFit="1" customWidth="1"/>
    <col min="3891" max="3893" width="12.1640625" bestFit="1" customWidth="1"/>
    <col min="3894" max="3894" width="7.1640625" bestFit="1" customWidth="1"/>
    <col min="3895" max="3897" width="9.1640625" bestFit="1" customWidth="1"/>
    <col min="3898" max="3899" width="12.1640625" bestFit="1" customWidth="1"/>
    <col min="3900" max="3900" width="10.1640625" bestFit="1" customWidth="1"/>
    <col min="3901" max="3901" width="9.1640625" bestFit="1" customWidth="1"/>
    <col min="3902" max="3902" width="12.1640625" bestFit="1" customWidth="1"/>
    <col min="3903" max="3903" width="8.1640625" bestFit="1" customWidth="1"/>
    <col min="3904" max="3905" width="12.1640625" bestFit="1" customWidth="1"/>
    <col min="3906" max="3906" width="10.1640625" bestFit="1" customWidth="1"/>
    <col min="3907" max="3907" width="12.1640625" bestFit="1" customWidth="1"/>
    <col min="3908" max="3908" width="10.1640625" bestFit="1" customWidth="1"/>
    <col min="3909" max="3912" width="12.1640625" bestFit="1" customWidth="1"/>
    <col min="3913" max="3913" width="7.1640625" bestFit="1" customWidth="1"/>
    <col min="3914" max="3914" width="9.1640625" bestFit="1" customWidth="1"/>
    <col min="3915" max="3921" width="12.1640625" bestFit="1" customWidth="1"/>
    <col min="3922" max="3922" width="10.1640625" bestFit="1" customWidth="1"/>
    <col min="3923" max="3927" width="12.1640625" bestFit="1" customWidth="1"/>
    <col min="3928" max="3928" width="8.1640625" bestFit="1" customWidth="1"/>
    <col min="3929" max="3929" width="11.1640625" bestFit="1" customWidth="1"/>
    <col min="3930" max="3930" width="12.1640625" bestFit="1" customWidth="1"/>
    <col min="3931" max="3932" width="8.1640625" bestFit="1" customWidth="1"/>
    <col min="3933" max="3933" width="10.1640625" bestFit="1" customWidth="1"/>
    <col min="3934" max="3941" width="12.1640625" bestFit="1" customWidth="1"/>
    <col min="3942" max="3942" width="8.1640625" bestFit="1" customWidth="1"/>
    <col min="3943" max="3943" width="11.1640625" bestFit="1" customWidth="1"/>
    <col min="3944" max="3944" width="12.1640625" bestFit="1" customWidth="1"/>
    <col min="3945" max="3945" width="8.1640625" bestFit="1" customWidth="1"/>
    <col min="3946" max="3946" width="10.1640625" bestFit="1" customWidth="1"/>
    <col min="3947" max="3947" width="12.1640625" bestFit="1" customWidth="1"/>
    <col min="3948" max="3949" width="11.1640625" bestFit="1" customWidth="1"/>
    <col min="3950" max="3951" width="12.6640625" bestFit="1" customWidth="1"/>
    <col min="3952" max="3953" width="12.1640625" bestFit="1" customWidth="1"/>
    <col min="3954" max="3954" width="7.1640625" bestFit="1" customWidth="1"/>
    <col min="3955" max="3957" width="12.1640625" bestFit="1" customWidth="1"/>
    <col min="3958" max="3959" width="11.1640625" bestFit="1" customWidth="1"/>
    <col min="3960" max="3960" width="12.6640625" bestFit="1" customWidth="1"/>
    <col min="3961" max="3961" width="7.1640625" bestFit="1" customWidth="1"/>
    <col min="3962" max="3962" width="12.1640625" bestFit="1" customWidth="1"/>
    <col min="3963" max="3963" width="9.1640625" bestFit="1" customWidth="1"/>
    <col min="3964" max="3966" width="12.1640625" bestFit="1" customWidth="1"/>
    <col min="3967" max="3967" width="11.1640625" bestFit="1" customWidth="1"/>
    <col min="3968" max="3971" width="12.1640625" bestFit="1" customWidth="1"/>
    <col min="3972" max="3972" width="10.1640625" bestFit="1" customWidth="1"/>
    <col min="3973" max="3974" width="12.1640625" bestFit="1" customWidth="1"/>
    <col min="3975" max="3975" width="7.1640625" bestFit="1" customWidth="1"/>
    <col min="3976" max="3977" width="12.1640625" bestFit="1" customWidth="1"/>
    <col min="3978" max="3978" width="7.1640625" bestFit="1" customWidth="1"/>
    <col min="3979" max="3979" width="12.6640625" bestFit="1" customWidth="1"/>
    <col min="3980" max="3980" width="9.1640625" bestFit="1" customWidth="1"/>
    <col min="3981" max="3981" width="12.1640625" bestFit="1" customWidth="1"/>
    <col min="3982" max="3982" width="11.1640625" bestFit="1" customWidth="1"/>
    <col min="3983" max="3983" width="10.1640625" bestFit="1" customWidth="1"/>
    <col min="3984" max="3984" width="9.1640625" bestFit="1" customWidth="1"/>
    <col min="3985" max="3985" width="7.1640625" bestFit="1" customWidth="1"/>
    <col min="3986" max="3987" width="12.1640625" bestFit="1" customWidth="1"/>
    <col min="3988" max="3988" width="10.1640625" bestFit="1" customWidth="1"/>
    <col min="3989" max="3989" width="12.1640625" bestFit="1" customWidth="1"/>
    <col min="3990" max="3990" width="9.1640625" bestFit="1" customWidth="1"/>
    <col min="3991" max="3991" width="12.1640625" bestFit="1" customWidth="1"/>
    <col min="3992" max="3992" width="9.1640625" bestFit="1" customWidth="1"/>
    <col min="3993" max="3993" width="11.1640625" bestFit="1" customWidth="1"/>
    <col min="3994" max="3998" width="12.1640625" bestFit="1" customWidth="1"/>
    <col min="3999" max="3999" width="9.1640625" bestFit="1" customWidth="1"/>
    <col min="4000" max="4000" width="10.1640625" bestFit="1" customWidth="1"/>
    <col min="4001" max="4001" width="8.1640625" bestFit="1" customWidth="1"/>
    <col min="4002" max="4006" width="12.1640625" bestFit="1" customWidth="1"/>
    <col min="4007" max="4007" width="11.1640625" bestFit="1" customWidth="1"/>
    <col min="4008" max="4008" width="9.1640625" bestFit="1" customWidth="1"/>
    <col min="4009" max="4011" width="12.1640625" bestFit="1" customWidth="1"/>
    <col min="4012" max="4012" width="9.1640625" bestFit="1" customWidth="1"/>
    <col min="4013" max="4013" width="12.1640625" bestFit="1" customWidth="1"/>
    <col min="4014" max="4014" width="9.1640625" bestFit="1" customWidth="1"/>
    <col min="4015" max="4017" width="12.1640625" bestFit="1" customWidth="1"/>
    <col min="4018" max="4018" width="7.1640625" bestFit="1" customWidth="1"/>
    <col min="4019" max="4019" width="12.1640625" bestFit="1" customWidth="1"/>
    <col min="4020" max="4020" width="7.1640625" bestFit="1" customWidth="1"/>
    <col min="4021" max="4021" width="12.1640625" bestFit="1" customWidth="1"/>
    <col min="4022" max="4022" width="9.1640625" bestFit="1" customWidth="1"/>
    <col min="4023" max="4023" width="12.1640625" bestFit="1" customWidth="1"/>
    <col min="4024" max="4024" width="11.1640625" bestFit="1" customWidth="1"/>
    <col min="4025" max="4028" width="12.1640625" bestFit="1" customWidth="1"/>
    <col min="4029" max="4029" width="11.1640625" bestFit="1" customWidth="1"/>
    <col min="4030" max="4032" width="12.1640625" bestFit="1" customWidth="1"/>
    <col min="4033" max="4033" width="11.1640625" bestFit="1" customWidth="1"/>
    <col min="4034" max="4035" width="12.1640625" bestFit="1" customWidth="1"/>
    <col min="4036" max="4037" width="9.1640625" bestFit="1" customWidth="1"/>
    <col min="4038" max="4041" width="12.1640625" bestFit="1" customWidth="1"/>
    <col min="4042" max="4042" width="10.1640625" bestFit="1" customWidth="1"/>
    <col min="4043" max="4043" width="9.1640625" bestFit="1" customWidth="1"/>
    <col min="4044" max="4044" width="12.1640625" bestFit="1" customWidth="1"/>
    <col min="4045" max="4045" width="10.1640625" bestFit="1" customWidth="1"/>
    <col min="4046" max="4053" width="12.1640625" bestFit="1" customWidth="1"/>
    <col min="4054" max="4054" width="9.1640625" bestFit="1" customWidth="1"/>
    <col min="4055" max="4056" width="12.1640625" bestFit="1" customWidth="1"/>
    <col min="4057" max="4057" width="10.1640625" bestFit="1" customWidth="1"/>
    <col min="4058" max="4059" width="12.1640625" bestFit="1" customWidth="1"/>
    <col min="4060" max="4060" width="9.1640625" bestFit="1" customWidth="1"/>
    <col min="4061" max="4061" width="12.1640625" bestFit="1" customWidth="1"/>
    <col min="4062" max="4062" width="9.1640625" bestFit="1" customWidth="1"/>
    <col min="4063" max="4066" width="12.1640625" bestFit="1" customWidth="1"/>
    <col min="4067" max="4068" width="9.1640625" bestFit="1" customWidth="1"/>
    <col min="4069" max="4071" width="12.1640625" bestFit="1" customWidth="1"/>
    <col min="4072" max="4072" width="8.1640625" bestFit="1" customWidth="1"/>
    <col min="4073" max="4077" width="12.1640625" bestFit="1" customWidth="1"/>
    <col min="4078" max="4078" width="9.1640625" bestFit="1" customWidth="1"/>
    <col min="4079" max="4081" width="12.1640625" bestFit="1" customWidth="1"/>
    <col min="4082" max="4082" width="7.1640625" bestFit="1" customWidth="1"/>
    <col min="4083" max="4083" width="9.1640625" bestFit="1" customWidth="1"/>
    <col min="4084" max="4084" width="10.1640625" bestFit="1" customWidth="1"/>
    <col min="4085" max="4085" width="7.6640625" bestFit="1" customWidth="1"/>
    <col min="4086" max="4087" width="12.1640625" bestFit="1" customWidth="1"/>
    <col min="4088" max="4088" width="10.1640625" bestFit="1" customWidth="1"/>
    <col min="4089" max="4089" width="9.1640625" bestFit="1" customWidth="1"/>
    <col min="4090" max="4090" width="12.1640625" bestFit="1" customWidth="1"/>
    <col min="4091" max="4091" width="8.1640625" bestFit="1" customWidth="1"/>
    <col min="4092" max="4093" width="12.1640625" bestFit="1" customWidth="1"/>
    <col min="4094" max="4094" width="10.1640625" bestFit="1" customWidth="1"/>
    <col min="4095" max="4095" width="12.1640625" bestFit="1" customWidth="1"/>
    <col min="4096" max="4096" width="10.1640625" bestFit="1" customWidth="1"/>
    <col min="4097" max="4100" width="12.1640625" bestFit="1" customWidth="1"/>
    <col min="4101" max="4101" width="7.1640625" bestFit="1" customWidth="1"/>
    <col min="4102" max="4102" width="9.1640625" bestFit="1" customWidth="1"/>
    <col min="4103" max="4109" width="12.1640625" bestFit="1" customWidth="1"/>
    <col min="4110" max="4110" width="10.1640625" bestFit="1" customWidth="1"/>
    <col min="4111" max="4115" width="12.1640625" bestFit="1" customWidth="1"/>
    <col min="4116" max="4116" width="8.1640625" bestFit="1" customWidth="1"/>
    <col min="4117" max="4117" width="11.1640625" bestFit="1" customWidth="1"/>
    <col min="4118" max="4118" width="12.1640625" bestFit="1" customWidth="1"/>
    <col min="4119" max="4120" width="8.1640625" bestFit="1" customWidth="1"/>
    <col min="4121" max="4121" width="9.1640625" bestFit="1" customWidth="1"/>
    <col min="4122" max="4129" width="12.1640625" bestFit="1" customWidth="1"/>
    <col min="4130" max="4130" width="10.1640625" bestFit="1" customWidth="1"/>
    <col min="4131" max="4131" width="11.1640625" bestFit="1" customWidth="1"/>
    <col min="4132" max="4132" width="12.1640625" bestFit="1" customWidth="1"/>
    <col min="4133" max="4133" width="8.1640625" bestFit="1" customWidth="1"/>
    <col min="4134" max="4134" width="10.1640625" bestFit="1" customWidth="1"/>
    <col min="4135" max="4135" width="12.1640625" bestFit="1" customWidth="1"/>
    <col min="4136" max="4137" width="11.1640625" bestFit="1" customWidth="1"/>
    <col min="4138" max="4139" width="12.6640625" bestFit="1" customWidth="1"/>
    <col min="4140" max="4141" width="12.1640625" bestFit="1" customWidth="1"/>
    <col min="4142" max="4142" width="7.1640625" bestFit="1" customWidth="1"/>
    <col min="4143" max="4145" width="12.1640625" bestFit="1" customWidth="1"/>
    <col min="4146" max="4146" width="11.1640625" bestFit="1" customWidth="1"/>
    <col min="4147" max="4148" width="12.6640625" bestFit="1" customWidth="1"/>
    <col min="4149" max="4149" width="7.1640625" bestFit="1" customWidth="1"/>
    <col min="4150" max="4150" width="12.1640625" bestFit="1" customWidth="1"/>
    <col min="4151" max="4151" width="9.1640625" bestFit="1" customWidth="1"/>
    <col min="4152" max="4154" width="12.1640625" bestFit="1" customWidth="1"/>
    <col min="4155" max="4155" width="11.1640625" bestFit="1" customWidth="1"/>
    <col min="4156" max="4159" width="12.1640625" bestFit="1" customWidth="1"/>
    <col min="4160" max="4160" width="9.1640625" bestFit="1" customWidth="1"/>
    <col min="4161" max="4162" width="12.1640625" bestFit="1" customWidth="1"/>
    <col min="4163" max="4163" width="7.1640625" bestFit="1" customWidth="1"/>
    <col min="4164" max="4165" width="12.1640625" bestFit="1" customWidth="1"/>
    <col min="4166" max="4166" width="7.1640625" bestFit="1" customWidth="1"/>
    <col min="4167" max="4167" width="12.6640625" bestFit="1" customWidth="1"/>
    <col min="4168" max="4168" width="9.1640625" bestFit="1" customWidth="1"/>
    <col min="4169" max="4169" width="12.1640625" bestFit="1" customWidth="1"/>
    <col min="4170" max="4170" width="11.1640625" bestFit="1" customWidth="1"/>
    <col min="4171" max="4171" width="10.1640625" bestFit="1" customWidth="1"/>
    <col min="4172" max="4172" width="9.1640625" bestFit="1" customWidth="1"/>
    <col min="4173" max="4173" width="7.1640625" bestFit="1" customWidth="1"/>
    <col min="4174" max="4175" width="12.1640625" bestFit="1" customWidth="1"/>
    <col min="4176" max="4176" width="10.1640625" bestFit="1" customWidth="1"/>
    <col min="4177" max="4177" width="12.1640625" bestFit="1" customWidth="1"/>
    <col min="4178" max="4178" width="9.6640625" bestFit="1" customWidth="1"/>
    <col min="4179" max="4179" width="12.1640625" bestFit="1" customWidth="1"/>
    <col min="4180" max="4180" width="9.1640625" bestFit="1" customWidth="1"/>
    <col min="4181" max="4181" width="11.1640625" bestFit="1" customWidth="1"/>
    <col min="4182" max="4186" width="12.1640625" bestFit="1" customWidth="1"/>
    <col min="4187" max="4187" width="9.1640625" bestFit="1" customWidth="1"/>
    <col min="4188" max="4189" width="10.1640625" bestFit="1" customWidth="1"/>
    <col min="4190" max="4194" width="12.1640625" bestFit="1" customWidth="1"/>
    <col min="4195" max="4195" width="11.1640625" bestFit="1" customWidth="1"/>
    <col min="4196" max="4196" width="10.1640625" bestFit="1" customWidth="1"/>
    <col min="4197" max="4199" width="12.1640625" bestFit="1" customWidth="1"/>
    <col min="4200" max="4200" width="9.1640625" bestFit="1" customWidth="1"/>
    <col min="4201" max="4201" width="12.1640625" bestFit="1" customWidth="1"/>
    <col min="4202" max="4202" width="9.1640625" bestFit="1" customWidth="1"/>
    <col min="4203" max="4205" width="12.1640625" bestFit="1" customWidth="1"/>
    <col min="4206" max="4206" width="7.1640625" bestFit="1" customWidth="1"/>
    <col min="4207" max="4207" width="12.1640625" bestFit="1" customWidth="1"/>
    <col min="4208" max="4208" width="7.1640625" bestFit="1" customWidth="1"/>
    <col min="4209" max="4209" width="12.1640625" bestFit="1" customWidth="1"/>
    <col min="4210" max="4210" width="9.1640625" bestFit="1" customWidth="1"/>
    <col min="4211" max="4211" width="12.1640625" bestFit="1" customWidth="1"/>
    <col min="4212" max="4212" width="11.1640625" bestFit="1" customWidth="1"/>
    <col min="4213" max="4216" width="12.1640625" bestFit="1" customWidth="1"/>
    <col min="4217" max="4217" width="11.1640625" bestFit="1" customWidth="1"/>
    <col min="4218" max="4220" width="12.1640625" bestFit="1" customWidth="1"/>
    <col min="4221" max="4221" width="11.1640625" bestFit="1" customWidth="1"/>
    <col min="4222" max="4223" width="12.1640625" bestFit="1" customWidth="1"/>
    <col min="4224" max="4224" width="10.6640625" bestFit="1" customWidth="1"/>
    <col min="4225" max="4225" width="9.1640625" bestFit="1" customWidth="1"/>
    <col min="4226" max="4229" width="12.1640625" bestFit="1" customWidth="1"/>
    <col min="4230" max="4230" width="10.1640625" bestFit="1" customWidth="1"/>
    <col min="4231" max="4231" width="9.1640625" bestFit="1" customWidth="1"/>
    <col min="4232" max="4232" width="12.1640625" bestFit="1" customWidth="1"/>
    <col min="4233" max="4233" width="10.1640625" bestFit="1" customWidth="1"/>
    <col min="4234" max="4241" width="12.1640625" bestFit="1" customWidth="1"/>
    <col min="4242" max="4242" width="9.1640625" bestFit="1" customWidth="1"/>
    <col min="4243" max="4244" width="12.1640625" bestFit="1" customWidth="1"/>
    <col min="4245" max="4245" width="10.1640625" bestFit="1" customWidth="1"/>
    <col min="4246" max="4247" width="12.1640625" bestFit="1" customWidth="1"/>
    <col min="4248" max="4248" width="8.1640625" bestFit="1" customWidth="1"/>
    <col min="4249" max="4249" width="12.1640625" bestFit="1" customWidth="1"/>
    <col min="4250" max="4250" width="10.1640625" bestFit="1" customWidth="1"/>
    <col min="4251" max="4254" width="12.1640625" bestFit="1" customWidth="1"/>
    <col min="4255" max="4256" width="9.1640625" bestFit="1" customWidth="1"/>
    <col min="4257" max="4259" width="12.1640625" bestFit="1" customWidth="1"/>
    <col min="4260" max="4260" width="8.1640625" bestFit="1" customWidth="1"/>
    <col min="4261" max="4265" width="12.1640625" bestFit="1" customWidth="1"/>
    <col min="4266" max="4266" width="9.1640625" bestFit="1" customWidth="1"/>
    <col min="4267" max="4269" width="12.1640625" bestFit="1" customWidth="1"/>
    <col min="4270" max="4270" width="7.6640625" bestFit="1" customWidth="1"/>
    <col min="4271" max="4272" width="9.1640625" bestFit="1" customWidth="1"/>
    <col min="4273" max="4273" width="7.1640625" bestFit="1" customWidth="1"/>
    <col min="4274" max="4275" width="12.1640625" bestFit="1" customWidth="1"/>
    <col min="4276" max="4276" width="10.1640625" bestFit="1" customWidth="1"/>
    <col min="4277" max="4277" width="9.1640625" bestFit="1" customWidth="1"/>
    <col min="4278" max="4278" width="12.1640625" bestFit="1" customWidth="1"/>
    <col min="4279" max="4279" width="8.1640625" bestFit="1" customWidth="1"/>
    <col min="4280" max="4281" width="12.1640625" bestFit="1" customWidth="1"/>
    <col min="4282" max="4282" width="10.1640625" bestFit="1" customWidth="1"/>
    <col min="4283" max="4283" width="12.1640625" bestFit="1" customWidth="1"/>
    <col min="4284" max="4284" width="10.1640625" bestFit="1" customWidth="1"/>
    <col min="4285" max="4288" width="12.1640625" bestFit="1" customWidth="1"/>
    <col min="4289" max="4289" width="7.1640625" bestFit="1" customWidth="1"/>
    <col min="4290" max="4290" width="9.1640625" bestFit="1" customWidth="1"/>
    <col min="4291" max="4297" width="12.1640625" bestFit="1" customWidth="1"/>
    <col min="4298" max="4298" width="10.1640625" bestFit="1" customWidth="1"/>
    <col min="4299" max="4303" width="12.1640625" bestFit="1" customWidth="1"/>
    <col min="4304" max="4304" width="8.1640625" bestFit="1" customWidth="1"/>
    <col min="4305" max="4305" width="11.1640625" bestFit="1" customWidth="1"/>
    <col min="4306" max="4306" width="12.1640625" bestFit="1" customWidth="1"/>
    <col min="4307" max="4308" width="8.1640625" bestFit="1" customWidth="1"/>
    <col min="4309" max="4309" width="9.1640625" bestFit="1" customWidth="1"/>
    <col min="4310" max="4317" width="12.1640625" bestFit="1" customWidth="1"/>
    <col min="4318" max="4318" width="10.1640625" bestFit="1" customWidth="1"/>
    <col min="4319" max="4319" width="11.1640625" bestFit="1" customWidth="1"/>
    <col min="4320" max="4320" width="12.1640625" bestFit="1" customWidth="1"/>
    <col min="4321" max="4321" width="8.1640625" bestFit="1" customWidth="1"/>
    <col min="4322" max="4322" width="10.1640625" bestFit="1" customWidth="1"/>
    <col min="4323" max="4323" width="12.1640625" bestFit="1" customWidth="1"/>
    <col min="4324" max="4325" width="11.1640625" bestFit="1" customWidth="1"/>
    <col min="4326" max="4327" width="12.6640625" bestFit="1" customWidth="1"/>
    <col min="4328" max="4329" width="12.1640625" bestFit="1" customWidth="1"/>
    <col min="4330" max="4330" width="7.1640625" bestFit="1" customWidth="1"/>
    <col min="4331" max="4333" width="12.1640625" bestFit="1" customWidth="1"/>
    <col min="4334" max="4334" width="11.1640625" bestFit="1" customWidth="1"/>
    <col min="4335" max="4336" width="12.6640625" bestFit="1" customWidth="1"/>
    <col min="4337" max="4337" width="7.1640625" bestFit="1" customWidth="1"/>
    <col min="4338" max="4338" width="12.1640625" bestFit="1" customWidth="1"/>
    <col min="4339" max="4339" width="9.1640625" bestFit="1" customWidth="1"/>
    <col min="4340" max="4342" width="12.1640625" bestFit="1" customWidth="1"/>
    <col min="4343" max="4343" width="11.1640625" bestFit="1" customWidth="1"/>
    <col min="4344" max="4347" width="12.1640625" bestFit="1" customWidth="1"/>
    <col min="4348" max="4348" width="9.1640625" bestFit="1" customWidth="1"/>
    <col min="4349" max="4350" width="12.1640625" bestFit="1" customWidth="1"/>
    <col min="4351" max="4351" width="7.1640625" bestFit="1" customWidth="1"/>
    <col min="4352" max="4353" width="12.1640625" bestFit="1" customWidth="1"/>
    <col min="4354" max="4354" width="7.1640625" bestFit="1" customWidth="1"/>
    <col min="4355" max="4355" width="12.6640625" bestFit="1" customWidth="1"/>
    <col min="4356" max="4356" width="9.1640625" bestFit="1" customWidth="1"/>
    <col min="4357" max="4357" width="12.1640625" bestFit="1" customWidth="1"/>
    <col min="4358" max="4358" width="11.1640625" bestFit="1" customWidth="1"/>
    <col min="4359" max="4359" width="10.1640625" bestFit="1" customWidth="1"/>
    <col min="4360" max="4360" width="9.1640625" bestFit="1" customWidth="1"/>
    <col min="4361" max="4361" width="7.6640625" bestFit="1" customWidth="1"/>
    <col min="4362" max="4363" width="12.1640625" bestFit="1" customWidth="1"/>
    <col min="4364" max="4364" width="10.1640625" bestFit="1" customWidth="1"/>
    <col min="4365" max="4365" width="12.1640625" bestFit="1" customWidth="1"/>
    <col min="4366" max="4366" width="9.1640625" bestFit="1" customWidth="1"/>
    <col min="4367" max="4367" width="12.1640625" bestFit="1" customWidth="1"/>
    <col min="4368" max="4368" width="9.1640625" bestFit="1" customWidth="1"/>
    <col min="4369" max="4369" width="11.1640625" bestFit="1" customWidth="1"/>
    <col min="4370" max="4374" width="12.1640625" bestFit="1" customWidth="1"/>
    <col min="4375" max="4376" width="10.1640625" bestFit="1" customWidth="1"/>
    <col min="4377" max="4377" width="9.1640625" bestFit="1" customWidth="1"/>
    <col min="4378" max="4382" width="12.1640625" bestFit="1" customWidth="1"/>
    <col min="4383" max="4383" width="11.1640625" bestFit="1" customWidth="1"/>
    <col min="4384" max="4384" width="9.1640625" bestFit="1" customWidth="1"/>
    <col min="4385" max="4387" width="12.1640625" bestFit="1" customWidth="1"/>
    <col min="4388" max="4388" width="9.1640625" bestFit="1" customWidth="1"/>
    <col min="4389" max="4389" width="12.1640625" bestFit="1" customWidth="1"/>
    <col min="4390" max="4390" width="9.1640625" bestFit="1" customWidth="1"/>
    <col min="4391" max="4393" width="12.1640625" bestFit="1" customWidth="1"/>
    <col min="4394" max="4394" width="7.6640625" bestFit="1" customWidth="1"/>
    <col min="4395" max="4395" width="12.1640625" bestFit="1" customWidth="1"/>
    <col min="4396" max="4396" width="7.1640625" bestFit="1" customWidth="1"/>
    <col min="4397" max="4397" width="12.1640625" bestFit="1" customWidth="1"/>
    <col min="4398" max="4398" width="9.1640625" bestFit="1" customWidth="1"/>
    <col min="4399" max="4399" width="12.1640625" bestFit="1" customWidth="1"/>
    <col min="4400" max="4400" width="11.1640625" bestFit="1" customWidth="1"/>
    <col min="4401" max="4404" width="12.1640625" bestFit="1" customWidth="1"/>
    <col min="4405" max="4405" width="11.1640625" bestFit="1" customWidth="1"/>
    <col min="4406" max="4408" width="12.1640625" bestFit="1" customWidth="1"/>
    <col min="4409" max="4409" width="11.1640625" bestFit="1" customWidth="1"/>
    <col min="4410" max="4411" width="12.1640625" bestFit="1" customWidth="1"/>
    <col min="4412" max="4412" width="10.1640625" bestFit="1" customWidth="1"/>
    <col min="4413" max="4413" width="9.1640625" bestFit="1" customWidth="1"/>
    <col min="4414" max="4417" width="12.1640625" bestFit="1" customWidth="1"/>
    <col min="4418" max="4419" width="10.1640625" bestFit="1" customWidth="1"/>
    <col min="4420" max="4420" width="12.1640625" bestFit="1" customWidth="1"/>
    <col min="4421" max="4421" width="10.1640625" bestFit="1" customWidth="1"/>
    <col min="4422" max="4429" width="12.1640625" bestFit="1" customWidth="1"/>
    <col min="4430" max="4430" width="9.1640625" bestFit="1" customWidth="1"/>
    <col min="4431" max="4432" width="12.1640625" bestFit="1" customWidth="1"/>
    <col min="4433" max="4433" width="10.1640625" bestFit="1" customWidth="1"/>
    <col min="4434" max="4435" width="12.1640625" bestFit="1" customWidth="1"/>
    <col min="4436" max="4436" width="8.1640625" bestFit="1" customWidth="1"/>
    <col min="4437" max="4437" width="12.1640625" bestFit="1" customWidth="1"/>
    <col min="4438" max="4438" width="9.1640625" bestFit="1" customWidth="1"/>
    <col min="4439" max="4442" width="12.1640625" bestFit="1" customWidth="1"/>
    <col min="4443" max="4443" width="9.1640625" bestFit="1" customWidth="1"/>
    <col min="4444" max="4444" width="10.1640625" bestFit="1" customWidth="1"/>
    <col min="4445" max="4447" width="12.1640625" bestFit="1" customWidth="1"/>
    <col min="4448" max="4448" width="8.1640625" bestFit="1" customWidth="1"/>
    <col min="4449" max="4453" width="12.1640625" bestFit="1" customWidth="1"/>
    <col min="4454" max="4454" width="9.1640625" bestFit="1" customWidth="1"/>
    <col min="4455" max="4457" width="12.1640625" bestFit="1" customWidth="1"/>
    <col min="4458" max="4458" width="7.6640625" bestFit="1" customWidth="1"/>
    <col min="4459" max="4461" width="9.1640625" bestFit="1" customWidth="1"/>
    <col min="4462" max="4463" width="12.1640625" bestFit="1" customWidth="1"/>
    <col min="4464" max="4465" width="10.1640625" bestFit="1" customWidth="1"/>
    <col min="4466" max="4466" width="12.1640625" bestFit="1" customWidth="1"/>
    <col min="4467" max="4467" width="9.1640625" bestFit="1" customWidth="1"/>
    <col min="4468" max="4469" width="12.1640625" bestFit="1" customWidth="1"/>
    <col min="4470" max="4470" width="10.1640625" bestFit="1" customWidth="1"/>
    <col min="4471" max="4471" width="12.1640625" bestFit="1" customWidth="1"/>
    <col min="4472" max="4472" width="10.1640625" bestFit="1" customWidth="1"/>
    <col min="4473" max="4476" width="12.1640625" bestFit="1" customWidth="1"/>
    <col min="4477" max="4477" width="7.1640625" bestFit="1" customWidth="1"/>
    <col min="4478" max="4478" width="9.1640625" bestFit="1" customWidth="1"/>
    <col min="4479" max="4485" width="12.1640625" bestFit="1" customWidth="1"/>
    <col min="4486" max="4486" width="10.1640625" bestFit="1" customWidth="1"/>
    <col min="4487" max="4491" width="12.1640625" bestFit="1" customWidth="1"/>
    <col min="4492" max="4492" width="8.1640625" bestFit="1" customWidth="1"/>
    <col min="4493" max="4493" width="11.1640625" bestFit="1" customWidth="1"/>
    <col min="4494" max="4494" width="12.1640625" bestFit="1" customWidth="1"/>
    <col min="4495" max="4495" width="8.1640625" bestFit="1" customWidth="1"/>
    <col min="4496" max="4497" width="9.1640625" bestFit="1" customWidth="1"/>
    <col min="4498" max="4505" width="12.1640625" bestFit="1" customWidth="1"/>
    <col min="4506" max="4506" width="8.1640625" bestFit="1" customWidth="1"/>
    <col min="4507" max="4507" width="11.1640625" bestFit="1" customWidth="1"/>
    <col min="4508" max="4508" width="12.1640625" bestFit="1" customWidth="1"/>
    <col min="4509" max="4509" width="8.1640625" bestFit="1" customWidth="1"/>
    <col min="4510" max="4510" width="10.1640625" bestFit="1" customWidth="1"/>
    <col min="4511" max="4511" width="12.1640625" bestFit="1" customWidth="1"/>
    <col min="4512" max="4513" width="11.1640625" bestFit="1" customWidth="1"/>
    <col min="4514" max="4515" width="12.6640625" bestFit="1" customWidth="1"/>
    <col min="4516" max="4516" width="13.1640625" bestFit="1" customWidth="1"/>
    <col min="4517" max="4517" width="12.1640625" bestFit="1" customWidth="1"/>
    <col min="4518" max="4518" width="10.1640625" bestFit="1" customWidth="1"/>
    <col min="4519" max="4521" width="12.1640625" bestFit="1" customWidth="1"/>
    <col min="4522" max="4522" width="11.1640625" bestFit="1" customWidth="1"/>
    <col min="4523" max="4523" width="13.1640625" bestFit="1" customWidth="1"/>
    <col min="4524" max="4524" width="12.6640625" bestFit="1" customWidth="1"/>
    <col min="4525" max="4525" width="10.1640625" bestFit="1" customWidth="1"/>
    <col min="4526" max="4526" width="12.1640625" bestFit="1" customWidth="1"/>
    <col min="4527" max="4527" width="9.1640625" bestFit="1" customWidth="1"/>
    <col min="4528" max="4530" width="12.1640625" bestFit="1" customWidth="1"/>
    <col min="4531" max="4531" width="11.1640625" bestFit="1" customWidth="1"/>
    <col min="4532" max="4535" width="12.1640625" bestFit="1" customWidth="1"/>
    <col min="4536" max="4536" width="9.1640625" bestFit="1" customWidth="1"/>
    <col min="4537" max="4538" width="12.1640625" bestFit="1" customWidth="1"/>
    <col min="4539" max="4539" width="7.1640625" bestFit="1" customWidth="1"/>
    <col min="4540" max="4541" width="12.1640625" bestFit="1" customWidth="1"/>
    <col min="4542" max="4542" width="7.6640625" bestFit="1" customWidth="1"/>
    <col min="4543" max="4543" width="12.1640625" bestFit="1" customWidth="1"/>
    <col min="4544" max="4544" width="10.1640625" bestFit="1" customWidth="1"/>
    <col min="4545" max="4545" width="12.1640625" bestFit="1" customWidth="1"/>
    <col min="4546" max="4546" width="11.1640625" bestFit="1" customWidth="1"/>
    <col min="4547" max="4548" width="10.1640625" bestFit="1" customWidth="1"/>
    <col min="4549" max="4549" width="7.1640625" bestFit="1" customWidth="1"/>
    <col min="4550" max="4551" width="12.1640625" bestFit="1" customWidth="1"/>
    <col min="4552" max="4552" width="10.1640625" bestFit="1" customWidth="1"/>
    <col min="4553" max="4553" width="12.1640625" bestFit="1" customWidth="1"/>
    <col min="4554" max="4554" width="10.1640625" bestFit="1" customWidth="1"/>
    <col min="4555" max="4555" width="12.1640625" bestFit="1" customWidth="1"/>
    <col min="4556" max="4556" width="9.1640625" bestFit="1" customWidth="1"/>
    <col min="4557" max="4557" width="11.1640625" bestFit="1" customWidth="1"/>
    <col min="4558" max="4562" width="12.1640625" bestFit="1" customWidth="1"/>
    <col min="4563" max="4563" width="9.1640625" bestFit="1" customWidth="1"/>
    <col min="4564" max="4564" width="10.1640625" bestFit="1" customWidth="1"/>
    <col min="4565" max="4565" width="8.1640625" bestFit="1" customWidth="1"/>
    <col min="4566" max="4570" width="12.1640625" bestFit="1" customWidth="1"/>
    <col min="4571" max="4571" width="11.1640625" bestFit="1" customWidth="1"/>
    <col min="4572" max="4572" width="9.1640625" bestFit="1" customWidth="1"/>
    <col min="4573" max="4575" width="12.1640625" bestFit="1" customWidth="1"/>
    <col min="4576" max="4576" width="9.1640625" bestFit="1" customWidth="1"/>
    <col min="4577" max="4577" width="12.1640625" bestFit="1" customWidth="1"/>
    <col min="4578" max="4578" width="9.1640625" bestFit="1" customWidth="1"/>
    <col min="4579" max="4581" width="12.1640625" bestFit="1" customWidth="1"/>
    <col min="4582" max="4582" width="9.1640625" bestFit="1" customWidth="1"/>
    <col min="4583" max="4583" width="12.1640625" bestFit="1" customWidth="1"/>
    <col min="4584" max="4584" width="7.1640625" bestFit="1" customWidth="1"/>
    <col min="4585" max="4585" width="12.1640625" bestFit="1" customWidth="1"/>
    <col min="4586" max="4586" width="9.1640625" bestFit="1" customWidth="1"/>
    <col min="4587" max="4587" width="12.1640625" bestFit="1" customWidth="1"/>
    <col min="4588" max="4588" width="11.1640625" bestFit="1" customWidth="1"/>
    <col min="4589" max="4592" width="12.1640625" bestFit="1" customWidth="1"/>
    <col min="4593" max="4593" width="11.1640625" bestFit="1" customWidth="1"/>
    <col min="4594" max="4596" width="12.1640625" bestFit="1" customWidth="1"/>
    <col min="4597" max="4597" width="11.1640625" bestFit="1" customWidth="1"/>
    <col min="4598" max="4599" width="12.1640625" bestFit="1" customWidth="1"/>
    <col min="4600" max="4601" width="9.1640625" bestFit="1" customWidth="1"/>
    <col min="4602" max="4605" width="12.1640625" bestFit="1" customWidth="1"/>
    <col min="4606" max="4606" width="10.1640625" bestFit="1" customWidth="1"/>
    <col min="4607" max="4607" width="9.1640625" bestFit="1" customWidth="1"/>
    <col min="4608" max="4608" width="12.1640625" bestFit="1" customWidth="1"/>
    <col min="4609" max="4609" width="10.1640625" bestFit="1" customWidth="1"/>
    <col min="4610" max="4617" width="12.1640625" bestFit="1" customWidth="1"/>
    <col min="4618" max="4618" width="7.1640625" bestFit="1" customWidth="1"/>
    <col min="4619" max="4620" width="12.1640625" bestFit="1" customWidth="1"/>
    <col min="4621" max="4621" width="10.1640625" bestFit="1" customWidth="1"/>
    <col min="4622" max="4623" width="12.1640625" bestFit="1" customWidth="1"/>
    <col min="4624" max="4624" width="8.1640625" bestFit="1" customWidth="1"/>
    <col min="4625" max="4625" width="12.1640625" bestFit="1" customWidth="1"/>
    <col min="4626" max="4626" width="8.1640625" bestFit="1" customWidth="1"/>
    <col min="4627" max="4630" width="12.1640625" bestFit="1" customWidth="1"/>
    <col min="4631" max="4632" width="9.1640625" bestFit="1" customWidth="1"/>
    <col min="4633" max="4635" width="12.1640625" bestFit="1" customWidth="1"/>
    <col min="4636" max="4636" width="9.1640625" bestFit="1" customWidth="1"/>
    <col min="4637" max="4641" width="12.1640625" bestFit="1" customWidth="1"/>
    <col min="4642" max="4642" width="9.1640625" bestFit="1" customWidth="1"/>
    <col min="4643" max="4645" width="12.1640625" bestFit="1" customWidth="1"/>
    <col min="4646" max="4646" width="7.1640625" bestFit="1" customWidth="1"/>
    <col min="4647" max="4649" width="9.1640625" bestFit="1" customWidth="1"/>
    <col min="4650" max="4651" width="12.1640625" bestFit="1" customWidth="1"/>
    <col min="4652" max="4652" width="10.1640625" bestFit="1" customWidth="1"/>
    <col min="4653" max="4653" width="9.1640625" bestFit="1" customWidth="1"/>
    <col min="4654" max="4654" width="12.1640625" bestFit="1" customWidth="1"/>
    <col min="4655" max="4655" width="8.1640625" bestFit="1" customWidth="1"/>
    <col min="4656" max="4657" width="12.1640625" bestFit="1" customWidth="1"/>
    <col min="4658" max="4658" width="10.1640625" bestFit="1" customWidth="1"/>
    <col min="4659" max="4659" width="12.1640625" bestFit="1" customWidth="1"/>
    <col min="4660" max="4660" width="10.1640625" bestFit="1" customWidth="1"/>
    <col min="4661" max="4664" width="12.1640625" bestFit="1" customWidth="1"/>
    <col min="4665" max="4665" width="9.1640625" bestFit="1" customWidth="1"/>
    <col min="4666" max="4666" width="10.1640625" bestFit="1" customWidth="1"/>
    <col min="4667" max="4673" width="12.1640625" bestFit="1" customWidth="1"/>
    <col min="4674" max="4674" width="10.1640625" bestFit="1" customWidth="1"/>
    <col min="4675" max="4679" width="12.1640625" bestFit="1" customWidth="1"/>
    <col min="4680" max="4680" width="9.1640625" bestFit="1" customWidth="1"/>
    <col min="4681" max="4681" width="11.1640625" bestFit="1" customWidth="1"/>
    <col min="4682" max="4682" width="12.1640625" bestFit="1" customWidth="1"/>
    <col min="4683" max="4684" width="8.1640625" bestFit="1" customWidth="1"/>
    <col min="4685" max="4685" width="10.1640625" bestFit="1" customWidth="1"/>
    <col min="4686" max="4693" width="12.1640625" bestFit="1" customWidth="1"/>
    <col min="4694" max="4694" width="8.1640625" bestFit="1" customWidth="1"/>
    <col min="4695" max="4695" width="11.1640625" bestFit="1" customWidth="1"/>
    <col min="4696" max="4696" width="12.1640625" bestFit="1" customWidth="1"/>
    <col min="4697" max="4697" width="8.1640625" bestFit="1" customWidth="1"/>
    <col min="4698" max="4698" width="10.1640625" bestFit="1" customWidth="1"/>
    <col min="4699" max="4699" width="12.1640625" bestFit="1" customWidth="1"/>
    <col min="4700" max="4701" width="11.1640625" bestFit="1" customWidth="1"/>
    <col min="4702" max="4703" width="12.6640625" bestFit="1" customWidth="1"/>
    <col min="4704" max="4705" width="12.1640625" bestFit="1" customWidth="1"/>
    <col min="4706" max="4706" width="7.1640625" bestFit="1" customWidth="1"/>
    <col min="4707" max="4707" width="12.6640625" bestFit="1" customWidth="1"/>
    <col min="4708" max="4709" width="12.1640625" bestFit="1" customWidth="1"/>
    <col min="4710" max="4711" width="11.1640625" bestFit="1" customWidth="1"/>
    <col min="4712" max="4712" width="12.6640625" bestFit="1" customWidth="1"/>
    <col min="4713" max="4713" width="7.1640625" bestFit="1" customWidth="1"/>
    <col min="4714" max="4714" width="12.1640625" bestFit="1" customWidth="1"/>
    <col min="4715" max="4715" width="9.1640625" bestFit="1" customWidth="1"/>
    <col min="4716" max="4718" width="12.1640625" bestFit="1" customWidth="1"/>
    <col min="4719" max="4719" width="11.1640625" bestFit="1" customWidth="1"/>
    <col min="4720" max="4723" width="12.1640625" bestFit="1" customWidth="1"/>
    <col min="4724" max="4724" width="9.1640625" bestFit="1" customWidth="1"/>
    <col min="4725" max="4726" width="12.1640625" bestFit="1" customWidth="1"/>
    <col min="4727" max="4727" width="7.1640625" bestFit="1" customWidth="1"/>
    <col min="4728" max="4729" width="12.1640625" bestFit="1" customWidth="1"/>
    <col min="4730" max="4730" width="7.6640625" bestFit="1" customWidth="1"/>
    <col min="4731" max="4731" width="12.1640625" bestFit="1" customWidth="1"/>
    <col min="4732" max="4732" width="9.1640625" bestFit="1" customWidth="1"/>
    <col min="4733" max="4733" width="12.1640625" bestFit="1" customWidth="1"/>
    <col min="4734" max="4734" width="11.1640625" bestFit="1" customWidth="1"/>
    <col min="4735" max="4735" width="10.1640625" bestFit="1" customWidth="1"/>
    <col min="4736" max="4736" width="9.1640625" bestFit="1" customWidth="1"/>
    <col min="4737" max="4737" width="7.1640625" bestFit="1" customWidth="1"/>
    <col min="4738" max="4739" width="12.1640625" bestFit="1" customWidth="1"/>
    <col min="4740" max="4740" width="10.1640625" bestFit="1" customWidth="1"/>
    <col min="4741" max="4741" width="12.1640625" bestFit="1" customWidth="1"/>
    <col min="4742" max="4742" width="9.1640625" bestFit="1" customWidth="1"/>
    <col min="4743" max="4743" width="12.1640625" bestFit="1" customWidth="1"/>
    <col min="4744" max="4744" width="9.1640625" bestFit="1" customWidth="1"/>
    <col min="4745" max="4745" width="11.1640625" bestFit="1" customWidth="1"/>
    <col min="4746" max="4750" width="12.1640625" bestFit="1" customWidth="1"/>
    <col min="4751" max="4751" width="9.1640625" bestFit="1" customWidth="1"/>
    <col min="4752" max="4752" width="10.1640625" bestFit="1" customWidth="1"/>
    <col min="4753" max="4753" width="8.1640625" bestFit="1" customWidth="1"/>
    <col min="4754" max="4758" width="12.1640625" bestFit="1" customWidth="1"/>
    <col min="4759" max="4759" width="11.1640625" bestFit="1" customWidth="1"/>
    <col min="4760" max="4760" width="9.1640625" bestFit="1" customWidth="1"/>
    <col min="4761" max="4763" width="12.1640625" bestFit="1" customWidth="1"/>
    <col min="4764" max="4764" width="9.1640625" bestFit="1" customWidth="1"/>
    <col min="4765" max="4765" width="12.1640625" bestFit="1" customWidth="1"/>
    <col min="4766" max="4766" width="9.1640625" bestFit="1" customWidth="1"/>
    <col min="4767" max="4769" width="12.1640625" bestFit="1" customWidth="1"/>
    <col min="4770" max="4770" width="7.1640625" bestFit="1" customWidth="1"/>
    <col min="4771" max="4771" width="12.1640625" bestFit="1" customWidth="1"/>
    <col min="4772" max="4772" width="10.1640625" bestFit="1" customWidth="1"/>
    <col min="4773" max="4773" width="12.1640625" bestFit="1" customWidth="1"/>
    <col min="4774" max="4774" width="9.1640625" bestFit="1" customWidth="1"/>
    <col min="4775" max="4775" width="12.1640625" bestFit="1" customWidth="1"/>
    <col min="4776" max="4776" width="11.1640625" bestFit="1" customWidth="1"/>
    <col min="4777" max="4780" width="12.1640625" bestFit="1" customWidth="1"/>
    <col min="4781" max="4781" width="11.1640625" bestFit="1" customWidth="1"/>
    <col min="4782" max="4784" width="12.1640625" bestFit="1" customWidth="1"/>
    <col min="4785" max="4785" width="11.1640625" bestFit="1" customWidth="1"/>
    <col min="4786" max="4787" width="12.1640625" bestFit="1" customWidth="1"/>
    <col min="4788" max="4788" width="10.1640625" bestFit="1" customWidth="1"/>
    <col min="4789" max="4789" width="9.1640625" bestFit="1" customWidth="1"/>
    <col min="4790" max="4793" width="12.1640625" bestFit="1" customWidth="1"/>
    <col min="4794" max="4794" width="10.1640625" bestFit="1" customWidth="1"/>
    <col min="4795" max="4795" width="9.1640625" bestFit="1" customWidth="1"/>
    <col min="4796" max="4796" width="12.1640625" bestFit="1" customWidth="1"/>
    <col min="4797" max="4797" width="10.1640625" bestFit="1" customWidth="1"/>
    <col min="4798" max="4805" width="12.1640625" bestFit="1" customWidth="1"/>
    <col min="4806" max="4806" width="9.1640625" bestFit="1" customWidth="1"/>
    <col min="4807" max="4808" width="12.1640625" bestFit="1" customWidth="1"/>
    <col min="4809" max="4809" width="10.1640625" bestFit="1" customWidth="1"/>
    <col min="4810" max="4811" width="12.1640625" bestFit="1" customWidth="1"/>
    <col min="4812" max="4812" width="8.1640625" bestFit="1" customWidth="1"/>
    <col min="4813" max="4813" width="12.1640625" bestFit="1" customWidth="1"/>
    <col min="4814" max="4814" width="9.1640625" bestFit="1" customWidth="1"/>
    <col min="4815" max="4818" width="12.1640625" bestFit="1" customWidth="1"/>
    <col min="4819" max="4820" width="9.1640625" bestFit="1" customWidth="1"/>
    <col min="4821" max="4823" width="12.1640625" bestFit="1" customWidth="1"/>
    <col min="4824" max="4824" width="8.1640625" bestFit="1" customWidth="1"/>
    <col min="4825" max="4829" width="12.1640625" bestFit="1" customWidth="1"/>
    <col min="4830" max="4830" width="9.6640625" bestFit="1" customWidth="1"/>
    <col min="4831" max="4833" width="12.1640625" bestFit="1" customWidth="1"/>
    <col min="4834" max="4834" width="7.1640625" bestFit="1" customWidth="1"/>
    <col min="4835" max="4836" width="9.1640625" bestFit="1" customWidth="1"/>
    <col min="4837" max="4837" width="7.1640625" bestFit="1" customWidth="1"/>
    <col min="4838" max="4839" width="12.1640625" bestFit="1" customWidth="1"/>
    <col min="4840" max="4840" width="10.1640625" bestFit="1" customWidth="1"/>
    <col min="4841" max="4841" width="9.1640625" bestFit="1" customWidth="1"/>
    <col min="4842" max="4842" width="12.1640625" bestFit="1" customWidth="1"/>
    <col min="4843" max="4843" width="8.1640625" bestFit="1" customWidth="1"/>
    <col min="4844" max="4845" width="12.1640625" bestFit="1" customWidth="1"/>
    <col min="4846" max="4846" width="10.1640625" bestFit="1" customWidth="1"/>
    <col min="4847" max="4847" width="12.1640625" bestFit="1" customWidth="1"/>
    <col min="4848" max="4848" width="10.1640625" bestFit="1" customWidth="1"/>
    <col min="4849" max="4852" width="12.1640625" bestFit="1" customWidth="1"/>
    <col min="4853" max="4853" width="7.1640625" bestFit="1" customWidth="1"/>
    <col min="4854" max="4854" width="9.1640625" bestFit="1" customWidth="1"/>
    <col min="4855" max="4861" width="12.1640625" bestFit="1" customWidth="1"/>
    <col min="4862" max="4862" width="10.1640625" bestFit="1" customWidth="1"/>
    <col min="4863" max="4867" width="12.1640625" bestFit="1" customWidth="1"/>
    <col min="4868" max="4868" width="8.1640625" bestFit="1" customWidth="1"/>
    <col min="4869" max="4869" width="11.1640625" bestFit="1" customWidth="1"/>
    <col min="4870" max="4870" width="12.1640625" bestFit="1" customWidth="1"/>
    <col min="4871" max="4872" width="8.1640625" bestFit="1" customWidth="1"/>
    <col min="4873" max="4873" width="9.1640625" bestFit="1" customWidth="1"/>
    <col min="4874" max="4881" width="12.1640625" bestFit="1" customWidth="1"/>
    <col min="4882" max="4882" width="8.1640625" bestFit="1" customWidth="1"/>
    <col min="4883" max="4883" width="11.1640625" bestFit="1" customWidth="1"/>
    <col min="4884" max="4884" width="12.1640625" bestFit="1" customWidth="1"/>
    <col min="4885" max="4885" width="8.1640625" bestFit="1" customWidth="1"/>
    <col min="4886" max="4886" width="10.1640625" bestFit="1" customWidth="1"/>
    <col min="4887" max="4887" width="12.1640625" bestFit="1" customWidth="1"/>
    <col min="4888" max="4888" width="11.1640625" bestFit="1" customWidth="1"/>
    <col min="4889" max="4889" width="10.1640625" bestFit="1" customWidth="1"/>
    <col min="4890" max="4891" width="12.6640625" bestFit="1" customWidth="1"/>
    <col min="4892" max="4893" width="12.1640625" bestFit="1" customWidth="1"/>
    <col min="4894" max="4894" width="7.1640625" bestFit="1" customWidth="1"/>
    <col min="4895" max="4895" width="12.6640625" bestFit="1" customWidth="1"/>
    <col min="4896" max="4897" width="12.1640625" bestFit="1" customWidth="1"/>
    <col min="4898" max="4899" width="11.1640625" bestFit="1" customWidth="1"/>
    <col min="4900" max="4900" width="11.6640625" bestFit="1" customWidth="1"/>
    <col min="4901" max="4901" width="7.1640625" bestFit="1" customWidth="1"/>
    <col min="4902" max="4902" width="12.1640625" bestFit="1" customWidth="1"/>
    <col min="4903" max="4903" width="9.1640625" bestFit="1" customWidth="1"/>
    <col min="4904" max="4906" width="12.1640625" bestFit="1" customWidth="1"/>
    <col min="4907" max="4907" width="11.1640625" bestFit="1" customWidth="1"/>
    <col min="4908" max="4911" width="12.1640625" bestFit="1" customWidth="1"/>
    <col min="4912" max="4912" width="9.1640625" bestFit="1" customWidth="1"/>
    <col min="4913" max="4914" width="12.1640625" bestFit="1" customWidth="1"/>
    <col min="4915" max="4915" width="7.1640625" bestFit="1" customWidth="1"/>
    <col min="4916" max="4917" width="12.1640625" bestFit="1" customWidth="1"/>
    <col min="4918" max="4918" width="7.1640625" bestFit="1" customWidth="1"/>
    <col min="4919" max="4919" width="12.1640625" bestFit="1" customWidth="1"/>
    <col min="4920" max="4920" width="9.1640625" bestFit="1" customWidth="1"/>
    <col min="4921" max="4921" width="12.1640625" bestFit="1" customWidth="1"/>
    <col min="4922" max="4922" width="11.1640625" bestFit="1" customWidth="1"/>
    <col min="4923" max="4923" width="10.1640625" bestFit="1" customWidth="1"/>
    <col min="4924" max="4924" width="9.1640625" bestFit="1" customWidth="1"/>
    <col min="4925" max="4925" width="7.1640625" bestFit="1" customWidth="1"/>
    <col min="4926" max="4927" width="12.1640625" bestFit="1" customWidth="1"/>
    <col min="4928" max="4928" width="10.1640625" bestFit="1" customWidth="1"/>
    <col min="4929" max="4929" width="12.1640625" bestFit="1" customWidth="1"/>
    <col min="4930" max="4930" width="9.1640625" bestFit="1" customWidth="1"/>
    <col min="4931" max="4931" width="12.1640625" bestFit="1" customWidth="1"/>
    <col min="4932" max="4932" width="9.1640625" bestFit="1" customWidth="1"/>
    <col min="4933" max="4933" width="11.1640625" bestFit="1" customWidth="1"/>
    <col min="4934" max="4938" width="12.1640625" bestFit="1" customWidth="1"/>
    <col min="4939" max="4939" width="9.1640625" bestFit="1" customWidth="1"/>
    <col min="4940" max="4940" width="10.1640625" bestFit="1" customWidth="1"/>
    <col min="4941" max="4941" width="8.1640625" bestFit="1" customWidth="1"/>
    <col min="4942" max="4946" width="12.1640625" bestFit="1" customWidth="1"/>
    <col min="4947" max="4947" width="11.1640625" bestFit="1" customWidth="1"/>
    <col min="4948" max="4948" width="10.1640625" bestFit="1" customWidth="1"/>
    <col min="4949" max="4951" width="12.1640625" bestFit="1" customWidth="1"/>
    <col min="4952" max="4952" width="10.1640625" bestFit="1" customWidth="1"/>
    <col min="4953" max="4953" width="12.1640625" bestFit="1" customWidth="1"/>
    <col min="4954" max="4954" width="10.1640625" bestFit="1" customWidth="1"/>
    <col min="4955" max="4957" width="12.1640625" bestFit="1" customWidth="1"/>
    <col min="4958" max="4958" width="7.1640625" bestFit="1" customWidth="1"/>
    <col min="4959" max="4959" width="12.1640625" bestFit="1" customWidth="1"/>
    <col min="4960" max="4960" width="7.1640625" bestFit="1" customWidth="1"/>
    <col min="4961" max="4961" width="12.1640625" bestFit="1" customWidth="1"/>
    <col min="4962" max="4962" width="9.1640625" bestFit="1" customWidth="1"/>
    <col min="4963" max="4963" width="12.1640625" bestFit="1" customWidth="1"/>
    <col min="4964" max="4964" width="11.1640625" bestFit="1" customWidth="1"/>
    <col min="4965" max="4968" width="12.1640625" bestFit="1" customWidth="1"/>
    <col min="4969" max="4969" width="11.1640625" bestFit="1" customWidth="1"/>
    <col min="4970" max="4972" width="12.1640625" bestFit="1" customWidth="1"/>
    <col min="4973" max="4973" width="11.1640625" bestFit="1" customWidth="1"/>
    <col min="4974" max="4975" width="12.1640625" bestFit="1" customWidth="1"/>
    <col min="4976" max="4977" width="9.1640625" bestFit="1" customWidth="1"/>
    <col min="4978" max="4981" width="12.1640625" bestFit="1" customWidth="1"/>
    <col min="4982" max="4982" width="10.1640625" bestFit="1" customWidth="1"/>
    <col min="4983" max="4983" width="9.1640625" bestFit="1" customWidth="1"/>
    <col min="4984" max="4984" width="12.1640625" bestFit="1" customWidth="1"/>
    <col min="4985" max="4985" width="10.1640625" bestFit="1" customWidth="1"/>
    <col min="4986" max="4993" width="12.1640625" bestFit="1" customWidth="1"/>
    <col min="4994" max="4994" width="7.1640625" bestFit="1" customWidth="1"/>
    <col min="4995" max="4996" width="12.1640625" bestFit="1" customWidth="1"/>
    <col min="4997" max="4997" width="10.1640625" bestFit="1" customWidth="1"/>
    <col min="4998" max="4999" width="12.1640625" bestFit="1" customWidth="1"/>
    <col min="5000" max="5000" width="9.1640625" bestFit="1" customWidth="1"/>
    <col min="5001" max="5001" width="12.1640625" bestFit="1" customWidth="1"/>
    <col min="5002" max="5002" width="8.1640625" bestFit="1" customWidth="1"/>
    <col min="5003" max="5006" width="12.1640625" bestFit="1" customWidth="1"/>
    <col min="5007" max="5007" width="10.1640625" bestFit="1" customWidth="1"/>
    <col min="5008" max="5008" width="9.1640625" bestFit="1" customWidth="1"/>
    <col min="5009" max="5011" width="12.1640625" bestFit="1" customWidth="1"/>
    <col min="5012" max="5012" width="8.1640625" bestFit="1" customWidth="1"/>
    <col min="5013" max="5017" width="12.1640625" bestFit="1" customWidth="1"/>
    <col min="5018" max="5018" width="9.1640625" bestFit="1" customWidth="1"/>
    <col min="5019" max="5021" width="12.1640625" bestFit="1" customWidth="1"/>
    <col min="5022" max="5022" width="7.1640625" bestFit="1" customWidth="1"/>
    <col min="5023" max="5025" width="9.1640625" bestFit="1" customWidth="1"/>
    <col min="5026" max="5027" width="12.1640625" bestFit="1" customWidth="1"/>
    <col min="5028" max="5028" width="10.1640625" bestFit="1" customWidth="1"/>
    <col min="5029" max="5029" width="9.1640625" bestFit="1" customWidth="1"/>
    <col min="5030" max="5030" width="12.1640625" bestFit="1" customWidth="1"/>
    <col min="5031" max="5031" width="8.1640625" bestFit="1" customWidth="1"/>
    <col min="5032" max="5033" width="12.1640625" bestFit="1" customWidth="1"/>
    <col min="5034" max="5034" width="10.1640625" bestFit="1" customWidth="1"/>
    <col min="5035" max="5035" width="12.1640625" bestFit="1" customWidth="1"/>
    <col min="5036" max="5036" width="10.1640625" bestFit="1" customWidth="1"/>
    <col min="5037" max="5040" width="12.1640625" bestFit="1" customWidth="1"/>
    <col min="5041" max="5041" width="7.1640625" bestFit="1" customWidth="1"/>
    <col min="5042" max="5042" width="9.1640625" bestFit="1" customWidth="1"/>
    <col min="5043" max="5049" width="12.1640625" bestFit="1" customWidth="1"/>
    <col min="5050" max="5050" width="10.1640625" bestFit="1" customWidth="1"/>
    <col min="5051" max="5055" width="12.1640625" bestFit="1" customWidth="1"/>
    <col min="5056" max="5056" width="8.1640625" bestFit="1" customWidth="1"/>
    <col min="5057" max="5057" width="11.1640625" bestFit="1" customWidth="1"/>
    <col min="5058" max="5058" width="12.1640625" bestFit="1" customWidth="1"/>
    <col min="5059" max="5060" width="8.1640625" bestFit="1" customWidth="1"/>
    <col min="5061" max="5061" width="9.1640625" bestFit="1" customWidth="1"/>
    <col min="5062" max="5069" width="12.1640625" bestFit="1" customWidth="1"/>
    <col min="5070" max="5070" width="8.1640625" bestFit="1" customWidth="1"/>
    <col min="5071" max="5071" width="11.1640625" bestFit="1" customWidth="1"/>
    <col min="5072" max="5072" width="12.1640625" bestFit="1" customWidth="1"/>
    <col min="5073" max="5073" width="8.1640625" bestFit="1" customWidth="1"/>
    <col min="5074" max="5074" width="10.1640625" bestFit="1" customWidth="1"/>
    <col min="5075" max="5075" width="12.1640625" bestFit="1" customWidth="1"/>
    <col min="5076" max="5076" width="11.1640625" bestFit="1" customWidth="1"/>
    <col min="5077" max="5077" width="10.1640625" bestFit="1" customWidth="1"/>
    <col min="5078" max="5078" width="16.83203125" bestFit="1" customWidth="1"/>
    <col min="5079" max="5079" width="16" bestFit="1" customWidth="1"/>
    <col min="5080" max="5080" width="16.5" bestFit="1" customWidth="1"/>
    <col min="5081" max="5081" width="16.83203125" bestFit="1" customWidth="1"/>
    <col min="5082" max="5082" width="16.5" bestFit="1" customWidth="1"/>
    <col min="5083" max="5083" width="16.83203125" bestFit="1" customWidth="1"/>
    <col min="5084" max="5084" width="16.33203125" bestFit="1" customWidth="1"/>
    <col min="5085" max="5085" width="16.6640625" bestFit="1" customWidth="1"/>
    <col min="5086" max="5086" width="22.6640625" bestFit="1" customWidth="1"/>
    <col min="5087" max="5087" width="16.6640625" bestFit="1" customWidth="1"/>
    <col min="5088" max="5088" width="16.33203125" bestFit="1" customWidth="1"/>
    <col min="5089" max="5089" width="16.83203125" bestFit="1" customWidth="1"/>
    <col min="5090" max="5090" width="16.5" bestFit="1" customWidth="1"/>
    <col min="5091" max="5091" width="16.83203125" bestFit="1" customWidth="1"/>
    <col min="5092" max="5092" width="16.5" bestFit="1" customWidth="1"/>
    <col min="5093" max="5093" width="16" bestFit="1" customWidth="1"/>
    <col min="5094" max="5094" width="16.83203125" bestFit="1" customWidth="1"/>
    <col min="5095" max="5095" width="25.6640625" bestFit="1" customWidth="1"/>
    <col min="5096" max="5096" width="39.33203125" bestFit="1" customWidth="1"/>
    <col min="5097" max="5097" width="15.5" bestFit="1" customWidth="1"/>
    <col min="5098" max="5098" width="15.1640625" bestFit="1" customWidth="1"/>
    <col min="5099" max="5099" width="15.6640625" bestFit="1" customWidth="1"/>
    <col min="5100" max="5100" width="15.33203125" bestFit="1" customWidth="1"/>
    <col min="5101" max="5101" width="15.6640625" bestFit="1" customWidth="1"/>
    <col min="5102" max="5102" width="15.33203125" bestFit="1" customWidth="1"/>
    <col min="5103" max="5103" width="15" bestFit="1" customWidth="1"/>
    <col min="5104" max="5104" width="15.6640625" bestFit="1" customWidth="1"/>
  </cols>
  <sheetData>
    <row r="2" spans="1:5104" ht="58" customHeight="1" x14ac:dyDescent="0.2"/>
    <row r="3" spans="1:5104" ht="18" customHeight="1" x14ac:dyDescent="0.2"/>
    <row r="4" spans="1:5104" s="97" customFormat="1" ht="64" x14ac:dyDescent="0.2">
      <c r="A4" s="103" t="s">
        <v>716</v>
      </c>
      <c r="B4" s="58" t="s">
        <v>744</v>
      </c>
      <c r="C4" s="58" t="s">
        <v>743</v>
      </c>
      <c r="D4" s="58" t="s">
        <v>742</v>
      </c>
      <c r="E4" s="58" t="s">
        <v>741</v>
      </c>
      <c r="F4" s="58" t="s">
        <v>740</v>
      </c>
      <c r="G4" s="58" t="s">
        <v>739</v>
      </c>
      <c r="H4" s="58" t="s">
        <v>738</v>
      </c>
      <c r="I4" s="58" t="s">
        <v>737</v>
      </c>
      <c r="J4" s="58" t="s">
        <v>729</v>
      </c>
      <c r="K4" s="98" t="s">
        <v>728</v>
      </c>
      <c r="L4" s="98" t="s">
        <v>730</v>
      </c>
      <c r="M4" s="98" t="s">
        <v>736</v>
      </c>
      <c r="N4" s="98" t="s">
        <v>735</v>
      </c>
      <c r="O4" s="98" t="s">
        <v>734</v>
      </c>
      <c r="P4" s="98" t="s">
        <v>733</v>
      </c>
      <c r="Q4" s="98" t="s">
        <v>732</v>
      </c>
      <c r="R4" s="98" t="s">
        <v>731</v>
      </c>
      <c r="S4" s="98" t="s">
        <v>727</v>
      </c>
      <c r="T4" s="98" t="s">
        <v>718</v>
      </c>
      <c r="U4" s="98" t="s">
        <v>719</v>
      </c>
      <c r="V4" s="98" t="s">
        <v>720</v>
      </c>
      <c r="W4" s="98" t="s">
        <v>721</v>
      </c>
      <c r="X4" s="98" t="s">
        <v>722</v>
      </c>
      <c r="Y4" s="98" t="s">
        <v>723</v>
      </c>
      <c r="Z4" s="98" t="s">
        <v>725</v>
      </c>
      <c r="AA4" s="98" t="s">
        <v>724</v>
      </c>
      <c r="AB4" s="98" t="s">
        <v>726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</row>
    <row r="5" spans="1:5104" x14ac:dyDescent="0.2">
      <c r="A5" s="101" t="s">
        <v>47</v>
      </c>
      <c r="B5" s="58">
        <v>19758</v>
      </c>
      <c r="C5" s="58">
        <v>14102.8</v>
      </c>
      <c r="D5" s="58">
        <v>32553.9</v>
      </c>
      <c r="E5" s="58">
        <v>19888.099999999999</v>
      </c>
      <c r="F5" s="58">
        <v>24192.899999999998</v>
      </c>
      <c r="G5" s="58">
        <v>21071.3</v>
      </c>
      <c r="H5" s="58">
        <v>15362.8</v>
      </c>
      <c r="I5" s="58">
        <v>10135.799999999999</v>
      </c>
      <c r="J5" s="58">
        <v>157065.60000000001</v>
      </c>
      <c r="K5" s="100">
        <v>520</v>
      </c>
      <c r="L5" s="100">
        <v>575</v>
      </c>
      <c r="M5" s="100">
        <v>938</v>
      </c>
      <c r="N5" s="100">
        <v>960</v>
      </c>
      <c r="O5" s="100">
        <v>514</v>
      </c>
      <c r="P5" s="100">
        <v>960</v>
      </c>
      <c r="Q5" s="100">
        <v>428</v>
      </c>
      <c r="R5" s="100">
        <v>247</v>
      </c>
      <c r="S5" s="100">
        <v>5142</v>
      </c>
      <c r="T5" s="99">
        <v>2473911.2999999998</v>
      </c>
      <c r="U5" s="99">
        <v>231386.96000000002</v>
      </c>
      <c r="V5" s="99">
        <v>291521.03000000003</v>
      </c>
      <c r="W5" s="99">
        <v>405063.23</v>
      </c>
      <c r="X5" s="99">
        <v>428312.06000000006</v>
      </c>
      <c r="Y5" s="99">
        <v>253721.47999999998</v>
      </c>
      <c r="Z5" s="99">
        <v>448102.98999999987</v>
      </c>
      <c r="AA5" s="99">
        <v>238312.97999999998</v>
      </c>
      <c r="AB5" s="99">
        <v>177490.57</v>
      </c>
    </row>
    <row r="6" spans="1:5104" x14ac:dyDescent="0.2">
      <c r="A6" s="102">
        <v>177.14983695652174</v>
      </c>
      <c r="B6" s="58"/>
      <c r="C6" s="58"/>
      <c r="D6" s="58"/>
      <c r="E6" s="58">
        <v>42</v>
      </c>
      <c r="F6" s="58">
        <v>72</v>
      </c>
      <c r="G6" s="58">
        <v>94</v>
      </c>
      <c r="H6" s="58">
        <v>30</v>
      </c>
      <c r="I6" s="58">
        <v>182</v>
      </c>
      <c r="J6" s="58">
        <v>420</v>
      </c>
      <c r="K6" s="100">
        <v>132</v>
      </c>
      <c r="L6" s="100">
        <v>86</v>
      </c>
      <c r="M6" s="100">
        <v>55</v>
      </c>
      <c r="N6" s="100">
        <v>70</v>
      </c>
      <c r="O6" s="100">
        <v>25</v>
      </c>
      <c r="P6" s="100"/>
      <c r="Q6" s="100"/>
      <c r="R6" s="100"/>
      <c r="S6" s="100">
        <v>368</v>
      </c>
      <c r="T6" s="99">
        <v>65191.14</v>
      </c>
      <c r="U6" s="99">
        <v>24417.62</v>
      </c>
      <c r="V6" s="99">
        <v>13766.65</v>
      </c>
      <c r="W6" s="99">
        <v>10415.620000000001</v>
      </c>
      <c r="X6" s="99">
        <v>11995.83</v>
      </c>
      <c r="Y6" s="99">
        <v>4595.42</v>
      </c>
      <c r="Z6" s="99"/>
      <c r="AA6" s="99"/>
      <c r="AB6" s="99"/>
    </row>
    <row r="7" spans="1:5104" x14ac:dyDescent="0.2">
      <c r="A7" s="102">
        <v>180.09537037037038</v>
      </c>
      <c r="B7" s="58">
        <v>14</v>
      </c>
      <c r="C7" s="58">
        <v>18</v>
      </c>
      <c r="D7" s="58">
        <v>30</v>
      </c>
      <c r="E7" s="58">
        <v>52</v>
      </c>
      <c r="F7" s="58">
        <v>18</v>
      </c>
      <c r="G7" s="58">
        <v>38</v>
      </c>
      <c r="H7" s="58"/>
      <c r="I7" s="58">
        <v>2</v>
      </c>
      <c r="J7" s="58">
        <v>172</v>
      </c>
      <c r="K7" s="100">
        <v>6</v>
      </c>
      <c r="L7" s="100">
        <v>2</v>
      </c>
      <c r="M7" s="100">
        <v>10</v>
      </c>
      <c r="N7" s="100">
        <v>5</v>
      </c>
      <c r="O7" s="100">
        <v>6</v>
      </c>
      <c r="P7" s="100">
        <v>6</v>
      </c>
      <c r="Q7" s="100">
        <v>6</v>
      </c>
      <c r="R7" s="100">
        <v>13</v>
      </c>
      <c r="S7" s="100">
        <v>54</v>
      </c>
      <c r="T7" s="99">
        <v>9725.15</v>
      </c>
      <c r="U7" s="99">
        <v>1009.34</v>
      </c>
      <c r="V7" s="99">
        <v>250.45</v>
      </c>
      <c r="W7" s="99">
        <v>2227.83</v>
      </c>
      <c r="X7" s="99">
        <v>1038.21</v>
      </c>
      <c r="Y7" s="99">
        <v>1533.21</v>
      </c>
      <c r="Z7" s="99">
        <v>1087.5999999999999</v>
      </c>
      <c r="AA7" s="99">
        <v>734.45</v>
      </c>
      <c r="AB7" s="99">
        <v>1844.06</v>
      </c>
    </row>
    <row r="8" spans="1:5104" x14ac:dyDescent="0.2">
      <c r="A8" s="102">
        <v>194.92</v>
      </c>
      <c r="B8" s="58"/>
      <c r="C8" s="58"/>
      <c r="D8" s="58"/>
      <c r="E8" s="58"/>
      <c r="F8" s="58"/>
      <c r="G8" s="58"/>
      <c r="H8" s="58"/>
      <c r="I8" s="58"/>
      <c r="J8" s="58"/>
      <c r="K8" s="100">
        <v>2</v>
      </c>
      <c r="L8" s="100"/>
      <c r="M8" s="100"/>
      <c r="N8" s="100"/>
      <c r="O8" s="100"/>
      <c r="P8" s="100"/>
      <c r="Q8" s="100"/>
      <c r="R8" s="100"/>
      <c r="S8" s="100">
        <v>2</v>
      </c>
      <c r="T8" s="99">
        <v>389.84</v>
      </c>
      <c r="U8" s="99">
        <v>389.84</v>
      </c>
      <c r="V8" s="99"/>
      <c r="W8" s="99"/>
      <c r="X8" s="99"/>
      <c r="Y8" s="99"/>
      <c r="Z8" s="99"/>
      <c r="AA8" s="99"/>
      <c r="AB8" s="99"/>
    </row>
    <row r="9" spans="1:5104" x14ac:dyDescent="0.2">
      <c r="A9" s="102">
        <v>218.38637499999999</v>
      </c>
      <c r="B9" s="58">
        <v>2</v>
      </c>
      <c r="C9" s="58">
        <v>9</v>
      </c>
      <c r="D9" s="58">
        <v>7</v>
      </c>
      <c r="E9" s="58">
        <v>8</v>
      </c>
      <c r="F9" s="58"/>
      <c r="G9" s="58"/>
      <c r="H9" s="58">
        <v>18</v>
      </c>
      <c r="I9" s="58"/>
      <c r="J9" s="58">
        <v>44</v>
      </c>
      <c r="K9" s="100"/>
      <c r="L9" s="100"/>
      <c r="M9" s="100"/>
      <c r="N9" s="100">
        <v>120</v>
      </c>
      <c r="O9" s="100"/>
      <c r="P9" s="100"/>
      <c r="Q9" s="100">
        <v>120</v>
      </c>
      <c r="R9" s="100"/>
      <c r="S9" s="100">
        <v>240</v>
      </c>
      <c r="T9" s="99">
        <v>52412.73</v>
      </c>
      <c r="U9" s="99"/>
      <c r="V9" s="99">
        <v>731.61</v>
      </c>
      <c r="W9" s="99"/>
      <c r="X9" s="99">
        <v>24942</v>
      </c>
      <c r="Y9" s="99">
        <v>552.96</v>
      </c>
      <c r="Z9" s="99">
        <v>483.84</v>
      </c>
      <c r="AA9" s="99">
        <v>25564.080000000002</v>
      </c>
      <c r="AB9" s="99">
        <v>138.24</v>
      </c>
    </row>
    <row r="10" spans="1:5104" x14ac:dyDescent="0.2">
      <c r="A10" s="102">
        <v>233.84309999999999</v>
      </c>
      <c r="B10" s="58"/>
      <c r="C10" s="58">
        <v>4</v>
      </c>
      <c r="D10" s="58">
        <v>200</v>
      </c>
      <c r="E10" s="58">
        <v>62</v>
      </c>
      <c r="F10" s="58">
        <v>-50</v>
      </c>
      <c r="G10" s="58"/>
      <c r="H10" s="58">
        <v>14</v>
      </c>
      <c r="I10" s="58"/>
      <c r="J10" s="58">
        <v>230</v>
      </c>
      <c r="K10" s="100">
        <v>20</v>
      </c>
      <c r="L10" s="100"/>
      <c r="M10" s="100"/>
      <c r="N10" s="100"/>
      <c r="O10" s="100">
        <v>40</v>
      </c>
      <c r="P10" s="100">
        <v>40</v>
      </c>
      <c r="Q10" s="100"/>
      <c r="R10" s="100"/>
      <c r="S10" s="100">
        <v>100</v>
      </c>
      <c r="T10" s="99">
        <v>23384.31</v>
      </c>
      <c r="U10" s="99">
        <v>3971.57</v>
      </c>
      <c r="V10" s="99">
        <v>895.41</v>
      </c>
      <c r="W10" s="99"/>
      <c r="X10" s="99">
        <v>-1605.74</v>
      </c>
      <c r="Y10" s="99">
        <v>9426.9500000000007</v>
      </c>
      <c r="Z10" s="99">
        <v>10554.88</v>
      </c>
      <c r="AA10" s="99">
        <v>141.24</v>
      </c>
      <c r="AB10" s="99"/>
    </row>
    <row r="11" spans="1:5104" x14ac:dyDescent="0.2">
      <c r="A11" s="102">
        <v>251.26014814814815</v>
      </c>
      <c r="B11" s="58">
        <v>114</v>
      </c>
      <c r="C11" s="58">
        <v>-12</v>
      </c>
      <c r="D11" s="58">
        <v>60.5</v>
      </c>
      <c r="E11" s="58">
        <v>36.6</v>
      </c>
      <c r="F11" s="58">
        <v>93.1</v>
      </c>
      <c r="G11" s="58">
        <v>59.9</v>
      </c>
      <c r="H11" s="58"/>
      <c r="I11" s="58"/>
      <c r="J11" s="58">
        <v>352.1</v>
      </c>
      <c r="K11" s="100"/>
      <c r="L11" s="100"/>
      <c r="M11" s="100">
        <v>40</v>
      </c>
      <c r="N11" s="100">
        <v>45</v>
      </c>
      <c r="O11" s="100"/>
      <c r="P11" s="100">
        <v>50</v>
      </c>
      <c r="Q11" s="100"/>
      <c r="R11" s="100"/>
      <c r="S11" s="100">
        <v>135</v>
      </c>
      <c r="T11" s="99">
        <v>33920.120000000003</v>
      </c>
      <c r="U11" s="99"/>
      <c r="V11" s="99"/>
      <c r="W11" s="99">
        <v>11060.89</v>
      </c>
      <c r="X11" s="99">
        <v>8960.34</v>
      </c>
      <c r="Y11" s="99">
        <v>1328.15</v>
      </c>
      <c r="Z11" s="99">
        <v>11819.84</v>
      </c>
      <c r="AA11" s="99">
        <v>-443.69</v>
      </c>
      <c r="AB11" s="99">
        <v>1194.5899999999999</v>
      </c>
    </row>
    <row r="12" spans="1:5104" x14ac:dyDescent="0.2">
      <c r="A12" s="102">
        <v>256.24386363636364</v>
      </c>
      <c r="B12" s="58"/>
      <c r="C12" s="58"/>
      <c r="D12" s="58"/>
      <c r="E12" s="58"/>
      <c r="F12" s="58"/>
      <c r="G12" s="58">
        <v>-30</v>
      </c>
      <c r="H12" s="58">
        <v>16</v>
      </c>
      <c r="I12" s="58">
        <v>88</v>
      </c>
      <c r="J12" s="58">
        <v>74</v>
      </c>
      <c r="K12" s="100">
        <v>26</v>
      </c>
      <c r="L12" s="100">
        <v>10</v>
      </c>
      <c r="M12" s="100"/>
      <c r="N12" s="100"/>
      <c r="O12" s="100"/>
      <c r="P12" s="100">
        <v>3</v>
      </c>
      <c r="Q12" s="100">
        <v>5</v>
      </c>
      <c r="R12" s="100"/>
      <c r="S12" s="100">
        <v>44</v>
      </c>
      <c r="T12" s="99">
        <v>11274.73</v>
      </c>
      <c r="U12" s="99">
        <v>7131.33</v>
      </c>
      <c r="V12" s="99">
        <v>2773.82</v>
      </c>
      <c r="W12" s="99">
        <v>-430.65</v>
      </c>
      <c r="X12" s="99"/>
      <c r="Y12" s="99"/>
      <c r="Z12" s="99">
        <v>679.13</v>
      </c>
      <c r="AA12" s="99">
        <v>1121.0999999999999</v>
      </c>
      <c r="AB12" s="99"/>
    </row>
    <row r="13" spans="1:5104" x14ac:dyDescent="0.2">
      <c r="A13" s="102">
        <v>284.01964497041422</v>
      </c>
      <c r="B13" s="58">
        <v>62</v>
      </c>
      <c r="C13" s="58">
        <v>4</v>
      </c>
      <c r="D13" s="58">
        <v>32</v>
      </c>
      <c r="E13" s="58">
        <v>8</v>
      </c>
      <c r="F13" s="58">
        <v>10</v>
      </c>
      <c r="G13" s="58">
        <v>26</v>
      </c>
      <c r="H13" s="58">
        <v>40</v>
      </c>
      <c r="I13" s="58">
        <v>194</v>
      </c>
      <c r="J13" s="58">
        <v>376</v>
      </c>
      <c r="K13" s="100">
        <v>27</v>
      </c>
      <c r="L13" s="100">
        <v>27</v>
      </c>
      <c r="M13" s="100">
        <v>47</v>
      </c>
      <c r="N13" s="100">
        <v>13</v>
      </c>
      <c r="O13" s="100">
        <v>15</v>
      </c>
      <c r="P13" s="100">
        <v>12</v>
      </c>
      <c r="Q13" s="100">
        <v>11</v>
      </c>
      <c r="R13" s="100">
        <v>17</v>
      </c>
      <c r="S13" s="100">
        <v>169</v>
      </c>
      <c r="T13" s="99">
        <v>47999.32</v>
      </c>
      <c r="U13" s="99">
        <v>9765.6200000000008</v>
      </c>
      <c r="V13" s="99">
        <v>7276.14</v>
      </c>
      <c r="W13" s="99">
        <v>11307.9</v>
      </c>
      <c r="X13" s="99">
        <v>3329.02</v>
      </c>
      <c r="Y13" s="99">
        <v>3723.33</v>
      </c>
      <c r="Z13" s="99">
        <v>3920.35</v>
      </c>
      <c r="AA13" s="99">
        <v>2644.09</v>
      </c>
      <c r="AB13" s="99">
        <v>6032.87</v>
      </c>
    </row>
    <row r="14" spans="1:5104" x14ac:dyDescent="0.2">
      <c r="A14" s="102">
        <v>289.61573770491805</v>
      </c>
      <c r="B14" s="58"/>
      <c r="C14" s="58">
        <v>6</v>
      </c>
      <c r="D14" s="58">
        <v>148</v>
      </c>
      <c r="E14" s="58">
        <v>50</v>
      </c>
      <c r="F14" s="58">
        <v>190</v>
      </c>
      <c r="G14" s="58">
        <v>126</v>
      </c>
      <c r="H14" s="58">
        <v>92</v>
      </c>
      <c r="I14" s="58"/>
      <c r="J14" s="58">
        <v>612</v>
      </c>
      <c r="K14" s="100">
        <v>2</v>
      </c>
      <c r="L14" s="100">
        <v>6</v>
      </c>
      <c r="M14" s="100">
        <v>9</v>
      </c>
      <c r="N14" s="100">
        <v>13</v>
      </c>
      <c r="O14" s="100">
        <v>14</v>
      </c>
      <c r="P14" s="100">
        <v>12</v>
      </c>
      <c r="Q14" s="100">
        <v>5</v>
      </c>
      <c r="R14" s="100"/>
      <c r="S14" s="100">
        <v>61</v>
      </c>
      <c r="T14" s="99">
        <v>17666.560000000001</v>
      </c>
      <c r="U14" s="99">
        <v>354.29</v>
      </c>
      <c r="V14" s="99">
        <v>1891.46</v>
      </c>
      <c r="W14" s="99">
        <v>2662.5</v>
      </c>
      <c r="X14" s="99">
        <v>3832.02</v>
      </c>
      <c r="Y14" s="99">
        <v>3780.87</v>
      </c>
      <c r="Z14" s="99">
        <v>3799.77</v>
      </c>
      <c r="AA14" s="99">
        <v>1345.65</v>
      </c>
      <c r="AB14" s="99"/>
    </row>
    <row r="15" spans="1:5104" x14ac:dyDescent="0.2">
      <c r="A15" s="102">
        <v>291.64364729458919</v>
      </c>
      <c r="B15" s="58"/>
      <c r="C15" s="58">
        <v>52</v>
      </c>
      <c r="D15" s="58">
        <v>2138</v>
      </c>
      <c r="E15" s="58"/>
      <c r="F15" s="58">
        <v>178</v>
      </c>
      <c r="G15" s="58">
        <v>1382</v>
      </c>
      <c r="H15" s="58"/>
      <c r="I15" s="58"/>
      <c r="J15" s="58">
        <v>3750</v>
      </c>
      <c r="K15" s="100"/>
      <c r="L15" s="100">
        <v>1</v>
      </c>
      <c r="M15" s="100">
        <v>215</v>
      </c>
      <c r="N15" s="100">
        <v>36</v>
      </c>
      <c r="O15" s="100"/>
      <c r="P15" s="100">
        <v>229</v>
      </c>
      <c r="Q15" s="100">
        <v>18</v>
      </c>
      <c r="R15" s="100"/>
      <c r="S15" s="100">
        <v>499</v>
      </c>
      <c r="T15" s="99">
        <v>145530.18</v>
      </c>
      <c r="U15" s="99"/>
      <c r="V15" s="99">
        <v>227.65</v>
      </c>
      <c r="W15" s="99">
        <v>60435.05</v>
      </c>
      <c r="X15" s="99">
        <v>10422.56</v>
      </c>
      <c r="Y15" s="99"/>
      <c r="Z15" s="99">
        <v>69835.710000000006</v>
      </c>
      <c r="AA15" s="99">
        <v>4609.21</v>
      </c>
      <c r="AB15" s="99"/>
    </row>
    <row r="16" spans="1:5104" x14ac:dyDescent="0.2">
      <c r="A16" s="102">
        <v>298.46113636363634</v>
      </c>
      <c r="B16" s="58"/>
      <c r="C16" s="58"/>
      <c r="D16" s="58"/>
      <c r="E16" s="58">
        <v>11</v>
      </c>
      <c r="F16" s="58">
        <v>90</v>
      </c>
      <c r="G16" s="58">
        <v>30</v>
      </c>
      <c r="H16" s="58">
        <v>48</v>
      </c>
      <c r="I16" s="58">
        <v>74</v>
      </c>
      <c r="J16" s="58">
        <v>253</v>
      </c>
      <c r="K16" s="100">
        <v>25</v>
      </c>
      <c r="L16" s="100">
        <v>15</v>
      </c>
      <c r="M16" s="100">
        <v>19</v>
      </c>
      <c r="N16" s="100">
        <v>16</v>
      </c>
      <c r="O16" s="100"/>
      <c r="P16" s="100"/>
      <c r="Q16" s="100">
        <v>13</v>
      </c>
      <c r="R16" s="100"/>
      <c r="S16" s="100">
        <v>88</v>
      </c>
      <c r="T16" s="99">
        <v>26264.58</v>
      </c>
      <c r="U16" s="99">
        <v>6658.41</v>
      </c>
      <c r="V16" s="99">
        <v>4465.04</v>
      </c>
      <c r="W16" s="99">
        <v>5678.23</v>
      </c>
      <c r="X16" s="99">
        <v>5410.14</v>
      </c>
      <c r="Y16" s="99">
        <v>356.3</v>
      </c>
      <c r="Z16" s="99"/>
      <c r="AA16" s="99">
        <v>3696.46</v>
      </c>
      <c r="AB16" s="99"/>
    </row>
    <row r="17" spans="1:28" x14ac:dyDescent="0.2">
      <c r="A17" s="102">
        <v>300.53115942028984</v>
      </c>
      <c r="B17" s="58"/>
      <c r="C17" s="58">
        <v>34</v>
      </c>
      <c r="D17" s="58">
        <v>16</v>
      </c>
      <c r="E17" s="58">
        <v>34</v>
      </c>
      <c r="F17" s="58">
        <v>44</v>
      </c>
      <c r="G17" s="58">
        <v>38</v>
      </c>
      <c r="H17" s="58">
        <v>16</v>
      </c>
      <c r="I17" s="58">
        <v>72</v>
      </c>
      <c r="J17" s="58">
        <v>254</v>
      </c>
      <c r="K17" s="100">
        <v>15</v>
      </c>
      <c r="L17" s="100">
        <v>9</v>
      </c>
      <c r="M17" s="100">
        <v>8</v>
      </c>
      <c r="N17" s="100">
        <v>12</v>
      </c>
      <c r="O17" s="100">
        <v>10</v>
      </c>
      <c r="P17" s="100">
        <v>6</v>
      </c>
      <c r="Q17" s="100">
        <v>9</v>
      </c>
      <c r="R17" s="100"/>
      <c r="S17" s="100">
        <v>69</v>
      </c>
      <c r="T17" s="99">
        <v>20736.650000000001</v>
      </c>
      <c r="U17" s="99">
        <v>4858.21</v>
      </c>
      <c r="V17" s="99">
        <v>2373.0300000000002</v>
      </c>
      <c r="W17" s="99">
        <v>2474.35</v>
      </c>
      <c r="X17" s="99">
        <v>3612.02</v>
      </c>
      <c r="Y17" s="99">
        <v>3029.58</v>
      </c>
      <c r="Z17" s="99">
        <v>1697</v>
      </c>
      <c r="AA17" s="99">
        <v>2692.46</v>
      </c>
      <c r="AB17" s="99"/>
    </row>
    <row r="18" spans="1:28" x14ac:dyDescent="0.2">
      <c r="A18" s="102">
        <v>313.18309090909094</v>
      </c>
      <c r="B18" s="58"/>
      <c r="C18" s="58"/>
      <c r="D18" s="58"/>
      <c r="E18" s="58">
        <v>76</v>
      </c>
      <c r="F18" s="58"/>
      <c r="G18" s="58"/>
      <c r="H18" s="58"/>
      <c r="I18" s="58"/>
      <c r="J18" s="58">
        <v>76</v>
      </c>
      <c r="K18" s="100"/>
      <c r="L18" s="100">
        <v>35</v>
      </c>
      <c r="M18" s="100"/>
      <c r="N18" s="100"/>
      <c r="O18" s="100"/>
      <c r="P18" s="100">
        <v>20</v>
      </c>
      <c r="Q18" s="100"/>
      <c r="R18" s="100"/>
      <c r="S18" s="100">
        <v>55</v>
      </c>
      <c r="T18" s="99">
        <v>17225.07</v>
      </c>
      <c r="U18" s="99"/>
      <c r="V18" s="99">
        <v>9500.4500000000007</v>
      </c>
      <c r="W18" s="99"/>
      <c r="X18" s="99"/>
      <c r="Y18" s="99">
        <v>1942.28</v>
      </c>
      <c r="Z18" s="99">
        <v>5782.34</v>
      </c>
      <c r="AA18" s="99"/>
      <c r="AB18" s="99"/>
    </row>
    <row r="19" spans="1:28" x14ac:dyDescent="0.2">
      <c r="A19" s="102">
        <v>320.36787500000003</v>
      </c>
      <c r="B19" s="58">
        <v>48</v>
      </c>
      <c r="C19" s="58">
        <v>12</v>
      </c>
      <c r="D19" s="58">
        <v>16</v>
      </c>
      <c r="E19" s="58">
        <v>10</v>
      </c>
      <c r="F19" s="58">
        <v>20</v>
      </c>
      <c r="G19" s="58">
        <v>24</v>
      </c>
      <c r="H19" s="58">
        <v>20</v>
      </c>
      <c r="I19" s="58">
        <v>32</v>
      </c>
      <c r="J19" s="58">
        <v>182</v>
      </c>
      <c r="K19" s="100"/>
      <c r="L19" s="100">
        <v>50</v>
      </c>
      <c r="M19" s="100">
        <v>60</v>
      </c>
      <c r="N19" s="100"/>
      <c r="O19" s="100"/>
      <c r="P19" s="100">
        <v>50</v>
      </c>
      <c r="Q19" s="100"/>
      <c r="R19" s="100"/>
      <c r="S19" s="100">
        <v>160</v>
      </c>
      <c r="T19" s="99">
        <v>51258.86</v>
      </c>
      <c r="U19" s="99">
        <v>886.69</v>
      </c>
      <c r="V19" s="99">
        <v>16184.55</v>
      </c>
      <c r="W19" s="99">
        <v>17328.72</v>
      </c>
      <c r="X19" s="99">
        <v>845.12</v>
      </c>
      <c r="Y19" s="99">
        <v>366.53</v>
      </c>
      <c r="Z19" s="99">
        <v>14025.12</v>
      </c>
      <c r="AA19" s="99">
        <v>404.41</v>
      </c>
      <c r="AB19" s="99">
        <v>1217.72</v>
      </c>
    </row>
    <row r="20" spans="1:28" x14ac:dyDescent="0.2">
      <c r="A20" s="102">
        <v>325.28761194029852</v>
      </c>
      <c r="B20" s="58"/>
      <c r="C20" s="58">
        <v>18</v>
      </c>
      <c r="D20" s="58">
        <v>40</v>
      </c>
      <c r="E20" s="58">
        <v>50</v>
      </c>
      <c r="F20" s="58">
        <v>26</v>
      </c>
      <c r="G20" s="58">
        <v>42</v>
      </c>
      <c r="H20" s="58">
        <v>50</v>
      </c>
      <c r="I20" s="58">
        <v>36</v>
      </c>
      <c r="J20" s="58">
        <v>262</v>
      </c>
      <c r="K20" s="100">
        <v>9</v>
      </c>
      <c r="L20" s="100">
        <v>9</v>
      </c>
      <c r="M20" s="100">
        <v>5</v>
      </c>
      <c r="N20" s="100">
        <v>16</v>
      </c>
      <c r="O20" s="100">
        <v>11</v>
      </c>
      <c r="P20" s="100">
        <v>9</v>
      </c>
      <c r="Q20" s="100">
        <v>8</v>
      </c>
      <c r="R20" s="100"/>
      <c r="S20" s="100">
        <v>67</v>
      </c>
      <c r="T20" s="99">
        <v>21794.27</v>
      </c>
      <c r="U20" s="99">
        <v>2632.97</v>
      </c>
      <c r="V20" s="99">
        <v>3235.16</v>
      </c>
      <c r="W20" s="99">
        <v>2219.79</v>
      </c>
      <c r="X20" s="99">
        <v>4455.2</v>
      </c>
      <c r="Y20" s="99">
        <v>3816.51</v>
      </c>
      <c r="Z20" s="99">
        <v>3093.43</v>
      </c>
      <c r="AA20" s="99">
        <v>2341.21</v>
      </c>
      <c r="AB20" s="99"/>
    </row>
    <row r="21" spans="1:28" x14ac:dyDescent="0.2">
      <c r="A21" s="102">
        <v>347.86959999999999</v>
      </c>
      <c r="B21" s="58">
        <v>2</v>
      </c>
      <c r="C21" s="58"/>
      <c r="D21" s="58"/>
      <c r="E21" s="58"/>
      <c r="F21" s="58">
        <v>4</v>
      </c>
      <c r="G21" s="58"/>
      <c r="H21" s="58">
        <v>10</v>
      </c>
      <c r="I21" s="58"/>
      <c r="J21" s="58">
        <v>16</v>
      </c>
      <c r="K21" s="100"/>
      <c r="L21" s="100">
        <v>50</v>
      </c>
      <c r="M21" s="100"/>
      <c r="N21" s="100"/>
      <c r="O21" s="100"/>
      <c r="P21" s="100"/>
      <c r="Q21" s="100"/>
      <c r="R21" s="100"/>
      <c r="S21" s="100">
        <v>50</v>
      </c>
      <c r="T21" s="99">
        <v>17393.48</v>
      </c>
      <c r="U21" s="99"/>
      <c r="V21" s="99">
        <v>17128.52</v>
      </c>
      <c r="W21" s="99"/>
      <c r="X21" s="99">
        <v>214.2</v>
      </c>
      <c r="Y21" s="99"/>
      <c r="Z21" s="99"/>
      <c r="AA21" s="99"/>
      <c r="AB21" s="99">
        <v>50.76</v>
      </c>
    </row>
    <row r="22" spans="1:28" x14ac:dyDescent="0.2">
      <c r="A22" s="102">
        <v>360.82474999999999</v>
      </c>
      <c r="B22" s="58">
        <v>28</v>
      </c>
      <c r="C22" s="58">
        <v>18</v>
      </c>
      <c r="D22" s="58">
        <v>420</v>
      </c>
      <c r="E22" s="58">
        <v>20</v>
      </c>
      <c r="F22" s="58">
        <v>60</v>
      </c>
      <c r="G22" s="58">
        <v>200</v>
      </c>
      <c r="H22" s="58"/>
      <c r="I22" s="58"/>
      <c r="J22" s="58">
        <v>746</v>
      </c>
      <c r="K22" s="100"/>
      <c r="L22" s="100"/>
      <c r="M22" s="100">
        <v>20</v>
      </c>
      <c r="N22" s="100"/>
      <c r="O22" s="100"/>
      <c r="P22" s="100">
        <v>20</v>
      </c>
      <c r="Q22" s="100"/>
      <c r="R22" s="100"/>
      <c r="S22" s="100">
        <v>40</v>
      </c>
      <c r="T22" s="99">
        <v>14432.99</v>
      </c>
      <c r="U22" s="99"/>
      <c r="V22" s="99"/>
      <c r="W22" s="99">
        <v>5981</v>
      </c>
      <c r="X22" s="99">
        <v>865.71</v>
      </c>
      <c r="Y22" s="99">
        <v>364.38</v>
      </c>
      <c r="Z22" s="99">
        <v>6725.7</v>
      </c>
      <c r="AA22" s="99">
        <v>241.1</v>
      </c>
      <c r="AB22" s="99">
        <v>255.1</v>
      </c>
    </row>
    <row r="23" spans="1:28" x14ac:dyDescent="0.2">
      <c r="A23" s="102">
        <v>381.42328947368424</v>
      </c>
      <c r="B23" s="58"/>
      <c r="C23" s="58"/>
      <c r="D23" s="58"/>
      <c r="E23" s="58"/>
      <c r="F23" s="58">
        <v>60</v>
      </c>
      <c r="G23" s="58">
        <v>427</v>
      </c>
      <c r="H23" s="58">
        <v>49</v>
      </c>
      <c r="I23" s="58">
        <v>2</v>
      </c>
      <c r="J23" s="58">
        <v>538</v>
      </c>
      <c r="K23" s="100">
        <v>9</v>
      </c>
      <c r="L23" s="100">
        <v>22</v>
      </c>
      <c r="M23" s="100">
        <v>28</v>
      </c>
      <c r="N23" s="100">
        <v>17</v>
      </c>
      <c r="O23" s="100"/>
      <c r="P23" s="100"/>
      <c r="Q23" s="100"/>
      <c r="R23" s="100"/>
      <c r="S23" s="100">
        <v>76</v>
      </c>
      <c r="T23" s="99">
        <v>28988.17</v>
      </c>
      <c r="U23" s="99">
        <v>2664.32</v>
      </c>
      <c r="V23" s="99">
        <v>7500.62</v>
      </c>
      <c r="W23" s="99">
        <v>13084.45</v>
      </c>
      <c r="X23" s="99">
        <v>5738.78</v>
      </c>
      <c r="Y23" s="99"/>
      <c r="Z23" s="99"/>
      <c r="AA23" s="99"/>
      <c r="AB23" s="99"/>
    </row>
    <row r="24" spans="1:28" x14ac:dyDescent="0.2">
      <c r="A24" s="102">
        <v>430.18284210526315</v>
      </c>
      <c r="B24" s="58"/>
      <c r="C24" s="58"/>
      <c r="D24" s="58">
        <v>32</v>
      </c>
      <c r="E24" s="58">
        <v>1037.9000000000001</v>
      </c>
      <c r="F24" s="58">
        <v>722</v>
      </c>
      <c r="G24" s="58">
        <v>624</v>
      </c>
      <c r="H24" s="58">
        <v>422</v>
      </c>
      <c r="I24" s="58"/>
      <c r="J24" s="58">
        <v>2837.9</v>
      </c>
      <c r="K24" s="100"/>
      <c r="L24" s="100">
        <v>10</v>
      </c>
      <c r="M24" s="100">
        <v>10</v>
      </c>
      <c r="N24" s="100">
        <v>40</v>
      </c>
      <c r="O24" s="100">
        <v>35</v>
      </c>
      <c r="P24" s="100"/>
      <c r="Q24" s="100"/>
      <c r="R24" s="100"/>
      <c r="S24" s="100">
        <v>95</v>
      </c>
      <c r="T24" s="99">
        <v>40867.370000000003</v>
      </c>
      <c r="U24" s="99"/>
      <c r="V24" s="99">
        <v>5044.32</v>
      </c>
      <c r="W24" s="99">
        <v>6984.5</v>
      </c>
      <c r="X24" s="99">
        <v>14886.76</v>
      </c>
      <c r="Y24" s="99">
        <v>13597.01</v>
      </c>
      <c r="Z24" s="99">
        <v>354.78</v>
      </c>
      <c r="AA24" s="99"/>
      <c r="AB24" s="99"/>
    </row>
    <row r="25" spans="1:28" x14ac:dyDescent="0.2">
      <c r="A25" s="102">
        <v>437.91562189054724</v>
      </c>
      <c r="B25" s="58"/>
      <c r="C25" s="58">
        <v>1176</v>
      </c>
      <c r="D25" s="58">
        <v>188</v>
      </c>
      <c r="E25" s="58">
        <v>96</v>
      </c>
      <c r="F25" s="58">
        <v>1520</v>
      </c>
      <c r="G25" s="58">
        <v>350</v>
      </c>
      <c r="H25" s="58">
        <v>380</v>
      </c>
      <c r="I25" s="58">
        <v>1368</v>
      </c>
      <c r="J25" s="58">
        <v>5078</v>
      </c>
      <c r="K25" s="100">
        <v>52</v>
      </c>
      <c r="L25" s="100">
        <v>20</v>
      </c>
      <c r="M25" s="100">
        <v>17</v>
      </c>
      <c r="N25" s="100">
        <v>44</v>
      </c>
      <c r="O25" s="100">
        <v>8</v>
      </c>
      <c r="P25" s="100">
        <v>11</v>
      </c>
      <c r="Q25" s="100">
        <v>49</v>
      </c>
      <c r="R25" s="100"/>
      <c r="S25" s="100">
        <v>201</v>
      </c>
      <c r="T25" s="99">
        <v>88021.04</v>
      </c>
      <c r="U25" s="99">
        <v>21955.63</v>
      </c>
      <c r="V25" s="99">
        <v>7756.19</v>
      </c>
      <c r="W25" s="99">
        <v>6818.36</v>
      </c>
      <c r="X25" s="99">
        <v>23282.49</v>
      </c>
      <c r="Y25" s="99">
        <v>2722.04</v>
      </c>
      <c r="Z25" s="99">
        <v>4022.46</v>
      </c>
      <c r="AA25" s="99">
        <v>21463.87</v>
      </c>
      <c r="AB25" s="99"/>
    </row>
    <row r="26" spans="1:28" x14ac:dyDescent="0.2">
      <c r="A26" s="102">
        <v>445.91171428571431</v>
      </c>
      <c r="B26" s="58">
        <v>98</v>
      </c>
      <c r="C26" s="58">
        <v>64</v>
      </c>
      <c r="D26" s="58">
        <v>38</v>
      </c>
      <c r="E26" s="58">
        <v>38</v>
      </c>
      <c r="F26" s="58">
        <v>108</v>
      </c>
      <c r="G26" s="58">
        <v>316</v>
      </c>
      <c r="H26" s="58">
        <v>438</v>
      </c>
      <c r="I26" s="58">
        <v>358</v>
      </c>
      <c r="J26" s="58">
        <v>1458</v>
      </c>
      <c r="K26" s="100">
        <v>14</v>
      </c>
      <c r="L26" s="100">
        <v>13</v>
      </c>
      <c r="M26" s="100">
        <v>19</v>
      </c>
      <c r="N26" s="100">
        <v>5</v>
      </c>
      <c r="O26" s="100">
        <v>6</v>
      </c>
      <c r="P26" s="100">
        <v>3</v>
      </c>
      <c r="Q26" s="100">
        <v>5</v>
      </c>
      <c r="R26" s="100">
        <v>5</v>
      </c>
      <c r="S26" s="100">
        <v>70</v>
      </c>
      <c r="T26" s="99">
        <v>31213.82</v>
      </c>
      <c r="U26" s="99">
        <v>5709.17</v>
      </c>
      <c r="V26" s="99">
        <v>7112.24</v>
      </c>
      <c r="W26" s="99">
        <v>8572.2099999999991</v>
      </c>
      <c r="X26" s="99">
        <v>2468.6999999999998</v>
      </c>
      <c r="Y26" s="99">
        <v>2061.96</v>
      </c>
      <c r="Z26" s="99">
        <v>1195.72</v>
      </c>
      <c r="AA26" s="99">
        <v>1867.84</v>
      </c>
      <c r="AB26" s="99">
        <v>2225.98</v>
      </c>
    </row>
    <row r="27" spans="1:28" x14ac:dyDescent="0.2">
      <c r="A27" s="102">
        <v>465.58600000000001</v>
      </c>
      <c r="B27" s="58">
        <v>600</v>
      </c>
      <c r="C27" s="58"/>
      <c r="D27" s="58"/>
      <c r="E27" s="58">
        <v>14</v>
      </c>
      <c r="F27" s="58">
        <v>34</v>
      </c>
      <c r="G27" s="58">
        <v>600</v>
      </c>
      <c r="H27" s="58"/>
      <c r="I27" s="58">
        <v>18</v>
      </c>
      <c r="J27" s="58">
        <v>1266</v>
      </c>
      <c r="K27" s="100"/>
      <c r="L27" s="100"/>
      <c r="M27" s="100">
        <v>10</v>
      </c>
      <c r="N27" s="100"/>
      <c r="O27" s="100"/>
      <c r="P27" s="100"/>
      <c r="Q27" s="100"/>
      <c r="R27" s="100">
        <v>15</v>
      </c>
      <c r="S27" s="100">
        <v>25</v>
      </c>
      <c r="T27" s="99">
        <v>11639.65</v>
      </c>
      <c r="U27" s="99">
        <v>79.02</v>
      </c>
      <c r="V27" s="99"/>
      <c r="W27" s="99">
        <v>5066.3999999999996</v>
      </c>
      <c r="X27" s="99">
        <v>285.49</v>
      </c>
      <c r="Y27" s="99">
        <v>71.19</v>
      </c>
      <c r="Z27" s="99"/>
      <c r="AA27" s="99"/>
      <c r="AB27" s="99">
        <v>6137.55</v>
      </c>
    </row>
    <row r="28" spans="1:28" x14ac:dyDescent="0.2">
      <c r="A28" s="102">
        <v>466.15252173913041</v>
      </c>
      <c r="B28" s="58">
        <v>118</v>
      </c>
      <c r="C28" s="58">
        <v>286</v>
      </c>
      <c r="D28" s="58">
        <v>130</v>
      </c>
      <c r="E28" s="58">
        <v>1440</v>
      </c>
      <c r="F28" s="58">
        <v>228</v>
      </c>
      <c r="G28" s="58">
        <v>1080</v>
      </c>
      <c r="H28" s="58">
        <v>164</v>
      </c>
      <c r="I28" s="58"/>
      <c r="J28" s="58">
        <v>3446</v>
      </c>
      <c r="K28" s="100"/>
      <c r="L28" s="100"/>
      <c r="M28" s="100">
        <v>60</v>
      </c>
      <c r="N28" s="100"/>
      <c r="O28" s="100">
        <v>50</v>
      </c>
      <c r="P28" s="100"/>
      <c r="Q28" s="100">
        <v>5</v>
      </c>
      <c r="R28" s="100"/>
      <c r="S28" s="100">
        <v>115</v>
      </c>
      <c r="T28" s="99">
        <v>53607.54</v>
      </c>
      <c r="U28" s="99"/>
      <c r="V28" s="99">
        <v>1160.24</v>
      </c>
      <c r="W28" s="99">
        <v>24181.56</v>
      </c>
      <c r="X28" s="99">
        <v>1559.84</v>
      </c>
      <c r="Y28" s="99">
        <v>20804.490000000002</v>
      </c>
      <c r="Z28" s="99">
        <v>807.83</v>
      </c>
      <c r="AA28" s="99">
        <v>3760.63</v>
      </c>
      <c r="AB28" s="99">
        <v>1332.95</v>
      </c>
    </row>
    <row r="29" spans="1:28" x14ac:dyDescent="0.2">
      <c r="A29" s="102">
        <v>470.59727272727275</v>
      </c>
      <c r="B29" s="58"/>
      <c r="C29" s="58"/>
      <c r="D29" s="58"/>
      <c r="E29" s="58"/>
      <c r="F29" s="58"/>
      <c r="G29" s="58"/>
      <c r="H29" s="58"/>
      <c r="I29" s="58">
        <v>383.2</v>
      </c>
      <c r="J29" s="58">
        <v>383.2</v>
      </c>
      <c r="K29" s="100">
        <v>11</v>
      </c>
      <c r="L29" s="100"/>
      <c r="M29" s="100"/>
      <c r="N29" s="100"/>
      <c r="O29" s="100"/>
      <c r="P29" s="100"/>
      <c r="Q29" s="100"/>
      <c r="R29" s="100"/>
      <c r="S29" s="100">
        <v>11</v>
      </c>
      <c r="T29" s="99">
        <v>5176.57</v>
      </c>
      <c r="U29" s="99">
        <v>5176.57</v>
      </c>
      <c r="V29" s="99"/>
      <c r="W29" s="99"/>
      <c r="X29" s="99"/>
      <c r="Y29" s="99"/>
      <c r="Z29" s="99"/>
      <c r="AA29" s="99"/>
      <c r="AB29" s="99"/>
    </row>
    <row r="30" spans="1:28" x14ac:dyDescent="0.2">
      <c r="A30" s="102">
        <v>472.93916666666667</v>
      </c>
      <c r="B30" s="58"/>
      <c r="C30" s="58"/>
      <c r="D30" s="58">
        <v>90</v>
      </c>
      <c r="E30" s="58"/>
      <c r="F30" s="58"/>
      <c r="G30" s="58">
        <v>24</v>
      </c>
      <c r="H30" s="58"/>
      <c r="I30" s="58"/>
      <c r="J30" s="58">
        <v>114</v>
      </c>
      <c r="K30" s="100"/>
      <c r="L30" s="100"/>
      <c r="M30" s="100">
        <v>3</v>
      </c>
      <c r="N30" s="100"/>
      <c r="O30" s="100"/>
      <c r="P30" s="100">
        <v>9</v>
      </c>
      <c r="Q30" s="100"/>
      <c r="R30" s="100"/>
      <c r="S30" s="100">
        <v>12</v>
      </c>
      <c r="T30" s="99">
        <v>5675.27</v>
      </c>
      <c r="U30" s="99"/>
      <c r="V30" s="99"/>
      <c r="W30" s="99">
        <v>1434.93</v>
      </c>
      <c r="X30" s="99"/>
      <c r="Y30" s="99"/>
      <c r="Z30" s="99">
        <v>4240.34</v>
      </c>
      <c r="AA30" s="99"/>
      <c r="AB30" s="99"/>
    </row>
    <row r="31" spans="1:28" x14ac:dyDescent="0.2">
      <c r="A31" s="102">
        <v>530.07843243243246</v>
      </c>
      <c r="B31" s="58">
        <v>956</v>
      </c>
      <c r="C31" s="58">
        <v>1168</v>
      </c>
      <c r="D31" s="58">
        <v>1136</v>
      </c>
      <c r="E31" s="58">
        <v>244</v>
      </c>
      <c r="F31" s="58">
        <v>1300</v>
      </c>
      <c r="G31" s="58">
        <v>1884</v>
      </c>
      <c r="H31" s="58">
        <v>1368</v>
      </c>
      <c r="I31" s="58">
        <v>1124</v>
      </c>
      <c r="J31" s="58">
        <v>9180</v>
      </c>
      <c r="K31" s="100">
        <v>23</v>
      </c>
      <c r="L31" s="100">
        <v>30</v>
      </c>
      <c r="M31" s="100">
        <v>41</v>
      </c>
      <c r="N31" s="100">
        <v>29</v>
      </c>
      <c r="O31" s="100">
        <v>9</v>
      </c>
      <c r="P31" s="100">
        <v>15</v>
      </c>
      <c r="Q31" s="100">
        <v>23</v>
      </c>
      <c r="R31" s="100">
        <v>15</v>
      </c>
      <c r="S31" s="100">
        <v>185</v>
      </c>
      <c r="T31" s="99">
        <v>98064.51</v>
      </c>
      <c r="U31" s="99">
        <v>11385.95</v>
      </c>
      <c r="V31" s="99">
        <v>15567.26</v>
      </c>
      <c r="W31" s="99">
        <v>20227.59</v>
      </c>
      <c r="X31" s="99">
        <v>14546.29</v>
      </c>
      <c r="Y31" s="99">
        <v>3635.35</v>
      </c>
      <c r="Z31" s="99">
        <v>10450.25</v>
      </c>
      <c r="AA31" s="99">
        <v>12504.31</v>
      </c>
      <c r="AB31" s="99">
        <v>9747.51</v>
      </c>
    </row>
    <row r="32" spans="1:28" x14ac:dyDescent="0.2">
      <c r="A32" s="102">
        <v>569.83600000000001</v>
      </c>
      <c r="B32" s="58"/>
      <c r="C32" s="58"/>
      <c r="D32" s="58">
        <v>76</v>
      </c>
      <c r="E32" s="58"/>
      <c r="F32" s="58"/>
      <c r="G32" s="58"/>
      <c r="H32" s="58"/>
      <c r="I32" s="58"/>
      <c r="J32" s="58">
        <v>76</v>
      </c>
      <c r="K32" s="100"/>
      <c r="L32" s="100"/>
      <c r="M32" s="100"/>
      <c r="N32" s="100"/>
      <c r="O32" s="100"/>
      <c r="P32" s="100">
        <v>5</v>
      </c>
      <c r="Q32" s="100"/>
      <c r="R32" s="100"/>
      <c r="S32" s="100">
        <v>5</v>
      </c>
      <c r="T32" s="99">
        <v>2849.18</v>
      </c>
      <c r="U32" s="99"/>
      <c r="V32" s="99"/>
      <c r="W32" s="99"/>
      <c r="X32" s="99"/>
      <c r="Y32" s="99"/>
      <c r="Z32" s="99">
        <v>2849.18</v>
      </c>
      <c r="AA32" s="99"/>
      <c r="AB32" s="99"/>
    </row>
    <row r="33" spans="1:28" x14ac:dyDescent="0.2">
      <c r="A33" s="102">
        <v>603.55409655172411</v>
      </c>
      <c r="B33" s="58">
        <v>9472</v>
      </c>
      <c r="C33" s="58">
        <v>2150</v>
      </c>
      <c r="D33" s="58">
        <v>13454</v>
      </c>
      <c r="E33" s="58">
        <v>7674</v>
      </c>
      <c r="F33" s="58">
        <v>7110</v>
      </c>
      <c r="G33" s="58">
        <v>4262</v>
      </c>
      <c r="H33" s="58">
        <v>1536</v>
      </c>
      <c r="I33" s="58"/>
      <c r="J33" s="58">
        <v>45658</v>
      </c>
      <c r="K33" s="100"/>
      <c r="L33" s="100"/>
      <c r="M33" s="100">
        <v>105</v>
      </c>
      <c r="N33" s="100">
        <v>190</v>
      </c>
      <c r="O33" s="100">
        <v>100</v>
      </c>
      <c r="P33" s="100">
        <v>230</v>
      </c>
      <c r="Q33" s="100"/>
      <c r="R33" s="100">
        <v>100</v>
      </c>
      <c r="S33" s="100">
        <v>725</v>
      </c>
      <c r="T33" s="99">
        <v>437576.72</v>
      </c>
      <c r="U33" s="99"/>
      <c r="V33" s="99">
        <v>14616.96</v>
      </c>
      <c r="W33" s="99">
        <v>58065.41</v>
      </c>
      <c r="X33" s="99">
        <v>93629.01</v>
      </c>
      <c r="Y33" s="99">
        <v>58986.53</v>
      </c>
      <c r="Z33" s="99">
        <v>112711.4</v>
      </c>
      <c r="AA33" s="99">
        <v>26317.86</v>
      </c>
      <c r="AB33" s="99">
        <v>73249.55</v>
      </c>
    </row>
    <row r="34" spans="1:28" x14ac:dyDescent="0.2">
      <c r="A34" s="102">
        <v>607.34069090909088</v>
      </c>
      <c r="B34" s="58"/>
      <c r="C34" s="58">
        <v>350</v>
      </c>
      <c r="D34" s="58">
        <v>750</v>
      </c>
      <c r="E34" s="58">
        <v>526</v>
      </c>
      <c r="F34" s="58">
        <v>498</v>
      </c>
      <c r="G34" s="58">
        <v>720</v>
      </c>
      <c r="H34" s="58">
        <v>604</v>
      </c>
      <c r="I34" s="58">
        <v>616</v>
      </c>
      <c r="J34" s="58">
        <v>4064</v>
      </c>
      <c r="K34" s="100">
        <v>37</v>
      </c>
      <c r="L34" s="100">
        <v>43</v>
      </c>
      <c r="M34" s="100">
        <v>22</v>
      </c>
      <c r="N34" s="100">
        <v>38</v>
      </c>
      <c r="O34" s="100">
        <v>36</v>
      </c>
      <c r="P34" s="100">
        <v>70</v>
      </c>
      <c r="Q34" s="100">
        <v>29</v>
      </c>
      <c r="R34" s="100"/>
      <c r="S34" s="100">
        <v>275</v>
      </c>
      <c r="T34" s="99">
        <v>167018.69</v>
      </c>
      <c r="U34" s="99">
        <v>16214.58</v>
      </c>
      <c r="V34" s="99">
        <v>35966.11</v>
      </c>
      <c r="W34" s="99">
        <v>22165.79</v>
      </c>
      <c r="X34" s="99">
        <v>21962.28</v>
      </c>
      <c r="Y34" s="99">
        <v>15513.6</v>
      </c>
      <c r="Z34" s="99">
        <v>38367.480000000003</v>
      </c>
      <c r="AA34" s="99">
        <v>16828.849999999999</v>
      </c>
      <c r="AB34" s="99"/>
    </row>
    <row r="35" spans="1:28" x14ac:dyDescent="0.2">
      <c r="A35" s="102">
        <v>644.28393939393936</v>
      </c>
      <c r="B35" s="58"/>
      <c r="C35" s="58"/>
      <c r="D35" s="58">
        <v>76</v>
      </c>
      <c r="E35" s="58">
        <v>1386</v>
      </c>
      <c r="F35" s="58">
        <v>1634</v>
      </c>
      <c r="G35" s="58">
        <v>482</v>
      </c>
      <c r="H35" s="58">
        <v>1532</v>
      </c>
      <c r="I35" s="58"/>
      <c r="J35" s="58">
        <v>5110</v>
      </c>
      <c r="K35" s="100"/>
      <c r="L35" s="100">
        <v>16</v>
      </c>
      <c r="M35" s="100">
        <v>15</v>
      </c>
      <c r="N35" s="100">
        <v>40</v>
      </c>
      <c r="O35" s="100">
        <v>28</v>
      </c>
      <c r="P35" s="100"/>
      <c r="Q35" s="100"/>
      <c r="R35" s="100"/>
      <c r="S35" s="100">
        <v>99</v>
      </c>
      <c r="T35" s="99">
        <v>63784.11</v>
      </c>
      <c r="U35" s="99"/>
      <c r="V35" s="99">
        <v>13598.78</v>
      </c>
      <c r="W35" s="99">
        <v>7890.42</v>
      </c>
      <c r="X35" s="99">
        <v>24597.26</v>
      </c>
      <c r="Y35" s="99">
        <v>16988.07</v>
      </c>
      <c r="Z35" s="99">
        <v>709.58</v>
      </c>
      <c r="AA35" s="99"/>
      <c r="AB35" s="99"/>
    </row>
    <row r="36" spans="1:28" x14ac:dyDescent="0.2">
      <c r="A36" s="102">
        <v>657.29250000000002</v>
      </c>
      <c r="B36" s="58">
        <v>8</v>
      </c>
      <c r="C36" s="58"/>
      <c r="D36" s="58">
        <v>28</v>
      </c>
      <c r="E36" s="58"/>
      <c r="F36" s="58">
        <v>24</v>
      </c>
      <c r="G36" s="58">
        <v>4</v>
      </c>
      <c r="H36" s="58">
        <v>24</v>
      </c>
      <c r="I36" s="58">
        <v>26</v>
      </c>
      <c r="J36" s="58">
        <v>114</v>
      </c>
      <c r="K36" s="100">
        <v>1</v>
      </c>
      <c r="L36" s="100">
        <v>1</v>
      </c>
      <c r="M36" s="100">
        <v>1</v>
      </c>
      <c r="N36" s="100">
        <v>1</v>
      </c>
      <c r="O36" s="100"/>
      <c r="P36" s="100">
        <v>2</v>
      </c>
      <c r="Q36" s="100"/>
      <c r="R36" s="100">
        <v>2</v>
      </c>
      <c r="S36" s="100">
        <v>8</v>
      </c>
      <c r="T36" s="99">
        <v>5258.34</v>
      </c>
      <c r="U36" s="99">
        <v>945.17</v>
      </c>
      <c r="V36" s="99">
        <v>899.03</v>
      </c>
      <c r="W36" s="99">
        <v>411.82</v>
      </c>
      <c r="X36" s="99">
        <v>916.42</v>
      </c>
      <c r="Y36" s="99"/>
      <c r="Z36" s="99">
        <v>1335.53</v>
      </c>
      <c r="AA36" s="99"/>
      <c r="AB36" s="99">
        <v>750.37</v>
      </c>
    </row>
    <row r="37" spans="1:28" x14ac:dyDescent="0.2">
      <c r="A37" s="102">
        <v>675.62465517241378</v>
      </c>
      <c r="B37" s="58">
        <v>716</v>
      </c>
      <c r="C37" s="58">
        <v>32</v>
      </c>
      <c r="D37" s="58">
        <v>890</v>
      </c>
      <c r="E37" s="58">
        <v>72</v>
      </c>
      <c r="F37" s="58">
        <v>846</v>
      </c>
      <c r="G37" s="58">
        <v>449</v>
      </c>
      <c r="H37" s="58">
        <v>990</v>
      </c>
      <c r="I37" s="58"/>
      <c r="J37" s="58">
        <v>3995</v>
      </c>
      <c r="K37" s="100"/>
      <c r="L37" s="100">
        <v>15</v>
      </c>
      <c r="M37" s="100">
        <v>12</v>
      </c>
      <c r="N37" s="100">
        <v>11</v>
      </c>
      <c r="O37" s="100"/>
      <c r="P37" s="100">
        <v>15</v>
      </c>
      <c r="Q37" s="100"/>
      <c r="R37" s="100">
        <v>5</v>
      </c>
      <c r="S37" s="100">
        <v>58</v>
      </c>
      <c r="T37" s="99">
        <v>39186.230000000003</v>
      </c>
      <c r="U37" s="99"/>
      <c r="V37" s="99">
        <v>9014.25</v>
      </c>
      <c r="W37" s="99">
        <v>7631.71</v>
      </c>
      <c r="X37" s="99">
        <v>7593.19</v>
      </c>
      <c r="Y37" s="99">
        <v>861.12</v>
      </c>
      <c r="Z37" s="99">
        <v>8665.75</v>
      </c>
      <c r="AA37" s="99">
        <v>183.04</v>
      </c>
      <c r="AB37" s="99">
        <v>5237.17</v>
      </c>
    </row>
    <row r="38" spans="1:28" x14ac:dyDescent="0.2">
      <c r="A38" s="102">
        <v>688.78875555555555</v>
      </c>
      <c r="B38" s="58">
        <v>2110</v>
      </c>
      <c r="C38" s="58">
        <v>1776</v>
      </c>
      <c r="D38" s="58">
        <v>1908</v>
      </c>
      <c r="E38" s="58">
        <v>1692</v>
      </c>
      <c r="F38" s="58">
        <v>3180</v>
      </c>
      <c r="G38" s="58">
        <v>260</v>
      </c>
      <c r="H38" s="58">
        <v>3610</v>
      </c>
      <c r="I38" s="58"/>
      <c r="J38" s="58">
        <v>14536</v>
      </c>
      <c r="K38" s="100"/>
      <c r="L38" s="100">
        <v>50</v>
      </c>
      <c r="M38" s="100"/>
      <c r="N38" s="100">
        <v>75</v>
      </c>
      <c r="O38" s="100">
        <v>25</v>
      </c>
      <c r="P38" s="100">
        <v>25</v>
      </c>
      <c r="Q38" s="100">
        <v>25</v>
      </c>
      <c r="R38" s="100">
        <v>25</v>
      </c>
      <c r="S38" s="100">
        <v>225</v>
      </c>
      <c r="T38" s="99">
        <v>154977.47</v>
      </c>
      <c r="U38" s="99"/>
      <c r="V38" s="99">
        <v>34022.43</v>
      </c>
      <c r="W38" s="99">
        <v>11631.82</v>
      </c>
      <c r="X38" s="99">
        <v>41804.769999999997</v>
      </c>
      <c r="Y38" s="99">
        <v>15080.32</v>
      </c>
      <c r="Z38" s="99">
        <v>17078.41</v>
      </c>
      <c r="AA38" s="99">
        <v>15744.24</v>
      </c>
      <c r="AB38" s="99">
        <v>19615.48</v>
      </c>
    </row>
    <row r="39" spans="1:28" x14ac:dyDescent="0.2">
      <c r="A39" s="102">
        <v>726.14107142857142</v>
      </c>
      <c r="B39" s="58"/>
      <c r="C39" s="58"/>
      <c r="D39" s="58"/>
      <c r="E39" s="58"/>
      <c r="F39" s="58"/>
      <c r="G39" s="58"/>
      <c r="H39" s="58">
        <v>488</v>
      </c>
      <c r="I39" s="58">
        <v>932.8</v>
      </c>
      <c r="J39" s="58">
        <v>1420.8</v>
      </c>
      <c r="K39" s="100">
        <v>27</v>
      </c>
      <c r="L39" s="100">
        <v>1</v>
      </c>
      <c r="M39" s="100"/>
      <c r="N39" s="100"/>
      <c r="O39" s="100"/>
      <c r="P39" s="100"/>
      <c r="Q39" s="100"/>
      <c r="R39" s="100"/>
      <c r="S39" s="100">
        <v>28</v>
      </c>
      <c r="T39" s="99">
        <v>20331.95</v>
      </c>
      <c r="U39" s="99">
        <v>17566.919999999998</v>
      </c>
      <c r="V39" s="99">
        <v>2765.03</v>
      </c>
      <c r="W39" s="99"/>
      <c r="X39" s="99"/>
      <c r="Y39" s="99"/>
      <c r="Z39" s="99"/>
      <c r="AA39" s="99"/>
      <c r="AB39" s="99"/>
    </row>
    <row r="40" spans="1:28" x14ac:dyDescent="0.2">
      <c r="A40" s="102">
        <v>764.33825000000002</v>
      </c>
      <c r="B40" s="58"/>
      <c r="C40" s="58"/>
      <c r="D40" s="58"/>
      <c r="E40" s="58">
        <v>-340</v>
      </c>
      <c r="F40" s="58">
        <v>1226</v>
      </c>
      <c r="G40" s="58">
        <v>784</v>
      </c>
      <c r="H40" s="58">
        <v>1052</v>
      </c>
      <c r="I40" s="58"/>
      <c r="J40" s="58">
        <v>2722</v>
      </c>
      <c r="K40" s="100"/>
      <c r="L40" s="100">
        <v>10</v>
      </c>
      <c r="M40" s="100">
        <v>10</v>
      </c>
      <c r="N40" s="100">
        <v>20</v>
      </c>
      <c r="O40" s="100"/>
      <c r="P40" s="100"/>
      <c r="Q40" s="100"/>
      <c r="R40" s="100"/>
      <c r="S40" s="100">
        <v>40</v>
      </c>
      <c r="T40" s="99">
        <v>30573.53</v>
      </c>
      <c r="U40" s="99"/>
      <c r="V40" s="99">
        <v>9418.98</v>
      </c>
      <c r="W40" s="99">
        <v>8075.6</v>
      </c>
      <c r="X40" s="99">
        <v>14229.84</v>
      </c>
      <c r="Y40" s="99">
        <v>-1150.8900000000001</v>
      </c>
      <c r="Z40" s="99"/>
      <c r="AA40" s="99"/>
      <c r="AB40" s="99"/>
    </row>
    <row r="41" spans="1:28" x14ac:dyDescent="0.2">
      <c r="A41" s="102">
        <v>771.95901129943502</v>
      </c>
      <c r="B41" s="58"/>
      <c r="C41" s="58">
        <v>1569.8</v>
      </c>
      <c r="D41" s="58">
        <v>1854.4</v>
      </c>
      <c r="E41" s="58">
        <v>1166.5999999999999</v>
      </c>
      <c r="F41" s="58">
        <v>1455.8</v>
      </c>
      <c r="G41" s="58">
        <v>1629.4</v>
      </c>
      <c r="H41" s="58">
        <v>1203.8</v>
      </c>
      <c r="I41" s="58">
        <v>3495.8</v>
      </c>
      <c r="J41" s="58">
        <v>12375.6</v>
      </c>
      <c r="K41" s="100">
        <v>80</v>
      </c>
      <c r="L41" s="100">
        <v>44</v>
      </c>
      <c r="M41" s="100">
        <v>47</v>
      </c>
      <c r="N41" s="100">
        <v>54</v>
      </c>
      <c r="O41" s="100">
        <v>46</v>
      </c>
      <c r="P41" s="100">
        <v>36</v>
      </c>
      <c r="Q41" s="100">
        <v>47</v>
      </c>
      <c r="R41" s="100"/>
      <c r="S41" s="100">
        <v>354</v>
      </c>
      <c r="T41" s="99">
        <v>273273.49</v>
      </c>
      <c r="U41" s="99">
        <v>75201.240000000005</v>
      </c>
      <c r="V41" s="99">
        <v>27351.7</v>
      </c>
      <c r="W41" s="99">
        <v>25822.99</v>
      </c>
      <c r="X41" s="99">
        <v>35089.03</v>
      </c>
      <c r="Y41" s="99">
        <v>27074.97</v>
      </c>
      <c r="Z41" s="99">
        <v>35512.61</v>
      </c>
      <c r="AA41" s="99">
        <v>47220.95</v>
      </c>
      <c r="AB41" s="99"/>
    </row>
    <row r="42" spans="1:28" x14ac:dyDescent="0.2">
      <c r="A42" s="102">
        <v>917.8887666666667</v>
      </c>
      <c r="B42" s="58">
        <v>5272</v>
      </c>
      <c r="C42" s="58">
        <v>5270</v>
      </c>
      <c r="D42" s="58">
        <v>5216</v>
      </c>
      <c r="E42" s="58">
        <v>4292</v>
      </c>
      <c r="F42" s="58">
        <v>3480</v>
      </c>
      <c r="G42" s="58">
        <v>4822</v>
      </c>
      <c r="H42" s="58">
        <v>390</v>
      </c>
      <c r="I42" s="58"/>
      <c r="J42" s="58">
        <v>28742</v>
      </c>
      <c r="K42" s="100"/>
      <c r="L42" s="100"/>
      <c r="M42" s="100">
        <v>50</v>
      </c>
      <c r="N42" s="100">
        <v>50</v>
      </c>
      <c r="O42" s="100">
        <v>50</v>
      </c>
      <c r="P42" s="100">
        <v>50</v>
      </c>
      <c r="Q42" s="100">
        <v>50</v>
      </c>
      <c r="R42" s="100">
        <v>50</v>
      </c>
      <c r="S42" s="100">
        <v>300</v>
      </c>
      <c r="T42" s="99">
        <v>275366.63</v>
      </c>
      <c r="U42" s="99"/>
      <c r="V42" s="99">
        <v>4576.53</v>
      </c>
      <c r="W42" s="99">
        <v>42395.13</v>
      </c>
      <c r="X42" s="99">
        <v>47314.76</v>
      </c>
      <c r="Y42" s="99">
        <v>40551.370000000003</v>
      </c>
      <c r="Z42" s="99">
        <v>46492.12</v>
      </c>
      <c r="AA42" s="99">
        <v>46488.17</v>
      </c>
      <c r="AB42" s="99">
        <v>47548.55</v>
      </c>
    </row>
    <row r="43" spans="1:28" x14ac:dyDescent="0.2">
      <c r="A43" s="102">
        <v>918.81</v>
      </c>
      <c r="B43" s="58"/>
      <c r="C43" s="58"/>
      <c r="D43" s="58">
        <v>52</v>
      </c>
      <c r="E43" s="58"/>
      <c r="F43" s="58"/>
      <c r="G43" s="58"/>
      <c r="H43" s="58"/>
      <c r="I43" s="58"/>
      <c r="J43" s="58">
        <v>52</v>
      </c>
      <c r="K43" s="100"/>
      <c r="L43" s="100"/>
      <c r="M43" s="100"/>
      <c r="N43" s="100"/>
      <c r="O43" s="100"/>
      <c r="P43" s="100">
        <v>2</v>
      </c>
      <c r="Q43" s="100"/>
      <c r="R43" s="100"/>
      <c r="S43" s="100">
        <v>2</v>
      </c>
      <c r="T43" s="99">
        <v>1837.62</v>
      </c>
      <c r="U43" s="99"/>
      <c r="V43" s="99"/>
      <c r="W43" s="99"/>
      <c r="X43" s="99"/>
      <c r="Y43" s="99"/>
      <c r="Z43" s="99">
        <v>1837.62</v>
      </c>
      <c r="AA43" s="99"/>
      <c r="AB43" s="99"/>
    </row>
    <row r="44" spans="1:28" x14ac:dyDescent="0.2">
      <c r="A44" s="102">
        <v>1019.064</v>
      </c>
      <c r="B44" s="58">
        <v>138</v>
      </c>
      <c r="C44" s="58">
        <v>98</v>
      </c>
      <c r="D44" s="58">
        <v>3500</v>
      </c>
      <c r="E44" s="58">
        <v>16</v>
      </c>
      <c r="F44" s="58"/>
      <c r="G44" s="58">
        <v>82</v>
      </c>
      <c r="H44" s="58">
        <v>8</v>
      </c>
      <c r="I44" s="58"/>
      <c r="J44" s="58">
        <v>3842</v>
      </c>
      <c r="K44" s="100"/>
      <c r="L44" s="100"/>
      <c r="M44" s="100"/>
      <c r="N44" s="100"/>
      <c r="O44" s="100"/>
      <c r="P44" s="100">
        <v>30</v>
      </c>
      <c r="Q44" s="100"/>
      <c r="R44" s="100"/>
      <c r="S44" s="100">
        <v>30</v>
      </c>
      <c r="T44" s="99">
        <v>30571.919999999998</v>
      </c>
      <c r="U44" s="99"/>
      <c r="V44" s="99">
        <v>641</v>
      </c>
      <c r="W44" s="99">
        <v>1133.53</v>
      </c>
      <c r="X44" s="99"/>
      <c r="Y44" s="99">
        <v>501.52</v>
      </c>
      <c r="Z44" s="99">
        <v>26542.3</v>
      </c>
      <c r="AA44" s="99">
        <v>841.45</v>
      </c>
      <c r="AB44" s="99">
        <v>912.12</v>
      </c>
    </row>
    <row r="45" spans="1:28" x14ac:dyDescent="0.2">
      <c r="A45" s="102">
        <v>11583.605</v>
      </c>
      <c r="B45" s="58"/>
      <c r="C45" s="58"/>
      <c r="D45" s="58"/>
      <c r="E45" s="58"/>
      <c r="F45" s="58"/>
      <c r="G45" s="58"/>
      <c r="H45" s="58">
        <v>750</v>
      </c>
      <c r="I45" s="58">
        <v>1024</v>
      </c>
      <c r="J45" s="58">
        <v>1774</v>
      </c>
      <c r="K45" s="100">
        <v>2</v>
      </c>
      <c r="L45" s="100"/>
      <c r="M45" s="100"/>
      <c r="N45" s="100"/>
      <c r="O45" s="100"/>
      <c r="P45" s="100"/>
      <c r="Q45" s="100"/>
      <c r="R45" s="100"/>
      <c r="S45" s="100">
        <v>2</v>
      </c>
      <c r="T45" s="99">
        <v>23167.21</v>
      </c>
      <c r="U45" s="99">
        <v>9748.41</v>
      </c>
      <c r="V45" s="99">
        <v>13418.8</v>
      </c>
      <c r="W45" s="99"/>
      <c r="X45" s="99"/>
      <c r="Y45" s="99"/>
      <c r="Z45" s="99"/>
      <c r="AA45" s="99"/>
      <c r="AB45" s="99"/>
    </row>
    <row r="46" spans="1:28" x14ac:dyDescent="0.2">
      <c r="A46" s="102" t="s">
        <v>33</v>
      </c>
      <c r="B46" s="58"/>
      <c r="C46" s="58"/>
      <c r="D46" s="58">
        <v>28</v>
      </c>
      <c r="E46" s="58">
        <v>74</v>
      </c>
      <c r="F46" s="58">
        <v>12</v>
      </c>
      <c r="G46" s="58">
        <v>242</v>
      </c>
      <c r="H46" s="58"/>
      <c r="I46" s="58">
        <v>108</v>
      </c>
      <c r="J46" s="58">
        <v>464</v>
      </c>
      <c r="K46" s="100"/>
      <c r="L46" s="100"/>
      <c r="M46" s="100"/>
      <c r="N46" s="100"/>
      <c r="O46" s="100"/>
      <c r="P46" s="100"/>
      <c r="Q46" s="100"/>
      <c r="R46" s="100"/>
      <c r="S46" s="100"/>
      <c r="T46" s="99">
        <v>8284.2899999999991</v>
      </c>
      <c r="U46" s="99">
        <v>2664.09</v>
      </c>
      <c r="V46" s="99">
        <v>390.62</v>
      </c>
      <c r="W46" s="99">
        <v>2107.7799999999997</v>
      </c>
      <c r="X46" s="99">
        <v>90.52</v>
      </c>
      <c r="Y46" s="99">
        <v>1606.36</v>
      </c>
      <c r="Z46" s="99">
        <v>1424.92</v>
      </c>
      <c r="AA46" s="99"/>
      <c r="AB46" s="99"/>
    </row>
    <row r="47" spans="1:28" x14ac:dyDescent="0.2">
      <c r="A47" s="101" t="s">
        <v>28</v>
      </c>
      <c r="B47" s="58">
        <v>7992.2</v>
      </c>
      <c r="C47" s="58">
        <v>209391.4</v>
      </c>
      <c r="D47" s="58">
        <v>177422.8</v>
      </c>
      <c r="E47" s="58">
        <v>122691.6</v>
      </c>
      <c r="F47" s="58">
        <v>96321</v>
      </c>
      <c r="G47" s="58">
        <v>217569.6</v>
      </c>
      <c r="H47" s="58">
        <v>122019.8</v>
      </c>
      <c r="I47" s="58">
        <v>128973.4</v>
      </c>
      <c r="J47" s="58">
        <v>1082381.8</v>
      </c>
      <c r="K47" s="100">
        <v>16632</v>
      </c>
      <c r="L47" s="100">
        <v>14031</v>
      </c>
      <c r="M47" s="100">
        <v>13764</v>
      </c>
      <c r="N47" s="100">
        <v>12098</v>
      </c>
      <c r="O47" s="100">
        <v>14246</v>
      </c>
      <c r="P47" s="100">
        <v>-1255</v>
      </c>
      <c r="Q47" s="100">
        <v>13924</v>
      </c>
      <c r="R47" s="100">
        <v>-880</v>
      </c>
      <c r="S47" s="100">
        <v>82560</v>
      </c>
      <c r="T47" s="99">
        <v>16149669.709999995</v>
      </c>
      <c r="U47" s="99">
        <v>3260677.939999999</v>
      </c>
      <c r="V47" s="99">
        <v>2490999.2500000005</v>
      </c>
      <c r="W47" s="99">
        <v>2342578.9899999998</v>
      </c>
      <c r="X47" s="99">
        <v>2370233.3399999994</v>
      </c>
      <c r="Y47" s="99">
        <v>2086369.4799999997</v>
      </c>
      <c r="Z47" s="99">
        <v>1297577.3500000006</v>
      </c>
      <c r="AA47" s="99">
        <v>2373771.9100000006</v>
      </c>
      <c r="AB47" s="99">
        <v>103999.16000000003</v>
      </c>
    </row>
    <row r="48" spans="1:28" x14ac:dyDescent="0.2">
      <c r="A48" s="102">
        <v>77.275948335923687</v>
      </c>
      <c r="B48" s="58"/>
      <c r="C48" s="58"/>
      <c r="D48" s="58"/>
      <c r="E48" s="58"/>
      <c r="F48" s="58"/>
      <c r="G48" s="58"/>
      <c r="H48" s="58"/>
      <c r="I48" s="58"/>
      <c r="J48" s="58"/>
      <c r="K48" s="100"/>
      <c r="L48" s="100"/>
      <c r="M48" s="100"/>
      <c r="N48" s="100"/>
      <c r="O48" s="100"/>
      <c r="P48" s="100">
        <v>-18425</v>
      </c>
      <c r="Q48" s="100">
        <v>-234</v>
      </c>
      <c r="R48" s="100"/>
      <c r="S48" s="100">
        <v>-18659</v>
      </c>
      <c r="T48" s="99">
        <v>-1441891.92</v>
      </c>
      <c r="U48" s="99"/>
      <c r="V48" s="99"/>
      <c r="W48" s="99"/>
      <c r="X48" s="99"/>
      <c r="Y48" s="99"/>
      <c r="Z48" s="99">
        <v>-1420011.73</v>
      </c>
      <c r="AA48" s="99">
        <v>-21880.19</v>
      </c>
      <c r="AB48" s="99"/>
    </row>
    <row r="49" spans="1:28" x14ac:dyDescent="0.2">
      <c r="A49" s="102">
        <v>123.51493301947923</v>
      </c>
      <c r="B49" s="58"/>
      <c r="C49" s="58">
        <v>172776</v>
      </c>
      <c r="D49" s="58">
        <v>145368</v>
      </c>
      <c r="E49" s="58">
        <v>89472</v>
      </c>
      <c r="F49" s="58">
        <v>62932</v>
      </c>
      <c r="G49" s="58">
        <v>185384</v>
      </c>
      <c r="H49" s="58">
        <v>81360</v>
      </c>
      <c r="I49" s="58">
        <v>59549</v>
      </c>
      <c r="J49" s="58">
        <v>796841</v>
      </c>
      <c r="K49" s="100">
        <v>10795</v>
      </c>
      <c r="L49" s="100">
        <v>10506</v>
      </c>
      <c r="M49" s="100">
        <v>11011</v>
      </c>
      <c r="N49" s="100">
        <v>9062</v>
      </c>
      <c r="O49" s="100">
        <v>11167</v>
      </c>
      <c r="P49" s="100">
        <v>13280</v>
      </c>
      <c r="Q49" s="100">
        <v>11369</v>
      </c>
      <c r="R49" s="100">
        <v>-1571</v>
      </c>
      <c r="S49" s="100">
        <v>75619</v>
      </c>
      <c r="T49" s="99">
        <v>9340075.7200000007</v>
      </c>
      <c r="U49" s="99">
        <v>1609133.27</v>
      </c>
      <c r="V49" s="99">
        <v>1185759.08</v>
      </c>
      <c r="W49" s="99">
        <v>1365333.78</v>
      </c>
      <c r="X49" s="99">
        <v>1060285.73</v>
      </c>
      <c r="Y49" s="99">
        <v>1272156.8799999999</v>
      </c>
      <c r="Z49" s="99">
        <v>1522694.07</v>
      </c>
      <c r="AA49" s="99">
        <v>1450063</v>
      </c>
      <c r="AB49" s="99">
        <v>-125350.09</v>
      </c>
    </row>
    <row r="50" spans="1:28" x14ac:dyDescent="0.2">
      <c r="A50" s="102">
        <v>158.35439240506329</v>
      </c>
      <c r="B50" s="58"/>
      <c r="C50" s="58">
        <v>28</v>
      </c>
      <c r="D50" s="58"/>
      <c r="E50" s="58"/>
      <c r="F50" s="58"/>
      <c r="G50" s="58"/>
      <c r="H50" s="58"/>
      <c r="I50" s="58">
        <v>2</v>
      </c>
      <c r="J50" s="58">
        <v>30</v>
      </c>
      <c r="K50" s="100">
        <v>285</v>
      </c>
      <c r="L50" s="100">
        <v>46</v>
      </c>
      <c r="M50" s="100">
        <v>10</v>
      </c>
      <c r="N50" s="100">
        <v>98</v>
      </c>
      <c r="O50" s="100">
        <v>156</v>
      </c>
      <c r="P50" s="100">
        <v>146</v>
      </c>
      <c r="Q50" s="100">
        <v>49</v>
      </c>
      <c r="R50" s="100"/>
      <c r="S50" s="100">
        <v>790</v>
      </c>
      <c r="T50" s="99">
        <v>125099.97</v>
      </c>
      <c r="U50" s="99">
        <v>43758.41</v>
      </c>
      <c r="V50" s="99">
        <v>7297.09</v>
      </c>
      <c r="W50" s="99">
        <v>1561.95</v>
      </c>
      <c r="X50" s="99">
        <v>15379.36</v>
      </c>
      <c r="Y50" s="99">
        <v>24999.279999999999</v>
      </c>
      <c r="Z50" s="99">
        <v>23264.48</v>
      </c>
      <c r="AA50" s="99">
        <v>8839.4</v>
      </c>
      <c r="AB50" s="99"/>
    </row>
    <row r="51" spans="1:28" x14ac:dyDescent="0.2">
      <c r="A51" s="102">
        <v>167.80275420875421</v>
      </c>
      <c r="B51" s="58"/>
      <c r="C51" s="58"/>
      <c r="D51" s="58"/>
      <c r="E51" s="58"/>
      <c r="F51" s="58"/>
      <c r="G51" s="58"/>
      <c r="H51" s="58">
        <v>814</v>
      </c>
      <c r="I51" s="58">
        <v>6052</v>
      </c>
      <c r="J51" s="58">
        <v>6866</v>
      </c>
      <c r="K51" s="100">
        <v>1228</v>
      </c>
      <c r="L51" s="100">
        <v>257</v>
      </c>
      <c r="M51" s="100"/>
      <c r="N51" s="100"/>
      <c r="O51" s="100"/>
      <c r="P51" s="100"/>
      <c r="Q51" s="100"/>
      <c r="R51" s="100"/>
      <c r="S51" s="100">
        <v>1485</v>
      </c>
      <c r="T51" s="99">
        <v>249187.09</v>
      </c>
      <c r="U51" s="99">
        <v>207844.51</v>
      </c>
      <c r="V51" s="99">
        <v>41342.58</v>
      </c>
      <c r="W51" s="99"/>
      <c r="X51" s="99"/>
      <c r="Y51" s="99"/>
      <c r="Z51" s="99"/>
      <c r="AA51" s="99"/>
      <c r="AB51" s="99"/>
    </row>
    <row r="52" spans="1:28" x14ac:dyDescent="0.2">
      <c r="A52" s="102">
        <v>171.47611146649609</v>
      </c>
      <c r="B52" s="58"/>
      <c r="C52" s="58">
        <v>1780</v>
      </c>
      <c r="D52" s="58">
        <v>1724</v>
      </c>
      <c r="E52" s="58">
        <v>2500</v>
      </c>
      <c r="F52" s="58">
        <v>1024</v>
      </c>
      <c r="G52" s="58">
        <v>648</v>
      </c>
      <c r="H52" s="58">
        <v>1980</v>
      </c>
      <c r="I52" s="58">
        <v>3186</v>
      </c>
      <c r="J52" s="58">
        <v>12842</v>
      </c>
      <c r="K52" s="100">
        <v>2905</v>
      </c>
      <c r="L52" s="100">
        <v>1635</v>
      </c>
      <c r="M52" s="100">
        <v>1503</v>
      </c>
      <c r="N52" s="100">
        <v>1600</v>
      </c>
      <c r="O52" s="100">
        <v>1688</v>
      </c>
      <c r="P52" s="100">
        <v>1588</v>
      </c>
      <c r="Q52" s="100">
        <v>1587</v>
      </c>
      <c r="R52" s="100"/>
      <c r="S52" s="100">
        <v>12506</v>
      </c>
      <c r="T52" s="99">
        <v>2144480.25</v>
      </c>
      <c r="U52" s="99">
        <v>496055.99</v>
      </c>
      <c r="V52" s="99">
        <v>284900.74</v>
      </c>
      <c r="W52" s="99">
        <v>233701.2</v>
      </c>
      <c r="X52" s="99">
        <v>259376.18</v>
      </c>
      <c r="Y52" s="99">
        <v>309481.5</v>
      </c>
      <c r="Z52" s="99">
        <v>274240.8</v>
      </c>
      <c r="AA52" s="99">
        <v>286723.84000000003</v>
      </c>
      <c r="AB52" s="99"/>
    </row>
    <row r="53" spans="1:28" x14ac:dyDescent="0.2">
      <c r="A53" s="102">
        <v>188.78749999999999</v>
      </c>
      <c r="B53" s="58">
        <v>26</v>
      </c>
      <c r="C53" s="58">
        <v>4</v>
      </c>
      <c r="D53" s="58">
        <v>2</v>
      </c>
      <c r="E53" s="58"/>
      <c r="F53" s="58">
        <v>12</v>
      </c>
      <c r="G53" s="58">
        <v>30</v>
      </c>
      <c r="H53" s="58">
        <v>6</v>
      </c>
      <c r="I53" s="58">
        <v>8</v>
      </c>
      <c r="J53" s="58">
        <v>88</v>
      </c>
      <c r="K53" s="100"/>
      <c r="L53" s="100"/>
      <c r="M53" s="100">
        <v>400</v>
      </c>
      <c r="N53" s="100"/>
      <c r="O53" s="100"/>
      <c r="P53" s="100"/>
      <c r="Q53" s="100"/>
      <c r="R53" s="100"/>
      <c r="S53" s="100">
        <v>400</v>
      </c>
      <c r="T53" s="99">
        <v>75515</v>
      </c>
      <c r="U53" s="99">
        <v>523.07000000000005</v>
      </c>
      <c r="V53" s="99">
        <v>269.19</v>
      </c>
      <c r="W53" s="99">
        <v>72719.429999999993</v>
      </c>
      <c r="X53" s="99">
        <v>641.88</v>
      </c>
      <c r="Y53" s="99"/>
      <c r="Z53" s="99">
        <v>43.12</v>
      </c>
      <c r="AA53" s="99">
        <v>175.48</v>
      </c>
      <c r="AB53" s="99">
        <v>1142.83</v>
      </c>
    </row>
    <row r="54" spans="1:28" x14ac:dyDescent="0.2">
      <c r="A54" s="102">
        <v>208.32</v>
      </c>
      <c r="B54" s="58"/>
      <c r="C54" s="58"/>
      <c r="D54" s="58">
        <v>16</v>
      </c>
      <c r="E54" s="58"/>
      <c r="F54" s="58"/>
      <c r="G54" s="58"/>
      <c r="H54" s="58"/>
      <c r="I54" s="58"/>
      <c r="J54" s="58">
        <v>16</v>
      </c>
      <c r="K54" s="100"/>
      <c r="L54" s="100"/>
      <c r="M54" s="100"/>
      <c r="N54" s="100"/>
      <c r="O54" s="100"/>
      <c r="P54" s="100">
        <v>1</v>
      </c>
      <c r="Q54" s="100">
        <v>2</v>
      </c>
      <c r="R54" s="100"/>
      <c r="S54" s="100">
        <v>3</v>
      </c>
      <c r="T54" s="99">
        <v>624.96</v>
      </c>
      <c r="U54" s="99"/>
      <c r="V54" s="99"/>
      <c r="W54" s="99"/>
      <c r="X54" s="99"/>
      <c r="Y54" s="99"/>
      <c r="Z54" s="99">
        <v>322.89</v>
      </c>
      <c r="AA54" s="99">
        <v>302.07</v>
      </c>
      <c r="AB54" s="99"/>
    </row>
    <row r="55" spans="1:28" x14ac:dyDescent="0.2">
      <c r="A55" s="102">
        <v>212.8741</v>
      </c>
      <c r="B55" s="58"/>
      <c r="C55" s="58">
        <v>252</v>
      </c>
      <c r="D55" s="58">
        <v>160</v>
      </c>
      <c r="E55" s="58"/>
      <c r="F55" s="58"/>
      <c r="G55" s="58"/>
      <c r="H55" s="58"/>
      <c r="I55" s="58"/>
      <c r="J55" s="58">
        <v>412</v>
      </c>
      <c r="K55" s="100"/>
      <c r="L55" s="100"/>
      <c r="M55" s="100"/>
      <c r="N55" s="100"/>
      <c r="O55" s="100"/>
      <c r="P55" s="100">
        <v>50</v>
      </c>
      <c r="Q55" s="100"/>
      <c r="R55" s="100">
        <v>50</v>
      </c>
      <c r="S55" s="100">
        <v>100</v>
      </c>
      <c r="T55" s="99">
        <v>21287.41</v>
      </c>
      <c r="U55" s="99">
        <v>2285.44</v>
      </c>
      <c r="V55" s="99">
        <v>379.98</v>
      </c>
      <c r="W55" s="99">
        <v>298.8</v>
      </c>
      <c r="X55" s="99">
        <v>1079.6300000000001</v>
      </c>
      <c r="Y55" s="99">
        <v>765.69</v>
      </c>
      <c r="Z55" s="99">
        <v>10526.31</v>
      </c>
      <c r="AA55" s="99">
        <v>1209.72</v>
      </c>
      <c r="AB55" s="99">
        <v>9560</v>
      </c>
    </row>
    <row r="56" spans="1:28" x14ac:dyDescent="0.2">
      <c r="A56" s="102">
        <v>218.52324999999999</v>
      </c>
      <c r="B56" s="58"/>
      <c r="C56" s="58"/>
      <c r="D56" s="58"/>
      <c r="E56" s="58">
        <v>16</v>
      </c>
      <c r="F56" s="58">
        <v>4</v>
      </c>
      <c r="G56" s="58">
        <v>30</v>
      </c>
      <c r="H56" s="58"/>
      <c r="I56" s="58"/>
      <c r="J56" s="58">
        <v>50</v>
      </c>
      <c r="K56" s="100"/>
      <c r="L56" s="100">
        <v>100</v>
      </c>
      <c r="M56" s="100"/>
      <c r="N56" s="100"/>
      <c r="O56" s="100"/>
      <c r="P56" s="100">
        <v>100</v>
      </c>
      <c r="Q56" s="100"/>
      <c r="R56" s="100"/>
      <c r="S56" s="100">
        <v>200</v>
      </c>
      <c r="T56" s="99">
        <v>43704.65</v>
      </c>
      <c r="U56" s="99"/>
      <c r="V56" s="99">
        <v>20822</v>
      </c>
      <c r="W56" s="99">
        <v>1725.15</v>
      </c>
      <c r="X56" s="99">
        <v>68.22</v>
      </c>
      <c r="Y56" s="99">
        <v>387.28</v>
      </c>
      <c r="Z56" s="99">
        <v>20702</v>
      </c>
      <c r="AA56" s="99"/>
      <c r="AB56" s="99"/>
    </row>
    <row r="57" spans="1:28" x14ac:dyDescent="0.2">
      <c r="A57" s="102">
        <v>221.74080000000001</v>
      </c>
      <c r="B57" s="58"/>
      <c r="C57" s="58">
        <v>4</v>
      </c>
      <c r="D57" s="58">
        <v>2</v>
      </c>
      <c r="E57" s="58">
        <v>6</v>
      </c>
      <c r="F57" s="58"/>
      <c r="G57" s="58">
        <v>4</v>
      </c>
      <c r="H57" s="58">
        <v>64</v>
      </c>
      <c r="I57" s="58">
        <v>54</v>
      </c>
      <c r="J57" s="58">
        <v>134</v>
      </c>
      <c r="K57" s="100"/>
      <c r="L57" s="100"/>
      <c r="M57" s="100"/>
      <c r="N57" s="100"/>
      <c r="O57" s="100"/>
      <c r="P57" s="100">
        <v>100</v>
      </c>
      <c r="Q57" s="100"/>
      <c r="R57" s="100"/>
      <c r="S57" s="100">
        <v>100</v>
      </c>
      <c r="T57" s="99">
        <v>22174.080000000002</v>
      </c>
      <c r="U57" s="99">
        <v>1350.81</v>
      </c>
      <c r="V57" s="99">
        <v>1368.32</v>
      </c>
      <c r="W57" s="99">
        <v>235.14</v>
      </c>
      <c r="X57" s="99"/>
      <c r="Y57" s="99">
        <v>191.16</v>
      </c>
      <c r="Z57" s="99">
        <v>18936.509999999998</v>
      </c>
      <c r="AA57" s="99">
        <v>92.14</v>
      </c>
      <c r="AB57" s="99"/>
    </row>
    <row r="58" spans="1:28" x14ac:dyDescent="0.2">
      <c r="A58" s="102">
        <v>230.39733333333334</v>
      </c>
      <c r="B58" s="58"/>
      <c r="C58" s="58"/>
      <c r="D58" s="58"/>
      <c r="E58" s="58"/>
      <c r="F58" s="58"/>
      <c r="G58" s="58"/>
      <c r="H58" s="58"/>
      <c r="I58" s="58"/>
      <c r="J58" s="58"/>
      <c r="K58" s="100"/>
      <c r="L58" s="100"/>
      <c r="M58" s="100"/>
      <c r="N58" s="100"/>
      <c r="O58" s="100"/>
      <c r="P58" s="100"/>
      <c r="Q58" s="100">
        <v>15</v>
      </c>
      <c r="R58" s="100"/>
      <c r="S58" s="100">
        <v>15</v>
      </c>
      <c r="T58" s="99">
        <v>3455.96</v>
      </c>
      <c r="U58" s="99"/>
      <c r="V58" s="99"/>
      <c r="W58" s="99"/>
      <c r="X58" s="99"/>
      <c r="Y58" s="99">
        <v>229.61</v>
      </c>
      <c r="Z58" s="99">
        <v>1863.61</v>
      </c>
      <c r="AA58" s="99">
        <v>3455.96</v>
      </c>
      <c r="AB58" s="99"/>
    </row>
    <row r="59" spans="1:28" x14ac:dyDescent="0.2">
      <c r="A59" s="102">
        <v>231.94225</v>
      </c>
      <c r="B59" s="58"/>
      <c r="C59" s="58">
        <v>18</v>
      </c>
      <c r="D59" s="58">
        <v>96</v>
      </c>
      <c r="E59" s="58">
        <v>92</v>
      </c>
      <c r="F59" s="58">
        <v>258</v>
      </c>
      <c r="G59" s="58">
        <v>244</v>
      </c>
      <c r="H59" s="58">
        <v>172</v>
      </c>
      <c r="I59" s="58"/>
      <c r="J59" s="58">
        <v>880</v>
      </c>
      <c r="K59" s="100"/>
      <c r="L59" s="100">
        <v>200</v>
      </c>
      <c r="M59" s="100"/>
      <c r="N59" s="100"/>
      <c r="O59" s="100"/>
      <c r="P59" s="100"/>
      <c r="Q59" s="100"/>
      <c r="R59" s="100"/>
      <c r="S59" s="100">
        <v>200</v>
      </c>
      <c r="T59" s="99">
        <v>46388.45</v>
      </c>
      <c r="U59" s="99">
        <v>113.28</v>
      </c>
      <c r="V59" s="99">
        <v>40827.760000000002</v>
      </c>
      <c r="W59" s="99">
        <v>2109.89</v>
      </c>
      <c r="X59" s="99">
        <v>2146.4299999999998</v>
      </c>
      <c r="Y59" s="99">
        <v>598.38</v>
      </c>
      <c r="Z59" s="99">
        <v>499.2</v>
      </c>
      <c r="AA59" s="99">
        <v>93.51</v>
      </c>
      <c r="AB59" s="99"/>
    </row>
    <row r="60" spans="1:28" x14ac:dyDescent="0.2">
      <c r="A60" s="102">
        <v>231.99173913043478</v>
      </c>
      <c r="B60" s="58"/>
      <c r="C60" s="58">
        <v>54</v>
      </c>
      <c r="D60" s="58"/>
      <c r="E60" s="58"/>
      <c r="F60" s="58">
        <v>4</v>
      </c>
      <c r="G60" s="58">
        <v>2</v>
      </c>
      <c r="H60" s="58">
        <v>2</v>
      </c>
      <c r="I60" s="58">
        <v>2</v>
      </c>
      <c r="J60" s="58">
        <v>64</v>
      </c>
      <c r="K60" s="100">
        <v>4</v>
      </c>
      <c r="L60" s="100">
        <v>5</v>
      </c>
      <c r="M60" s="100">
        <v>6</v>
      </c>
      <c r="N60" s="100">
        <v>5</v>
      </c>
      <c r="O60" s="100">
        <v>12</v>
      </c>
      <c r="P60" s="100">
        <v>6</v>
      </c>
      <c r="Q60" s="100">
        <v>8</v>
      </c>
      <c r="R60" s="100"/>
      <c r="S60" s="100">
        <v>46</v>
      </c>
      <c r="T60" s="99">
        <v>10671.62</v>
      </c>
      <c r="U60" s="99">
        <v>944.28</v>
      </c>
      <c r="V60" s="99">
        <v>1107.72</v>
      </c>
      <c r="W60" s="99">
        <v>1466.72</v>
      </c>
      <c r="X60" s="99">
        <v>1078.22</v>
      </c>
      <c r="Y60" s="99">
        <v>2619.48</v>
      </c>
      <c r="Z60" s="99">
        <v>1354.53</v>
      </c>
      <c r="AA60" s="99">
        <v>2100.67</v>
      </c>
      <c r="AB60" s="99"/>
    </row>
    <row r="61" spans="1:28" x14ac:dyDescent="0.2">
      <c r="A61" s="102">
        <v>242.74039999999999</v>
      </c>
      <c r="B61" s="58">
        <v>14</v>
      </c>
      <c r="C61" s="58"/>
      <c r="D61" s="58"/>
      <c r="E61" s="58"/>
      <c r="F61" s="58"/>
      <c r="G61" s="58"/>
      <c r="H61" s="58"/>
      <c r="I61" s="58"/>
      <c r="J61" s="58">
        <v>14</v>
      </c>
      <c r="K61" s="100"/>
      <c r="L61" s="100"/>
      <c r="M61" s="100"/>
      <c r="N61" s="100"/>
      <c r="O61" s="100"/>
      <c r="P61" s="100"/>
      <c r="Q61" s="100"/>
      <c r="R61" s="100">
        <v>25</v>
      </c>
      <c r="S61" s="100">
        <v>25</v>
      </c>
      <c r="T61" s="99">
        <v>6068.51</v>
      </c>
      <c r="U61" s="99">
        <v>5494.98</v>
      </c>
      <c r="V61" s="99">
        <v>3968.31</v>
      </c>
      <c r="W61" s="99">
        <v>3437.3</v>
      </c>
      <c r="X61" s="99">
        <v>5717.04</v>
      </c>
      <c r="Y61" s="99">
        <v>3896.3</v>
      </c>
      <c r="Z61" s="99">
        <v>4572.24</v>
      </c>
      <c r="AA61" s="99">
        <v>4784.7700000000004</v>
      </c>
      <c r="AB61" s="99">
        <v>6068.51</v>
      </c>
    </row>
    <row r="62" spans="1:28" x14ac:dyDescent="0.2">
      <c r="A62" s="102">
        <v>250.19138095238094</v>
      </c>
      <c r="B62" s="58"/>
      <c r="C62" s="58">
        <v>12</v>
      </c>
      <c r="D62" s="58">
        <v>48</v>
      </c>
      <c r="E62" s="58">
        <v>18</v>
      </c>
      <c r="F62" s="58">
        <v>42</v>
      </c>
      <c r="G62" s="58">
        <v>98</v>
      </c>
      <c r="H62" s="58">
        <v>22</v>
      </c>
      <c r="I62" s="58">
        <v>32</v>
      </c>
      <c r="J62" s="58">
        <v>272</v>
      </c>
      <c r="K62" s="100">
        <v>1</v>
      </c>
      <c r="L62" s="100">
        <v>3</v>
      </c>
      <c r="M62" s="100">
        <v>2</v>
      </c>
      <c r="N62" s="100">
        <v>1</v>
      </c>
      <c r="O62" s="100">
        <v>2</v>
      </c>
      <c r="P62" s="100">
        <v>201</v>
      </c>
      <c r="Q62" s="100"/>
      <c r="R62" s="100"/>
      <c r="S62" s="100">
        <v>210</v>
      </c>
      <c r="T62" s="99">
        <v>52540.19</v>
      </c>
      <c r="U62" s="99">
        <v>725.73</v>
      </c>
      <c r="V62" s="99">
        <v>1160.83</v>
      </c>
      <c r="W62" s="99">
        <v>1119.73</v>
      </c>
      <c r="X62" s="99">
        <v>558.63</v>
      </c>
      <c r="Y62" s="99">
        <v>592.74</v>
      </c>
      <c r="Z62" s="99">
        <v>48290.34</v>
      </c>
      <c r="AA62" s="99">
        <v>92.19</v>
      </c>
      <c r="AB62" s="99"/>
    </row>
    <row r="63" spans="1:28" x14ac:dyDescent="0.2">
      <c r="A63" s="102">
        <v>255.33261538461537</v>
      </c>
      <c r="B63" s="58"/>
      <c r="C63" s="58"/>
      <c r="D63" s="58">
        <v>82</v>
      </c>
      <c r="E63" s="58"/>
      <c r="F63" s="58"/>
      <c r="G63" s="58"/>
      <c r="H63" s="58"/>
      <c r="I63" s="58"/>
      <c r="J63" s="58">
        <v>82</v>
      </c>
      <c r="K63" s="100"/>
      <c r="L63" s="100"/>
      <c r="M63" s="100"/>
      <c r="N63" s="100"/>
      <c r="O63" s="100"/>
      <c r="P63" s="100">
        <v>65</v>
      </c>
      <c r="Q63" s="100"/>
      <c r="R63" s="100"/>
      <c r="S63" s="100">
        <v>65</v>
      </c>
      <c r="T63" s="99">
        <v>16596.62</v>
      </c>
      <c r="U63" s="99">
        <v>24820.87</v>
      </c>
      <c r="V63" s="99">
        <v>13752.25</v>
      </c>
      <c r="W63" s="99">
        <v>20205.599999999999</v>
      </c>
      <c r="X63" s="99">
        <v>28157.18</v>
      </c>
      <c r="Y63" s="99">
        <v>32472.799999999999</v>
      </c>
      <c r="Z63" s="99">
        <v>18158.68</v>
      </c>
      <c r="AA63" s="99">
        <v>16784.63</v>
      </c>
      <c r="AB63" s="99"/>
    </row>
    <row r="64" spans="1:28" x14ac:dyDescent="0.2">
      <c r="A64" s="102">
        <v>261.23430000000002</v>
      </c>
      <c r="B64" s="58"/>
      <c r="C64" s="58">
        <v>4</v>
      </c>
      <c r="D64" s="58">
        <v>4</v>
      </c>
      <c r="E64" s="58"/>
      <c r="F64" s="58"/>
      <c r="G64" s="58"/>
      <c r="H64" s="58"/>
      <c r="I64" s="58">
        <v>12</v>
      </c>
      <c r="J64" s="58">
        <v>20</v>
      </c>
      <c r="K64" s="100"/>
      <c r="L64" s="100"/>
      <c r="M64" s="100"/>
      <c r="N64" s="100"/>
      <c r="O64" s="100">
        <v>100</v>
      </c>
      <c r="P64" s="100"/>
      <c r="Q64" s="100"/>
      <c r="R64" s="100"/>
      <c r="S64" s="100">
        <v>100</v>
      </c>
      <c r="T64" s="99">
        <v>26123.43</v>
      </c>
      <c r="U64" s="99">
        <v>259.69</v>
      </c>
      <c r="V64" s="99"/>
      <c r="W64" s="99"/>
      <c r="X64" s="99"/>
      <c r="Y64" s="99">
        <v>25747</v>
      </c>
      <c r="Z64" s="99">
        <v>58.32</v>
      </c>
      <c r="AA64" s="99">
        <v>58.42</v>
      </c>
      <c r="AB64" s="99"/>
    </row>
    <row r="65" spans="1:28" x14ac:dyDescent="0.2">
      <c r="A65" s="102">
        <v>267.488</v>
      </c>
      <c r="B65" s="58"/>
      <c r="C65" s="58"/>
      <c r="D65" s="58"/>
      <c r="E65" s="58">
        <v>56</v>
      </c>
      <c r="F65" s="58">
        <v>62</v>
      </c>
      <c r="G65" s="58">
        <v>44</v>
      </c>
      <c r="H65" s="58">
        <v>166</v>
      </c>
      <c r="I65" s="58">
        <v>48</v>
      </c>
      <c r="J65" s="58">
        <v>376</v>
      </c>
      <c r="K65" s="100"/>
      <c r="L65" s="100">
        <v>50</v>
      </c>
      <c r="M65" s="100"/>
      <c r="N65" s="100">
        <v>50</v>
      </c>
      <c r="O65" s="100"/>
      <c r="P65" s="100"/>
      <c r="Q65" s="100"/>
      <c r="R65" s="100"/>
      <c r="S65" s="100">
        <v>100</v>
      </c>
      <c r="T65" s="99">
        <v>26748.799999999999</v>
      </c>
      <c r="U65" s="99">
        <v>764.28</v>
      </c>
      <c r="V65" s="99">
        <v>12564.01</v>
      </c>
      <c r="W65" s="99">
        <v>853.99</v>
      </c>
      <c r="X65" s="99">
        <v>11262.79</v>
      </c>
      <c r="Y65" s="99">
        <v>1303.73</v>
      </c>
      <c r="Z65" s="99"/>
      <c r="AA65" s="99"/>
      <c r="AB65" s="99"/>
    </row>
    <row r="66" spans="1:28" x14ac:dyDescent="0.2">
      <c r="A66" s="102">
        <v>273.11826666666667</v>
      </c>
      <c r="B66" s="58">
        <v>2</v>
      </c>
      <c r="C66" s="58">
        <v>54</v>
      </c>
      <c r="D66" s="58">
        <v>638</v>
      </c>
      <c r="E66" s="58">
        <v>2120</v>
      </c>
      <c r="F66" s="58">
        <v>112</v>
      </c>
      <c r="G66" s="58">
        <v>8</v>
      </c>
      <c r="H66" s="58"/>
      <c r="I66" s="58">
        <v>26</v>
      </c>
      <c r="J66" s="58">
        <v>2960</v>
      </c>
      <c r="K66" s="100"/>
      <c r="L66" s="100">
        <v>50</v>
      </c>
      <c r="M66" s="100"/>
      <c r="N66" s="100">
        <v>100</v>
      </c>
      <c r="O66" s="100">
        <v>150</v>
      </c>
      <c r="P66" s="100"/>
      <c r="Q66" s="100"/>
      <c r="R66" s="100"/>
      <c r="S66" s="100">
        <v>300</v>
      </c>
      <c r="T66" s="99">
        <v>81935.48</v>
      </c>
      <c r="U66" s="99">
        <v>296.57</v>
      </c>
      <c r="V66" s="99">
        <v>10361.69</v>
      </c>
      <c r="W66" s="99">
        <v>272.52</v>
      </c>
      <c r="X66" s="99">
        <v>21851.48</v>
      </c>
      <c r="Y66" s="99">
        <v>44431.81</v>
      </c>
      <c r="Z66" s="99">
        <v>4283.54</v>
      </c>
      <c r="AA66" s="99">
        <v>415.37</v>
      </c>
      <c r="AB66" s="99">
        <v>22.5</v>
      </c>
    </row>
    <row r="67" spans="1:28" x14ac:dyDescent="0.2">
      <c r="A67" s="102">
        <v>281.16323076923078</v>
      </c>
      <c r="B67" s="58"/>
      <c r="C67" s="58"/>
      <c r="D67" s="58"/>
      <c r="E67" s="58">
        <v>24</v>
      </c>
      <c r="F67" s="58">
        <v>6</v>
      </c>
      <c r="G67" s="58">
        <v>812</v>
      </c>
      <c r="H67" s="58">
        <v>3974</v>
      </c>
      <c r="I67" s="58">
        <v>1266</v>
      </c>
      <c r="J67" s="58">
        <v>6082</v>
      </c>
      <c r="K67" s="100">
        <v>38</v>
      </c>
      <c r="L67" s="100">
        <v>121</v>
      </c>
      <c r="M67" s="100">
        <v>28</v>
      </c>
      <c r="N67" s="100">
        <v>7</v>
      </c>
      <c r="O67" s="100">
        <v>1</v>
      </c>
      <c r="P67" s="100"/>
      <c r="Q67" s="100"/>
      <c r="R67" s="100"/>
      <c r="S67" s="100">
        <v>195</v>
      </c>
      <c r="T67" s="99">
        <v>54826.83</v>
      </c>
      <c r="U67" s="99">
        <v>10557.86</v>
      </c>
      <c r="V67" s="99">
        <v>34298.26</v>
      </c>
      <c r="W67" s="99">
        <v>8255.57</v>
      </c>
      <c r="X67" s="99">
        <v>1336.54</v>
      </c>
      <c r="Y67" s="99">
        <v>378.6</v>
      </c>
      <c r="Z67" s="99"/>
      <c r="AA67" s="99"/>
      <c r="AB67" s="99"/>
    </row>
    <row r="68" spans="1:28" x14ac:dyDescent="0.2">
      <c r="A68" s="102">
        <v>287.27109999999999</v>
      </c>
      <c r="B68" s="58"/>
      <c r="C68" s="58">
        <v>174</v>
      </c>
      <c r="D68" s="58">
        <v>484</v>
      </c>
      <c r="E68" s="58">
        <v>498</v>
      </c>
      <c r="F68" s="58">
        <v>346</v>
      </c>
      <c r="G68" s="58">
        <v>290</v>
      </c>
      <c r="H68" s="58">
        <v>110</v>
      </c>
      <c r="I68" s="58">
        <v>162</v>
      </c>
      <c r="J68" s="58">
        <v>2064</v>
      </c>
      <c r="K68" s="100"/>
      <c r="L68" s="100"/>
      <c r="M68" s="100"/>
      <c r="N68" s="100">
        <v>100</v>
      </c>
      <c r="O68" s="100"/>
      <c r="P68" s="100"/>
      <c r="Q68" s="100"/>
      <c r="R68" s="100">
        <v>100</v>
      </c>
      <c r="S68" s="100">
        <v>200</v>
      </c>
      <c r="T68" s="99">
        <v>57454.22</v>
      </c>
      <c r="U68" s="99">
        <v>1866.7</v>
      </c>
      <c r="V68" s="99">
        <v>1948.02</v>
      </c>
      <c r="W68" s="99">
        <v>2934.39</v>
      </c>
      <c r="X68" s="99">
        <v>22919.93</v>
      </c>
      <c r="Y68" s="99">
        <v>3611.79</v>
      </c>
      <c r="Z68" s="99">
        <v>2759.8</v>
      </c>
      <c r="AA68" s="99">
        <v>1531.59</v>
      </c>
      <c r="AB68" s="99">
        <v>19882</v>
      </c>
    </row>
    <row r="69" spans="1:28" x14ac:dyDescent="0.2">
      <c r="A69" s="102">
        <v>302.63544444444443</v>
      </c>
      <c r="B69" s="58">
        <v>16</v>
      </c>
      <c r="C69" s="58"/>
      <c r="D69" s="58"/>
      <c r="E69" s="58"/>
      <c r="F69" s="58"/>
      <c r="G69" s="58">
        <v>2</v>
      </c>
      <c r="H69" s="58">
        <v>2</v>
      </c>
      <c r="I69" s="58"/>
      <c r="J69" s="58">
        <v>20</v>
      </c>
      <c r="K69" s="100">
        <v>30</v>
      </c>
      <c r="L69" s="100"/>
      <c r="M69" s="100"/>
      <c r="N69" s="100">
        <v>30</v>
      </c>
      <c r="O69" s="100"/>
      <c r="P69" s="100"/>
      <c r="Q69" s="100"/>
      <c r="R69" s="100">
        <v>30</v>
      </c>
      <c r="S69" s="100">
        <v>90</v>
      </c>
      <c r="T69" s="99">
        <v>27237.19</v>
      </c>
      <c r="U69" s="99">
        <v>8699.4</v>
      </c>
      <c r="V69" s="99">
        <v>235.11</v>
      </c>
      <c r="W69" s="99">
        <v>131.86000000000001</v>
      </c>
      <c r="X69" s="99">
        <v>9074.2800000000007</v>
      </c>
      <c r="Y69" s="99"/>
      <c r="Z69" s="99">
        <v>113.28</v>
      </c>
      <c r="AA69" s="99"/>
      <c r="AB69" s="99">
        <v>8983.26</v>
      </c>
    </row>
    <row r="70" spans="1:28" x14ac:dyDescent="0.2">
      <c r="A70" s="102">
        <v>306.10849999999999</v>
      </c>
      <c r="B70" s="58">
        <v>90</v>
      </c>
      <c r="C70" s="58"/>
      <c r="D70" s="58">
        <v>46</v>
      </c>
      <c r="E70" s="58"/>
      <c r="F70" s="58"/>
      <c r="G70" s="58"/>
      <c r="H70" s="58"/>
      <c r="I70" s="58"/>
      <c r="J70" s="58">
        <v>136</v>
      </c>
      <c r="K70" s="100">
        <v>9</v>
      </c>
      <c r="L70" s="100">
        <v>22</v>
      </c>
      <c r="M70" s="100">
        <v>5</v>
      </c>
      <c r="N70" s="100">
        <v>7</v>
      </c>
      <c r="O70" s="100">
        <v>4</v>
      </c>
      <c r="P70" s="100">
        <v>8</v>
      </c>
      <c r="Q70" s="100">
        <v>3</v>
      </c>
      <c r="R70" s="100">
        <v>2</v>
      </c>
      <c r="S70" s="100">
        <v>60</v>
      </c>
      <c r="T70" s="99">
        <v>18366.509999999998</v>
      </c>
      <c r="U70" s="99">
        <v>2514.84</v>
      </c>
      <c r="V70" s="99">
        <v>6262.57</v>
      </c>
      <c r="W70" s="99">
        <v>1566.08</v>
      </c>
      <c r="X70" s="99">
        <v>2017.18</v>
      </c>
      <c r="Y70" s="99">
        <v>1179.02</v>
      </c>
      <c r="Z70" s="99">
        <v>2719.79</v>
      </c>
      <c r="AA70" s="99">
        <v>833.82</v>
      </c>
      <c r="AB70" s="99">
        <v>1273.21</v>
      </c>
    </row>
    <row r="71" spans="1:28" x14ac:dyDescent="0.2">
      <c r="A71" s="102">
        <v>311.17336538461541</v>
      </c>
      <c r="B71" s="58"/>
      <c r="C71" s="58"/>
      <c r="D71" s="58"/>
      <c r="E71" s="58"/>
      <c r="F71" s="58">
        <v>59.6</v>
      </c>
      <c r="G71" s="58">
        <v>71.2</v>
      </c>
      <c r="H71" s="58"/>
      <c r="I71" s="58">
        <v>231</v>
      </c>
      <c r="J71" s="58">
        <v>361.8</v>
      </c>
      <c r="K71" s="100">
        <v>68</v>
      </c>
      <c r="L71" s="100"/>
      <c r="M71" s="100">
        <v>14</v>
      </c>
      <c r="N71" s="100">
        <v>22</v>
      </c>
      <c r="O71" s="100"/>
      <c r="P71" s="100"/>
      <c r="Q71" s="100"/>
      <c r="R71" s="100"/>
      <c r="S71" s="100">
        <v>104</v>
      </c>
      <c r="T71" s="99">
        <v>32362.03</v>
      </c>
      <c r="U71" s="99">
        <v>20669.64</v>
      </c>
      <c r="V71" s="99"/>
      <c r="W71" s="99">
        <v>4718.0200000000004</v>
      </c>
      <c r="X71" s="99">
        <v>6974.37</v>
      </c>
      <c r="Y71" s="99"/>
      <c r="Z71" s="99"/>
      <c r="AA71" s="99"/>
      <c r="AB71" s="99"/>
    </row>
    <row r="72" spans="1:28" x14ac:dyDescent="0.2">
      <c r="A72" s="102">
        <v>316.4008761904762</v>
      </c>
      <c r="B72" s="58">
        <v>608</v>
      </c>
      <c r="C72" s="58">
        <v>398</v>
      </c>
      <c r="D72" s="58">
        <v>458</v>
      </c>
      <c r="E72" s="58">
        <v>710</v>
      </c>
      <c r="F72" s="58">
        <v>684</v>
      </c>
      <c r="G72" s="58">
        <v>334</v>
      </c>
      <c r="H72" s="58">
        <v>592</v>
      </c>
      <c r="I72" s="58">
        <v>382</v>
      </c>
      <c r="J72" s="58">
        <v>4166</v>
      </c>
      <c r="K72" s="100"/>
      <c r="L72" s="100">
        <v>150</v>
      </c>
      <c r="M72" s="100"/>
      <c r="N72" s="100">
        <v>100</v>
      </c>
      <c r="O72" s="100"/>
      <c r="P72" s="100">
        <v>800</v>
      </c>
      <c r="Q72" s="100"/>
      <c r="R72" s="100"/>
      <c r="S72" s="100">
        <v>1050</v>
      </c>
      <c r="T72" s="99">
        <v>332220.92</v>
      </c>
      <c r="U72" s="99">
        <v>11773.24</v>
      </c>
      <c r="V72" s="99">
        <v>48136.78</v>
      </c>
      <c r="W72" s="99">
        <v>10370.1</v>
      </c>
      <c r="X72" s="99">
        <v>40735.72</v>
      </c>
      <c r="Y72" s="99">
        <v>22548.400000000001</v>
      </c>
      <c r="Z72" s="99">
        <v>167369.57999999999</v>
      </c>
      <c r="AA72" s="99">
        <v>12392.33</v>
      </c>
      <c r="AB72" s="99">
        <v>18894.77</v>
      </c>
    </row>
    <row r="73" spans="1:28" x14ac:dyDescent="0.2">
      <c r="A73" s="102">
        <v>318.5806763444408</v>
      </c>
      <c r="B73" s="58"/>
      <c r="C73" s="58">
        <v>9824</v>
      </c>
      <c r="D73" s="58">
        <v>6962</v>
      </c>
      <c r="E73" s="58">
        <v>8916</v>
      </c>
      <c r="F73" s="58">
        <v>9302</v>
      </c>
      <c r="G73" s="58">
        <v>8834</v>
      </c>
      <c r="H73" s="58">
        <v>11078</v>
      </c>
      <c r="I73" s="58">
        <v>17810</v>
      </c>
      <c r="J73" s="58">
        <v>72726</v>
      </c>
      <c r="K73" s="100">
        <v>685</v>
      </c>
      <c r="L73" s="100">
        <v>470</v>
      </c>
      <c r="M73" s="100">
        <v>386</v>
      </c>
      <c r="N73" s="100">
        <v>400</v>
      </c>
      <c r="O73" s="100">
        <v>359</v>
      </c>
      <c r="P73" s="100">
        <v>322</v>
      </c>
      <c r="Q73" s="100">
        <v>409</v>
      </c>
      <c r="R73" s="100"/>
      <c r="S73" s="100">
        <v>3031</v>
      </c>
      <c r="T73" s="99">
        <v>965618.03</v>
      </c>
      <c r="U73" s="99">
        <v>227496.12</v>
      </c>
      <c r="V73" s="99">
        <v>148770.49</v>
      </c>
      <c r="W73" s="99">
        <v>123336.06</v>
      </c>
      <c r="X73" s="99">
        <v>125415.36</v>
      </c>
      <c r="Y73" s="99">
        <v>111447.77</v>
      </c>
      <c r="Z73" s="99">
        <v>93610.07</v>
      </c>
      <c r="AA73" s="99">
        <v>135542.16</v>
      </c>
      <c r="AB73" s="99"/>
    </row>
    <row r="74" spans="1:28" x14ac:dyDescent="0.2">
      <c r="A74" s="102">
        <v>338.79717391304348</v>
      </c>
      <c r="B74" s="58"/>
      <c r="C74" s="58">
        <v>212</v>
      </c>
      <c r="D74" s="58">
        <v>202</v>
      </c>
      <c r="E74" s="58">
        <v>40</v>
      </c>
      <c r="F74" s="58">
        <v>82</v>
      </c>
      <c r="G74" s="58">
        <v>164</v>
      </c>
      <c r="H74" s="58">
        <v>174</v>
      </c>
      <c r="I74" s="58">
        <v>6</v>
      </c>
      <c r="J74" s="58">
        <v>880</v>
      </c>
      <c r="K74" s="100">
        <v>1</v>
      </c>
      <c r="L74" s="100">
        <v>10</v>
      </c>
      <c r="M74" s="100">
        <v>10</v>
      </c>
      <c r="N74" s="100">
        <v>4</v>
      </c>
      <c r="O74" s="100">
        <v>3</v>
      </c>
      <c r="P74" s="100">
        <v>9</v>
      </c>
      <c r="Q74" s="100">
        <v>9</v>
      </c>
      <c r="R74" s="100"/>
      <c r="S74" s="100">
        <v>46</v>
      </c>
      <c r="T74" s="99">
        <v>15584.67</v>
      </c>
      <c r="U74" s="99">
        <v>313.35000000000002</v>
      </c>
      <c r="V74" s="99">
        <v>3099.76</v>
      </c>
      <c r="W74" s="99">
        <v>3335.33</v>
      </c>
      <c r="X74" s="99">
        <v>1573.2</v>
      </c>
      <c r="Y74" s="99">
        <v>848.5</v>
      </c>
      <c r="Z74" s="99">
        <v>3257.89</v>
      </c>
      <c r="AA74" s="99">
        <v>3156.64</v>
      </c>
      <c r="AB74" s="99"/>
    </row>
    <row r="75" spans="1:28" x14ac:dyDescent="0.2">
      <c r="A75" s="102">
        <v>350.81874326750449</v>
      </c>
      <c r="B75" s="58">
        <v>1112</v>
      </c>
      <c r="C75" s="58">
        <v>1966</v>
      </c>
      <c r="D75" s="58">
        <v>1182</v>
      </c>
      <c r="E75" s="58">
        <v>1004</v>
      </c>
      <c r="F75" s="58">
        <v>938</v>
      </c>
      <c r="G75" s="58">
        <v>1078</v>
      </c>
      <c r="H75" s="58">
        <v>1436</v>
      </c>
      <c r="I75" s="58">
        <v>1152</v>
      </c>
      <c r="J75" s="58">
        <v>9868</v>
      </c>
      <c r="K75" s="100">
        <v>118</v>
      </c>
      <c r="L75" s="100">
        <v>146</v>
      </c>
      <c r="M75" s="100">
        <v>119</v>
      </c>
      <c r="N75" s="100">
        <v>95</v>
      </c>
      <c r="O75" s="100">
        <v>130</v>
      </c>
      <c r="P75" s="100">
        <v>118</v>
      </c>
      <c r="Q75" s="100">
        <v>246</v>
      </c>
      <c r="R75" s="100">
        <v>142</v>
      </c>
      <c r="S75" s="100">
        <v>1114</v>
      </c>
      <c r="T75" s="99">
        <v>390812.08</v>
      </c>
      <c r="U75" s="99">
        <v>42006.91</v>
      </c>
      <c r="V75" s="99">
        <v>53480.66</v>
      </c>
      <c r="W75" s="99">
        <v>43261.67</v>
      </c>
      <c r="X75" s="99">
        <v>34990.54</v>
      </c>
      <c r="Y75" s="99">
        <v>44146.58</v>
      </c>
      <c r="Z75" s="99">
        <v>42629.18</v>
      </c>
      <c r="AA75" s="99">
        <v>79780.17</v>
      </c>
      <c r="AB75" s="99">
        <v>50516.37</v>
      </c>
    </row>
    <row r="76" spans="1:28" x14ac:dyDescent="0.2">
      <c r="A76" s="102">
        <v>355.0386842105263</v>
      </c>
      <c r="B76" s="58"/>
      <c r="C76" s="58"/>
      <c r="D76" s="58"/>
      <c r="E76" s="58"/>
      <c r="F76" s="58"/>
      <c r="G76" s="58">
        <v>10</v>
      </c>
      <c r="H76" s="58">
        <v>6</v>
      </c>
      <c r="I76" s="58"/>
      <c r="J76" s="58">
        <v>16</v>
      </c>
      <c r="K76" s="100"/>
      <c r="L76" s="100"/>
      <c r="M76" s="100">
        <v>1</v>
      </c>
      <c r="N76" s="100">
        <v>6</v>
      </c>
      <c r="O76" s="100">
        <v>6</v>
      </c>
      <c r="P76" s="100">
        <v>18</v>
      </c>
      <c r="Q76" s="100">
        <v>7</v>
      </c>
      <c r="R76" s="100"/>
      <c r="S76" s="100">
        <v>38</v>
      </c>
      <c r="T76" s="99">
        <v>13491.47</v>
      </c>
      <c r="U76" s="99"/>
      <c r="V76" s="99">
        <v>270.39</v>
      </c>
      <c r="W76" s="99">
        <v>884.33</v>
      </c>
      <c r="X76" s="99">
        <v>2001.11</v>
      </c>
      <c r="Y76" s="99">
        <v>2025.61</v>
      </c>
      <c r="Z76" s="99">
        <v>5986.71</v>
      </c>
      <c r="AA76" s="99">
        <v>2323.3200000000002</v>
      </c>
      <c r="AB76" s="99"/>
    </row>
    <row r="77" spans="1:28" x14ac:dyDescent="0.2">
      <c r="A77" s="102">
        <v>367.21879999999999</v>
      </c>
      <c r="B77" s="58"/>
      <c r="C77" s="58"/>
      <c r="D77" s="58">
        <v>22</v>
      </c>
      <c r="E77" s="58">
        <v>22</v>
      </c>
      <c r="F77" s="58">
        <v>34</v>
      </c>
      <c r="G77" s="58">
        <v>10</v>
      </c>
      <c r="H77" s="58">
        <v>4</v>
      </c>
      <c r="I77" s="58">
        <v>16</v>
      </c>
      <c r="J77" s="58">
        <v>108</v>
      </c>
      <c r="K77" s="100"/>
      <c r="L77" s="100"/>
      <c r="M77" s="100"/>
      <c r="N77" s="100"/>
      <c r="O77" s="100">
        <v>50</v>
      </c>
      <c r="P77" s="100"/>
      <c r="Q77" s="100"/>
      <c r="R77" s="100"/>
      <c r="S77" s="100">
        <v>50</v>
      </c>
      <c r="T77" s="99">
        <v>18360.939999999999</v>
      </c>
      <c r="U77" s="99">
        <v>402.64</v>
      </c>
      <c r="V77" s="99">
        <v>68.040000000000006</v>
      </c>
      <c r="W77" s="99">
        <v>568.25</v>
      </c>
      <c r="X77" s="99">
        <v>988.19</v>
      </c>
      <c r="Y77" s="99">
        <v>15747.66</v>
      </c>
      <c r="Z77" s="99">
        <v>586.16</v>
      </c>
      <c r="AA77" s="99"/>
      <c r="AB77" s="99"/>
    </row>
    <row r="78" spans="1:28" x14ac:dyDescent="0.2">
      <c r="A78" s="102">
        <v>378.65848348348351</v>
      </c>
      <c r="B78" s="58">
        <v>1046</v>
      </c>
      <c r="C78" s="58">
        <v>2350</v>
      </c>
      <c r="D78" s="58">
        <v>1754</v>
      </c>
      <c r="E78" s="58">
        <v>700</v>
      </c>
      <c r="F78" s="58">
        <v>766</v>
      </c>
      <c r="G78" s="58">
        <v>706</v>
      </c>
      <c r="H78" s="58">
        <v>918</v>
      </c>
      <c r="I78" s="58">
        <v>1026</v>
      </c>
      <c r="J78" s="58">
        <v>9266</v>
      </c>
      <c r="K78" s="100">
        <v>161</v>
      </c>
      <c r="L78" s="100">
        <v>171</v>
      </c>
      <c r="M78" s="100">
        <v>130</v>
      </c>
      <c r="N78" s="100">
        <v>151</v>
      </c>
      <c r="O78" s="100">
        <v>141</v>
      </c>
      <c r="P78" s="100">
        <v>178</v>
      </c>
      <c r="Q78" s="100">
        <v>216</v>
      </c>
      <c r="R78" s="100">
        <v>184</v>
      </c>
      <c r="S78" s="100">
        <v>1332</v>
      </c>
      <c r="T78" s="99">
        <v>504373.1</v>
      </c>
      <c r="U78" s="99">
        <v>52347.44</v>
      </c>
      <c r="V78" s="99">
        <v>67738.080000000002</v>
      </c>
      <c r="W78" s="99">
        <v>55041.79</v>
      </c>
      <c r="X78" s="99">
        <v>55136.91</v>
      </c>
      <c r="Y78" s="99">
        <v>47453.09</v>
      </c>
      <c r="Z78" s="99">
        <v>68667.38</v>
      </c>
      <c r="AA78" s="99">
        <v>91169.09</v>
      </c>
      <c r="AB78" s="99">
        <v>66819.320000000007</v>
      </c>
    </row>
    <row r="79" spans="1:28" x14ac:dyDescent="0.2">
      <c r="A79" s="102">
        <v>422.13</v>
      </c>
      <c r="B79" s="58"/>
      <c r="C79" s="58">
        <v>142</v>
      </c>
      <c r="D79" s="58"/>
      <c r="E79" s="58">
        <v>92</v>
      </c>
      <c r="F79" s="58">
        <v>50</v>
      </c>
      <c r="G79" s="58">
        <v>112</v>
      </c>
      <c r="H79" s="58">
        <v>18</v>
      </c>
      <c r="I79" s="58">
        <v>290</v>
      </c>
      <c r="J79" s="58">
        <v>704</v>
      </c>
      <c r="K79" s="100">
        <v>11</v>
      </c>
      <c r="L79" s="100">
        <v>12</v>
      </c>
      <c r="M79" s="100">
        <v>15</v>
      </c>
      <c r="N79" s="100">
        <v>3</v>
      </c>
      <c r="O79" s="100">
        <v>1</v>
      </c>
      <c r="P79" s="100"/>
      <c r="Q79" s="100">
        <v>5</v>
      </c>
      <c r="R79" s="100"/>
      <c r="S79" s="100">
        <v>47</v>
      </c>
      <c r="T79" s="99">
        <v>19840.11</v>
      </c>
      <c r="U79" s="99">
        <v>3691.08</v>
      </c>
      <c r="V79" s="99">
        <v>4592.17</v>
      </c>
      <c r="W79" s="99">
        <v>4776.49</v>
      </c>
      <c r="X79" s="99">
        <v>1315.03</v>
      </c>
      <c r="Y79" s="99">
        <v>2148.1799999999998</v>
      </c>
      <c r="Z79" s="99"/>
      <c r="AA79" s="99">
        <v>3317.16</v>
      </c>
      <c r="AB79" s="99"/>
    </row>
    <row r="80" spans="1:28" x14ac:dyDescent="0.2">
      <c r="A80" s="102">
        <v>468.48200000000003</v>
      </c>
      <c r="B80" s="58"/>
      <c r="C80" s="58">
        <v>234</v>
      </c>
      <c r="D80" s="58">
        <v>60</v>
      </c>
      <c r="E80" s="58">
        <v>326</v>
      </c>
      <c r="F80" s="58">
        <v>88</v>
      </c>
      <c r="G80" s="58">
        <v>326</v>
      </c>
      <c r="H80" s="58">
        <v>218</v>
      </c>
      <c r="I80" s="58">
        <v>4</v>
      </c>
      <c r="J80" s="58">
        <v>1256</v>
      </c>
      <c r="K80" s="100"/>
      <c r="L80" s="100"/>
      <c r="M80" s="100"/>
      <c r="N80" s="100">
        <v>60</v>
      </c>
      <c r="O80" s="100"/>
      <c r="P80" s="100"/>
      <c r="Q80" s="100"/>
      <c r="R80" s="100"/>
      <c r="S80" s="100">
        <v>60</v>
      </c>
      <c r="T80" s="99">
        <v>28108.92</v>
      </c>
      <c r="U80" s="99">
        <v>20.62</v>
      </c>
      <c r="V80" s="99">
        <v>1934.31</v>
      </c>
      <c r="W80" s="99">
        <v>3042.42</v>
      </c>
      <c r="X80" s="99">
        <v>16605.810000000001</v>
      </c>
      <c r="Y80" s="99">
        <v>4053.63</v>
      </c>
      <c r="Z80" s="99">
        <v>303.01</v>
      </c>
      <c r="AA80" s="99">
        <v>2149.12</v>
      </c>
      <c r="AB80" s="99"/>
    </row>
    <row r="81" spans="1:28" x14ac:dyDescent="0.2">
      <c r="A81" s="102">
        <v>516.27440000000001</v>
      </c>
      <c r="B81" s="58"/>
      <c r="C81" s="58">
        <v>170</v>
      </c>
      <c r="D81" s="58">
        <v>148</v>
      </c>
      <c r="E81" s="58">
        <v>254</v>
      </c>
      <c r="F81" s="58">
        <v>382</v>
      </c>
      <c r="G81" s="58">
        <v>112</v>
      </c>
      <c r="H81" s="58">
        <v>148</v>
      </c>
      <c r="I81" s="58">
        <v>370</v>
      </c>
      <c r="J81" s="58">
        <v>1584</v>
      </c>
      <c r="K81" s="100"/>
      <c r="L81" s="100"/>
      <c r="M81" s="100"/>
      <c r="N81" s="100"/>
      <c r="O81" s="100"/>
      <c r="P81" s="100"/>
      <c r="Q81" s="100"/>
      <c r="R81" s="100">
        <v>50</v>
      </c>
      <c r="S81" s="100">
        <v>50</v>
      </c>
      <c r="T81" s="99">
        <v>25813.72</v>
      </c>
      <c r="U81" s="99">
        <v>3017.83</v>
      </c>
      <c r="V81" s="99">
        <v>1109.6300000000001</v>
      </c>
      <c r="W81" s="99">
        <v>793.58</v>
      </c>
      <c r="X81" s="99">
        <v>2777.89</v>
      </c>
      <c r="Y81" s="99">
        <v>2301.71</v>
      </c>
      <c r="Z81" s="99">
        <v>1289.56</v>
      </c>
      <c r="AA81" s="99">
        <v>1516.02</v>
      </c>
      <c r="AB81" s="99">
        <v>13007.5</v>
      </c>
    </row>
    <row r="82" spans="1:28" x14ac:dyDescent="0.2">
      <c r="A82" s="102">
        <v>518.73140000000001</v>
      </c>
      <c r="B82" s="58">
        <v>164</v>
      </c>
      <c r="C82" s="58">
        <v>306</v>
      </c>
      <c r="D82" s="58">
        <v>394</v>
      </c>
      <c r="E82" s="58">
        <v>226</v>
      </c>
      <c r="F82" s="58">
        <v>796</v>
      </c>
      <c r="G82" s="58">
        <v>142</v>
      </c>
      <c r="H82" s="58"/>
      <c r="I82" s="58">
        <v>102</v>
      </c>
      <c r="J82" s="58">
        <v>2130</v>
      </c>
      <c r="K82" s="100"/>
      <c r="L82" s="100"/>
      <c r="M82" s="100"/>
      <c r="N82" s="100"/>
      <c r="O82" s="100">
        <v>50</v>
      </c>
      <c r="P82" s="100"/>
      <c r="Q82" s="100"/>
      <c r="R82" s="100"/>
      <c r="S82" s="100">
        <v>50</v>
      </c>
      <c r="T82" s="99">
        <v>25936.57</v>
      </c>
      <c r="U82" s="99">
        <v>911.7</v>
      </c>
      <c r="V82" s="99">
        <v>750</v>
      </c>
      <c r="W82" s="99">
        <v>1154.8599999999999</v>
      </c>
      <c r="X82" s="99">
        <v>5898.03</v>
      </c>
      <c r="Y82" s="99">
        <v>10835.29</v>
      </c>
      <c r="Z82" s="99">
        <v>3008.48</v>
      </c>
      <c r="AA82" s="99">
        <v>2100.71</v>
      </c>
      <c r="AB82" s="99">
        <v>1277.5</v>
      </c>
    </row>
    <row r="83" spans="1:28" x14ac:dyDescent="0.2">
      <c r="A83" s="102">
        <v>585.48428571428576</v>
      </c>
      <c r="B83" s="58">
        <v>32</v>
      </c>
      <c r="C83" s="58">
        <v>180</v>
      </c>
      <c r="D83" s="58">
        <v>108</v>
      </c>
      <c r="E83" s="58">
        <v>22</v>
      </c>
      <c r="F83" s="58">
        <v>34</v>
      </c>
      <c r="G83" s="58">
        <v>60</v>
      </c>
      <c r="H83" s="58">
        <v>48</v>
      </c>
      <c r="I83" s="58">
        <v>94</v>
      </c>
      <c r="J83" s="58">
        <v>578</v>
      </c>
      <c r="K83" s="100"/>
      <c r="L83" s="100"/>
      <c r="M83" s="100"/>
      <c r="N83" s="100">
        <v>35</v>
      </c>
      <c r="O83" s="100"/>
      <c r="P83" s="100"/>
      <c r="Q83" s="100"/>
      <c r="R83" s="100"/>
      <c r="S83" s="100">
        <v>35</v>
      </c>
      <c r="T83" s="99">
        <v>20491.95</v>
      </c>
      <c r="U83" s="99">
        <v>1185.6099999999999</v>
      </c>
      <c r="V83" s="99">
        <v>966.56</v>
      </c>
      <c r="W83" s="99">
        <v>1737.45</v>
      </c>
      <c r="X83" s="99">
        <v>7944.19</v>
      </c>
      <c r="Y83" s="99">
        <v>1079.82</v>
      </c>
      <c r="Z83" s="99">
        <v>2789.66</v>
      </c>
      <c r="AA83" s="99">
        <v>4265.17</v>
      </c>
      <c r="AB83" s="99">
        <v>523.49</v>
      </c>
    </row>
    <row r="84" spans="1:28" x14ac:dyDescent="0.2">
      <c r="A84" s="102">
        <v>622.40247311827954</v>
      </c>
      <c r="B84" s="58"/>
      <c r="C84" s="58">
        <v>330</v>
      </c>
      <c r="D84" s="58">
        <v>98</v>
      </c>
      <c r="E84" s="58">
        <v>116</v>
      </c>
      <c r="F84" s="58">
        <v>160</v>
      </c>
      <c r="G84" s="58">
        <v>54</v>
      </c>
      <c r="H84" s="58">
        <v>146</v>
      </c>
      <c r="I84" s="58">
        <v>144</v>
      </c>
      <c r="J84" s="58">
        <v>1048</v>
      </c>
      <c r="K84" s="100"/>
      <c r="L84" s="100"/>
      <c r="M84" s="100"/>
      <c r="N84" s="100">
        <v>22</v>
      </c>
      <c r="O84" s="100">
        <v>24</v>
      </c>
      <c r="P84" s="100">
        <v>15</v>
      </c>
      <c r="Q84" s="100">
        <v>32</v>
      </c>
      <c r="R84" s="100"/>
      <c r="S84" s="100">
        <v>93</v>
      </c>
      <c r="T84" s="99">
        <v>57883.43</v>
      </c>
      <c r="U84" s="99">
        <v>5327.2</v>
      </c>
      <c r="V84" s="99">
        <v>5234.8100000000004</v>
      </c>
      <c r="W84" s="99">
        <v>1479.66</v>
      </c>
      <c r="X84" s="99">
        <v>9788.2099999999991</v>
      </c>
      <c r="Y84" s="99">
        <v>8589.5400000000009</v>
      </c>
      <c r="Z84" s="99">
        <v>6229.18</v>
      </c>
      <c r="AA84" s="99">
        <v>21234.83</v>
      </c>
      <c r="AB84" s="99"/>
    </row>
    <row r="85" spans="1:28" x14ac:dyDescent="0.2">
      <c r="A85" s="102">
        <v>661.49</v>
      </c>
      <c r="B85" s="58">
        <v>6.2</v>
      </c>
      <c r="C85" s="58"/>
      <c r="D85" s="58">
        <v>9</v>
      </c>
      <c r="E85" s="58">
        <v>13</v>
      </c>
      <c r="F85" s="58"/>
      <c r="G85" s="58">
        <v>8</v>
      </c>
      <c r="H85" s="58">
        <v>22.8</v>
      </c>
      <c r="I85" s="58">
        <v>8</v>
      </c>
      <c r="J85" s="58">
        <v>67</v>
      </c>
      <c r="K85" s="100"/>
      <c r="L85" s="100">
        <v>2</v>
      </c>
      <c r="M85" s="100">
        <v>2</v>
      </c>
      <c r="N85" s="100"/>
      <c r="O85" s="100">
        <v>4</v>
      </c>
      <c r="P85" s="100">
        <v>2</v>
      </c>
      <c r="Q85" s="100"/>
      <c r="R85" s="100">
        <v>2</v>
      </c>
      <c r="S85" s="100">
        <v>12</v>
      </c>
      <c r="T85" s="99">
        <v>7937.88</v>
      </c>
      <c r="U85" s="99">
        <v>351.9</v>
      </c>
      <c r="V85" s="99">
        <v>1824.77</v>
      </c>
      <c r="W85" s="99">
        <v>941.63</v>
      </c>
      <c r="X85" s="99"/>
      <c r="Y85" s="99">
        <v>2497.38</v>
      </c>
      <c r="Z85" s="99">
        <v>1026.68</v>
      </c>
      <c r="AA85" s="99"/>
      <c r="AB85" s="99">
        <v>1295.52</v>
      </c>
    </row>
    <row r="86" spans="1:28" x14ac:dyDescent="0.2">
      <c r="A86" s="102">
        <v>683.24699999999996</v>
      </c>
      <c r="B86" s="58">
        <v>100</v>
      </c>
      <c r="C86" s="58">
        <v>200</v>
      </c>
      <c r="D86" s="58">
        <v>138</v>
      </c>
      <c r="E86" s="58">
        <v>106</v>
      </c>
      <c r="F86" s="58">
        <v>136</v>
      </c>
      <c r="G86" s="58">
        <v>206</v>
      </c>
      <c r="H86" s="58">
        <v>90</v>
      </c>
      <c r="I86" s="58">
        <v>68</v>
      </c>
      <c r="J86" s="58">
        <v>1044</v>
      </c>
      <c r="K86" s="100"/>
      <c r="L86" s="100"/>
      <c r="M86" s="100"/>
      <c r="N86" s="100"/>
      <c r="O86" s="100">
        <v>100</v>
      </c>
      <c r="P86" s="100"/>
      <c r="Q86" s="100"/>
      <c r="R86" s="100"/>
      <c r="S86" s="100">
        <v>100</v>
      </c>
      <c r="T86" s="99">
        <v>68324.7</v>
      </c>
      <c r="U86" s="99">
        <v>2446.3000000000002</v>
      </c>
      <c r="V86" s="99">
        <v>2932.71</v>
      </c>
      <c r="W86" s="99">
        <v>7564.32</v>
      </c>
      <c r="X86" s="99">
        <v>5084.03</v>
      </c>
      <c r="Y86" s="99">
        <v>33207.699999999997</v>
      </c>
      <c r="Z86" s="99">
        <v>5434.99</v>
      </c>
      <c r="AA86" s="99">
        <v>7716.06</v>
      </c>
      <c r="AB86" s="99">
        <v>3938.59</v>
      </c>
    </row>
    <row r="87" spans="1:28" x14ac:dyDescent="0.2">
      <c r="A87" s="102">
        <v>828.70348684210524</v>
      </c>
      <c r="B87" s="58"/>
      <c r="C87" s="58">
        <v>6501.4</v>
      </c>
      <c r="D87" s="58">
        <v>8095.8</v>
      </c>
      <c r="E87" s="58">
        <v>5304.6</v>
      </c>
      <c r="F87" s="58">
        <v>6049.4</v>
      </c>
      <c r="G87" s="58">
        <v>2846.4</v>
      </c>
      <c r="H87" s="58">
        <v>7393</v>
      </c>
      <c r="I87" s="58">
        <v>6321.4</v>
      </c>
      <c r="J87" s="58">
        <v>42512</v>
      </c>
      <c r="K87" s="100">
        <v>49</v>
      </c>
      <c r="L87" s="100">
        <v>30</v>
      </c>
      <c r="M87" s="100">
        <v>33</v>
      </c>
      <c r="N87" s="100">
        <v>54</v>
      </c>
      <c r="O87" s="100">
        <v>31</v>
      </c>
      <c r="P87" s="100">
        <v>69</v>
      </c>
      <c r="Q87" s="100">
        <v>38</v>
      </c>
      <c r="R87" s="100"/>
      <c r="S87" s="100">
        <v>304</v>
      </c>
      <c r="T87" s="99">
        <v>251925.86</v>
      </c>
      <c r="U87" s="99">
        <v>34770.15</v>
      </c>
      <c r="V87" s="99">
        <v>38615.800000000003</v>
      </c>
      <c r="W87" s="99">
        <v>24407.9</v>
      </c>
      <c r="X87" s="99">
        <v>40482.870000000003</v>
      </c>
      <c r="Y87" s="99">
        <v>34429.14</v>
      </c>
      <c r="Z87" s="99">
        <v>44969.8</v>
      </c>
      <c r="AA87" s="99">
        <v>34250.199999999997</v>
      </c>
      <c r="AB87" s="99"/>
    </row>
    <row r="88" spans="1:28" x14ac:dyDescent="0.2">
      <c r="A88" s="102">
        <v>1063.5775714285714</v>
      </c>
      <c r="B88" s="58"/>
      <c r="C88" s="58"/>
      <c r="D88" s="58">
        <v>2</v>
      </c>
      <c r="E88" s="58"/>
      <c r="F88" s="58"/>
      <c r="G88" s="58">
        <v>26</v>
      </c>
      <c r="H88" s="58">
        <v>14</v>
      </c>
      <c r="I88" s="58">
        <v>4</v>
      </c>
      <c r="J88" s="58">
        <v>46</v>
      </c>
      <c r="K88" s="100">
        <v>11</v>
      </c>
      <c r="L88" s="100">
        <v>12</v>
      </c>
      <c r="M88" s="100">
        <v>18</v>
      </c>
      <c r="N88" s="100">
        <v>13</v>
      </c>
      <c r="O88" s="100">
        <v>6</v>
      </c>
      <c r="P88" s="100">
        <v>9</v>
      </c>
      <c r="Q88" s="100">
        <v>1</v>
      </c>
      <c r="R88" s="100"/>
      <c r="S88" s="100">
        <v>70</v>
      </c>
      <c r="T88" s="99">
        <v>74450.429999999993</v>
      </c>
      <c r="U88" s="99">
        <v>2557.31</v>
      </c>
      <c r="V88" s="99">
        <v>8534.86</v>
      </c>
      <c r="W88" s="99">
        <v>18239.77</v>
      </c>
      <c r="X88" s="99">
        <v>18435.400000000001</v>
      </c>
      <c r="Y88" s="99">
        <v>12263.57</v>
      </c>
      <c r="Z88" s="99">
        <v>13276.21</v>
      </c>
      <c r="AA88" s="99">
        <v>1143.31</v>
      </c>
      <c r="AB88" s="99"/>
    </row>
    <row r="89" spans="1:28" x14ac:dyDescent="0.2">
      <c r="A89" s="102">
        <v>1148.9044982698963</v>
      </c>
      <c r="B89" s="58"/>
      <c r="C89" s="58">
        <v>1172</v>
      </c>
      <c r="D89" s="58">
        <v>204</v>
      </c>
      <c r="E89" s="58"/>
      <c r="F89" s="58"/>
      <c r="G89" s="58"/>
      <c r="H89" s="58"/>
      <c r="I89" s="58">
        <v>1198</v>
      </c>
      <c r="J89" s="58">
        <v>2574</v>
      </c>
      <c r="K89" s="100">
        <v>163</v>
      </c>
      <c r="L89" s="100"/>
      <c r="M89" s="100"/>
      <c r="N89" s="100"/>
      <c r="O89" s="100"/>
      <c r="P89" s="100">
        <v>16</v>
      </c>
      <c r="Q89" s="100">
        <v>110</v>
      </c>
      <c r="R89" s="100"/>
      <c r="S89" s="100">
        <v>289</v>
      </c>
      <c r="T89" s="99">
        <v>332033.40000000002</v>
      </c>
      <c r="U89" s="99">
        <v>36235.61</v>
      </c>
      <c r="V89" s="99">
        <v>259859.20000000001</v>
      </c>
      <c r="W89" s="99"/>
      <c r="X89" s="99">
        <v>260284.79999999999</v>
      </c>
      <c r="Y89" s="99">
        <v>-259859.20000000001</v>
      </c>
      <c r="Z89" s="99">
        <v>4685.05</v>
      </c>
      <c r="AA89" s="99">
        <v>30827.94</v>
      </c>
      <c r="AB89" s="99"/>
    </row>
    <row r="90" spans="1:28" x14ac:dyDescent="0.2">
      <c r="A90" s="102">
        <v>1285.9825000000001</v>
      </c>
      <c r="B90" s="58"/>
      <c r="C90" s="58"/>
      <c r="D90" s="58"/>
      <c r="E90" s="58"/>
      <c r="F90" s="58"/>
      <c r="G90" s="58">
        <v>144</v>
      </c>
      <c r="H90" s="58"/>
      <c r="I90" s="58"/>
      <c r="J90" s="58">
        <v>144</v>
      </c>
      <c r="K90" s="100"/>
      <c r="L90" s="100"/>
      <c r="M90" s="100">
        <v>8</v>
      </c>
      <c r="N90" s="100"/>
      <c r="O90" s="100"/>
      <c r="P90" s="100"/>
      <c r="Q90" s="100"/>
      <c r="R90" s="100"/>
      <c r="S90" s="100">
        <v>8</v>
      </c>
      <c r="T90" s="99">
        <v>10287.86</v>
      </c>
      <c r="U90" s="99"/>
      <c r="V90" s="99"/>
      <c r="W90" s="99">
        <v>10287.86</v>
      </c>
      <c r="X90" s="99"/>
      <c r="Y90" s="99"/>
      <c r="Z90" s="99"/>
      <c r="AA90" s="99"/>
      <c r="AB90" s="99"/>
    </row>
    <row r="91" spans="1:28" x14ac:dyDescent="0.2">
      <c r="A91" s="102">
        <v>1949.2492485549133</v>
      </c>
      <c r="B91" s="58">
        <v>4472</v>
      </c>
      <c r="C91" s="58">
        <v>7370</v>
      </c>
      <c r="D91" s="58">
        <v>6758</v>
      </c>
      <c r="E91" s="58">
        <v>7440</v>
      </c>
      <c r="F91" s="58">
        <v>9214</v>
      </c>
      <c r="G91" s="58">
        <v>11310</v>
      </c>
      <c r="H91" s="58">
        <v>8844</v>
      </c>
      <c r="I91" s="58">
        <v>10884</v>
      </c>
      <c r="J91" s="58">
        <v>66292</v>
      </c>
      <c r="K91" s="100">
        <v>3</v>
      </c>
      <c r="L91" s="100">
        <v>1</v>
      </c>
      <c r="M91" s="100">
        <v>6</v>
      </c>
      <c r="N91" s="100">
        <v>15</v>
      </c>
      <c r="O91" s="100">
        <v>4</v>
      </c>
      <c r="P91" s="100">
        <v>7</v>
      </c>
      <c r="Q91" s="100">
        <v>23</v>
      </c>
      <c r="R91" s="100">
        <v>114</v>
      </c>
      <c r="S91" s="100">
        <v>173</v>
      </c>
      <c r="T91" s="99">
        <v>337220.12</v>
      </c>
      <c r="U91" s="99">
        <v>38198.11</v>
      </c>
      <c r="V91" s="99">
        <v>31146.09</v>
      </c>
      <c r="W91" s="99">
        <v>64470.99</v>
      </c>
      <c r="X91" s="99">
        <v>58691.64</v>
      </c>
      <c r="Y91" s="99">
        <v>41042.14</v>
      </c>
      <c r="Z91" s="99">
        <v>34402.83</v>
      </c>
      <c r="AA91" s="99">
        <v>31873.75</v>
      </c>
      <c r="AB91" s="99">
        <v>37394.57</v>
      </c>
    </row>
    <row r="92" spans="1:28" x14ac:dyDescent="0.2">
      <c r="A92" s="102">
        <v>2137.0344444444445</v>
      </c>
      <c r="B92" s="58"/>
      <c r="C92" s="58"/>
      <c r="D92" s="58"/>
      <c r="E92" s="58"/>
      <c r="F92" s="58"/>
      <c r="G92" s="58"/>
      <c r="H92" s="58"/>
      <c r="I92" s="58"/>
      <c r="J92" s="58"/>
      <c r="K92" s="100"/>
      <c r="L92" s="100"/>
      <c r="M92" s="100"/>
      <c r="N92" s="100"/>
      <c r="O92" s="100">
        <v>13</v>
      </c>
      <c r="P92" s="100">
        <v>5</v>
      </c>
      <c r="Q92" s="100"/>
      <c r="R92" s="100"/>
      <c r="S92" s="100">
        <v>18</v>
      </c>
      <c r="T92" s="99">
        <v>38466.620000000003</v>
      </c>
      <c r="U92" s="99"/>
      <c r="V92" s="99"/>
      <c r="W92" s="99"/>
      <c r="X92" s="99"/>
      <c r="Y92" s="99">
        <v>27742.48</v>
      </c>
      <c r="Z92" s="99">
        <v>10724.14</v>
      </c>
      <c r="AA92" s="99"/>
      <c r="AB92" s="99"/>
    </row>
    <row r="93" spans="1:28" x14ac:dyDescent="0.2">
      <c r="A93" s="102">
        <v>2211.6688571428572</v>
      </c>
      <c r="B93" s="58"/>
      <c r="C93" s="58"/>
      <c r="D93" s="58"/>
      <c r="E93" s="58">
        <v>138</v>
      </c>
      <c r="F93" s="58">
        <v>158</v>
      </c>
      <c r="G93" s="58">
        <v>864</v>
      </c>
      <c r="H93" s="58"/>
      <c r="I93" s="58">
        <v>154</v>
      </c>
      <c r="J93" s="58">
        <v>1314</v>
      </c>
      <c r="K93" s="100">
        <v>2</v>
      </c>
      <c r="L93" s="100"/>
      <c r="M93" s="100">
        <v>17</v>
      </c>
      <c r="N93" s="100">
        <v>8</v>
      </c>
      <c r="O93" s="100">
        <v>3</v>
      </c>
      <c r="P93" s="100">
        <v>1</v>
      </c>
      <c r="Q93" s="100">
        <v>4</v>
      </c>
      <c r="R93" s="100"/>
      <c r="S93" s="100">
        <v>35</v>
      </c>
      <c r="T93" s="99">
        <v>77408.41</v>
      </c>
      <c r="U93" s="99">
        <v>1108.3599999999999</v>
      </c>
      <c r="V93" s="99"/>
      <c r="W93" s="99">
        <v>38783.19</v>
      </c>
      <c r="X93" s="99">
        <v>3113.18</v>
      </c>
      <c r="Y93" s="99">
        <v>1591.48</v>
      </c>
      <c r="Z93" s="99">
        <v>272.94</v>
      </c>
      <c r="AA93" s="99">
        <v>32539.26</v>
      </c>
      <c r="AB93" s="99"/>
    </row>
    <row r="94" spans="1:28" x14ac:dyDescent="0.2">
      <c r="A94" s="102">
        <v>2234.42</v>
      </c>
      <c r="B94" s="58"/>
      <c r="C94" s="58"/>
      <c r="D94" s="58"/>
      <c r="E94" s="58"/>
      <c r="F94" s="58"/>
      <c r="G94" s="58"/>
      <c r="H94" s="58"/>
      <c r="I94" s="58"/>
      <c r="J94" s="58"/>
      <c r="K94" s="100"/>
      <c r="L94" s="100"/>
      <c r="M94" s="100"/>
      <c r="N94" s="100"/>
      <c r="O94" s="100"/>
      <c r="P94" s="100">
        <v>2</v>
      </c>
      <c r="Q94" s="100"/>
      <c r="R94" s="100"/>
      <c r="S94" s="100">
        <v>2</v>
      </c>
      <c r="T94" s="99">
        <v>4468.84</v>
      </c>
      <c r="U94" s="99"/>
      <c r="V94" s="99"/>
      <c r="W94" s="99"/>
      <c r="X94" s="99"/>
      <c r="Y94" s="99"/>
      <c r="Z94" s="99">
        <v>4468.84</v>
      </c>
      <c r="AA94" s="99"/>
      <c r="AB94" s="99"/>
    </row>
    <row r="95" spans="1:28" x14ac:dyDescent="0.2">
      <c r="A95" s="102">
        <v>2603.6042857142857</v>
      </c>
      <c r="B95" s="58"/>
      <c r="C95" s="58"/>
      <c r="D95" s="58"/>
      <c r="E95" s="58"/>
      <c r="F95" s="58"/>
      <c r="G95" s="58"/>
      <c r="H95" s="58"/>
      <c r="I95" s="58"/>
      <c r="J95" s="58"/>
      <c r="K95" s="100"/>
      <c r="L95" s="100"/>
      <c r="M95" s="100"/>
      <c r="N95" s="100"/>
      <c r="O95" s="100">
        <v>5</v>
      </c>
      <c r="P95" s="100">
        <v>2</v>
      </c>
      <c r="Q95" s="100"/>
      <c r="R95" s="100"/>
      <c r="S95" s="100">
        <v>7</v>
      </c>
      <c r="T95" s="99">
        <v>18225.23</v>
      </c>
      <c r="U95" s="99"/>
      <c r="V95" s="99"/>
      <c r="W95" s="99"/>
      <c r="X95" s="99"/>
      <c r="Y95" s="99">
        <v>13109.49</v>
      </c>
      <c r="Z95" s="99">
        <v>5115.74</v>
      </c>
      <c r="AA95" s="99"/>
      <c r="AB95" s="99"/>
    </row>
    <row r="96" spans="1:28" x14ac:dyDescent="0.2">
      <c r="A96" s="102">
        <v>3002.424</v>
      </c>
      <c r="B96" s="58"/>
      <c r="C96" s="58"/>
      <c r="D96" s="58"/>
      <c r="E96" s="58"/>
      <c r="F96" s="58"/>
      <c r="G96" s="58"/>
      <c r="H96" s="58"/>
      <c r="I96" s="58"/>
      <c r="J96" s="58"/>
      <c r="K96" s="100">
        <v>10</v>
      </c>
      <c r="L96" s="100">
        <v>6</v>
      </c>
      <c r="M96" s="100"/>
      <c r="N96" s="100"/>
      <c r="O96" s="100"/>
      <c r="P96" s="100">
        <v>4</v>
      </c>
      <c r="Q96" s="100"/>
      <c r="R96" s="100"/>
      <c r="S96" s="100">
        <v>20</v>
      </c>
      <c r="T96" s="99">
        <v>60048.480000000003</v>
      </c>
      <c r="U96" s="99">
        <v>29560.3</v>
      </c>
      <c r="V96" s="99">
        <v>17736.18</v>
      </c>
      <c r="W96" s="99"/>
      <c r="X96" s="99"/>
      <c r="Y96" s="99"/>
      <c r="Z96" s="99">
        <v>12752</v>
      </c>
      <c r="AA96" s="99"/>
      <c r="AB96" s="99"/>
    </row>
    <row r="97" spans="1:28" x14ac:dyDescent="0.2">
      <c r="A97" s="102">
        <v>3561.0406355932205</v>
      </c>
      <c r="B97" s="58"/>
      <c r="C97" s="58">
        <v>10</v>
      </c>
      <c r="D97" s="58">
        <v>20</v>
      </c>
      <c r="E97" s="58"/>
      <c r="F97" s="58">
        <v>24</v>
      </c>
      <c r="G97" s="58"/>
      <c r="H97" s="58">
        <v>10</v>
      </c>
      <c r="I97" s="58">
        <v>46</v>
      </c>
      <c r="J97" s="58">
        <v>110</v>
      </c>
      <c r="K97" s="100">
        <v>46</v>
      </c>
      <c r="L97" s="100">
        <v>18</v>
      </c>
      <c r="M97" s="100">
        <v>35</v>
      </c>
      <c r="N97" s="100">
        <v>47</v>
      </c>
      <c r="O97" s="100">
        <v>27</v>
      </c>
      <c r="P97" s="100">
        <v>43</v>
      </c>
      <c r="Q97" s="100">
        <v>20</v>
      </c>
      <c r="R97" s="100"/>
      <c r="S97" s="100">
        <v>236</v>
      </c>
      <c r="T97" s="99">
        <v>840405.59</v>
      </c>
      <c r="U97" s="99">
        <v>147739.63</v>
      </c>
      <c r="V97" s="99">
        <v>58193.87</v>
      </c>
      <c r="W97" s="99">
        <v>141075.01999999999</v>
      </c>
      <c r="X97" s="99">
        <v>171816.27</v>
      </c>
      <c r="Y97" s="99">
        <v>87938.99</v>
      </c>
      <c r="Z97" s="99">
        <v>156198.21</v>
      </c>
      <c r="AA97" s="99">
        <v>77443.600000000006</v>
      </c>
      <c r="AB97" s="99"/>
    </row>
    <row r="98" spans="1:28" x14ac:dyDescent="0.2">
      <c r="A98" s="102">
        <v>4433.847777777778</v>
      </c>
      <c r="B98" s="58"/>
      <c r="C98" s="58"/>
      <c r="D98" s="58"/>
      <c r="E98" s="58"/>
      <c r="F98" s="58"/>
      <c r="G98" s="58"/>
      <c r="H98" s="58"/>
      <c r="I98" s="58"/>
      <c r="J98" s="58"/>
      <c r="K98" s="100">
        <v>2</v>
      </c>
      <c r="L98" s="100">
        <v>1</v>
      </c>
      <c r="M98" s="100">
        <v>2</v>
      </c>
      <c r="N98" s="100">
        <v>1</v>
      </c>
      <c r="O98" s="100">
        <v>1</v>
      </c>
      <c r="P98" s="100">
        <v>1</v>
      </c>
      <c r="Q98" s="100">
        <v>1</v>
      </c>
      <c r="R98" s="100"/>
      <c r="S98" s="100">
        <v>9</v>
      </c>
      <c r="T98" s="99">
        <v>39904.629999999997</v>
      </c>
      <c r="U98" s="99">
        <v>8388.4</v>
      </c>
      <c r="V98" s="99">
        <v>4405.34</v>
      </c>
      <c r="W98" s="99">
        <v>8820.1299999999992</v>
      </c>
      <c r="X98" s="99">
        <v>4427.3999999999996</v>
      </c>
      <c r="Y98" s="99">
        <v>4992.8100000000004</v>
      </c>
      <c r="Z98" s="99">
        <v>4436.8500000000004</v>
      </c>
      <c r="AA98" s="99">
        <v>4433.7</v>
      </c>
      <c r="AB98" s="99"/>
    </row>
    <row r="99" spans="1:28" x14ac:dyDescent="0.2">
      <c r="A99" s="102">
        <v>5571.8762500000003</v>
      </c>
      <c r="B99" s="58"/>
      <c r="C99" s="58"/>
      <c r="D99" s="58"/>
      <c r="E99" s="58"/>
      <c r="F99" s="58"/>
      <c r="G99" s="58"/>
      <c r="H99" s="58"/>
      <c r="I99" s="58"/>
      <c r="J99" s="58"/>
      <c r="K99" s="100">
        <v>7</v>
      </c>
      <c r="L99" s="100">
        <v>7</v>
      </c>
      <c r="M99" s="100">
        <v>3</v>
      </c>
      <c r="N99" s="100">
        <v>2</v>
      </c>
      <c r="O99" s="100">
        <v>8</v>
      </c>
      <c r="P99" s="100">
        <v>3</v>
      </c>
      <c r="Q99" s="100">
        <v>2</v>
      </c>
      <c r="R99" s="100">
        <v>-8</v>
      </c>
      <c r="S99" s="100">
        <v>24</v>
      </c>
      <c r="T99" s="99">
        <v>133725.03</v>
      </c>
      <c r="U99" s="99">
        <v>29815.24</v>
      </c>
      <c r="V99" s="99">
        <v>27255.61</v>
      </c>
      <c r="W99" s="99">
        <v>14950.35</v>
      </c>
      <c r="X99" s="99">
        <v>4482.53</v>
      </c>
      <c r="Y99" s="99">
        <v>43876.74</v>
      </c>
      <c r="Z99" s="99">
        <v>24026.62</v>
      </c>
      <c r="AA99" s="99">
        <v>3099.22</v>
      </c>
      <c r="AB99" s="99">
        <v>-13781.28</v>
      </c>
    </row>
    <row r="100" spans="1:28" x14ac:dyDescent="0.2">
      <c r="A100" s="102">
        <v>8356.8466666666664</v>
      </c>
      <c r="B100" s="58"/>
      <c r="C100" s="58">
        <v>24</v>
      </c>
      <c r="D100" s="58">
        <v>46</v>
      </c>
      <c r="E100" s="58">
        <v>68</v>
      </c>
      <c r="F100" s="58">
        <v>54</v>
      </c>
      <c r="G100" s="58">
        <v>78</v>
      </c>
      <c r="H100" s="58">
        <v>72</v>
      </c>
      <c r="I100" s="58">
        <v>66</v>
      </c>
      <c r="J100" s="58">
        <v>408</v>
      </c>
      <c r="K100" s="100"/>
      <c r="L100" s="100"/>
      <c r="M100" s="100"/>
      <c r="N100" s="100"/>
      <c r="O100" s="100"/>
      <c r="P100" s="100">
        <v>1</v>
      </c>
      <c r="Q100" s="100">
        <v>2</v>
      </c>
      <c r="R100" s="100"/>
      <c r="S100" s="100">
        <v>3</v>
      </c>
      <c r="T100" s="99">
        <v>25070.54</v>
      </c>
      <c r="U100" s="99">
        <v>4351.17</v>
      </c>
      <c r="V100" s="99">
        <v>4374.84</v>
      </c>
      <c r="W100" s="99">
        <v>4280.57</v>
      </c>
      <c r="X100" s="99">
        <v>3431.29</v>
      </c>
      <c r="Y100" s="99">
        <v>4382.3999999999996</v>
      </c>
      <c r="Z100" s="99">
        <v>2575.59</v>
      </c>
      <c r="AA100" s="99">
        <v>1674.68</v>
      </c>
      <c r="AB100" s="99"/>
    </row>
    <row r="101" spans="1:28" x14ac:dyDescent="0.2">
      <c r="A101" s="102" t="s">
        <v>33</v>
      </c>
      <c r="B101" s="58">
        <v>304</v>
      </c>
      <c r="C101" s="58">
        <v>2842</v>
      </c>
      <c r="D101" s="58">
        <v>2092</v>
      </c>
      <c r="E101" s="58">
        <v>2392</v>
      </c>
      <c r="F101" s="58">
        <v>2508</v>
      </c>
      <c r="G101" s="58">
        <v>2478</v>
      </c>
      <c r="H101" s="58">
        <v>2116</v>
      </c>
      <c r="I101" s="58">
        <v>18198</v>
      </c>
      <c r="J101" s="58">
        <v>32930</v>
      </c>
      <c r="K101" s="100"/>
      <c r="L101" s="100"/>
      <c r="M101" s="100"/>
      <c r="N101" s="100"/>
      <c r="O101" s="100"/>
      <c r="P101" s="100"/>
      <c r="Q101" s="100"/>
      <c r="R101" s="100"/>
      <c r="S101" s="100"/>
      <c r="T101" s="99">
        <v>370197.12999999995</v>
      </c>
      <c r="U101" s="99">
        <v>137982.09999999998</v>
      </c>
      <c r="V101" s="99">
        <v>31342.79</v>
      </c>
      <c r="W101" s="99">
        <v>36328.149999999994</v>
      </c>
      <c r="X101" s="99">
        <v>44888.67</v>
      </c>
      <c r="Y101" s="99">
        <v>40885.530000000006</v>
      </c>
      <c r="Z101" s="99">
        <v>42092.22</v>
      </c>
      <c r="AA101" s="99">
        <v>34147.08</v>
      </c>
      <c r="AB101" s="99">
        <v>2530.59</v>
      </c>
    </row>
    <row r="102" spans="1:28" x14ac:dyDescent="0.2">
      <c r="A102" s="101" t="s">
        <v>38</v>
      </c>
      <c r="B102" s="58">
        <v>294668</v>
      </c>
      <c r="C102" s="58">
        <v>687101.70000000007</v>
      </c>
      <c r="D102" s="58">
        <v>-919609.1</v>
      </c>
      <c r="E102" s="58">
        <v>318400.40000000002</v>
      </c>
      <c r="F102" s="58">
        <v>1574761.9000000001</v>
      </c>
      <c r="G102" s="58">
        <v>70512.800000000003</v>
      </c>
      <c r="H102" s="58">
        <v>127330.2</v>
      </c>
      <c r="I102" s="58">
        <v>154396.29999999999</v>
      </c>
      <c r="J102" s="58">
        <v>2307562.2000000002</v>
      </c>
      <c r="K102" s="100">
        <v>10193</v>
      </c>
      <c r="L102" s="100">
        <v>12224</v>
      </c>
      <c r="M102" s="100">
        <v>12535</v>
      </c>
      <c r="N102" s="100">
        <v>11408</v>
      </c>
      <c r="O102" s="100">
        <v>46111</v>
      </c>
      <c r="P102" s="100">
        <v>17539</v>
      </c>
      <c r="Q102" s="100">
        <v>40201</v>
      </c>
      <c r="R102" s="100">
        <v>23035</v>
      </c>
      <c r="S102" s="100">
        <v>173246</v>
      </c>
      <c r="T102" s="99">
        <v>39974508.170000017</v>
      </c>
      <c r="U102" s="99">
        <v>4886193.63</v>
      </c>
      <c r="V102" s="99">
        <v>4664531.879999998</v>
      </c>
      <c r="W102" s="99">
        <v>4502679.040000001</v>
      </c>
      <c r="X102" s="99">
        <v>7272893.5300000031</v>
      </c>
      <c r="Y102" s="99">
        <v>7286461.1700000009</v>
      </c>
      <c r="Z102" s="99">
        <v>1865111.8100000003</v>
      </c>
      <c r="AA102" s="99">
        <v>6464946.6399999997</v>
      </c>
      <c r="AB102" s="99">
        <v>3402581.7800000012</v>
      </c>
    </row>
    <row r="103" spans="1:28" x14ac:dyDescent="0.2">
      <c r="A103" s="102">
        <v>-1328.5992378048782</v>
      </c>
      <c r="B103" s="58">
        <v>9102</v>
      </c>
      <c r="C103" s="58">
        <v>9016</v>
      </c>
      <c r="D103" s="58">
        <v>10436</v>
      </c>
      <c r="E103" s="58">
        <v>15640</v>
      </c>
      <c r="F103" s="58">
        <v>68288</v>
      </c>
      <c r="G103" s="58"/>
      <c r="H103" s="58"/>
      <c r="I103" s="58">
        <v>19336</v>
      </c>
      <c r="J103" s="58">
        <v>131818</v>
      </c>
      <c r="K103" s="100"/>
      <c r="L103" s="100"/>
      <c r="M103" s="100"/>
      <c r="N103" s="100"/>
      <c r="O103" s="100"/>
      <c r="P103" s="100">
        <v>-328</v>
      </c>
      <c r="Q103" s="100"/>
      <c r="R103" s="100"/>
      <c r="S103" s="100">
        <v>-328</v>
      </c>
      <c r="T103" s="99">
        <v>435780.55</v>
      </c>
      <c r="U103" s="99">
        <v>35182</v>
      </c>
      <c r="V103" s="99"/>
      <c r="W103" s="99"/>
      <c r="X103" s="99">
        <v>308678.58</v>
      </c>
      <c r="Y103" s="99">
        <v>41055.599999999999</v>
      </c>
      <c r="Z103" s="99">
        <v>-4064.1</v>
      </c>
      <c r="AA103" s="99">
        <v>26486.52</v>
      </c>
      <c r="AB103" s="99">
        <v>28441.95</v>
      </c>
    </row>
    <row r="104" spans="1:28" x14ac:dyDescent="0.2">
      <c r="A104" s="102">
        <v>-724.1653846153846</v>
      </c>
      <c r="B104" s="58"/>
      <c r="C104" s="58"/>
      <c r="D104" s="58"/>
      <c r="E104" s="58">
        <v>-308</v>
      </c>
      <c r="F104" s="58"/>
      <c r="G104" s="58"/>
      <c r="H104" s="58"/>
      <c r="I104" s="58"/>
      <c r="J104" s="58">
        <v>-308</v>
      </c>
      <c r="K104" s="100">
        <v>13</v>
      </c>
      <c r="L104" s="100"/>
      <c r="M104" s="100"/>
      <c r="N104" s="100"/>
      <c r="O104" s="100"/>
      <c r="P104" s="100"/>
      <c r="Q104" s="100"/>
      <c r="R104" s="100"/>
      <c r="S104" s="100">
        <v>13</v>
      </c>
      <c r="T104" s="99">
        <v>-9414.15</v>
      </c>
      <c r="U104" s="99">
        <v>2852.23</v>
      </c>
      <c r="V104" s="99"/>
      <c r="W104" s="99"/>
      <c r="X104" s="99"/>
      <c r="Y104" s="99">
        <v>-12266.38</v>
      </c>
      <c r="Z104" s="99"/>
      <c r="AA104" s="99"/>
      <c r="AB104" s="99"/>
    </row>
    <row r="105" spans="1:28" x14ac:dyDescent="0.2">
      <c r="A105" s="102">
        <v>93.02315774862933</v>
      </c>
      <c r="B105" s="58">
        <v>91166</v>
      </c>
      <c r="C105" s="58">
        <v>87560</v>
      </c>
      <c r="D105" s="58">
        <v>99640</v>
      </c>
      <c r="E105" s="58">
        <v>130</v>
      </c>
      <c r="F105" s="58">
        <v>38880</v>
      </c>
      <c r="G105" s="58"/>
      <c r="H105" s="58"/>
      <c r="I105" s="58"/>
      <c r="J105" s="58">
        <v>317376</v>
      </c>
      <c r="K105" s="100"/>
      <c r="L105" s="100"/>
      <c r="M105" s="100"/>
      <c r="N105" s="100">
        <v>1670</v>
      </c>
      <c r="O105" s="100">
        <v>13</v>
      </c>
      <c r="P105" s="100">
        <v>4525</v>
      </c>
      <c r="Q105" s="100">
        <v>3669</v>
      </c>
      <c r="R105" s="100">
        <v>4532</v>
      </c>
      <c r="S105" s="100">
        <v>14409</v>
      </c>
      <c r="T105" s="99">
        <v>1340370.68</v>
      </c>
      <c r="U105" s="99"/>
      <c r="V105" s="99"/>
      <c r="W105" s="99"/>
      <c r="X105" s="99">
        <v>186194.58</v>
      </c>
      <c r="Y105" s="99">
        <v>2071.96</v>
      </c>
      <c r="Z105" s="99">
        <v>430821</v>
      </c>
      <c r="AA105" s="99">
        <v>328043.62</v>
      </c>
      <c r="AB105" s="99">
        <v>393239.52</v>
      </c>
    </row>
    <row r="106" spans="1:28" x14ac:dyDescent="0.2">
      <c r="A106" s="102">
        <v>101.41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100"/>
      <c r="L106" s="100"/>
      <c r="M106" s="100"/>
      <c r="N106" s="100"/>
      <c r="O106" s="100"/>
      <c r="P106" s="100">
        <v>402</v>
      </c>
      <c r="Q106" s="100"/>
      <c r="R106" s="100"/>
      <c r="S106" s="100">
        <v>402</v>
      </c>
      <c r="T106" s="99">
        <v>40766.82</v>
      </c>
      <c r="U106" s="99"/>
      <c r="V106" s="99"/>
      <c r="W106" s="99"/>
      <c r="X106" s="99"/>
      <c r="Y106" s="99"/>
      <c r="Z106" s="99">
        <v>40766.82</v>
      </c>
      <c r="AA106" s="99"/>
      <c r="AB106" s="99"/>
    </row>
    <row r="107" spans="1:28" x14ac:dyDescent="0.2">
      <c r="A107" s="102">
        <v>104.69046211977057</v>
      </c>
      <c r="B107" s="58">
        <v>170732</v>
      </c>
      <c r="C107" s="58">
        <v>215874</v>
      </c>
      <c r="D107" s="58">
        <v>11158</v>
      </c>
      <c r="E107" s="58"/>
      <c r="F107" s="58"/>
      <c r="G107" s="58"/>
      <c r="H107" s="58">
        <v>4</v>
      </c>
      <c r="I107" s="58"/>
      <c r="J107" s="58">
        <v>397768</v>
      </c>
      <c r="K107" s="100"/>
      <c r="L107" s="100">
        <v>50</v>
      </c>
      <c r="M107" s="100"/>
      <c r="N107" s="100"/>
      <c r="O107" s="100"/>
      <c r="P107" s="100">
        <v>1420</v>
      </c>
      <c r="Q107" s="100">
        <v>19198</v>
      </c>
      <c r="R107" s="100">
        <v>16119</v>
      </c>
      <c r="S107" s="100">
        <v>36787</v>
      </c>
      <c r="T107" s="99">
        <v>3851248.03</v>
      </c>
      <c r="U107" s="99"/>
      <c r="V107" s="99">
        <v>9172.2900000000009</v>
      </c>
      <c r="W107" s="99"/>
      <c r="X107" s="99"/>
      <c r="Y107" s="99"/>
      <c r="Z107" s="99">
        <v>144262.71</v>
      </c>
      <c r="AA107" s="99">
        <v>1999010.57</v>
      </c>
      <c r="AB107" s="99">
        <v>1698802.46</v>
      </c>
    </row>
    <row r="108" spans="1:28" x14ac:dyDescent="0.2">
      <c r="A108" s="102">
        <v>104.74912466011295</v>
      </c>
      <c r="B108" s="58"/>
      <c r="C108" s="58"/>
      <c r="D108" s="58"/>
      <c r="E108" s="58"/>
      <c r="F108" s="58"/>
      <c r="G108" s="58"/>
      <c r="H108" s="58"/>
      <c r="I108" s="58"/>
      <c r="J108" s="58"/>
      <c r="K108" s="100"/>
      <c r="L108" s="100"/>
      <c r="M108" s="100"/>
      <c r="N108" s="100"/>
      <c r="O108" s="100"/>
      <c r="P108" s="100">
        <v>2972</v>
      </c>
      <c r="Q108" s="100">
        <v>6590</v>
      </c>
      <c r="R108" s="100"/>
      <c r="S108" s="100">
        <v>9562</v>
      </c>
      <c r="T108" s="99">
        <v>1001611.13</v>
      </c>
      <c r="U108" s="99"/>
      <c r="V108" s="99"/>
      <c r="W108" s="99"/>
      <c r="X108" s="99"/>
      <c r="Y108" s="99"/>
      <c r="Z108" s="99">
        <v>313290.84000000003</v>
      </c>
      <c r="AA108" s="99">
        <v>688320.29</v>
      </c>
      <c r="AB108" s="99"/>
    </row>
    <row r="109" spans="1:28" x14ac:dyDescent="0.2">
      <c r="A109" s="102">
        <v>107.68676328502416</v>
      </c>
      <c r="B109" s="58"/>
      <c r="C109" s="58"/>
      <c r="D109" s="58"/>
      <c r="E109" s="58"/>
      <c r="F109" s="58"/>
      <c r="G109" s="58"/>
      <c r="H109" s="58"/>
      <c r="I109" s="58">
        <v>70</v>
      </c>
      <c r="J109" s="58">
        <v>70</v>
      </c>
      <c r="K109" s="100">
        <v>810</v>
      </c>
      <c r="L109" s="100">
        <v>18</v>
      </c>
      <c r="M109" s="100"/>
      <c r="N109" s="100"/>
      <c r="O109" s="100"/>
      <c r="P109" s="100"/>
      <c r="Q109" s="100"/>
      <c r="R109" s="100"/>
      <c r="S109" s="100">
        <v>828</v>
      </c>
      <c r="T109" s="99">
        <v>89164.64</v>
      </c>
      <c r="U109" s="99">
        <v>83723</v>
      </c>
      <c r="V109" s="99">
        <v>5441.64</v>
      </c>
      <c r="W109" s="99"/>
      <c r="X109" s="99"/>
      <c r="Y109" s="99"/>
      <c r="Z109" s="99"/>
      <c r="AA109" s="99"/>
      <c r="AB109" s="99"/>
    </row>
    <row r="110" spans="1:28" x14ac:dyDescent="0.2">
      <c r="A110" s="102">
        <v>121.13196499999999</v>
      </c>
      <c r="B110" s="58">
        <v>134</v>
      </c>
      <c r="C110" s="58">
        <v>172</v>
      </c>
      <c r="D110" s="58">
        <v>100</v>
      </c>
      <c r="E110" s="58">
        <v>82</v>
      </c>
      <c r="F110" s="58">
        <v>84</v>
      </c>
      <c r="G110" s="58">
        <v>134</v>
      </c>
      <c r="H110" s="58">
        <v>228</v>
      </c>
      <c r="I110" s="58">
        <v>160</v>
      </c>
      <c r="J110" s="58">
        <v>1094</v>
      </c>
      <c r="K110" s="100"/>
      <c r="L110" s="100"/>
      <c r="M110" s="100">
        <v>1000</v>
      </c>
      <c r="N110" s="100"/>
      <c r="O110" s="100"/>
      <c r="P110" s="100"/>
      <c r="Q110" s="100">
        <v>3000</v>
      </c>
      <c r="R110" s="100"/>
      <c r="S110" s="100">
        <v>4000</v>
      </c>
      <c r="T110" s="99">
        <v>484527.86</v>
      </c>
      <c r="U110" s="99">
        <v>1703.12</v>
      </c>
      <c r="V110" s="99">
        <v>2940.48</v>
      </c>
      <c r="W110" s="99">
        <v>118698.22</v>
      </c>
      <c r="X110" s="99">
        <v>1063.21</v>
      </c>
      <c r="Y110" s="99">
        <v>1464.97</v>
      </c>
      <c r="Z110" s="99">
        <v>778.73</v>
      </c>
      <c r="AA110" s="99">
        <v>356747.47</v>
      </c>
      <c r="AB110" s="99">
        <v>1131.6600000000001</v>
      </c>
    </row>
    <row r="111" spans="1:28" x14ac:dyDescent="0.2">
      <c r="A111" s="102">
        <v>122.21084399999999</v>
      </c>
      <c r="B111" s="58"/>
      <c r="C111" s="58">
        <v>260950</v>
      </c>
      <c r="D111" s="58">
        <v>-1149086</v>
      </c>
      <c r="E111" s="58">
        <v>118464</v>
      </c>
      <c r="F111" s="58">
        <v>1334398</v>
      </c>
      <c r="G111" s="58"/>
      <c r="H111" s="58"/>
      <c r="I111" s="58">
        <v>12368</v>
      </c>
      <c r="J111" s="58">
        <v>577094</v>
      </c>
      <c r="K111" s="100"/>
      <c r="L111" s="100"/>
      <c r="M111" s="100"/>
      <c r="N111" s="100"/>
      <c r="O111" s="100">
        <v>35000</v>
      </c>
      <c r="P111" s="100"/>
      <c r="Q111" s="100"/>
      <c r="R111" s="100"/>
      <c r="S111" s="100">
        <v>35000</v>
      </c>
      <c r="T111" s="99">
        <v>4277379.54</v>
      </c>
      <c r="U111" s="99">
        <v>26916.99</v>
      </c>
      <c r="V111" s="99"/>
      <c r="W111" s="99"/>
      <c r="X111" s="99">
        <v>3033430.75</v>
      </c>
      <c r="Y111" s="99">
        <v>3347904.3</v>
      </c>
      <c r="Z111" s="99">
        <v>-2687081.27</v>
      </c>
      <c r="AA111" s="99">
        <v>556208.77</v>
      </c>
      <c r="AB111" s="99"/>
    </row>
    <row r="112" spans="1:28" x14ac:dyDescent="0.2">
      <c r="A112" s="102">
        <v>146.36000000000001</v>
      </c>
      <c r="B112" s="58"/>
      <c r="C112" s="58"/>
      <c r="D112" s="58"/>
      <c r="E112" s="58"/>
      <c r="F112" s="58"/>
      <c r="G112" s="58"/>
      <c r="H112" s="58"/>
      <c r="I112" s="58"/>
      <c r="J112" s="58"/>
      <c r="K112" s="100"/>
      <c r="L112" s="100"/>
      <c r="M112" s="100"/>
      <c r="N112" s="100"/>
      <c r="O112" s="100"/>
      <c r="P112" s="100">
        <v>100</v>
      </c>
      <c r="Q112" s="100"/>
      <c r="R112" s="100"/>
      <c r="S112" s="100">
        <v>100</v>
      </c>
      <c r="T112" s="99">
        <v>14636</v>
      </c>
      <c r="U112" s="99"/>
      <c r="V112" s="99"/>
      <c r="W112" s="99"/>
      <c r="X112" s="99"/>
      <c r="Y112" s="99"/>
      <c r="Z112" s="99">
        <v>14636</v>
      </c>
      <c r="AA112" s="99"/>
      <c r="AB112" s="99"/>
    </row>
    <row r="113" spans="1:28" x14ac:dyDescent="0.2">
      <c r="A113" s="102">
        <v>147.43036544850497</v>
      </c>
      <c r="B113" s="58"/>
      <c r="C113" s="58">
        <v>790</v>
      </c>
      <c r="D113" s="58">
        <v>506</v>
      </c>
      <c r="E113" s="58">
        <v>230</v>
      </c>
      <c r="F113" s="58">
        <v>236</v>
      </c>
      <c r="G113" s="58">
        <v>1182</v>
      </c>
      <c r="H113" s="58">
        <v>172</v>
      </c>
      <c r="I113" s="58">
        <v>792</v>
      </c>
      <c r="J113" s="58">
        <v>3908</v>
      </c>
      <c r="K113" s="100">
        <v>264</v>
      </c>
      <c r="L113" s="100">
        <v>204</v>
      </c>
      <c r="M113" s="100">
        <v>983</v>
      </c>
      <c r="N113" s="100">
        <v>505</v>
      </c>
      <c r="O113" s="100">
        <v>303</v>
      </c>
      <c r="P113" s="100">
        <v>658</v>
      </c>
      <c r="Q113" s="100">
        <v>996</v>
      </c>
      <c r="R113" s="100"/>
      <c r="S113" s="100">
        <v>3913</v>
      </c>
      <c r="T113" s="99">
        <v>576895.02</v>
      </c>
      <c r="U113" s="99">
        <v>33875.53</v>
      </c>
      <c r="V113" s="99">
        <v>29243.74</v>
      </c>
      <c r="W113" s="99">
        <v>150639.99</v>
      </c>
      <c r="X113" s="99">
        <v>73445.37</v>
      </c>
      <c r="Y113" s="99">
        <v>45458.12</v>
      </c>
      <c r="Z113" s="99">
        <v>97467.41</v>
      </c>
      <c r="AA113" s="99">
        <v>146764.85999999999</v>
      </c>
      <c r="AB113" s="99"/>
    </row>
    <row r="114" spans="1:28" x14ac:dyDescent="0.2">
      <c r="A114" s="102">
        <v>153.7062</v>
      </c>
      <c r="B114" s="58"/>
      <c r="C114" s="58"/>
      <c r="D114" s="58"/>
      <c r="E114" s="58">
        <v>10</v>
      </c>
      <c r="F114" s="58">
        <v>44</v>
      </c>
      <c r="G114" s="58">
        <v>24</v>
      </c>
      <c r="H114" s="58">
        <v>14</v>
      </c>
      <c r="I114" s="58">
        <v>16</v>
      </c>
      <c r="J114" s="58">
        <v>108</v>
      </c>
      <c r="K114" s="100">
        <v>50</v>
      </c>
      <c r="L114" s="100"/>
      <c r="M114" s="100"/>
      <c r="N114" s="100"/>
      <c r="O114" s="100"/>
      <c r="P114" s="100"/>
      <c r="Q114" s="100"/>
      <c r="R114" s="100"/>
      <c r="S114" s="100">
        <v>50</v>
      </c>
      <c r="T114" s="99">
        <v>7685.31</v>
      </c>
      <c r="U114" s="99">
        <v>7087.1</v>
      </c>
      <c r="V114" s="99">
        <v>90.72</v>
      </c>
      <c r="W114" s="99">
        <v>155.61000000000001</v>
      </c>
      <c r="X114" s="99">
        <v>286.68</v>
      </c>
      <c r="Y114" s="99">
        <v>65.2</v>
      </c>
      <c r="Z114" s="99"/>
      <c r="AA114" s="99"/>
      <c r="AB114" s="99"/>
    </row>
    <row r="115" spans="1:28" x14ac:dyDescent="0.2">
      <c r="A115" s="102">
        <v>184.13473684210527</v>
      </c>
      <c r="B115" s="58"/>
      <c r="C115" s="58"/>
      <c r="D115" s="58"/>
      <c r="E115" s="58"/>
      <c r="F115" s="58">
        <v>38</v>
      </c>
      <c r="G115" s="58"/>
      <c r="H115" s="58"/>
      <c r="I115" s="58"/>
      <c r="J115" s="58">
        <v>38</v>
      </c>
      <c r="K115" s="100"/>
      <c r="L115" s="100"/>
      <c r="M115" s="100"/>
      <c r="N115" s="100">
        <v>19</v>
      </c>
      <c r="O115" s="100"/>
      <c r="P115" s="100"/>
      <c r="Q115" s="100"/>
      <c r="R115" s="100"/>
      <c r="S115" s="100">
        <v>19</v>
      </c>
      <c r="T115" s="99">
        <v>3498.56</v>
      </c>
      <c r="U115" s="99"/>
      <c r="V115" s="99"/>
      <c r="W115" s="99"/>
      <c r="X115" s="99">
        <v>3498.56</v>
      </c>
      <c r="Y115" s="99"/>
      <c r="Z115" s="99"/>
      <c r="AA115" s="99"/>
      <c r="AB115" s="99"/>
    </row>
    <row r="116" spans="1:28" x14ac:dyDescent="0.2">
      <c r="A116" s="102">
        <v>184.39166666666668</v>
      </c>
      <c r="B116" s="58">
        <v>616</v>
      </c>
      <c r="C116" s="58">
        <v>976</v>
      </c>
      <c r="D116" s="58">
        <v>320</v>
      </c>
      <c r="E116" s="58">
        <v>54</v>
      </c>
      <c r="F116" s="58"/>
      <c r="G116" s="58">
        <v>-516</v>
      </c>
      <c r="H116" s="58"/>
      <c r="I116" s="58">
        <v>244</v>
      </c>
      <c r="J116" s="58">
        <v>1694</v>
      </c>
      <c r="K116" s="100"/>
      <c r="L116" s="100"/>
      <c r="M116" s="100"/>
      <c r="N116" s="100"/>
      <c r="O116" s="100">
        <v>10</v>
      </c>
      <c r="P116" s="100">
        <v>50</v>
      </c>
      <c r="Q116" s="100"/>
      <c r="R116" s="100"/>
      <c r="S116" s="100">
        <v>60</v>
      </c>
      <c r="T116" s="99">
        <v>11063.5</v>
      </c>
      <c r="U116" s="99">
        <v>1413.98</v>
      </c>
      <c r="V116" s="99"/>
      <c r="W116" s="99">
        <v>-2990.22</v>
      </c>
      <c r="X116" s="99"/>
      <c r="Y116" s="99">
        <v>1529.54</v>
      </c>
      <c r="Z116" s="99">
        <v>8315.19</v>
      </c>
      <c r="AA116" s="99">
        <v>1124.9000000000001</v>
      </c>
      <c r="AB116" s="99">
        <v>1670.11</v>
      </c>
    </row>
    <row r="117" spans="1:28" x14ac:dyDescent="0.2">
      <c r="A117" s="102">
        <v>186.44824858757062</v>
      </c>
      <c r="B117" s="58"/>
      <c r="C117" s="58">
        <v>62</v>
      </c>
      <c r="D117" s="58">
        <v>40</v>
      </c>
      <c r="E117" s="58">
        <v>44</v>
      </c>
      <c r="F117" s="58">
        <v>58</v>
      </c>
      <c r="G117" s="58">
        <v>58</v>
      </c>
      <c r="H117" s="58">
        <v>30</v>
      </c>
      <c r="I117" s="58">
        <v>176</v>
      </c>
      <c r="J117" s="58">
        <v>468</v>
      </c>
      <c r="K117" s="100">
        <v>27</v>
      </c>
      <c r="L117" s="100">
        <v>38</v>
      </c>
      <c r="M117" s="100">
        <v>28</v>
      </c>
      <c r="N117" s="100">
        <v>21</v>
      </c>
      <c r="O117" s="100">
        <v>21</v>
      </c>
      <c r="P117" s="100">
        <v>16</v>
      </c>
      <c r="Q117" s="100">
        <v>26</v>
      </c>
      <c r="R117" s="100"/>
      <c r="S117" s="100">
        <v>177</v>
      </c>
      <c r="T117" s="99">
        <v>33001.339999999997</v>
      </c>
      <c r="U117" s="99">
        <v>5387.1</v>
      </c>
      <c r="V117" s="99">
        <v>7056.91</v>
      </c>
      <c r="W117" s="99">
        <v>5041.72</v>
      </c>
      <c r="X117" s="99">
        <v>3837.39</v>
      </c>
      <c r="Y117" s="99">
        <v>3882.69</v>
      </c>
      <c r="Z117" s="99">
        <v>3072.82</v>
      </c>
      <c r="AA117" s="99">
        <v>4722.71</v>
      </c>
      <c r="AB117" s="99"/>
    </row>
    <row r="118" spans="1:28" x14ac:dyDescent="0.2">
      <c r="A118" s="102">
        <v>190.78284874398716</v>
      </c>
      <c r="B118" s="58"/>
      <c r="C118" s="58">
        <v>4228</v>
      </c>
      <c r="D118" s="58">
        <v>3078</v>
      </c>
      <c r="E118" s="58">
        <v>3502</v>
      </c>
      <c r="F118" s="58">
        <v>3616</v>
      </c>
      <c r="G118" s="58">
        <v>2872</v>
      </c>
      <c r="H118" s="58">
        <v>4038</v>
      </c>
      <c r="I118" s="58">
        <v>2268</v>
      </c>
      <c r="J118" s="58">
        <v>23602</v>
      </c>
      <c r="K118" s="100">
        <v>251</v>
      </c>
      <c r="L118" s="100">
        <v>304</v>
      </c>
      <c r="M118" s="100">
        <v>248</v>
      </c>
      <c r="N118" s="100">
        <v>290</v>
      </c>
      <c r="O118" s="100">
        <v>270</v>
      </c>
      <c r="P118" s="100">
        <v>243</v>
      </c>
      <c r="Q118" s="100">
        <v>265</v>
      </c>
      <c r="R118" s="100"/>
      <c r="S118" s="100">
        <v>1871</v>
      </c>
      <c r="T118" s="99">
        <v>356954.71</v>
      </c>
      <c r="U118" s="99">
        <v>37698.620000000003</v>
      </c>
      <c r="V118" s="99">
        <v>53108.14</v>
      </c>
      <c r="W118" s="99">
        <v>47338.879999999997</v>
      </c>
      <c r="X118" s="99">
        <v>51872.66</v>
      </c>
      <c r="Y118" s="99">
        <v>49417.9</v>
      </c>
      <c r="Z118" s="99">
        <v>59592.19</v>
      </c>
      <c r="AA118" s="99">
        <v>57926.32</v>
      </c>
      <c r="AB118" s="99"/>
    </row>
    <row r="119" spans="1:28" x14ac:dyDescent="0.2">
      <c r="A119" s="102">
        <v>191.83616766467065</v>
      </c>
      <c r="B119" s="58">
        <v>40</v>
      </c>
      <c r="C119" s="58">
        <v>34</v>
      </c>
      <c r="D119" s="58">
        <v>84</v>
      </c>
      <c r="E119" s="58">
        <v>22</v>
      </c>
      <c r="F119" s="58">
        <v>84</v>
      </c>
      <c r="G119" s="58">
        <v>40</v>
      </c>
      <c r="H119" s="58">
        <v>158</v>
      </c>
      <c r="I119" s="58">
        <v>64</v>
      </c>
      <c r="J119" s="58">
        <v>526</v>
      </c>
      <c r="K119" s="100">
        <v>342</v>
      </c>
      <c r="L119" s="100">
        <v>11</v>
      </c>
      <c r="M119" s="100">
        <v>140</v>
      </c>
      <c r="N119" s="100">
        <v>30</v>
      </c>
      <c r="O119" s="100">
        <v>112</v>
      </c>
      <c r="P119" s="100">
        <v>16</v>
      </c>
      <c r="Q119" s="100">
        <v>17</v>
      </c>
      <c r="R119" s="100"/>
      <c r="S119" s="100">
        <v>668</v>
      </c>
      <c r="T119" s="99">
        <v>128146.56</v>
      </c>
      <c r="U119" s="99">
        <v>67168.320000000007</v>
      </c>
      <c r="V119" s="99">
        <v>4994.71</v>
      </c>
      <c r="W119" s="99">
        <v>22271.74</v>
      </c>
      <c r="X119" s="99">
        <v>6701.91</v>
      </c>
      <c r="Y119" s="99">
        <v>18416.75</v>
      </c>
      <c r="Z119" s="99">
        <v>4204.72</v>
      </c>
      <c r="AA119" s="99">
        <v>3589.49</v>
      </c>
      <c r="AB119" s="99">
        <v>798.92</v>
      </c>
    </row>
    <row r="120" spans="1:28" x14ac:dyDescent="0.2">
      <c r="A120" s="102">
        <v>205.44892857142858</v>
      </c>
      <c r="B120" s="58"/>
      <c r="C120" s="58"/>
      <c r="D120" s="58"/>
      <c r="E120" s="58"/>
      <c r="F120" s="58"/>
      <c r="G120" s="58"/>
      <c r="H120" s="58"/>
      <c r="I120" s="58"/>
      <c r="J120" s="58"/>
      <c r="K120" s="100">
        <v>4</v>
      </c>
      <c r="L120" s="100">
        <v>20</v>
      </c>
      <c r="M120" s="100">
        <v>1</v>
      </c>
      <c r="N120" s="100"/>
      <c r="O120" s="100">
        <v>1</v>
      </c>
      <c r="P120" s="100"/>
      <c r="Q120" s="100">
        <v>2</v>
      </c>
      <c r="R120" s="100"/>
      <c r="S120" s="100">
        <v>28</v>
      </c>
      <c r="T120" s="99">
        <v>5752.57</v>
      </c>
      <c r="U120" s="99">
        <v>844.11</v>
      </c>
      <c r="V120" s="99">
        <v>4062.61</v>
      </c>
      <c r="W120" s="99">
        <v>199.98</v>
      </c>
      <c r="X120" s="99"/>
      <c r="Y120" s="99">
        <v>201.17</v>
      </c>
      <c r="Z120" s="99"/>
      <c r="AA120" s="99">
        <v>444.7</v>
      </c>
      <c r="AB120" s="99"/>
    </row>
    <row r="121" spans="1:28" x14ac:dyDescent="0.2">
      <c r="A121" s="102">
        <v>208.2914906832298</v>
      </c>
      <c r="B121" s="58"/>
      <c r="C121" s="58">
        <v>26</v>
      </c>
      <c r="D121" s="58">
        <v>156</v>
      </c>
      <c r="E121" s="58">
        <v>58</v>
      </c>
      <c r="F121" s="58">
        <v>30</v>
      </c>
      <c r="G121" s="58">
        <v>20</v>
      </c>
      <c r="H121" s="58">
        <v>26</v>
      </c>
      <c r="I121" s="58">
        <v>110</v>
      </c>
      <c r="J121" s="58">
        <v>426</v>
      </c>
      <c r="K121" s="100">
        <v>32</v>
      </c>
      <c r="L121" s="100">
        <v>16</v>
      </c>
      <c r="M121" s="100">
        <v>18</v>
      </c>
      <c r="N121" s="100">
        <v>21</v>
      </c>
      <c r="O121" s="100">
        <v>32</v>
      </c>
      <c r="P121" s="100">
        <v>19</v>
      </c>
      <c r="Q121" s="100">
        <v>23</v>
      </c>
      <c r="R121" s="100"/>
      <c r="S121" s="100">
        <v>161</v>
      </c>
      <c r="T121" s="99">
        <v>33534.93</v>
      </c>
      <c r="U121" s="99">
        <v>6880.92</v>
      </c>
      <c r="V121" s="99">
        <v>3272.54</v>
      </c>
      <c r="W121" s="99">
        <v>3554.39</v>
      </c>
      <c r="X121" s="99">
        <v>3721.98</v>
      </c>
      <c r="Y121" s="99">
        <v>6645.44</v>
      </c>
      <c r="Z121" s="99">
        <v>4685.5200000000004</v>
      </c>
      <c r="AA121" s="99">
        <v>4774.1400000000003</v>
      </c>
      <c r="AB121" s="99"/>
    </row>
    <row r="122" spans="1:28" x14ac:dyDescent="0.2">
      <c r="A122" s="102">
        <v>212.44960450531167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100">
        <v>2530</v>
      </c>
      <c r="L122" s="100">
        <v>5960</v>
      </c>
      <c r="M122" s="100">
        <v>5646</v>
      </c>
      <c r="N122" s="100">
        <v>4248</v>
      </c>
      <c r="O122" s="100">
        <v>5939</v>
      </c>
      <c r="P122" s="100">
        <v>634</v>
      </c>
      <c r="Q122" s="100">
        <v>-1518</v>
      </c>
      <c r="R122" s="100"/>
      <c r="S122" s="100">
        <v>23439</v>
      </c>
      <c r="T122" s="99">
        <v>4979606.28</v>
      </c>
      <c r="U122" s="99">
        <v>582577.66</v>
      </c>
      <c r="V122" s="99">
        <v>904022.52</v>
      </c>
      <c r="W122" s="99">
        <v>1275687</v>
      </c>
      <c r="X122" s="99">
        <v>1022849</v>
      </c>
      <c r="Y122" s="99">
        <v>1392158.21</v>
      </c>
      <c r="Z122" s="99">
        <v>178046.23</v>
      </c>
      <c r="AA122" s="99">
        <v>-375734.34</v>
      </c>
      <c r="AB122" s="99"/>
    </row>
    <row r="123" spans="1:28" x14ac:dyDescent="0.2">
      <c r="A123" s="102">
        <v>215.81917142857142</v>
      </c>
      <c r="B123" s="58"/>
      <c r="C123" s="58">
        <v>720</v>
      </c>
      <c r="D123" s="58">
        <v>1028</v>
      </c>
      <c r="E123" s="58">
        <v>228</v>
      </c>
      <c r="F123" s="58">
        <v>408</v>
      </c>
      <c r="G123" s="58">
        <v>170</v>
      </c>
      <c r="H123" s="58">
        <v>750</v>
      </c>
      <c r="I123" s="58">
        <v>458</v>
      </c>
      <c r="J123" s="58">
        <v>3762</v>
      </c>
      <c r="K123" s="100">
        <v>150</v>
      </c>
      <c r="L123" s="100"/>
      <c r="M123" s="100"/>
      <c r="N123" s="100"/>
      <c r="O123" s="100">
        <v>200</v>
      </c>
      <c r="P123" s="100"/>
      <c r="Q123" s="100"/>
      <c r="R123" s="100"/>
      <c r="S123" s="100">
        <v>350</v>
      </c>
      <c r="T123" s="99">
        <v>75536.710000000006</v>
      </c>
      <c r="U123" s="99">
        <v>29962.98</v>
      </c>
      <c r="V123" s="99">
        <v>2925.78</v>
      </c>
      <c r="W123" s="99">
        <v>1911.82</v>
      </c>
      <c r="X123" s="99">
        <v>1994</v>
      </c>
      <c r="Y123" s="99">
        <v>31530.799999999999</v>
      </c>
      <c r="Z123" s="99">
        <v>4235.57</v>
      </c>
      <c r="AA123" s="99">
        <v>2975.76</v>
      </c>
      <c r="AB123" s="99"/>
    </row>
    <row r="124" spans="1:28" x14ac:dyDescent="0.2">
      <c r="A124" s="102">
        <v>223.92</v>
      </c>
      <c r="B124" s="58"/>
      <c r="C124" s="58"/>
      <c r="D124" s="58"/>
      <c r="E124" s="58"/>
      <c r="F124" s="58"/>
      <c r="G124" s="58"/>
      <c r="H124" s="58"/>
      <c r="I124" s="58"/>
      <c r="J124" s="58"/>
      <c r="K124" s="100"/>
      <c r="L124" s="100">
        <v>30</v>
      </c>
      <c r="M124" s="100"/>
      <c r="N124" s="100"/>
      <c r="O124" s="100"/>
      <c r="P124" s="100"/>
      <c r="Q124" s="100"/>
      <c r="R124" s="100"/>
      <c r="S124" s="100">
        <v>30</v>
      </c>
      <c r="T124" s="99">
        <v>6717.6</v>
      </c>
      <c r="U124" s="99"/>
      <c r="V124" s="99">
        <v>6417.6</v>
      </c>
      <c r="W124" s="99"/>
      <c r="X124" s="99"/>
      <c r="Y124" s="99">
        <v>300</v>
      </c>
      <c r="Z124" s="99"/>
      <c r="AA124" s="99"/>
      <c r="AB124" s="99"/>
    </row>
    <row r="125" spans="1:28" x14ac:dyDescent="0.2">
      <c r="A125" s="102">
        <v>224.41508942055481</v>
      </c>
      <c r="B125" s="58"/>
      <c r="C125" s="58">
        <v>41316</v>
      </c>
      <c r="D125" s="58">
        <v>41286</v>
      </c>
      <c r="E125" s="58">
        <v>29854</v>
      </c>
      <c r="F125" s="58">
        <v>46484</v>
      </c>
      <c r="G125" s="58">
        <v>5270</v>
      </c>
      <c r="H125" s="58">
        <v>68154</v>
      </c>
      <c r="I125" s="58">
        <v>46410</v>
      </c>
      <c r="J125" s="58">
        <v>278774</v>
      </c>
      <c r="K125" s="100">
        <v>2091</v>
      </c>
      <c r="L125" s="100">
        <v>2446</v>
      </c>
      <c r="M125" s="100">
        <v>296</v>
      </c>
      <c r="N125" s="100">
        <v>1728</v>
      </c>
      <c r="O125" s="100">
        <v>1502</v>
      </c>
      <c r="P125" s="100">
        <v>2296</v>
      </c>
      <c r="Q125" s="100">
        <v>2222</v>
      </c>
      <c r="R125" s="100"/>
      <c r="S125" s="100">
        <v>12581</v>
      </c>
      <c r="T125" s="99">
        <v>2823366.24</v>
      </c>
      <c r="U125" s="99">
        <v>534686.47</v>
      </c>
      <c r="V125" s="99">
        <v>754796.38</v>
      </c>
      <c r="W125" s="99">
        <v>72850.899999999994</v>
      </c>
      <c r="X125" s="99">
        <v>372456.45</v>
      </c>
      <c r="Y125" s="99">
        <v>280140.13</v>
      </c>
      <c r="Z125" s="99">
        <v>410815.55</v>
      </c>
      <c r="AA125" s="99">
        <v>397620.36</v>
      </c>
      <c r="AB125" s="99"/>
    </row>
    <row r="126" spans="1:28" x14ac:dyDescent="0.2">
      <c r="A126" s="102">
        <v>241.08156581409858</v>
      </c>
      <c r="B126" s="58">
        <v>722</v>
      </c>
      <c r="C126" s="58">
        <v>470</v>
      </c>
      <c r="D126" s="58">
        <v>1338</v>
      </c>
      <c r="E126" s="58">
        <v>708</v>
      </c>
      <c r="F126" s="58">
        <v>256</v>
      </c>
      <c r="G126" s="58">
        <v>854</v>
      </c>
      <c r="H126" s="58">
        <v>496</v>
      </c>
      <c r="I126" s="58">
        <v>324</v>
      </c>
      <c r="J126" s="58">
        <v>5168</v>
      </c>
      <c r="K126" s="100">
        <v>40</v>
      </c>
      <c r="L126" s="100">
        <v>165</v>
      </c>
      <c r="M126" s="100">
        <v>202</v>
      </c>
      <c r="N126" s="100">
        <v>192</v>
      </c>
      <c r="O126" s="100">
        <v>262</v>
      </c>
      <c r="P126" s="100">
        <v>359</v>
      </c>
      <c r="Q126" s="100">
        <v>216</v>
      </c>
      <c r="R126" s="100">
        <v>167</v>
      </c>
      <c r="S126" s="100">
        <v>1603</v>
      </c>
      <c r="T126" s="99">
        <v>386453.75</v>
      </c>
      <c r="U126" s="99">
        <v>12470.3</v>
      </c>
      <c r="V126" s="99">
        <v>51918.239999999998</v>
      </c>
      <c r="W126" s="99">
        <v>51522.03</v>
      </c>
      <c r="X126" s="99">
        <v>43856.73</v>
      </c>
      <c r="Y126" s="99">
        <v>58723.65</v>
      </c>
      <c r="Z126" s="99">
        <v>77197.070000000007</v>
      </c>
      <c r="AA126" s="99">
        <v>50118.2</v>
      </c>
      <c r="AB126" s="99">
        <v>40647.53</v>
      </c>
    </row>
    <row r="127" spans="1:28" x14ac:dyDescent="0.2">
      <c r="A127" s="102">
        <v>250.6329784537389</v>
      </c>
      <c r="B127" s="58"/>
      <c r="C127" s="58">
        <v>856</v>
      </c>
      <c r="D127" s="58">
        <v>1240</v>
      </c>
      <c r="E127" s="58">
        <v>1336</v>
      </c>
      <c r="F127" s="58">
        <v>622</v>
      </c>
      <c r="G127" s="58">
        <v>904</v>
      </c>
      <c r="H127" s="58">
        <v>262</v>
      </c>
      <c r="I127" s="58">
        <v>1500</v>
      </c>
      <c r="J127" s="58">
        <v>6720</v>
      </c>
      <c r="K127" s="100">
        <v>191</v>
      </c>
      <c r="L127" s="100">
        <v>58</v>
      </c>
      <c r="M127" s="100">
        <v>109</v>
      </c>
      <c r="N127" s="100">
        <v>92</v>
      </c>
      <c r="O127" s="100">
        <v>130</v>
      </c>
      <c r="P127" s="100">
        <v>89</v>
      </c>
      <c r="Q127" s="100">
        <v>120</v>
      </c>
      <c r="R127" s="100"/>
      <c r="S127" s="100">
        <v>789</v>
      </c>
      <c r="T127" s="99">
        <v>197749.42</v>
      </c>
      <c r="U127" s="99">
        <v>44631.41</v>
      </c>
      <c r="V127" s="99">
        <v>14074.75</v>
      </c>
      <c r="W127" s="99">
        <v>26304.26</v>
      </c>
      <c r="X127" s="99">
        <v>23135.93</v>
      </c>
      <c r="Y127" s="99">
        <v>33887.79</v>
      </c>
      <c r="Z127" s="99">
        <v>26480.44</v>
      </c>
      <c r="AA127" s="99">
        <v>29234.84</v>
      </c>
      <c r="AB127" s="99"/>
    </row>
    <row r="128" spans="1:28" x14ac:dyDescent="0.2">
      <c r="A128" s="102">
        <v>252.52595166163141</v>
      </c>
      <c r="B128" s="58">
        <v>86</v>
      </c>
      <c r="C128" s="58">
        <v>298</v>
      </c>
      <c r="D128" s="58">
        <v>324</v>
      </c>
      <c r="E128" s="58">
        <v>368</v>
      </c>
      <c r="F128" s="58">
        <v>232</v>
      </c>
      <c r="G128" s="58">
        <v>78</v>
      </c>
      <c r="H128" s="58">
        <v>262</v>
      </c>
      <c r="I128" s="58">
        <v>10</v>
      </c>
      <c r="J128" s="58">
        <v>1658</v>
      </c>
      <c r="K128" s="100">
        <v>8</v>
      </c>
      <c r="L128" s="100">
        <v>22</v>
      </c>
      <c r="M128" s="100">
        <v>34</v>
      </c>
      <c r="N128" s="100">
        <v>77</v>
      </c>
      <c r="O128" s="100">
        <v>48</v>
      </c>
      <c r="P128" s="100">
        <v>66</v>
      </c>
      <c r="Q128" s="100">
        <v>48</v>
      </c>
      <c r="R128" s="100">
        <v>28</v>
      </c>
      <c r="S128" s="100">
        <v>331</v>
      </c>
      <c r="T128" s="99">
        <v>83586.09</v>
      </c>
      <c r="U128" s="99">
        <v>1258.24</v>
      </c>
      <c r="V128" s="99">
        <v>4908.1400000000003</v>
      </c>
      <c r="W128" s="99">
        <v>6855.41</v>
      </c>
      <c r="X128" s="99">
        <v>18783.669999999998</v>
      </c>
      <c r="Y128" s="99">
        <v>17190.919999999998</v>
      </c>
      <c r="Z128" s="99">
        <v>16105.86</v>
      </c>
      <c r="AA128" s="99">
        <v>12308.89</v>
      </c>
      <c r="AB128" s="99">
        <v>6174.96</v>
      </c>
    </row>
    <row r="129" spans="1:28" x14ac:dyDescent="0.2">
      <c r="A129" s="102">
        <v>265.66624999999999</v>
      </c>
      <c r="B129" s="58"/>
      <c r="C129" s="58"/>
      <c r="D129" s="58"/>
      <c r="E129" s="58"/>
      <c r="F129" s="58"/>
      <c r="G129" s="58"/>
      <c r="H129" s="58"/>
      <c r="I129" s="58">
        <v>338</v>
      </c>
      <c r="J129" s="58">
        <v>338</v>
      </c>
      <c r="K129" s="100">
        <v>16</v>
      </c>
      <c r="L129" s="100"/>
      <c r="M129" s="100"/>
      <c r="N129" s="100"/>
      <c r="O129" s="100"/>
      <c r="P129" s="100"/>
      <c r="Q129" s="100"/>
      <c r="R129" s="100"/>
      <c r="S129" s="100">
        <v>16</v>
      </c>
      <c r="T129" s="99">
        <v>4250.66</v>
      </c>
      <c r="U129" s="99">
        <v>4250.66</v>
      </c>
      <c r="V129" s="99"/>
      <c r="W129" s="99"/>
      <c r="X129" s="99"/>
      <c r="Y129" s="99"/>
      <c r="Z129" s="99"/>
      <c r="AA129" s="99"/>
      <c r="AB129" s="99"/>
    </row>
    <row r="130" spans="1:28" x14ac:dyDescent="0.2">
      <c r="A130" s="102">
        <v>269.75090909090909</v>
      </c>
      <c r="B130" s="58"/>
      <c r="C130" s="58">
        <v>10</v>
      </c>
      <c r="D130" s="58"/>
      <c r="E130" s="58"/>
      <c r="F130" s="58">
        <v>14</v>
      </c>
      <c r="G130" s="58"/>
      <c r="H130" s="58"/>
      <c r="I130" s="58"/>
      <c r="J130" s="58">
        <v>24</v>
      </c>
      <c r="K130" s="100">
        <v>2</v>
      </c>
      <c r="L130" s="100">
        <v>1</v>
      </c>
      <c r="M130" s="100"/>
      <c r="N130" s="100">
        <v>7</v>
      </c>
      <c r="O130" s="100"/>
      <c r="P130" s="100"/>
      <c r="Q130" s="100">
        <v>1</v>
      </c>
      <c r="R130" s="100"/>
      <c r="S130" s="100">
        <v>11</v>
      </c>
      <c r="T130" s="99">
        <v>2967.26</v>
      </c>
      <c r="U130" s="99">
        <v>607.37</v>
      </c>
      <c r="V130" s="99">
        <v>201.22</v>
      </c>
      <c r="W130" s="99"/>
      <c r="X130" s="99">
        <v>1799.66</v>
      </c>
      <c r="Y130" s="99"/>
      <c r="Z130" s="99"/>
      <c r="AA130" s="99">
        <v>359.01</v>
      </c>
      <c r="AB130" s="99"/>
    </row>
    <row r="131" spans="1:28" x14ac:dyDescent="0.2">
      <c r="A131" s="102">
        <v>277.24687906371912</v>
      </c>
      <c r="B131" s="58"/>
      <c r="C131" s="58"/>
      <c r="D131" s="58">
        <v>-624</v>
      </c>
      <c r="E131" s="58">
        <v>624</v>
      </c>
      <c r="F131" s="58"/>
      <c r="G131" s="58"/>
      <c r="H131" s="58"/>
      <c r="I131" s="58"/>
      <c r="J131" s="58"/>
      <c r="K131" s="100"/>
      <c r="L131" s="100"/>
      <c r="M131" s="100"/>
      <c r="N131" s="100"/>
      <c r="O131" s="100">
        <v>18</v>
      </c>
      <c r="P131" s="100">
        <v>333</v>
      </c>
      <c r="Q131" s="100">
        <v>418</v>
      </c>
      <c r="R131" s="100"/>
      <c r="S131" s="100">
        <v>769</v>
      </c>
      <c r="T131" s="99">
        <v>213202.85</v>
      </c>
      <c r="U131" s="99"/>
      <c r="V131" s="99"/>
      <c r="W131" s="99"/>
      <c r="X131" s="99"/>
      <c r="Y131" s="99">
        <v>4569.5</v>
      </c>
      <c r="Z131" s="99">
        <v>95877.5</v>
      </c>
      <c r="AA131" s="99">
        <v>112755.85</v>
      </c>
      <c r="AB131" s="99"/>
    </row>
    <row r="132" spans="1:28" x14ac:dyDescent="0.2">
      <c r="A132" s="102">
        <v>281.15629629629632</v>
      </c>
      <c r="B132" s="58"/>
      <c r="C132" s="58">
        <v>68</v>
      </c>
      <c r="D132" s="58">
        <v>30</v>
      </c>
      <c r="E132" s="58">
        <v>58</v>
      </c>
      <c r="F132" s="58">
        <v>64</v>
      </c>
      <c r="G132" s="58">
        <v>102</v>
      </c>
      <c r="H132" s="58">
        <v>54</v>
      </c>
      <c r="I132" s="58">
        <v>68</v>
      </c>
      <c r="J132" s="58">
        <v>444</v>
      </c>
      <c r="K132" s="100">
        <v>24</v>
      </c>
      <c r="L132" s="100">
        <v>27</v>
      </c>
      <c r="M132" s="100">
        <v>29</v>
      </c>
      <c r="N132" s="100">
        <v>17</v>
      </c>
      <c r="O132" s="100">
        <v>13</v>
      </c>
      <c r="P132" s="100">
        <v>13</v>
      </c>
      <c r="Q132" s="100">
        <v>12</v>
      </c>
      <c r="R132" s="100"/>
      <c r="S132" s="100">
        <v>135</v>
      </c>
      <c r="T132" s="99">
        <v>37956.1</v>
      </c>
      <c r="U132" s="99">
        <v>6277.32</v>
      </c>
      <c r="V132" s="99">
        <v>6859.1</v>
      </c>
      <c r="W132" s="99">
        <v>7656.16</v>
      </c>
      <c r="X132" s="99">
        <v>4697.4399999999996</v>
      </c>
      <c r="Y132" s="99">
        <v>4622.55</v>
      </c>
      <c r="Z132" s="99">
        <v>3643.63</v>
      </c>
      <c r="AA132" s="99">
        <v>4199.8999999999996</v>
      </c>
      <c r="AB132" s="99"/>
    </row>
    <row r="133" spans="1:28" x14ac:dyDescent="0.2">
      <c r="A133" s="102">
        <v>288.87326530612245</v>
      </c>
      <c r="B133" s="58"/>
      <c r="C133" s="58"/>
      <c r="D133" s="58"/>
      <c r="E133" s="58"/>
      <c r="F133" s="58"/>
      <c r="G133" s="58"/>
      <c r="H133" s="58">
        <v>2</v>
      </c>
      <c r="I133" s="58">
        <v>536</v>
      </c>
      <c r="J133" s="58">
        <v>538</v>
      </c>
      <c r="K133" s="100">
        <v>48</v>
      </c>
      <c r="L133" s="100">
        <v>1</v>
      </c>
      <c r="M133" s="100"/>
      <c r="N133" s="100"/>
      <c r="O133" s="100"/>
      <c r="P133" s="100"/>
      <c r="Q133" s="100"/>
      <c r="R133" s="100"/>
      <c r="S133" s="100">
        <v>49</v>
      </c>
      <c r="T133" s="99">
        <v>14154.79</v>
      </c>
      <c r="U133" s="99">
        <v>14017.28</v>
      </c>
      <c r="V133" s="99">
        <v>137.51</v>
      </c>
      <c r="W133" s="99"/>
      <c r="X133" s="99"/>
      <c r="Y133" s="99"/>
      <c r="Z133" s="99"/>
      <c r="AA133" s="99"/>
      <c r="AB133" s="99"/>
    </row>
    <row r="134" spans="1:28" x14ac:dyDescent="0.2">
      <c r="A134" s="102">
        <v>292.86169999999998</v>
      </c>
      <c r="B134" s="58"/>
      <c r="C134" s="58">
        <v>2</v>
      </c>
      <c r="D134" s="58"/>
      <c r="E134" s="58"/>
      <c r="F134" s="58"/>
      <c r="G134" s="58"/>
      <c r="H134" s="58"/>
      <c r="I134" s="58">
        <v>10</v>
      </c>
      <c r="J134" s="58">
        <v>12</v>
      </c>
      <c r="K134" s="100"/>
      <c r="L134" s="100"/>
      <c r="M134" s="100"/>
      <c r="N134" s="100"/>
      <c r="O134" s="100"/>
      <c r="P134" s="100"/>
      <c r="Q134" s="100"/>
      <c r="R134" s="100">
        <v>100</v>
      </c>
      <c r="S134" s="100">
        <v>100</v>
      </c>
      <c r="T134" s="99">
        <v>29286.17</v>
      </c>
      <c r="U134" s="99">
        <v>145.29</v>
      </c>
      <c r="V134" s="99"/>
      <c r="W134" s="99"/>
      <c r="X134" s="99"/>
      <c r="Y134" s="99"/>
      <c r="Z134" s="99"/>
      <c r="AA134" s="99">
        <v>82.14</v>
      </c>
      <c r="AB134" s="99">
        <v>29058.74</v>
      </c>
    </row>
    <row r="135" spans="1:28" x14ac:dyDescent="0.2">
      <c r="A135" s="102">
        <v>293.50151515151515</v>
      </c>
      <c r="B135" s="58"/>
      <c r="C135" s="58">
        <v>10</v>
      </c>
      <c r="D135" s="58">
        <v>48</v>
      </c>
      <c r="E135" s="58"/>
      <c r="F135" s="58"/>
      <c r="G135" s="58"/>
      <c r="H135" s="58"/>
      <c r="I135" s="58"/>
      <c r="J135" s="58">
        <v>58</v>
      </c>
      <c r="K135" s="100"/>
      <c r="L135" s="100"/>
      <c r="M135" s="100"/>
      <c r="N135" s="100"/>
      <c r="O135" s="100"/>
      <c r="P135" s="100">
        <v>7</v>
      </c>
      <c r="Q135" s="100">
        <v>26</v>
      </c>
      <c r="R135" s="100"/>
      <c r="S135" s="100">
        <v>33</v>
      </c>
      <c r="T135" s="99">
        <v>9685.5499999999993</v>
      </c>
      <c r="U135" s="99"/>
      <c r="V135" s="99"/>
      <c r="W135" s="99"/>
      <c r="X135" s="99"/>
      <c r="Y135" s="99"/>
      <c r="Z135" s="99">
        <v>3560.21</v>
      </c>
      <c r="AA135" s="99">
        <v>6125.34</v>
      </c>
      <c r="AB135" s="99"/>
    </row>
    <row r="136" spans="1:28" x14ac:dyDescent="0.2">
      <c r="A136" s="102">
        <v>294.74740000000003</v>
      </c>
      <c r="B136" s="58"/>
      <c r="C136" s="58"/>
      <c r="D136" s="58"/>
      <c r="E136" s="58"/>
      <c r="F136" s="58">
        <v>34</v>
      </c>
      <c r="G136" s="58">
        <v>34</v>
      </c>
      <c r="H136" s="58">
        <v>8</v>
      </c>
      <c r="I136" s="58">
        <v>106</v>
      </c>
      <c r="J136" s="58">
        <v>182</v>
      </c>
      <c r="K136" s="100"/>
      <c r="L136" s="100"/>
      <c r="M136" s="100"/>
      <c r="N136" s="100"/>
      <c r="O136" s="100"/>
      <c r="P136" s="100"/>
      <c r="Q136" s="100"/>
      <c r="R136" s="100">
        <v>50</v>
      </c>
      <c r="S136" s="100">
        <v>50</v>
      </c>
      <c r="T136" s="99">
        <v>14737.37</v>
      </c>
      <c r="U136" s="99">
        <v>505.49</v>
      </c>
      <c r="V136" s="99">
        <v>42.84</v>
      </c>
      <c r="W136" s="99">
        <v>182.28</v>
      </c>
      <c r="X136" s="99">
        <v>183.26</v>
      </c>
      <c r="Y136" s="99"/>
      <c r="Z136" s="99"/>
      <c r="AA136" s="99"/>
      <c r="AB136" s="99">
        <v>13823.5</v>
      </c>
    </row>
    <row r="137" spans="1:28" x14ac:dyDescent="0.2">
      <c r="A137" s="102">
        <v>295.15977815699659</v>
      </c>
      <c r="B137" s="58">
        <v>194</v>
      </c>
      <c r="C137" s="58">
        <v>146</v>
      </c>
      <c r="D137" s="58">
        <v>4</v>
      </c>
      <c r="E137" s="58">
        <v>38</v>
      </c>
      <c r="F137" s="58">
        <v>88</v>
      </c>
      <c r="G137" s="58">
        <v>81</v>
      </c>
      <c r="H137" s="58">
        <v>36</v>
      </c>
      <c r="I137" s="58">
        <v>110</v>
      </c>
      <c r="J137" s="58">
        <v>697</v>
      </c>
      <c r="K137" s="100">
        <v>62</v>
      </c>
      <c r="L137" s="100">
        <v>55</v>
      </c>
      <c r="M137" s="100">
        <v>72</v>
      </c>
      <c r="N137" s="100">
        <v>84</v>
      </c>
      <c r="O137" s="100">
        <v>66</v>
      </c>
      <c r="P137" s="100">
        <v>68</v>
      </c>
      <c r="Q137" s="100">
        <v>103</v>
      </c>
      <c r="R137" s="100">
        <v>76</v>
      </c>
      <c r="S137" s="100">
        <v>586</v>
      </c>
      <c r="T137" s="99">
        <v>172963.63</v>
      </c>
      <c r="U137" s="99">
        <v>18715.599999999999</v>
      </c>
      <c r="V137" s="99">
        <v>15443.28</v>
      </c>
      <c r="W137" s="99">
        <v>22067.55</v>
      </c>
      <c r="X137" s="99">
        <v>24416.44</v>
      </c>
      <c r="Y137" s="99">
        <v>18869.57</v>
      </c>
      <c r="Z137" s="99">
        <v>18012.75</v>
      </c>
      <c r="AA137" s="99">
        <v>33195.760000000002</v>
      </c>
      <c r="AB137" s="99">
        <v>22242.68</v>
      </c>
    </row>
    <row r="138" spans="1:28" x14ac:dyDescent="0.2">
      <c r="A138" s="102">
        <v>301.31</v>
      </c>
      <c r="B138" s="58"/>
      <c r="C138" s="58"/>
      <c r="D138" s="58">
        <v>52</v>
      </c>
      <c r="E138" s="58">
        <v>2</v>
      </c>
      <c r="F138" s="58"/>
      <c r="G138" s="58"/>
      <c r="H138" s="58"/>
      <c r="I138" s="58"/>
      <c r="J138" s="58">
        <v>54</v>
      </c>
      <c r="K138" s="100"/>
      <c r="L138" s="100"/>
      <c r="M138" s="100"/>
      <c r="N138" s="100"/>
      <c r="O138" s="100">
        <v>1</v>
      </c>
      <c r="P138" s="100">
        <v>7</v>
      </c>
      <c r="Q138" s="100"/>
      <c r="R138" s="100"/>
      <c r="S138" s="100">
        <v>8</v>
      </c>
      <c r="T138" s="99">
        <v>2410.48</v>
      </c>
      <c r="U138" s="99"/>
      <c r="V138" s="99"/>
      <c r="W138" s="99"/>
      <c r="X138" s="99"/>
      <c r="Y138" s="99">
        <v>262.95</v>
      </c>
      <c r="Z138" s="99">
        <v>2147.5300000000002</v>
      </c>
      <c r="AA138" s="99"/>
      <c r="AB138" s="99"/>
    </row>
    <row r="139" spans="1:28" x14ac:dyDescent="0.2">
      <c r="A139" s="102">
        <v>303.66000000000003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100"/>
      <c r="L139" s="100"/>
      <c r="M139" s="100"/>
      <c r="N139" s="100"/>
      <c r="O139" s="100"/>
      <c r="P139" s="100"/>
      <c r="Q139" s="100">
        <v>50</v>
      </c>
      <c r="R139" s="100"/>
      <c r="S139" s="100">
        <v>50</v>
      </c>
      <c r="T139" s="99">
        <v>15183</v>
      </c>
      <c r="U139" s="99"/>
      <c r="V139" s="99"/>
      <c r="W139" s="99"/>
      <c r="X139" s="99"/>
      <c r="Y139" s="99"/>
      <c r="Z139" s="99"/>
      <c r="AA139" s="99">
        <v>15183</v>
      </c>
      <c r="AB139" s="99"/>
    </row>
    <row r="140" spans="1:28" x14ac:dyDescent="0.2">
      <c r="A140" s="102">
        <v>303.96037735849058</v>
      </c>
      <c r="B140" s="58">
        <v>154</v>
      </c>
      <c r="C140" s="58">
        <v>160</v>
      </c>
      <c r="D140" s="58">
        <v>442</v>
      </c>
      <c r="E140" s="58">
        <v>62</v>
      </c>
      <c r="F140" s="58">
        <v>58</v>
      </c>
      <c r="G140" s="58">
        <v>1590</v>
      </c>
      <c r="H140" s="58">
        <v>288</v>
      </c>
      <c r="I140" s="58">
        <v>62</v>
      </c>
      <c r="J140" s="58">
        <v>2816</v>
      </c>
      <c r="K140" s="100">
        <v>13</v>
      </c>
      <c r="L140" s="100">
        <v>23</v>
      </c>
      <c r="M140" s="100">
        <v>88</v>
      </c>
      <c r="N140" s="100">
        <v>9</v>
      </c>
      <c r="O140" s="100">
        <v>7</v>
      </c>
      <c r="P140" s="100">
        <v>25</v>
      </c>
      <c r="Q140" s="100">
        <v>22</v>
      </c>
      <c r="R140" s="100">
        <v>25</v>
      </c>
      <c r="S140" s="100">
        <v>212</v>
      </c>
      <c r="T140" s="99">
        <v>64439.6</v>
      </c>
      <c r="U140" s="99">
        <v>6071.73</v>
      </c>
      <c r="V140" s="99">
        <v>5848.5</v>
      </c>
      <c r="W140" s="99">
        <v>29346.77</v>
      </c>
      <c r="X140" s="99">
        <v>2804.81</v>
      </c>
      <c r="Y140" s="99">
        <v>2186.8200000000002</v>
      </c>
      <c r="Z140" s="99">
        <v>7288.52</v>
      </c>
      <c r="AA140" s="99">
        <v>6307.61</v>
      </c>
      <c r="AB140" s="99">
        <v>4584.84</v>
      </c>
    </row>
    <row r="141" spans="1:28" x14ac:dyDescent="0.2">
      <c r="A141" s="102">
        <v>312.63533898305087</v>
      </c>
      <c r="B141" s="58">
        <v>350</v>
      </c>
      <c r="C141" s="58">
        <v>224</v>
      </c>
      <c r="D141" s="58">
        <v>240</v>
      </c>
      <c r="E141" s="58">
        <v>236</v>
      </c>
      <c r="F141" s="58">
        <v>118</v>
      </c>
      <c r="G141" s="58">
        <v>150</v>
      </c>
      <c r="H141" s="58">
        <v>80</v>
      </c>
      <c r="I141" s="58">
        <v>22</v>
      </c>
      <c r="J141" s="58">
        <v>1420</v>
      </c>
      <c r="K141" s="100">
        <v>9</v>
      </c>
      <c r="L141" s="100">
        <v>7</v>
      </c>
      <c r="M141" s="100">
        <v>21</v>
      </c>
      <c r="N141" s="100">
        <v>15</v>
      </c>
      <c r="O141" s="100">
        <v>9</v>
      </c>
      <c r="P141" s="100">
        <v>17</v>
      </c>
      <c r="Q141" s="100">
        <v>18</v>
      </c>
      <c r="R141" s="100">
        <v>22</v>
      </c>
      <c r="S141" s="100">
        <v>118</v>
      </c>
      <c r="T141" s="99">
        <v>36890.97</v>
      </c>
      <c r="U141" s="99">
        <v>4396.82</v>
      </c>
      <c r="V141" s="99">
        <v>4099.8999999999996</v>
      </c>
      <c r="W141" s="99">
        <v>6247.43</v>
      </c>
      <c r="X141" s="99">
        <v>4529.3900000000003</v>
      </c>
      <c r="Y141" s="99">
        <v>3229.68</v>
      </c>
      <c r="Z141" s="99">
        <v>5003.5600000000004</v>
      </c>
      <c r="AA141" s="99">
        <v>4450.3900000000003</v>
      </c>
      <c r="AB141" s="99">
        <v>4933.8</v>
      </c>
    </row>
    <row r="142" spans="1:28" x14ac:dyDescent="0.2">
      <c r="A142" s="102">
        <v>317.3738129496403</v>
      </c>
      <c r="B142" s="58"/>
      <c r="C142" s="58"/>
      <c r="D142" s="58"/>
      <c r="E142" s="58"/>
      <c r="F142" s="58">
        <v>78</v>
      </c>
      <c r="G142" s="58"/>
      <c r="H142" s="58">
        <v>10</v>
      </c>
      <c r="I142" s="58"/>
      <c r="J142" s="58">
        <v>88</v>
      </c>
      <c r="K142" s="100">
        <v>15</v>
      </c>
      <c r="L142" s="100">
        <v>32</v>
      </c>
      <c r="M142" s="100">
        <v>17</v>
      </c>
      <c r="N142" s="100">
        <v>13</v>
      </c>
      <c r="O142" s="100">
        <v>18</v>
      </c>
      <c r="P142" s="100">
        <v>27</v>
      </c>
      <c r="Q142" s="100">
        <v>17</v>
      </c>
      <c r="R142" s="100"/>
      <c r="S142" s="100">
        <v>139</v>
      </c>
      <c r="T142" s="99">
        <v>44114.96</v>
      </c>
      <c r="U142" s="99">
        <v>4581.97</v>
      </c>
      <c r="V142" s="99">
        <v>9973.15</v>
      </c>
      <c r="W142" s="99">
        <v>5759.16</v>
      </c>
      <c r="X142" s="99">
        <v>4908.82</v>
      </c>
      <c r="Y142" s="99">
        <v>5495.92</v>
      </c>
      <c r="Z142" s="99">
        <v>8071.57</v>
      </c>
      <c r="AA142" s="99">
        <v>5324.37</v>
      </c>
      <c r="AB142" s="99"/>
    </row>
    <row r="143" spans="1:28" x14ac:dyDescent="0.2">
      <c r="A143" s="102">
        <v>323.09242424242422</v>
      </c>
      <c r="B143" s="58">
        <v>514</v>
      </c>
      <c r="C143" s="58">
        <v>628</v>
      </c>
      <c r="D143" s="58">
        <v>30</v>
      </c>
      <c r="E143" s="58"/>
      <c r="F143" s="58">
        <v>92</v>
      </c>
      <c r="G143" s="58"/>
      <c r="H143" s="58">
        <v>154</v>
      </c>
      <c r="I143" s="58">
        <v>476</v>
      </c>
      <c r="J143" s="58">
        <v>1894</v>
      </c>
      <c r="K143" s="100">
        <v>21</v>
      </c>
      <c r="L143" s="100">
        <v>11</v>
      </c>
      <c r="M143" s="100"/>
      <c r="N143" s="100">
        <v>2</v>
      </c>
      <c r="O143" s="100"/>
      <c r="P143" s="100">
        <v>2</v>
      </c>
      <c r="Q143" s="100">
        <v>26</v>
      </c>
      <c r="R143" s="100">
        <v>37</v>
      </c>
      <c r="S143" s="100">
        <v>99</v>
      </c>
      <c r="T143" s="99">
        <v>31986.15</v>
      </c>
      <c r="U143" s="99">
        <v>6771.08</v>
      </c>
      <c r="V143" s="99">
        <v>3129.79</v>
      </c>
      <c r="W143" s="99"/>
      <c r="X143" s="99">
        <v>1187.03</v>
      </c>
      <c r="Y143" s="99"/>
      <c r="Z143" s="99">
        <v>833.29</v>
      </c>
      <c r="AA143" s="99">
        <v>9656.8700000000008</v>
      </c>
      <c r="AB143" s="99">
        <v>10408.09</v>
      </c>
    </row>
    <row r="144" spans="1:28" x14ac:dyDescent="0.2">
      <c r="A144" s="102">
        <v>330.00756666666666</v>
      </c>
      <c r="B144" s="58"/>
      <c r="C144" s="58"/>
      <c r="D144" s="58"/>
      <c r="E144" s="58"/>
      <c r="F144" s="58"/>
      <c r="G144" s="58">
        <v>180</v>
      </c>
      <c r="H144" s="58">
        <v>656</v>
      </c>
      <c r="I144" s="58">
        <v>562</v>
      </c>
      <c r="J144" s="58">
        <v>1398</v>
      </c>
      <c r="K144" s="100"/>
      <c r="L144" s="100"/>
      <c r="M144" s="100"/>
      <c r="N144" s="100"/>
      <c r="O144" s="100"/>
      <c r="P144" s="100"/>
      <c r="Q144" s="100"/>
      <c r="R144" s="100">
        <v>300</v>
      </c>
      <c r="S144" s="100">
        <v>300</v>
      </c>
      <c r="T144" s="99">
        <v>99002.27</v>
      </c>
      <c r="U144" s="99">
        <v>10831.63</v>
      </c>
      <c r="V144" s="99">
        <v>13643.85</v>
      </c>
      <c r="W144" s="99">
        <v>3910.79</v>
      </c>
      <c r="X144" s="99"/>
      <c r="Y144" s="99"/>
      <c r="Z144" s="99"/>
      <c r="AA144" s="99"/>
      <c r="AB144" s="99">
        <v>70616</v>
      </c>
    </row>
    <row r="145" spans="1:28" x14ac:dyDescent="0.2">
      <c r="A145" s="102">
        <v>334.61930702598653</v>
      </c>
      <c r="B145" s="58">
        <v>1948</v>
      </c>
      <c r="C145" s="58">
        <v>1742</v>
      </c>
      <c r="D145" s="58">
        <v>3472</v>
      </c>
      <c r="E145" s="58">
        <v>1812</v>
      </c>
      <c r="F145" s="58">
        <v>2532</v>
      </c>
      <c r="G145" s="58">
        <v>2362</v>
      </c>
      <c r="H145" s="58">
        <v>2122</v>
      </c>
      <c r="I145" s="58">
        <v>1280</v>
      </c>
      <c r="J145" s="58">
        <v>17270</v>
      </c>
      <c r="K145" s="100">
        <v>6</v>
      </c>
      <c r="L145" s="100">
        <v>6</v>
      </c>
      <c r="M145" s="100">
        <v>1000</v>
      </c>
      <c r="N145" s="100">
        <v>2</v>
      </c>
      <c r="O145" s="100">
        <v>6</v>
      </c>
      <c r="P145" s="100">
        <v>6</v>
      </c>
      <c r="Q145" s="100">
        <v>8</v>
      </c>
      <c r="R145" s="100">
        <v>5</v>
      </c>
      <c r="S145" s="100">
        <v>1039</v>
      </c>
      <c r="T145" s="99">
        <v>347669.46</v>
      </c>
      <c r="U145" s="99">
        <v>31969.88</v>
      </c>
      <c r="V145" s="99">
        <v>29408.78</v>
      </c>
      <c r="W145" s="99">
        <v>118541.57</v>
      </c>
      <c r="X145" s="99">
        <v>18835.8</v>
      </c>
      <c r="Y145" s="99">
        <v>24588.560000000001</v>
      </c>
      <c r="Z145" s="99">
        <v>30569.25</v>
      </c>
      <c r="AA145" s="99">
        <v>55904.73</v>
      </c>
      <c r="AB145" s="99">
        <v>37850.89</v>
      </c>
    </row>
    <row r="146" spans="1:28" x14ac:dyDescent="0.2">
      <c r="A146" s="102">
        <v>343.16951017332332</v>
      </c>
      <c r="B146" s="58">
        <v>2792</v>
      </c>
      <c r="C146" s="58">
        <v>1338</v>
      </c>
      <c r="D146" s="58">
        <v>3692</v>
      </c>
      <c r="E146" s="58">
        <v>5554</v>
      </c>
      <c r="F146" s="58">
        <v>4994</v>
      </c>
      <c r="G146" s="58">
        <v>3060</v>
      </c>
      <c r="H146" s="58">
        <v>2902</v>
      </c>
      <c r="I146" s="58">
        <v>1328</v>
      </c>
      <c r="J146" s="58">
        <v>25660</v>
      </c>
      <c r="K146" s="100">
        <v>66</v>
      </c>
      <c r="L146" s="100">
        <v>142</v>
      </c>
      <c r="M146" s="100">
        <v>176</v>
      </c>
      <c r="N146" s="100">
        <v>192</v>
      </c>
      <c r="O146" s="100">
        <v>319</v>
      </c>
      <c r="P146" s="100">
        <v>178</v>
      </c>
      <c r="Q146" s="100">
        <v>82</v>
      </c>
      <c r="R146" s="100">
        <v>172</v>
      </c>
      <c r="S146" s="100">
        <v>1327</v>
      </c>
      <c r="T146" s="99">
        <v>455385.94</v>
      </c>
      <c r="U146" s="99">
        <v>13416.37</v>
      </c>
      <c r="V146" s="99">
        <v>39711.61</v>
      </c>
      <c r="W146" s="99">
        <v>51234.99</v>
      </c>
      <c r="X146" s="99">
        <v>118696.92</v>
      </c>
      <c r="Y146" s="99">
        <v>118346.64</v>
      </c>
      <c r="Z146" s="99">
        <v>48250.09</v>
      </c>
      <c r="AA146" s="99">
        <v>24163.68</v>
      </c>
      <c r="AB146" s="99">
        <v>41565.64</v>
      </c>
    </row>
    <row r="147" spans="1:28" x14ac:dyDescent="0.2">
      <c r="A147" s="102">
        <v>344.1268</v>
      </c>
      <c r="B147" s="58"/>
      <c r="C147" s="58">
        <v>24</v>
      </c>
      <c r="D147" s="58">
        <v>10</v>
      </c>
      <c r="E147" s="58"/>
      <c r="F147" s="58">
        <v>-134</v>
      </c>
      <c r="G147" s="58">
        <v>60</v>
      </c>
      <c r="H147" s="58">
        <v>6</v>
      </c>
      <c r="I147" s="58">
        <v>318</v>
      </c>
      <c r="J147" s="58">
        <v>284</v>
      </c>
      <c r="K147" s="100"/>
      <c r="L147" s="100"/>
      <c r="M147" s="100"/>
      <c r="N147" s="100"/>
      <c r="O147" s="100">
        <v>100</v>
      </c>
      <c r="P147" s="100"/>
      <c r="Q147" s="100">
        <v>100</v>
      </c>
      <c r="R147" s="100"/>
      <c r="S147" s="100">
        <v>200</v>
      </c>
      <c r="T147" s="99">
        <v>68825.36</v>
      </c>
      <c r="U147" s="99">
        <v>22270.03</v>
      </c>
      <c r="V147" s="99">
        <v>410.43</v>
      </c>
      <c r="W147" s="99">
        <v>4274.04</v>
      </c>
      <c r="X147" s="99">
        <v>-10101.59</v>
      </c>
      <c r="Y147" s="99">
        <v>24717</v>
      </c>
      <c r="Z147" s="99">
        <v>725.61</v>
      </c>
      <c r="AA147" s="99">
        <v>26529.84</v>
      </c>
      <c r="AB147" s="99"/>
    </row>
    <row r="148" spans="1:28" x14ac:dyDescent="0.2">
      <c r="A148" s="102">
        <v>359.37734177215191</v>
      </c>
      <c r="B148" s="58">
        <v>16</v>
      </c>
      <c r="C148" s="58">
        <v>58</v>
      </c>
      <c r="D148" s="58">
        <v>2</v>
      </c>
      <c r="E148" s="58">
        <v>84</v>
      </c>
      <c r="F148" s="58">
        <v>88</v>
      </c>
      <c r="G148" s="58">
        <v>110</v>
      </c>
      <c r="H148" s="58">
        <v>80</v>
      </c>
      <c r="I148" s="58">
        <v>80</v>
      </c>
      <c r="J148" s="58">
        <v>518</v>
      </c>
      <c r="K148" s="100">
        <v>10</v>
      </c>
      <c r="L148" s="100">
        <v>11</v>
      </c>
      <c r="M148" s="100">
        <v>16</v>
      </c>
      <c r="N148" s="100">
        <v>12</v>
      </c>
      <c r="O148" s="100">
        <v>9</v>
      </c>
      <c r="P148" s="100">
        <v>6</v>
      </c>
      <c r="Q148" s="100">
        <v>6</v>
      </c>
      <c r="R148" s="100">
        <v>9</v>
      </c>
      <c r="S148" s="100">
        <v>79</v>
      </c>
      <c r="T148" s="99">
        <v>28390.81</v>
      </c>
      <c r="U148" s="99">
        <v>3349.68</v>
      </c>
      <c r="V148" s="99">
        <v>3895.38</v>
      </c>
      <c r="W148" s="99">
        <v>5677.72</v>
      </c>
      <c r="X148" s="99">
        <v>4303.6099999999997</v>
      </c>
      <c r="Y148" s="99">
        <v>3446.68</v>
      </c>
      <c r="Z148" s="99">
        <v>1771.23</v>
      </c>
      <c r="AA148" s="99">
        <v>2758.01</v>
      </c>
      <c r="AB148" s="99">
        <v>3188.5</v>
      </c>
    </row>
    <row r="149" spans="1:28" x14ac:dyDescent="0.2">
      <c r="A149" s="102">
        <v>359.89462450592885</v>
      </c>
      <c r="B149" s="58">
        <v>190</v>
      </c>
      <c r="C149" s="58">
        <v>242</v>
      </c>
      <c r="D149" s="58">
        <v>130</v>
      </c>
      <c r="E149" s="58">
        <v>66</v>
      </c>
      <c r="F149" s="58">
        <v>142</v>
      </c>
      <c r="G149" s="58">
        <v>142</v>
      </c>
      <c r="H149" s="58">
        <v>282</v>
      </c>
      <c r="I149" s="58">
        <v>160</v>
      </c>
      <c r="J149" s="58">
        <v>1354</v>
      </c>
      <c r="K149" s="100">
        <v>31</v>
      </c>
      <c r="L149" s="100">
        <v>38</v>
      </c>
      <c r="M149" s="100">
        <v>39</v>
      </c>
      <c r="N149" s="100">
        <v>36</v>
      </c>
      <c r="O149" s="100">
        <v>27</v>
      </c>
      <c r="P149" s="100">
        <v>28</v>
      </c>
      <c r="Q149" s="100">
        <v>28</v>
      </c>
      <c r="R149" s="100">
        <v>26</v>
      </c>
      <c r="S149" s="100">
        <v>253</v>
      </c>
      <c r="T149" s="99">
        <v>91053.34</v>
      </c>
      <c r="U149" s="99">
        <v>10808.16</v>
      </c>
      <c r="V149" s="99">
        <v>14326.95</v>
      </c>
      <c r="W149" s="99">
        <v>13880.09</v>
      </c>
      <c r="X149" s="99">
        <v>13328.63</v>
      </c>
      <c r="Y149" s="99">
        <v>7933.73</v>
      </c>
      <c r="Z149" s="99">
        <v>9225.2999999999993</v>
      </c>
      <c r="AA149" s="99">
        <v>12257.51</v>
      </c>
      <c r="AB149" s="99">
        <v>9292.9699999999993</v>
      </c>
    </row>
    <row r="150" spans="1:28" x14ac:dyDescent="0.2">
      <c r="A150" s="102">
        <v>368.92186440677966</v>
      </c>
      <c r="B150" s="58"/>
      <c r="C150" s="58">
        <v>78</v>
      </c>
      <c r="D150" s="58">
        <v>16</v>
      </c>
      <c r="E150" s="58">
        <v>178</v>
      </c>
      <c r="F150" s="58"/>
      <c r="G150" s="58"/>
      <c r="H150" s="58"/>
      <c r="I150" s="58"/>
      <c r="J150" s="58">
        <v>272</v>
      </c>
      <c r="K150" s="100"/>
      <c r="L150" s="100"/>
      <c r="M150" s="100"/>
      <c r="N150" s="100"/>
      <c r="O150" s="100">
        <v>24</v>
      </c>
      <c r="P150" s="100">
        <v>15</v>
      </c>
      <c r="Q150" s="100">
        <v>20</v>
      </c>
      <c r="R150" s="100"/>
      <c r="S150" s="100">
        <v>59</v>
      </c>
      <c r="T150" s="99">
        <v>21766.39</v>
      </c>
      <c r="U150" s="99"/>
      <c r="V150" s="99"/>
      <c r="W150" s="99"/>
      <c r="X150" s="99"/>
      <c r="Y150" s="99">
        <v>9980.65</v>
      </c>
      <c r="Z150" s="99">
        <v>4912.32</v>
      </c>
      <c r="AA150" s="99">
        <v>6873.42</v>
      </c>
      <c r="AB150" s="99"/>
    </row>
    <row r="151" spans="1:28" x14ac:dyDescent="0.2">
      <c r="A151" s="102">
        <v>369.75605000000002</v>
      </c>
      <c r="B151" s="58"/>
      <c r="C151" s="58">
        <v>18</v>
      </c>
      <c r="D151" s="58">
        <v>18</v>
      </c>
      <c r="E151" s="58">
        <v>34</v>
      </c>
      <c r="F151" s="58">
        <v>300</v>
      </c>
      <c r="G151" s="58"/>
      <c r="H151" s="58">
        <v>22</v>
      </c>
      <c r="I151" s="58">
        <v>14</v>
      </c>
      <c r="J151" s="58">
        <v>406</v>
      </c>
      <c r="K151" s="100"/>
      <c r="L151" s="100"/>
      <c r="M151" s="100"/>
      <c r="N151" s="100"/>
      <c r="O151" s="100"/>
      <c r="P151" s="100">
        <v>200</v>
      </c>
      <c r="Q151" s="100"/>
      <c r="R151" s="100"/>
      <c r="S151" s="100">
        <v>200</v>
      </c>
      <c r="T151" s="99">
        <v>73951.210000000006</v>
      </c>
      <c r="U151" s="99">
        <v>320.3</v>
      </c>
      <c r="V151" s="99">
        <v>540.53</v>
      </c>
      <c r="W151" s="99"/>
      <c r="X151" s="99">
        <v>3876.21</v>
      </c>
      <c r="Y151" s="99">
        <v>530.29</v>
      </c>
      <c r="Z151" s="99">
        <v>68547.62</v>
      </c>
      <c r="AA151" s="99">
        <v>136.26</v>
      </c>
      <c r="AB151" s="99"/>
    </row>
    <row r="152" spans="1:28" x14ac:dyDescent="0.2">
      <c r="A152" s="102">
        <v>389.92101063829784</v>
      </c>
      <c r="B152" s="58"/>
      <c r="C152" s="58">
        <v>878</v>
      </c>
      <c r="D152" s="58">
        <v>1812</v>
      </c>
      <c r="E152" s="58">
        <v>618</v>
      </c>
      <c r="F152" s="58">
        <v>1572</v>
      </c>
      <c r="G152" s="58">
        <v>2190</v>
      </c>
      <c r="H152" s="58">
        <v>1996</v>
      </c>
      <c r="I152" s="58">
        <v>2220</v>
      </c>
      <c r="J152" s="58">
        <v>11286</v>
      </c>
      <c r="K152" s="100">
        <v>83</v>
      </c>
      <c r="L152" s="100">
        <v>98</v>
      </c>
      <c r="M152" s="100">
        <v>56</v>
      </c>
      <c r="N152" s="100">
        <v>48</v>
      </c>
      <c r="O152" s="100">
        <v>24</v>
      </c>
      <c r="P152" s="100">
        <v>38</v>
      </c>
      <c r="Q152" s="100">
        <v>29</v>
      </c>
      <c r="R152" s="100"/>
      <c r="S152" s="100">
        <v>376</v>
      </c>
      <c r="T152" s="99">
        <v>146610.29999999999</v>
      </c>
      <c r="U152" s="99">
        <v>28726.92</v>
      </c>
      <c r="V152" s="99">
        <v>32624.16</v>
      </c>
      <c r="W152" s="99">
        <v>24836.55</v>
      </c>
      <c r="X152" s="99">
        <v>20131.93</v>
      </c>
      <c r="Y152" s="99">
        <v>8454.2199999999993</v>
      </c>
      <c r="Z152" s="99">
        <v>20125.68</v>
      </c>
      <c r="AA152" s="99">
        <v>11710.84</v>
      </c>
      <c r="AB152" s="99"/>
    </row>
    <row r="153" spans="1:28" x14ac:dyDescent="0.2">
      <c r="A153" s="102">
        <v>395.99194278903457</v>
      </c>
      <c r="B153" s="58">
        <v>6862</v>
      </c>
      <c r="C153" s="58">
        <v>4342</v>
      </c>
      <c r="D153" s="58">
        <v>13658</v>
      </c>
      <c r="E153" s="58">
        <v>9226</v>
      </c>
      <c r="F153" s="58">
        <v>16442</v>
      </c>
      <c r="G153" s="58">
        <v>15836</v>
      </c>
      <c r="H153" s="58">
        <v>15658.2</v>
      </c>
      <c r="I153" s="58">
        <v>6740</v>
      </c>
      <c r="J153" s="58">
        <v>88764.2</v>
      </c>
      <c r="K153" s="100">
        <v>646</v>
      </c>
      <c r="L153" s="100">
        <v>1076</v>
      </c>
      <c r="M153" s="100">
        <v>906</v>
      </c>
      <c r="N153" s="100">
        <v>923</v>
      </c>
      <c r="O153" s="100">
        <v>856</v>
      </c>
      <c r="P153" s="100">
        <v>1089</v>
      </c>
      <c r="Q153" s="100">
        <v>655</v>
      </c>
      <c r="R153" s="100">
        <v>561</v>
      </c>
      <c r="S153" s="100">
        <v>6712</v>
      </c>
      <c r="T153" s="99">
        <v>2657897.92</v>
      </c>
      <c r="U153" s="99">
        <v>263555.61</v>
      </c>
      <c r="V153" s="99">
        <v>592284.54</v>
      </c>
      <c r="W153" s="99">
        <v>385113.42</v>
      </c>
      <c r="X153" s="99">
        <v>496858.05</v>
      </c>
      <c r="Y153" s="99">
        <v>332272.95</v>
      </c>
      <c r="Z153" s="99">
        <v>293675.06</v>
      </c>
      <c r="AA153" s="99">
        <v>127316.93</v>
      </c>
      <c r="AB153" s="99">
        <v>166821.35999999999</v>
      </c>
    </row>
    <row r="154" spans="1:28" x14ac:dyDescent="0.2">
      <c r="A154" s="102">
        <v>397.2388292682927</v>
      </c>
      <c r="B154" s="58">
        <v>384</v>
      </c>
      <c r="C154" s="58">
        <v>160</v>
      </c>
      <c r="D154" s="58">
        <v>220</v>
      </c>
      <c r="E154" s="58">
        <v>212</v>
      </c>
      <c r="F154" s="58">
        <v>162</v>
      </c>
      <c r="G154" s="58">
        <v>152</v>
      </c>
      <c r="H154" s="58">
        <v>464</v>
      </c>
      <c r="I154" s="58">
        <v>456</v>
      </c>
      <c r="J154" s="58">
        <v>2210</v>
      </c>
      <c r="K154" s="100">
        <v>34</v>
      </c>
      <c r="L154" s="100">
        <v>32</v>
      </c>
      <c r="M154" s="100">
        <v>27</v>
      </c>
      <c r="N154" s="100">
        <v>22</v>
      </c>
      <c r="O154" s="100">
        <v>24</v>
      </c>
      <c r="P154" s="100">
        <v>22</v>
      </c>
      <c r="Q154" s="100">
        <v>11</v>
      </c>
      <c r="R154" s="100">
        <v>33</v>
      </c>
      <c r="S154" s="100">
        <v>205</v>
      </c>
      <c r="T154" s="99">
        <v>81433.960000000006</v>
      </c>
      <c r="U154" s="99">
        <v>13182.34</v>
      </c>
      <c r="V154" s="99">
        <v>15270.99</v>
      </c>
      <c r="W154" s="99">
        <v>8314.2099999999991</v>
      </c>
      <c r="X154" s="99">
        <v>7054.88</v>
      </c>
      <c r="Y154" s="99">
        <v>8431.19</v>
      </c>
      <c r="Z154" s="99">
        <v>8799.24</v>
      </c>
      <c r="AA154" s="99">
        <v>6222.64</v>
      </c>
      <c r="AB154" s="99">
        <v>14158.47</v>
      </c>
    </row>
    <row r="155" spans="1:28" x14ac:dyDescent="0.2">
      <c r="A155" s="102">
        <v>407.3719362186788</v>
      </c>
      <c r="B155" s="58">
        <v>140</v>
      </c>
      <c r="C155" s="58">
        <v>234</v>
      </c>
      <c r="D155" s="58">
        <v>222</v>
      </c>
      <c r="E155" s="58">
        <v>274</v>
      </c>
      <c r="F155" s="58">
        <v>314</v>
      </c>
      <c r="G155" s="58">
        <v>344</v>
      </c>
      <c r="H155" s="58">
        <v>178</v>
      </c>
      <c r="I155" s="58">
        <v>448</v>
      </c>
      <c r="J155" s="58">
        <v>2154</v>
      </c>
      <c r="K155" s="100">
        <v>95</v>
      </c>
      <c r="L155" s="100">
        <v>44</v>
      </c>
      <c r="M155" s="100">
        <v>46</v>
      </c>
      <c r="N155" s="100">
        <v>57</v>
      </c>
      <c r="O155" s="100">
        <v>55</v>
      </c>
      <c r="P155" s="100">
        <v>52</v>
      </c>
      <c r="Q155" s="100">
        <v>47</v>
      </c>
      <c r="R155" s="100">
        <v>43</v>
      </c>
      <c r="S155" s="100">
        <v>439</v>
      </c>
      <c r="T155" s="99">
        <v>178836.28</v>
      </c>
      <c r="U155" s="99">
        <v>35400.46</v>
      </c>
      <c r="V155" s="99">
        <v>16650.560000000001</v>
      </c>
      <c r="W155" s="99">
        <v>22867.06</v>
      </c>
      <c r="X155" s="99">
        <v>25588.76</v>
      </c>
      <c r="Y155" s="99">
        <v>22479.24</v>
      </c>
      <c r="Z155" s="99">
        <v>20415.080000000002</v>
      </c>
      <c r="AA155" s="99">
        <v>19760.04</v>
      </c>
      <c r="AB155" s="99">
        <v>15675.08</v>
      </c>
    </row>
    <row r="156" spans="1:28" x14ac:dyDescent="0.2">
      <c r="A156" s="102">
        <v>408.87191387559807</v>
      </c>
      <c r="B156" s="58"/>
      <c r="C156" s="58">
        <v>272</v>
      </c>
      <c r="D156" s="58">
        <v>484</v>
      </c>
      <c r="E156" s="58">
        <v>222</v>
      </c>
      <c r="F156" s="58">
        <v>306</v>
      </c>
      <c r="G156" s="58">
        <v>426</v>
      </c>
      <c r="H156" s="58">
        <v>428</v>
      </c>
      <c r="I156" s="58">
        <v>338</v>
      </c>
      <c r="J156" s="58">
        <v>2476</v>
      </c>
      <c r="K156" s="100">
        <v>26</v>
      </c>
      <c r="L156" s="100">
        <v>21</v>
      </c>
      <c r="M156" s="100">
        <v>41</v>
      </c>
      <c r="N156" s="100">
        <v>31</v>
      </c>
      <c r="O156" s="100">
        <v>21</v>
      </c>
      <c r="P156" s="100">
        <v>45</v>
      </c>
      <c r="Q156" s="100">
        <v>24</v>
      </c>
      <c r="R156" s="100"/>
      <c r="S156" s="100">
        <v>209</v>
      </c>
      <c r="T156" s="99">
        <v>85454.23</v>
      </c>
      <c r="U156" s="99">
        <v>10273.36</v>
      </c>
      <c r="V156" s="99">
        <v>18981.169999999998</v>
      </c>
      <c r="W156" s="99">
        <v>13593.95</v>
      </c>
      <c r="X156" s="99">
        <v>10075.219999999999</v>
      </c>
      <c r="Y156" s="99">
        <v>8220.36</v>
      </c>
      <c r="Z156" s="99">
        <v>15020.94</v>
      </c>
      <c r="AA156" s="99">
        <v>9289.23</v>
      </c>
      <c r="AB156" s="99"/>
    </row>
    <row r="157" spans="1:28" x14ac:dyDescent="0.2">
      <c r="A157" s="102">
        <v>419.28010806916427</v>
      </c>
      <c r="B157" s="58"/>
      <c r="C157" s="58">
        <v>17696.2</v>
      </c>
      <c r="D157" s="58">
        <v>10718</v>
      </c>
      <c r="E157" s="58">
        <v>1186</v>
      </c>
      <c r="F157" s="58">
        <v>396</v>
      </c>
      <c r="G157" s="58">
        <v>590</v>
      </c>
      <c r="H157" s="58">
        <v>556</v>
      </c>
      <c r="I157" s="58">
        <v>2148</v>
      </c>
      <c r="J157" s="58">
        <v>33290.199999999997</v>
      </c>
      <c r="K157" s="100">
        <v>25</v>
      </c>
      <c r="L157" s="100">
        <v>17</v>
      </c>
      <c r="M157" s="100">
        <v>15</v>
      </c>
      <c r="N157" s="100">
        <v>4</v>
      </c>
      <c r="O157" s="100">
        <v>26</v>
      </c>
      <c r="P157" s="100">
        <v>17</v>
      </c>
      <c r="Q157" s="100">
        <v>1284</v>
      </c>
      <c r="R157" s="100"/>
      <c r="S157" s="100">
        <v>1388</v>
      </c>
      <c r="T157" s="99">
        <v>581960.79</v>
      </c>
      <c r="U157" s="99">
        <v>26684.92</v>
      </c>
      <c r="V157" s="99">
        <v>17760.400000000001</v>
      </c>
      <c r="W157" s="99">
        <v>14311.76</v>
      </c>
      <c r="X157" s="99">
        <v>3511.7</v>
      </c>
      <c r="Y157" s="99">
        <v>71131.5</v>
      </c>
      <c r="Z157" s="99">
        <v>98968.17</v>
      </c>
      <c r="AA157" s="99">
        <v>349592.34</v>
      </c>
      <c r="AB157" s="99"/>
    </row>
    <row r="158" spans="1:28" x14ac:dyDescent="0.2">
      <c r="A158" s="102">
        <v>432.10539473684213</v>
      </c>
      <c r="B158" s="58">
        <v>252</v>
      </c>
      <c r="C158" s="58">
        <v>304</v>
      </c>
      <c r="D158" s="58">
        <v>124</v>
      </c>
      <c r="E158" s="58">
        <v>356</v>
      </c>
      <c r="F158" s="58">
        <v>422</v>
      </c>
      <c r="G158" s="58">
        <v>354</v>
      </c>
      <c r="H158" s="58">
        <v>28</v>
      </c>
      <c r="I158" s="58">
        <v>88</v>
      </c>
      <c r="J158" s="58">
        <v>1928</v>
      </c>
      <c r="K158" s="100">
        <v>9</v>
      </c>
      <c r="L158" s="100">
        <v>10</v>
      </c>
      <c r="M158" s="100">
        <v>27</v>
      </c>
      <c r="N158" s="100">
        <v>29</v>
      </c>
      <c r="O158" s="100">
        <v>18</v>
      </c>
      <c r="P158" s="100">
        <v>19</v>
      </c>
      <c r="Q158" s="100">
        <v>19</v>
      </c>
      <c r="R158" s="100">
        <v>21</v>
      </c>
      <c r="S158" s="100">
        <v>152</v>
      </c>
      <c r="T158" s="99">
        <v>65680.02</v>
      </c>
      <c r="U158" s="99">
        <v>3397.91</v>
      </c>
      <c r="V158" s="99">
        <v>3604.93</v>
      </c>
      <c r="W158" s="99">
        <v>10732.45</v>
      </c>
      <c r="X158" s="99">
        <v>12277.94</v>
      </c>
      <c r="Y158" s="99">
        <v>9259.5</v>
      </c>
      <c r="Z158" s="99">
        <v>7553.65</v>
      </c>
      <c r="AA158" s="99">
        <v>9258.42</v>
      </c>
      <c r="AB158" s="99">
        <v>9595.2199999999993</v>
      </c>
    </row>
    <row r="159" spans="1:28" x14ac:dyDescent="0.2">
      <c r="A159" s="102">
        <v>436.16448000000003</v>
      </c>
      <c r="B159" s="58"/>
      <c r="C159" s="58">
        <v>1588</v>
      </c>
      <c r="D159" s="58">
        <v>2638</v>
      </c>
      <c r="E159" s="58"/>
      <c r="F159" s="58"/>
      <c r="G159" s="58"/>
      <c r="H159" s="58"/>
      <c r="I159" s="58"/>
      <c r="J159" s="58">
        <v>4226</v>
      </c>
      <c r="K159" s="100"/>
      <c r="L159" s="100"/>
      <c r="M159" s="100"/>
      <c r="N159" s="100"/>
      <c r="O159" s="100"/>
      <c r="P159" s="100">
        <v>158</v>
      </c>
      <c r="Q159" s="100">
        <v>92</v>
      </c>
      <c r="R159" s="100"/>
      <c r="S159" s="100">
        <v>250</v>
      </c>
      <c r="T159" s="99">
        <v>109041.12</v>
      </c>
      <c r="U159" s="99"/>
      <c r="V159" s="99"/>
      <c r="W159" s="99"/>
      <c r="X159" s="99"/>
      <c r="Y159" s="99"/>
      <c r="Z159" s="99">
        <v>68235.070000000007</v>
      </c>
      <c r="AA159" s="99">
        <v>40806.050000000003</v>
      </c>
      <c r="AB159" s="99"/>
    </row>
    <row r="160" spans="1:28" x14ac:dyDescent="0.2">
      <c r="A160" s="102">
        <v>503.6460696517413</v>
      </c>
      <c r="B160" s="58">
        <v>572</v>
      </c>
      <c r="C160" s="58">
        <v>184</v>
      </c>
      <c r="D160" s="58">
        <v>114</v>
      </c>
      <c r="E160" s="58">
        <v>-52</v>
      </c>
      <c r="F160" s="58">
        <v>190</v>
      </c>
      <c r="G160" s="58">
        <v>220</v>
      </c>
      <c r="H160" s="58">
        <v>202</v>
      </c>
      <c r="I160" s="58">
        <v>148</v>
      </c>
      <c r="J160" s="58">
        <v>1578</v>
      </c>
      <c r="K160" s="100">
        <v>9</v>
      </c>
      <c r="L160" s="100">
        <v>26</v>
      </c>
      <c r="M160" s="100">
        <v>25</v>
      </c>
      <c r="N160" s="100">
        <v>25</v>
      </c>
      <c r="O160" s="100">
        <v>12</v>
      </c>
      <c r="P160" s="100">
        <v>14</v>
      </c>
      <c r="Q160" s="100">
        <v>28</v>
      </c>
      <c r="R160" s="100">
        <v>62</v>
      </c>
      <c r="S160" s="100">
        <v>201</v>
      </c>
      <c r="T160" s="99">
        <v>101232.86</v>
      </c>
      <c r="U160" s="99">
        <v>7298.66</v>
      </c>
      <c r="V160" s="99">
        <v>15621.4</v>
      </c>
      <c r="W160" s="99">
        <v>9270.66</v>
      </c>
      <c r="X160" s="99">
        <v>8697.17</v>
      </c>
      <c r="Y160" s="99">
        <v>2623.25</v>
      </c>
      <c r="Z160" s="99">
        <v>5367.38</v>
      </c>
      <c r="AA160" s="99">
        <v>15991.66</v>
      </c>
      <c r="AB160" s="99">
        <v>36362.68</v>
      </c>
    </row>
    <row r="161" spans="1:28" x14ac:dyDescent="0.2">
      <c r="A161" s="102">
        <v>514.00603773584908</v>
      </c>
      <c r="B161" s="58">
        <v>14</v>
      </c>
      <c r="C161" s="58">
        <v>6</v>
      </c>
      <c r="D161" s="58">
        <v>30</v>
      </c>
      <c r="E161" s="58">
        <v>354</v>
      </c>
      <c r="F161" s="58">
        <v>30</v>
      </c>
      <c r="G161" s="58"/>
      <c r="H161" s="58">
        <v>358</v>
      </c>
      <c r="I161" s="58">
        <v>112</v>
      </c>
      <c r="J161" s="58">
        <v>904</v>
      </c>
      <c r="K161" s="100">
        <v>4</v>
      </c>
      <c r="L161" s="100">
        <v>12</v>
      </c>
      <c r="M161" s="100"/>
      <c r="N161" s="100">
        <v>7</v>
      </c>
      <c r="O161" s="100">
        <v>19</v>
      </c>
      <c r="P161" s="100">
        <v>6</v>
      </c>
      <c r="Q161" s="100">
        <v>1</v>
      </c>
      <c r="R161" s="100">
        <v>4</v>
      </c>
      <c r="S161" s="100">
        <v>53</v>
      </c>
      <c r="T161" s="99">
        <v>27242.32</v>
      </c>
      <c r="U161" s="99">
        <v>2241.3200000000002</v>
      </c>
      <c r="V161" s="99">
        <v>7250.21</v>
      </c>
      <c r="W161" s="99"/>
      <c r="X161" s="99">
        <v>2946.69</v>
      </c>
      <c r="Y161" s="99">
        <v>10375.18</v>
      </c>
      <c r="Z161" s="99">
        <v>2296.0300000000002</v>
      </c>
      <c r="AA161" s="99">
        <v>458.23</v>
      </c>
      <c r="AB161" s="99">
        <v>1674.66</v>
      </c>
    </row>
    <row r="162" spans="1:28" x14ac:dyDescent="0.2">
      <c r="A162" s="102">
        <v>529.97360465116276</v>
      </c>
      <c r="B162" s="58"/>
      <c r="C162" s="58">
        <v>21.3</v>
      </c>
      <c r="D162" s="58">
        <v>41.9</v>
      </c>
      <c r="E162" s="58">
        <v>89.7</v>
      </c>
      <c r="F162" s="58">
        <v>97.1</v>
      </c>
      <c r="G162" s="58">
        <v>88.8</v>
      </c>
      <c r="H162" s="58">
        <v>137.5</v>
      </c>
      <c r="I162" s="58">
        <v>41.7</v>
      </c>
      <c r="J162" s="58">
        <v>518</v>
      </c>
      <c r="K162" s="100">
        <v>8</v>
      </c>
      <c r="L162" s="100">
        <v>16</v>
      </c>
      <c r="M162" s="100">
        <v>17</v>
      </c>
      <c r="N162" s="100">
        <v>15</v>
      </c>
      <c r="O162" s="100">
        <v>15</v>
      </c>
      <c r="P162" s="100">
        <v>10</v>
      </c>
      <c r="Q162" s="100">
        <v>5</v>
      </c>
      <c r="R162" s="100"/>
      <c r="S162" s="100">
        <v>86</v>
      </c>
      <c r="T162" s="99">
        <v>45577.73</v>
      </c>
      <c r="U162" s="99">
        <v>4482.5</v>
      </c>
      <c r="V162" s="99">
        <v>8021.53</v>
      </c>
      <c r="W162" s="99">
        <v>7575.47</v>
      </c>
      <c r="X162" s="99">
        <v>8418.16</v>
      </c>
      <c r="Y162" s="99">
        <v>7045.49</v>
      </c>
      <c r="Z162" s="99">
        <v>6650.23</v>
      </c>
      <c r="AA162" s="99">
        <v>3384.35</v>
      </c>
      <c r="AB162" s="99"/>
    </row>
    <row r="163" spans="1:28" x14ac:dyDescent="0.2">
      <c r="A163" s="102">
        <v>569.64151670951162</v>
      </c>
      <c r="B163" s="58">
        <v>2724</v>
      </c>
      <c r="C163" s="58">
        <v>2004</v>
      </c>
      <c r="D163" s="58">
        <v>3278</v>
      </c>
      <c r="E163" s="58">
        <v>2136</v>
      </c>
      <c r="F163" s="58">
        <v>1340</v>
      </c>
      <c r="G163" s="58">
        <v>1396</v>
      </c>
      <c r="H163" s="58">
        <v>2716</v>
      </c>
      <c r="I163" s="58">
        <v>1818</v>
      </c>
      <c r="J163" s="58">
        <v>17412</v>
      </c>
      <c r="K163" s="100">
        <v>137</v>
      </c>
      <c r="L163" s="100">
        <v>155</v>
      </c>
      <c r="M163" s="100">
        <v>121</v>
      </c>
      <c r="N163" s="100">
        <v>102</v>
      </c>
      <c r="O163" s="100">
        <v>157</v>
      </c>
      <c r="P163" s="100">
        <v>178</v>
      </c>
      <c r="Q163" s="100">
        <v>146</v>
      </c>
      <c r="R163" s="100">
        <v>171</v>
      </c>
      <c r="S163" s="100">
        <v>1167</v>
      </c>
      <c r="T163" s="99">
        <v>664771.65</v>
      </c>
      <c r="U163" s="99">
        <v>85892.4</v>
      </c>
      <c r="V163" s="99">
        <v>82395.429999999993</v>
      </c>
      <c r="W163" s="99">
        <v>63800.38</v>
      </c>
      <c r="X163" s="99">
        <v>49644.01</v>
      </c>
      <c r="Y163" s="99">
        <v>86277.48</v>
      </c>
      <c r="Z163" s="99">
        <v>96923.01</v>
      </c>
      <c r="AA163" s="99">
        <v>106535.74</v>
      </c>
      <c r="AB163" s="99">
        <v>93303.2</v>
      </c>
    </row>
    <row r="164" spans="1:28" x14ac:dyDescent="0.2">
      <c r="A164" s="102">
        <v>572.92632075471693</v>
      </c>
      <c r="B164" s="58"/>
      <c r="C164" s="58">
        <v>1748</v>
      </c>
      <c r="D164" s="58">
        <v>2080</v>
      </c>
      <c r="E164" s="58">
        <v>1940</v>
      </c>
      <c r="F164" s="58"/>
      <c r="G164" s="58"/>
      <c r="H164" s="58"/>
      <c r="I164" s="58"/>
      <c r="J164" s="58">
        <v>5768</v>
      </c>
      <c r="K164" s="100"/>
      <c r="L164" s="100"/>
      <c r="M164" s="100"/>
      <c r="N164" s="100"/>
      <c r="O164" s="100">
        <v>61</v>
      </c>
      <c r="P164" s="100">
        <v>166</v>
      </c>
      <c r="Q164" s="100">
        <v>91</v>
      </c>
      <c r="R164" s="100"/>
      <c r="S164" s="100">
        <v>318</v>
      </c>
      <c r="T164" s="99">
        <v>182190.57</v>
      </c>
      <c r="U164" s="99">
        <v>30083.22</v>
      </c>
      <c r="V164" s="99">
        <v>52675.25</v>
      </c>
      <c r="W164" s="99">
        <v>19540.87</v>
      </c>
      <c r="X164" s="99">
        <v>111873.06</v>
      </c>
      <c r="Y164" s="99">
        <v>65826</v>
      </c>
      <c r="Z164" s="99">
        <v>96882.34</v>
      </c>
      <c r="AA164" s="99">
        <v>49044.91</v>
      </c>
      <c r="AB164" s="99"/>
    </row>
    <row r="165" spans="1:28" x14ac:dyDescent="0.2">
      <c r="A165" s="102">
        <v>591.29592639593909</v>
      </c>
      <c r="B165" s="58"/>
      <c r="C165" s="58">
        <v>3133</v>
      </c>
      <c r="D165" s="58">
        <v>174</v>
      </c>
      <c r="E165" s="58">
        <v>26</v>
      </c>
      <c r="F165" s="58">
        <v>38</v>
      </c>
      <c r="G165" s="58"/>
      <c r="H165" s="58"/>
      <c r="I165" s="58">
        <v>524</v>
      </c>
      <c r="J165" s="58">
        <v>3895</v>
      </c>
      <c r="K165" s="100">
        <v>286</v>
      </c>
      <c r="L165" s="100">
        <v>36</v>
      </c>
      <c r="M165" s="100"/>
      <c r="N165" s="100">
        <v>35</v>
      </c>
      <c r="O165" s="100">
        <v>33</v>
      </c>
      <c r="P165" s="100">
        <v>16</v>
      </c>
      <c r="Q165" s="100">
        <v>382</v>
      </c>
      <c r="R165" s="100"/>
      <c r="S165" s="100">
        <v>788</v>
      </c>
      <c r="T165" s="99">
        <v>465941.19</v>
      </c>
      <c r="U165" s="99">
        <v>59934.74</v>
      </c>
      <c r="V165" s="99">
        <v>66046.95</v>
      </c>
      <c r="W165" s="99"/>
      <c r="X165" s="99">
        <v>66885.13</v>
      </c>
      <c r="Y165" s="99">
        <v>49411.08</v>
      </c>
      <c r="Z165" s="99">
        <v>13748.45</v>
      </c>
      <c r="AA165" s="99">
        <v>209914.84</v>
      </c>
      <c r="AB165" s="99"/>
    </row>
    <row r="166" spans="1:28" x14ac:dyDescent="0.2">
      <c r="A166" s="102">
        <v>613.90750000000003</v>
      </c>
      <c r="B166" s="58"/>
      <c r="C166" s="58">
        <v>-11</v>
      </c>
      <c r="D166" s="58"/>
      <c r="E166" s="58">
        <v>68</v>
      </c>
      <c r="F166" s="58"/>
      <c r="G166" s="58"/>
      <c r="H166" s="58"/>
      <c r="I166" s="58"/>
      <c r="J166" s="58">
        <v>57</v>
      </c>
      <c r="K166" s="100"/>
      <c r="L166" s="100"/>
      <c r="M166" s="100"/>
      <c r="N166" s="100"/>
      <c r="O166" s="100">
        <v>4</v>
      </c>
      <c r="P166" s="100"/>
      <c r="Q166" s="100"/>
      <c r="R166" s="100"/>
      <c r="S166" s="100">
        <v>4</v>
      </c>
      <c r="T166" s="99">
        <v>2455.63</v>
      </c>
      <c r="U166" s="99"/>
      <c r="V166" s="99"/>
      <c r="W166" s="99"/>
      <c r="X166" s="99"/>
      <c r="Y166" s="99">
        <v>3833.27</v>
      </c>
      <c r="Z166" s="99"/>
      <c r="AA166" s="99">
        <v>-1377.64</v>
      </c>
      <c r="AB166" s="99"/>
    </row>
    <row r="167" spans="1:28" x14ac:dyDescent="0.2">
      <c r="A167" s="102">
        <v>644.83870833333333</v>
      </c>
      <c r="B167" s="58"/>
      <c r="C167" s="58">
        <v>344</v>
      </c>
      <c r="D167" s="58">
        <v>768</v>
      </c>
      <c r="E167" s="58">
        <v>620</v>
      </c>
      <c r="F167" s="58">
        <v>878</v>
      </c>
      <c r="G167" s="58">
        <v>672</v>
      </c>
      <c r="H167" s="58">
        <v>448</v>
      </c>
      <c r="I167" s="58">
        <v>112</v>
      </c>
      <c r="J167" s="58">
        <v>3842</v>
      </c>
      <c r="K167" s="100">
        <v>28</v>
      </c>
      <c r="L167" s="100">
        <v>50</v>
      </c>
      <c r="M167" s="100">
        <v>35</v>
      </c>
      <c r="N167" s="100">
        <v>36</v>
      </c>
      <c r="O167" s="100">
        <v>20</v>
      </c>
      <c r="P167" s="100">
        <v>46</v>
      </c>
      <c r="Q167" s="100">
        <v>25</v>
      </c>
      <c r="R167" s="100"/>
      <c r="S167" s="100">
        <v>240</v>
      </c>
      <c r="T167" s="99">
        <v>154761.29</v>
      </c>
      <c r="U167" s="99">
        <v>40391.230000000003</v>
      </c>
      <c r="V167" s="99">
        <v>24454.86</v>
      </c>
      <c r="W167" s="99">
        <v>20682.490000000002</v>
      </c>
      <c r="X167" s="99">
        <v>18659.689999999999</v>
      </c>
      <c r="Y167" s="99">
        <v>-5290.5</v>
      </c>
      <c r="Z167" s="99">
        <v>22787.41</v>
      </c>
      <c r="AA167" s="99">
        <v>33076.11</v>
      </c>
      <c r="AB167" s="99"/>
    </row>
    <row r="168" spans="1:28" x14ac:dyDescent="0.2">
      <c r="A168" s="102">
        <v>652.66999999999996</v>
      </c>
      <c r="B168" s="58"/>
      <c r="C168" s="58">
        <v>-2</v>
      </c>
      <c r="D168" s="58"/>
      <c r="E168" s="58"/>
      <c r="F168" s="58">
        <v>8</v>
      </c>
      <c r="G168" s="58"/>
      <c r="H168" s="58"/>
      <c r="I168" s="58">
        <v>4</v>
      </c>
      <c r="J168" s="58">
        <v>10</v>
      </c>
      <c r="K168" s="100">
        <v>2</v>
      </c>
      <c r="L168" s="100"/>
      <c r="M168" s="100"/>
      <c r="N168" s="100"/>
      <c r="O168" s="100"/>
      <c r="P168" s="100"/>
      <c r="Q168" s="100"/>
      <c r="R168" s="100"/>
      <c r="S168" s="100">
        <v>2</v>
      </c>
      <c r="T168" s="99">
        <v>1305.3399999999999</v>
      </c>
      <c r="U168" s="99">
        <v>920.95</v>
      </c>
      <c r="V168" s="99"/>
      <c r="W168" s="99"/>
      <c r="X168" s="99">
        <v>361.48</v>
      </c>
      <c r="Y168" s="99">
        <v>113.28</v>
      </c>
      <c r="Z168" s="99"/>
      <c r="AA168" s="99">
        <v>-90.37</v>
      </c>
      <c r="AB168" s="99"/>
    </row>
    <row r="169" spans="1:28" x14ac:dyDescent="0.2">
      <c r="A169" s="102">
        <v>661.10119999999995</v>
      </c>
      <c r="B169" s="58"/>
      <c r="C169" s="58"/>
      <c r="D169" s="58"/>
      <c r="E169" s="58"/>
      <c r="F169" s="58">
        <v>32</v>
      </c>
      <c r="G169" s="58">
        <v>1298</v>
      </c>
      <c r="H169" s="58"/>
      <c r="I169" s="58"/>
      <c r="J169" s="58">
        <v>1330</v>
      </c>
      <c r="K169" s="100"/>
      <c r="L169" s="100"/>
      <c r="M169" s="100">
        <v>124</v>
      </c>
      <c r="N169" s="100">
        <v>1</v>
      </c>
      <c r="O169" s="100"/>
      <c r="P169" s="100"/>
      <c r="Q169" s="100"/>
      <c r="R169" s="100"/>
      <c r="S169" s="100">
        <v>125</v>
      </c>
      <c r="T169" s="99">
        <v>82637.649999999994</v>
      </c>
      <c r="U169" s="99"/>
      <c r="V169" s="99"/>
      <c r="W169" s="99">
        <v>81515.61</v>
      </c>
      <c r="X169" s="99">
        <v>1122.04</v>
      </c>
      <c r="Y169" s="99"/>
      <c r="Z169" s="99"/>
      <c r="AA169" s="99"/>
      <c r="AB169" s="99"/>
    </row>
    <row r="170" spans="1:28" x14ac:dyDescent="0.2">
      <c r="A170" s="102">
        <v>674.17909090909086</v>
      </c>
      <c r="B170" s="58">
        <v>64</v>
      </c>
      <c r="C170" s="58">
        <v>52</v>
      </c>
      <c r="D170" s="58">
        <v>116</v>
      </c>
      <c r="E170" s="58">
        <v>20</v>
      </c>
      <c r="F170" s="58">
        <v>82</v>
      </c>
      <c r="G170" s="58">
        <v>68</v>
      </c>
      <c r="H170" s="58">
        <v>126</v>
      </c>
      <c r="I170" s="58">
        <v>232</v>
      </c>
      <c r="J170" s="58">
        <v>760</v>
      </c>
      <c r="K170" s="100"/>
      <c r="L170" s="100"/>
      <c r="M170" s="100"/>
      <c r="N170" s="100"/>
      <c r="O170" s="100"/>
      <c r="P170" s="100">
        <v>26</v>
      </c>
      <c r="Q170" s="100">
        <v>12</v>
      </c>
      <c r="R170" s="100">
        <v>17</v>
      </c>
      <c r="S170" s="100">
        <v>55</v>
      </c>
      <c r="T170" s="99">
        <v>37079.85</v>
      </c>
      <c r="U170" s="99">
        <v>8525.11</v>
      </c>
      <c r="V170" s="99">
        <v>10803.460000000001</v>
      </c>
      <c r="W170" s="99">
        <v>8935.0600000000013</v>
      </c>
      <c r="X170" s="99">
        <v>19470.34</v>
      </c>
      <c r="Y170" s="99">
        <v>8913.18</v>
      </c>
      <c r="Z170" s="99">
        <v>8801.91</v>
      </c>
      <c r="AA170" s="99">
        <v>10233.650000000001</v>
      </c>
      <c r="AB170" s="99">
        <v>8525.11</v>
      </c>
    </row>
    <row r="171" spans="1:28" x14ac:dyDescent="0.2">
      <c r="A171" s="102">
        <v>675.71375</v>
      </c>
      <c r="B171" s="58"/>
      <c r="C171" s="58"/>
      <c r="D171" s="58">
        <v>46</v>
      </c>
      <c r="E171" s="58">
        <v>20</v>
      </c>
      <c r="F171" s="58">
        <v>14</v>
      </c>
      <c r="G171" s="58"/>
      <c r="H171" s="58"/>
      <c r="I171" s="58"/>
      <c r="J171" s="58">
        <v>80</v>
      </c>
      <c r="K171" s="100"/>
      <c r="L171" s="100"/>
      <c r="M171" s="100"/>
      <c r="N171" s="100">
        <v>1</v>
      </c>
      <c r="O171" s="100">
        <v>3</v>
      </c>
      <c r="P171" s="100">
        <v>4</v>
      </c>
      <c r="Q171" s="100"/>
      <c r="R171" s="100"/>
      <c r="S171" s="100">
        <v>8</v>
      </c>
      <c r="T171" s="99">
        <v>5405.71</v>
      </c>
      <c r="U171" s="99"/>
      <c r="V171" s="99"/>
      <c r="W171" s="99"/>
      <c r="X171" s="99">
        <v>365.86</v>
      </c>
      <c r="Y171" s="99">
        <v>3706.23</v>
      </c>
      <c r="Z171" s="99">
        <v>1333.62</v>
      </c>
      <c r="AA171" s="99"/>
      <c r="AB171" s="99"/>
    </row>
    <row r="172" spans="1:28" x14ac:dyDescent="0.2">
      <c r="A172" s="102">
        <v>721.83399999999995</v>
      </c>
      <c r="B172" s="58"/>
      <c r="C172" s="58"/>
      <c r="D172" s="58"/>
      <c r="E172" s="58">
        <v>64</v>
      </c>
      <c r="F172" s="58"/>
      <c r="G172" s="58"/>
      <c r="H172" s="58"/>
      <c r="I172" s="58"/>
      <c r="J172" s="58">
        <v>64</v>
      </c>
      <c r="K172" s="100"/>
      <c r="L172" s="100"/>
      <c r="M172" s="100"/>
      <c r="N172" s="100"/>
      <c r="O172" s="100">
        <v>3</v>
      </c>
      <c r="P172" s="100">
        <v>1</v>
      </c>
      <c r="Q172" s="100">
        <v>1</v>
      </c>
      <c r="R172" s="100"/>
      <c r="S172" s="100">
        <v>5</v>
      </c>
      <c r="T172" s="99">
        <v>3609.17</v>
      </c>
      <c r="U172" s="99"/>
      <c r="V172" s="99"/>
      <c r="W172" s="99"/>
      <c r="X172" s="99"/>
      <c r="Y172" s="99">
        <v>3141.5</v>
      </c>
      <c r="Z172" s="99">
        <v>200.13</v>
      </c>
      <c r="AA172" s="99">
        <v>267.54000000000002</v>
      </c>
      <c r="AB172" s="99"/>
    </row>
    <row r="173" spans="1:28" x14ac:dyDescent="0.2">
      <c r="A173" s="102">
        <v>730.26721008403365</v>
      </c>
      <c r="B173" s="58"/>
      <c r="C173" s="58">
        <v>2552</v>
      </c>
      <c r="D173" s="58">
        <v>2464</v>
      </c>
      <c r="E173" s="58">
        <v>3160</v>
      </c>
      <c r="F173" s="58">
        <v>2048</v>
      </c>
      <c r="G173" s="58">
        <v>574</v>
      </c>
      <c r="H173" s="58">
        <v>424</v>
      </c>
      <c r="I173" s="58">
        <v>2396</v>
      </c>
      <c r="J173" s="58">
        <v>13618</v>
      </c>
      <c r="K173" s="100">
        <v>126</v>
      </c>
      <c r="L173" s="100">
        <v>30</v>
      </c>
      <c r="M173" s="100">
        <v>24</v>
      </c>
      <c r="N173" s="100">
        <v>113</v>
      </c>
      <c r="O173" s="100">
        <v>112</v>
      </c>
      <c r="P173" s="100">
        <v>101</v>
      </c>
      <c r="Q173" s="100">
        <v>89</v>
      </c>
      <c r="R173" s="100"/>
      <c r="S173" s="100">
        <v>595</v>
      </c>
      <c r="T173" s="99">
        <v>434508.99</v>
      </c>
      <c r="U173" s="99">
        <v>72155.570000000007</v>
      </c>
      <c r="V173" s="99">
        <v>12407.87</v>
      </c>
      <c r="W173" s="99">
        <v>16688.71</v>
      </c>
      <c r="X173" s="99">
        <v>65086.82</v>
      </c>
      <c r="Y173" s="99">
        <v>98296.41</v>
      </c>
      <c r="Z173" s="99">
        <v>86027.43</v>
      </c>
      <c r="AA173" s="99">
        <v>83846.179999999993</v>
      </c>
      <c r="AB173" s="99"/>
    </row>
    <row r="174" spans="1:28" x14ac:dyDescent="0.2">
      <c r="A174" s="102">
        <v>818.55994999999996</v>
      </c>
      <c r="B174" s="58"/>
      <c r="C174" s="58">
        <v>206</v>
      </c>
      <c r="D174" s="58">
        <v>332</v>
      </c>
      <c r="E174" s="58">
        <v>364</v>
      </c>
      <c r="F174" s="58">
        <v>114</v>
      </c>
      <c r="G174" s="58">
        <v>298</v>
      </c>
      <c r="H174" s="58">
        <v>658</v>
      </c>
      <c r="I174" s="58">
        <v>62</v>
      </c>
      <c r="J174" s="58">
        <v>2034</v>
      </c>
      <c r="K174" s="100"/>
      <c r="L174" s="100"/>
      <c r="M174" s="100"/>
      <c r="N174" s="100">
        <v>100</v>
      </c>
      <c r="O174" s="100"/>
      <c r="P174" s="100"/>
      <c r="Q174" s="100"/>
      <c r="R174" s="100">
        <v>100</v>
      </c>
      <c r="S174" s="100">
        <v>200</v>
      </c>
      <c r="T174" s="99">
        <v>163711.99</v>
      </c>
      <c r="U174" s="99">
        <v>1187.6199999999999</v>
      </c>
      <c r="V174" s="99">
        <v>28800.79</v>
      </c>
      <c r="W174" s="99">
        <v>15274.11</v>
      </c>
      <c r="X174" s="99">
        <v>39926.089999999997</v>
      </c>
      <c r="Y174" s="99">
        <v>18017</v>
      </c>
      <c r="Z174" s="99">
        <v>17260.14</v>
      </c>
      <c r="AA174" s="99">
        <v>10411.24</v>
      </c>
      <c r="AB174" s="99">
        <v>32835</v>
      </c>
    </row>
    <row r="175" spans="1:28" x14ac:dyDescent="0.2">
      <c r="A175" s="102">
        <v>854.74055172413796</v>
      </c>
      <c r="B175" s="58">
        <v>66</v>
      </c>
      <c r="C175" s="58">
        <v>70</v>
      </c>
      <c r="D175" s="58">
        <v>106</v>
      </c>
      <c r="E175" s="58">
        <v>290</v>
      </c>
      <c r="F175" s="58">
        <v>184</v>
      </c>
      <c r="G175" s="58">
        <v>518</v>
      </c>
      <c r="H175" s="58">
        <v>324</v>
      </c>
      <c r="I175" s="58">
        <v>204</v>
      </c>
      <c r="J175" s="58">
        <v>1762</v>
      </c>
      <c r="K175" s="100">
        <v>22</v>
      </c>
      <c r="L175" s="100">
        <v>19</v>
      </c>
      <c r="M175" s="100">
        <v>25</v>
      </c>
      <c r="N175" s="100">
        <v>27</v>
      </c>
      <c r="O175" s="100">
        <v>23</v>
      </c>
      <c r="P175" s="100">
        <v>11</v>
      </c>
      <c r="Q175" s="100">
        <v>7</v>
      </c>
      <c r="R175" s="100">
        <v>11</v>
      </c>
      <c r="S175" s="100">
        <v>145</v>
      </c>
      <c r="T175" s="99">
        <v>123937.38</v>
      </c>
      <c r="U175" s="99">
        <v>14513.91</v>
      </c>
      <c r="V175" s="99">
        <v>22882.25</v>
      </c>
      <c r="W175" s="99">
        <v>27051.94</v>
      </c>
      <c r="X175" s="99">
        <v>17920.810000000001</v>
      </c>
      <c r="Y175" s="99">
        <v>21441.64</v>
      </c>
      <c r="Z175" s="99">
        <v>8853.0400000000009</v>
      </c>
      <c r="AA175" s="99">
        <v>4443.91</v>
      </c>
      <c r="AB175" s="99">
        <v>6829.88</v>
      </c>
    </row>
    <row r="176" spans="1:28" x14ac:dyDescent="0.2">
      <c r="A176" s="102">
        <v>902.53546079223929</v>
      </c>
      <c r="B176" s="58"/>
      <c r="C176" s="58">
        <v>3374</v>
      </c>
      <c r="D176" s="58">
        <v>2242</v>
      </c>
      <c r="E176" s="58">
        <v>3422</v>
      </c>
      <c r="F176" s="58">
        <v>2668</v>
      </c>
      <c r="G176" s="58">
        <v>3104</v>
      </c>
      <c r="H176" s="58">
        <v>3700</v>
      </c>
      <c r="I176" s="58">
        <v>3142</v>
      </c>
      <c r="J176" s="58">
        <v>21652</v>
      </c>
      <c r="K176" s="100">
        <v>336</v>
      </c>
      <c r="L176" s="100">
        <v>396</v>
      </c>
      <c r="M176" s="100">
        <v>348</v>
      </c>
      <c r="N176" s="100">
        <v>340</v>
      </c>
      <c r="O176" s="100">
        <v>382</v>
      </c>
      <c r="P176" s="100">
        <v>316</v>
      </c>
      <c r="Q176" s="100">
        <v>356</v>
      </c>
      <c r="R176" s="100"/>
      <c r="S176" s="100">
        <v>2474</v>
      </c>
      <c r="T176" s="99">
        <v>2232872.73</v>
      </c>
      <c r="U176" s="99">
        <v>306576.34999999998</v>
      </c>
      <c r="V176" s="99">
        <v>368990.66</v>
      </c>
      <c r="W176" s="99">
        <v>276356.18</v>
      </c>
      <c r="X176" s="99">
        <v>304124.51</v>
      </c>
      <c r="Y176" s="99">
        <v>362680.65</v>
      </c>
      <c r="Z176" s="99">
        <v>273189.39</v>
      </c>
      <c r="AA176" s="99">
        <v>340954.99</v>
      </c>
      <c r="AB176" s="99"/>
    </row>
    <row r="177" spans="1:28" x14ac:dyDescent="0.2">
      <c r="A177" s="102">
        <v>1119.6783805668017</v>
      </c>
      <c r="B177" s="58"/>
      <c r="C177" s="58"/>
      <c r="D177" s="58"/>
      <c r="E177" s="58">
        <v>16.7</v>
      </c>
      <c r="F177" s="58">
        <v>169</v>
      </c>
      <c r="G177" s="58">
        <v>134</v>
      </c>
      <c r="H177" s="58">
        <v>-2670.5</v>
      </c>
      <c r="I177" s="58">
        <v>4678</v>
      </c>
      <c r="J177" s="58">
        <v>2327.1999999999998</v>
      </c>
      <c r="K177" s="100">
        <v>121</v>
      </c>
      <c r="L177" s="100">
        <v>-31</v>
      </c>
      <c r="M177" s="100">
        <v>70</v>
      </c>
      <c r="N177" s="100">
        <v>86</v>
      </c>
      <c r="O177" s="100">
        <v>1</v>
      </c>
      <c r="P177" s="100"/>
      <c r="Q177" s="100"/>
      <c r="R177" s="100"/>
      <c r="S177" s="100">
        <v>247</v>
      </c>
      <c r="T177" s="99">
        <v>276560.56</v>
      </c>
      <c r="U177" s="99">
        <v>119977.08</v>
      </c>
      <c r="V177" s="99">
        <v>-48142.31</v>
      </c>
      <c r="W177" s="99">
        <v>76975.179999999993</v>
      </c>
      <c r="X177" s="99">
        <v>127104.83</v>
      </c>
      <c r="Y177" s="99">
        <v>645.78</v>
      </c>
      <c r="Z177" s="99"/>
      <c r="AA177" s="99"/>
      <c r="AB177" s="99"/>
    </row>
    <row r="178" spans="1:28" x14ac:dyDescent="0.2">
      <c r="A178" s="102">
        <v>1149.4245555555556</v>
      </c>
      <c r="B178" s="58">
        <v>68</v>
      </c>
      <c r="C178" s="58">
        <v>1571.8</v>
      </c>
      <c r="D178" s="58">
        <v>1076</v>
      </c>
      <c r="E178" s="58">
        <v>127.2</v>
      </c>
      <c r="F178" s="58"/>
      <c r="G178" s="58"/>
      <c r="H178" s="58"/>
      <c r="I178" s="58"/>
      <c r="J178" s="58">
        <v>2843</v>
      </c>
      <c r="K178" s="100"/>
      <c r="L178" s="100">
        <v>1</v>
      </c>
      <c r="M178" s="100">
        <v>1</v>
      </c>
      <c r="N178" s="100"/>
      <c r="O178" s="100">
        <v>13</v>
      </c>
      <c r="P178" s="100">
        <v>13</v>
      </c>
      <c r="Q178" s="100">
        <v>34</v>
      </c>
      <c r="R178" s="100">
        <v>28</v>
      </c>
      <c r="S178" s="100">
        <v>90</v>
      </c>
      <c r="T178" s="99">
        <v>103448.21</v>
      </c>
      <c r="U178" s="99"/>
      <c r="V178" s="99">
        <v>152</v>
      </c>
      <c r="W178" s="99">
        <v>130</v>
      </c>
      <c r="X178" s="99"/>
      <c r="Y178" s="99">
        <v>6922.21</v>
      </c>
      <c r="Z178" s="99">
        <v>46078.02</v>
      </c>
      <c r="AA178" s="99">
        <v>39013.08</v>
      </c>
      <c r="AB178" s="99">
        <v>11152.9</v>
      </c>
    </row>
    <row r="179" spans="1:28" x14ac:dyDescent="0.2">
      <c r="A179" s="102">
        <v>1237.9166666666667</v>
      </c>
      <c r="B179" s="58"/>
      <c r="C179" s="58"/>
      <c r="D179" s="58"/>
      <c r="E179" s="58"/>
      <c r="F179" s="58"/>
      <c r="G179" s="58"/>
      <c r="H179" s="58"/>
      <c r="I179" s="58"/>
      <c r="J179" s="58"/>
      <c r="K179" s="100"/>
      <c r="L179" s="100"/>
      <c r="M179" s="100"/>
      <c r="N179" s="100">
        <v>13</v>
      </c>
      <c r="O179" s="100">
        <v>27</v>
      </c>
      <c r="P179" s="100">
        <v>5</v>
      </c>
      <c r="Q179" s="100">
        <v>36</v>
      </c>
      <c r="R179" s="100"/>
      <c r="S179" s="100">
        <v>81</v>
      </c>
      <c r="T179" s="99">
        <v>100271.25</v>
      </c>
      <c r="U179" s="99"/>
      <c r="V179" s="99"/>
      <c r="W179" s="99"/>
      <c r="X179" s="99">
        <v>15679.66</v>
      </c>
      <c r="Y179" s="99">
        <v>33296.97</v>
      </c>
      <c r="Z179" s="99">
        <v>6382.53</v>
      </c>
      <c r="AA179" s="99">
        <v>44912.09</v>
      </c>
      <c r="AB179" s="99"/>
    </row>
    <row r="180" spans="1:28" x14ac:dyDescent="0.2">
      <c r="A180" s="102">
        <v>1238.0533846153846</v>
      </c>
      <c r="B180" s="58"/>
      <c r="C180" s="58"/>
      <c r="D180" s="58"/>
      <c r="E180" s="58"/>
      <c r="F180" s="58">
        <v>42</v>
      </c>
      <c r="G180" s="58">
        <v>54</v>
      </c>
      <c r="H180" s="58">
        <v>1378</v>
      </c>
      <c r="I180" s="58">
        <v>12</v>
      </c>
      <c r="J180" s="58">
        <v>1486</v>
      </c>
      <c r="K180" s="100">
        <v>3</v>
      </c>
      <c r="L180" s="100">
        <v>46</v>
      </c>
      <c r="M180" s="100">
        <v>6</v>
      </c>
      <c r="N180" s="100">
        <v>2</v>
      </c>
      <c r="O180" s="100">
        <v>6</v>
      </c>
      <c r="P180" s="100">
        <v>1</v>
      </c>
      <c r="Q180" s="100">
        <v>1</v>
      </c>
      <c r="R180" s="100"/>
      <c r="S180" s="100">
        <v>65</v>
      </c>
      <c r="T180" s="99">
        <v>80473.47</v>
      </c>
      <c r="U180" s="99">
        <v>5093.2299999999996</v>
      </c>
      <c r="V180" s="99">
        <v>46498.82</v>
      </c>
      <c r="W180" s="99">
        <v>8120.68</v>
      </c>
      <c r="X180" s="99">
        <v>2751.86</v>
      </c>
      <c r="Y180" s="99">
        <v>13205.35</v>
      </c>
      <c r="Z180" s="99">
        <v>2402.7800000000002</v>
      </c>
      <c r="AA180" s="99">
        <v>2400.75</v>
      </c>
      <c r="AB180" s="99"/>
    </row>
    <row r="181" spans="1:28" x14ac:dyDescent="0.2">
      <c r="A181" s="102">
        <v>1281.668598647818</v>
      </c>
      <c r="B181" s="58">
        <v>1558</v>
      </c>
      <c r="C181" s="58">
        <v>9126</v>
      </c>
      <c r="D181" s="58">
        <v>1606</v>
      </c>
      <c r="E181" s="58"/>
      <c r="F181" s="58">
        <v>855</v>
      </c>
      <c r="G181" s="58">
        <v>5736</v>
      </c>
      <c r="H181" s="58">
        <v>5444</v>
      </c>
      <c r="I181" s="58">
        <v>9630</v>
      </c>
      <c r="J181" s="58">
        <v>33955</v>
      </c>
      <c r="K181" s="100">
        <v>541</v>
      </c>
      <c r="L181" s="100">
        <v>424</v>
      </c>
      <c r="M181" s="100">
        <v>388</v>
      </c>
      <c r="N181" s="100">
        <v>65</v>
      </c>
      <c r="O181" s="100"/>
      <c r="P181" s="100">
        <v>351</v>
      </c>
      <c r="Q181" s="100">
        <v>1199</v>
      </c>
      <c r="R181" s="100">
        <v>286</v>
      </c>
      <c r="S181" s="100">
        <v>3254</v>
      </c>
      <c r="T181" s="99">
        <v>4170549.62</v>
      </c>
      <c r="U181" s="99">
        <v>957639.94</v>
      </c>
      <c r="V181" s="99">
        <v>851890.12</v>
      </c>
      <c r="W181" s="99">
        <v>982757.81</v>
      </c>
      <c r="X181" s="99">
        <v>46894.23</v>
      </c>
      <c r="Y181" s="99"/>
      <c r="Z181" s="99">
        <v>-34694.94</v>
      </c>
      <c r="AA181" s="99">
        <v>913136.32</v>
      </c>
      <c r="AB181" s="99">
        <v>452926.14</v>
      </c>
    </row>
    <row r="182" spans="1:28" x14ac:dyDescent="0.2">
      <c r="A182" s="102">
        <v>1360.8054545454545</v>
      </c>
      <c r="B182" s="58"/>
      <c r="C182" s="58"/>
      <c r="D182" s="58"/>
      <c r="E182" s="58"/>
      <c r="F182" s="58"/>
      <c r="G182" s="58">
        <v>190</v>
      </c>
      <c r="H182" s="58"/>
      <c r="I182" s="58"/>
      <c r="J182" s="58">
        <v>190</v>
      </c>
      <c r="K182" s="100"/>
      <c r="L182" s="100"/>
      <c r="M182" s="100">
        <v>10</v>
      </c>
      <c r="N182" s="100"/>
      <c r="O182" s="100">
        <v>1</v>
      </c>
      <c r="P182" s="100"/>
      <c r="Q182" s="100"/>
      <c r="R182" s="100"/>
      <c r="S182" s="100">
        <v>11</v>
      </c>
      <c r="T182" s="99">
        <v>14968.86</v>
      </c>
      <c r="U182" s="99"/>
      <c r="V182" s="99"/>
      <c r="W182" s="99">
        <v>10885.93</v>
      </c>
      <c r="X182" s="99"/>
      <c r="Y182" s="99">
        <v>4082.93</v>
      </c>
      <c r="Z182" s="99"/>
      <c r="AA182" s="99"/>
      <c r="AB182" s="99"/>
    </row>
    <row r="183" spans="1:28" x14ac:dyDescent="0.2">
      <c r="A183" s="102">
        <v>1369.7858208955224</v>
      </c>
      <c r="B183" s="58"/>
      <c r="C183" s="58">
        <v>188.4</v>
      </c>
      <c r="D183" s="58">
        <v>104</v>
      </c>
      <c r="E183" s="58">
        <v>366.8</v>
      </c>
      <c r="F183" s="58">
        <v>467.8</v>
      </c>
      <c r="G183" s="58">
        <v>168</v>
      </c>
      <c r="H183" s="58">
        <v>139</v>
      </c>
      <c r="I183" s="58">
        <v>82</v>
      </c>
      <c r="J183" s="58">
        <v>1516</v>
      </c>
      <c r="K183" s="100">
        <v>31</v>
      </c>
      <c r="L183" s="100">
        <v>20</v>
      </c>
      <c r="M183" s="100">
        <v>22</v>
      </c>
      <c r="N183" s="100">
        <v>20</v>
      </c>
      <c r="O183" s="100">
        <v>17</v>
      </c>
      <c r="P183" s="100">
        <v>7</v>
      </c>
      <c r="Q183" s="100">
        <v>14</v>
      </c>
      <c r="R183" s="100">
        <v>3</v>
      </c>
      <c r="S183" s="100">
        <v>134</v>
      </c>
      <c r="T183" s="99">
        <v>183551.3</v>
      </c>
      <c r="U183" s="99">
        <v>40715.53</v>
      </c>
      <c r="V183" s="99">
        <v>16846.810000000001</v>
      </c>
      <c r="W183" s="99">
        <v>17464.62</v>
      </c>
      <c r="X183" s="99">
        <v>55471.87</v>
      </c>
      <c r="Y183" s="99">
        <v>12730.9</v>
      </c>
      <c r="Z183" s="99">
        <v>12135.72</v>
      </c>
      <c r="AA183" s="99">
        <v>26561.53</v>
      </c>
      <c r="AB183" s="99">
        <v>1624.32</v>
      </c>
    </row>
    <row r="184" spans="1:28" x14ac:dyDescent="0.2">
      <c r="A184" s="102">
        <v>2320.0753403141362</v>
      </c>
      <c r="B184" s="58"/>
      <c r="C184" s="58"/>
      <c r="D184" s="58"/>
      <c r="E184" s="58"/>
      <c r="F184" s="58"/>
      <c r="G184" s="58"/>
      <c r="H184" s="58"/>
      <c r="I184" s="58"/>
      <c r="J184" s="58"/>
      <c r="K184" s="100">
        <v>100</v>
      </c>
      <c r="L184" s="100">
        <v>4</v>
      </c>
      <c r="M184" s="100"/>
      <c r="N184" s="100">
        <v>-10</v>
      </c>
      <c r="O184" s="100">
        <v>42</v>
      </c>
      <c r="P184" s="100">
        <v>45</v>
      </c>
      <c r="Q184" s="100">
        <v>10</v>
      </c>
      <c r="R184" s="100"/>
      <c r="S184" s="100">
        <v>191</v>
      </c>
      <c r="T184" s="99">
        <v>443134.39</v>
      </c>
      <c r="U184" s="99">
        <v>255708.77</v>
      </c>
      <c r="V184" s="99">
        <v>3883.04</v>
      </c>
      <c r="W184" s="99"/>
      <c r="X184" s="99">
        <v>-12807.3</v>
      </c>
      <c r="Y184" s="99">
        <v>79391.34</v>
      </c>
      <c r="Z184" s="99">
        <v>97428.67</v>
      </c>
      <c r="AA184" s="99">
        <v>19529.87</v>
      </c>
      <c r="AB184" s="99"/>
    </row>
    <row r="185" spans="1:28" x14ac:dyDescent="0.2">
      <c r="A185" s="102">
        <v>2766.05</v>
      </c>
      <c r="B185" s="58"/>
      <c r="C185" s="58"/>
      <c r="D185" s="58"/>
      <c r="E185" s="58"/>
      <c r="F185" s="58"/>
      <c r="G185" s="58"/>
      <c r="H185" s="58"/>
      <c r="I185" s="58">
        <v>218.6</v>
      </c>
      <c r="J185" s="58">
        <v>218.6</v>
      </c>
      <c r="K185" s="100">
        <v>2</v>
      </c>
      <c r="L185" s="100"/>
      <c r="M185" s="100"/>
      <c r="N185" s="100"/>
      <c r="O185" s="100"/>
      <c r="P185" s="100"/>
      <c r="Q185" s="100"/>
      <c r="R185" s="100"/>
      <c r="S185" s="100">
        <v>2</v>
      </c>
      <c r="T185" s="99">
        <v>5532.1</v>
      </c>
      <c r="U185" s="99">
        <v>5532.1</v>
      </c>
      <c r="V185" s="99"/>
      <c r="W185" s="99"/>
      <c r="X185" s="99"/>
      <c r="Y185" s="99"/>
      <c r="Z185" s="99"/>
      <c r="AA185" s="99"/>
      <c r="AB185" s="99"/>
    </row>
    <row r="186" spans="1:28" x14ac:dyDescent="0.2">
      <c r="A186" s="102">
        <v>2768.64</v>
      </c>
      <c r="B186" s="58"/>
      <c r="C186" s="58"/>
      <c r="D186" s="58"/>
      <c r="E186" s="58"/>
      <c r="F186" s="58">
        <v>38</v>
      </c>
      <c r="G186" s="58"/>
      <c r="H186" s="58"/>
      <c r="I186" s="58"/>
      <c r="J186" s="58">
        <v>38</v>
      </c>
      <c r="K186" s="100"/>
      <c r="L186" s="100"/>
      <c r="M186" s="100"/>
      <c r="N186" s="100">
        <v>1</v>
      </c>
      <c r="O186" s="100">
        <v>1</v>
      </c>
      <c r="P186" s="100"/>
      <c r="Q186" s="100"/>
      <c r="R186" s="100"/>
      <c r="S186" s="100">
        <v>2</v>
      </c>
      <c r="T186" s="99">
        <v>5537.28</v>
      </c>
      <c r="U186" s="99"/>
      <c r="V186" s="99"/>
      <c r="W186" s="99"/>
      <c r="X186" s="99">
        <v>342.58</v>
      </c>
      <c r="Y186" s="99">
        <v>5194.7</v>
      </c>
      <c r="Z186" s="99"/>
      <c r="AA186" s="99"/>
      <c r="AB186" s="99"/>
    </row>
    <row r="187" spans="1:28" x14ac:dyDescent="0.2">
      <c r="A187" s="102">
        <v>3003.3305555555557</v>
      </c>
      <c r="B187" s="58"/>
      <c r="C187" s="58">
        <v>22</v>
      </c>
      <c r="D187" s="58"/>
      <c r="E187" s="58"/>
      <c r="F187" s="58">
        <v>92</v>
      </c>
      <c r="G187" s="58"/>
      <c r="H187" s="58"/>
      <c r="I187" s="58">
        <v>4</v>
      </c>
      <c r="J187" s="58">
        <v>118</v>
      </c>
      <c r="K187" s="100">
        <v>6</v>
      </c>
      <c r="L187" s="100">
        <v>3</v>
      </c>
      <c r="M187" s="100">
        <v>6</v>
      </c>
      <c r="N187" s="100">
        <v>3</v>
      </c>
      <c r="O187" s="100">
        <v>6</v>
      </c>
      <c r="P187" s="100">
        <v>6</v>
      </c>
      <c r="Q187" s="100">
        <v>6</v>
      </c>
      <c r="R187" s="100"/>
      <c r="S187" s="100">
        <v>36</v>
      </c>
      <c r="T187" s="99">
        <v>108119.9</v>
      </c>
      <c r="U187" s="99">
        <v>17942.400000000001</v>
      </c>
      <c r="V187" s="99">
        <v>8906.01</v>
      </c>
      <c r="W187" s="99">
        <v>17834.73</v>
      </c>
      <c r="X187" s="99">
        <v>9354.6200000000008</v>
      </c>
      <c r="Y187" s="99">
        <v>17925.63</v>
      </c>
      <c r="Z187" s="99">
        <v>18113.46</v>
      </c>
      <c r="AA187" s="99">
        <v>18043.05</v>
      </c>
      <c r="AB187" s="99"/>
    </row>
    <row r="188" spans="1:28" x14ac:dyDescent="0.2">
      <c r="A188" s="102">
        <v>3014.340731707317</v>
      </c>
      <c r="B188" s="58">
        <v>564</v>
      </c>
      <c r="C188" s="58">
        <v>126</v>
      </c>
      <c r="D188" s="58">
        <v>356</v>
      </c>
      <c r="E188" s="58">
        <v>198</v>
      </c>
      <c r="F188" s="58">
        <v>402</v>
      </c>
      <c r="G188" s="58">
        <v>556</v>
      </c>
      <c r="H188" s="58">
        <v>800</v>
      </c>
      <c r="I188" s="58">
        <v>1016</v>
      </c>
      <c r="J188" s="58">
        <v>4018</v>
      </c>
      <c r="K188" s="100">
        <v>2</v>
      </c>
      <c r="L188" s="100">
        <v>9</v>
      </c>
      <c r="M188" s="100">
        <v>6</v>
      </c>
      <c r="N188" s="100">
        <v>3</v>
      </c>
      <c r="O188" s="100">
        <v>5</v>
      </c>
      <c r="P188" s="100">
        <v>4</v>
      </c>
      <c r="Q188" s="100">
        <v>6</v>
      </c>
      <c r="R188" s="100">
        <v>6</v>
      </c>
      <c r="S188" s="100">
        <v>41</v>
      </c>
      <c r="T188" s="99">
        <v>123587.97</v>
      </c>
      <c r="U188" s="99">
        <v>8868.7199999999993</v>
      </c>
      <c r="V188" s="99">
        <v>24775.08</v>
      </c>
      <c r="W188" s="99">
        <v>20018.080000000002</v>
      </c>
      <c r="X188" s="99">
        <v>14630.57</v>
      </c>
      <c r="Y188" s="99">
        <v>10595.92</v>
      </c>
      <c r="Z188" s="99">
        <v>13088.58</v>
      </c>
      <c r="AA188" s="99">
        <v>14085.15</v>
      </c>
      <c r="AB188" s="99">
        <v>17525.87</v>
      </c>
    </row>
    <row r="189" spans="1:28" x14ac:dyDescent="0.2">
      <c r="A189" s="102">
        <v>3118.1551923076922</v>
      </c>
      <c r="B189" s="58"/>
      <c r="C189" s="58">
        <v>522</v>
      </c>
      <c r="D189" s="58">
        <v>1400</v>
      </c>
      <c r="E189" s="58">
        <v>1204</v>
      </c>
      <c r="F189" s="58">
        <v>588</v>
      </c>
      <c r="G189" s="58">
        <v>556</v>
      </c>
      <c r="H189" s="58">
        <v>804</v>
      </c>
      <c r="I189" s="58">
        <v>226</v>
      </c>
      <c r="J189" s="58">
        <v>5300</v>
      </c>
      <c r="K189" s="100">
        <v>5</v>
      </c>
      <c r="L189" s="100">
        <v>7</v>
      </c>
      <c r="M189" s="100">
        <v>14</v>
      </c>
      <c r="N189" s="100">
        <v>6</v>
      </c>
      <c r="O189" s="100">
        <v>20</v>
      </c>
      <c r="P189" s="100">
        <v>34</v>
      </c>
      <c r="Q189" s="100">
        <v>14</v>
      </c>
      <c r="R189" s="100">
        <v>4</v>
      </c>
      <c r="S189" s="100">
        <v>104</v>
      </c>
      <c r="T189" s="99">
        <v>324288.14</v>
      </c>
      <c r="U189" s="99">
        <v>12776.78</v>
      </c>
      <c r="V189" s="99">
        <v>20479.52</v>
      </c>
      <c r="W189" s="99">
        <v>13797.41</v>
      </c>
      <c r="X189" s="99">
        <v>17074.55</v>
      </c>
      <c r="Y189" s="99">
        <v>78360.88</v>
      </c>
      <c r="Z189" s="99">
        <v>920052.25</v>
      </c>
      <c r="AA189" s="99">
        <v>-768994.72</v>
      </c>
      <c r="AB189" s="99">
        <v>30741.47</v>
      </c>
    </row>
    <row r="190" spans="1:28" x14ac:dyDescent="0.2">
      <c r="A190" s="102">
        <v>3917.2409090909091</v>
      </c>
      <c r="B190" s="58"/>
      <c r="C190" s="58"/>
      <c r="D190" s="58"/>
      <c r="E190" s="58"/>
      <c r="F190" s="58"/>
      <c r="G190" s="58"/>
      <c r="H190" s="58"/>
      <c r="I190" s="58"/>
      <c r="J190" s="58"/>
      <c r="K190" s="100">
        <v>2</v>
      </c>
      <c r="L190" s="100">
        <v>4</v>
      </c>
      <c r="M190" s="100"/>
      <c r="N190" s="100">
        <v>8</v>
      </c>
      <c r="O190" s="100">
        <v>8</v>
      </c>
      <c r="P190" s="100">
        <v>4</v>
      </c>
      <c r="Q190" s="100">
        <v>10</v>
      </c>
      <c r="R190" s="100">
        <v>8</v>
      </c>
      <c r="S190" s="100">
        <v>44</v>
      </c>
      <c r="T190" s="99">
        <v>172358.6</v>
      </c>
      <c r="U190" s="99">
        <v>8131.96</v>
      </c>
      <c r="V190" s="99">
        <v>15067.76</v>
      </c>
      <c r="W190" s="99"/>
      <c r="X190" s="99">
        <v>30541.5</v>
      </c>
      <c r="Y190" s="99">
        <v>30883.68</v>
      </c>
      <c r="Z190" s="99">
        <v>13134.08</v>
      </c>
      <c r="AA190" s="99">
        <v>42369.96</v>
      </c>
      <c r="AB190" s="99">
        <v>32229.66</v>
      </c>
    </row>
    <row r="191" spans="1:28" x14ac:dyDescent="0.2">
      <c r="A191" s="102">
        <v>4326.1131818181821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100"/>
      <c r="L191" s="100">
        <v>3</v>
      </c>
      <c r="M191" s="100">
        <v>1</v>
      </c>
      <c r="N191" s="100"/>
      <c r="O191" s="100">
        <v>5</v>
      </c>
      <c r="P191" s="100">
        <v>6</v>
      </c>
      <c r="Q191" s="100"/>
      <c r="R191" s="100">
        <v>7</v>
      </c>
      <c r="S191" s="100">
        <v>22</v>
      </c>
      <c r="T191" s="99">
        <v>95174.49</v>
      </c>
      <c r="U191" s="99"/>
      <c r="V191" s="99">
        <v>14653.7</v>
      </c>
      <c r="W191" s="99">
        <v>6592.22</v>
      </c>
      <c r="X191" s="99"/>
      <c r="Y191" s="99">
        <v>21636.32</v>
      </c>
      <c r="Z191" s="99">
        <v>24386.32</v>
      </c>
      <c r="AA191" s="99"/>
      <c r="AB191" s="99">
        <v>27905.93</v>
      </c>
    </row>
    <row r="192" spans="1:28" x14ac:dyDescent="0.2">
      <c r="A192" s="102">
        <v>4628.7986363636364</v>
      </c>
      <c r="B192" s="58">
        <v>770</v>
      </c>
      <c r="C192" s="58">
        <v>258</v>
      </c>
      <c r="D192" s="58">
        <v>262</v>
      </c>
      <c r="E192" s="58">
        <v>716</v>
      </c>
      <c r="F192" s="58">
        <v>140</v>
      </c>
      <c r="G192" s="58">
        <v>464</v>
      </c>
      <c r="H192" s="58">
        <v>588</v>
      </c>
      <c r="I192" s="58">
        <v>736</v>
      </c>
      <c r="J192" s="58">
        <v>3934</v>
      </c>
      <c r="K192" s="100">
        <v>3</v>
      </c>
      <c r="L192" s="100"/>
      <c r="M192" s="100">
        <v>3</v>
      </c>
      <c r="N192" s="100">
        <v>3</v>
      </c>
      <c r="O192" s="100">
        <v>2</v>
      </c>
      <c r="P192" s="100">
        <v>8</v>
      </c>
      <c r="Q192" s="100">
        <v>1</v>
      </c>
      <c r="R192" s="100">
        <v>2</v>
      </c>
      <c r="S192" s="100">
        <v>22</v>
      </c>
      <c r="T192" s="99">
        <v>101833.57</v>
      </c>
      <c r="U192" s="99">
        <v>14925.44</v>
      </c>
      <c r="V192" s="99">
        <v>2628.26</v>
      </c>
      <c r="W192" s="99">
        <v>8557.1299999999992</v>
      </c>
      <c r="X192" s="99">
        <v>11716.09</v>
      </c>
      <c r="Y192" s="99">
        <v>15977.45</v>
      </c>
      <c r="Z192" s="99">
        <v>31160.36</v>
      </c>
      <c r="AA192" s="99">
        <v>5029.7700000000004</v>
      </c>
      <c r="AB192" s="99">
        <v>11839.07</v>
      </c>
    </row>
    <row r="193" spans="1:28" x14ac:dyDescent="0.2">
      <c r="A193" s="102">
        <v>5182.6400000000003</v>
      </c>
      <c r="B193" s="58"/>
      <c r="C193" s="58"/>
      <c r="D193" s="58"/>
      <c r="E193" s="58"/>
      <c r="F193" s="58"/>
      <c r="G193" s="58"/>
      <c r="H193" s="58"/>
      <c r="I193" s="58"/>
      <c r="J193" s="58"/>
      <c r="K193" s="100">
        <v>4</v>
      </c>
      <c r="L193" s="100"/>
      <c r="M193" s="100">
        <v>6</v>
      </c>
      <c r="N193" s="100">
        <v>4</v>
      </c>
      <c r="O193" s="100"/>
      <c r="P193" s="100"/>
      <c r="Q193" s="100"/>
      <c r="R193" s="100"/>
      <c r="S193" s="100">
        <v>14</v>
      </c>
      <c r="T193" s="99">
        <v>72556.960000000006</v>
      </c>
      <c r="U193" s="99">
        <v>15048.02</v>
      </c>
      <c r="V193" s="99"/>
      <c r="W193" s="99">
        <v>34165.620000000003</v>
      </c>
      <c r="X193" s="99">
        <v>23343.32</v>
      </c>
      <c r="Y193" s="99"/>
      <c r="Z193" s="99"/>
      <c r="AA193" s="99"/>
      <c r="AB193" s="99"/>
    </row>
    <row r="194" spans="1:28" x14ac:dyDescent="0.2">
      <c r="A194" s="102">
        <v>9254.99</v>
      </c>
      <c r="B194" s="58"/>
      <c r="C194" s="58"/>
      <c r="D194" s="58"/>
      <c r="E194" s="58"/>
      <c r="F194" s="58"/>
      <c r="G194" s="58"/>
      <c r="H194" s="58"/>
      <c r="I194" s="58"/>
      <c r="J194" s="58"/>
      <c r="K194" s="100">
        <v>-1</v>
      </c>
      <c r="L194" s="100"/>
      <c r="M194" s="100"/>
      <c r="N194" s="100"/>
      <c r="O194" s="100"/>
      <c r="P194" s="100"/>
      <c r="Q194" s="100"/>
      <c r="R194" s="100"/>
      <c r="S194" s="100">
        <v>-1</v>
      </c>
      <c r="T194" s="99">
        <v>-9254.99</v>
      </c>
      <c r="U194" s="99">
        <v>-9254.99</v>
      </c>
      <c r="V194" s="99"/>
      <c r="W194" s="99"/>
      <c r="X194" s="99"/>
      <c r="Y194" s="99"/>
      <c r="Z194" s="99"/>
      <c r="AA194" s="99"/>
      <c r="AB194" s="99"/>
    </row>
    <row r="195" spans="1:28" x14ac:dyDescent="0.2">
      <c r="A195" s="102">
        <v>13396.733636363637</v>
      </c>
      <c r="B195" s="58"/>
      <c r="C195" s="58">
        <v>1720</v>
      </c>
      <c r="D195" s="58">
        <v>1240</v>
      </c>
      <c r="E195" s="58">
        <v>350</v>
      </c>
      <c r="F195" s="58">
        <v>36</v>
      </c>
      <c r="G195" s="58">
        <v>120</v>
      </c>
      <c r="H195" s="58">
        <v>600</v>
      </c>
      <c r="I195" s="58">
        <v>1272</v>
      </c>
      <c r="J195" s="58">
        <v>5338</v>
      </c>
      <c r="K195" s="100"/>
      <c r="L195" s="100"/>
      <c r="M195" s="100"/>
      <c r="N195" s="100">
        <v>6</v>
      </c>
      <c r="O195" s="100"/>
      <c r="P195" s="100">
        <v>2</v>
      </c>
      <c r="Q195" s="100">
        <v>3</v>
      </c>
      <c r="R195" s="100"/>
      <c r="S195" s="100">
        <v>11</v>
      </c>
      <c r="T195" s="99">
        <v>147364.07</v>
      </c>
      <c r="U195" s="99">
        <v>43030.01</v>
      </c>
      <c r="V195" s="99">
        <v>10961.14</v>
      </c>
      <c r="W195" s="99">
        <v>2405.73</v>
      </c>
      <c r="X195" s="99">
        <v>44151.17</v>
      </c>
      <c r="Y195" s="99">
        <v>4111.16</v>
      </c>
      <c r="Z195" s="99">
        <v>16492.54</v>
      </c>
      <c r="AA195" s="99">
        <v>26212.32</v>
      </c>
      <c r="AB195" s="99"/>
    </row>
    <row r="196" spans="1:28" x14ac:dyDescent="0.2">
      <c r="A196" s="102">
        <v>15043.2925</v>
      </c>
      <c r="B196" s="58"/>
      <c r="C196" s="58"/>
      <c r="D196" s="58"/>
      <c r="E196" s="58"/>
      <c r="F196" s="58"/>
      <c r="G196" s="58"/>
      <c r="H196" s="58"/>
      <c r="I196" s="58"/>
      <c r="J196" s="58"/>
      <c r="K196" s="100"/>
      <c r="L196" s="100"/>
      <c r="M196" s="100">
        <v>2</v>
      </c>
      <c r="N196" s="100"/>
      <c r="O196" s="100">
        <v>1</v>
      </c>
      <c r="P196" s="100"/>
      <c r="Q196" s="100">
        <v>1</v>
      </c>
      <c r="R196" s="100"/>
      <c r="S196" s="100">
        <v>4</v>
      </c>
      <c r="T196" s="99">
        <v>60173.17</v>
      </c>
      <c r="U196" s="99"/>
      <c r="V196" s="99"/>
      <c r="W196" s="99">
        <v>50485.68</v>
      </c>
      <c r="X196" s="99">
        <v>1606.33</v>
      </c>
      <c r="Y196" s="99">
        <v>5144.05</v>
      </c>
      <c r="Z196" s="99"/>
      <c r="AA196" s="99">
        <v>2937.11</v>
      </c>
      <c r="AB196" s="99"/>
    </row>
    <row r="197" spans="1:28" x14ac:dyDescent="0.2">
      <c r="A197" s="102" t="s">
        <v>33</v>
      </c>
      <c r="B197" s="58">
        <v>1874</v>
      </c>
      <c r="C197" s="58">
        <v>6316</v>
      </c>
      <c r="D197" s="58">
        <v>3469</v>
      </c>
      <c r="E197" s="58">
        <v>111636</v>
      </c>
      <c r="F197" s="58">
        <v>42369</v>
      </c>
      <c r="G197" s="58">
        <v>15445</v>
      </c>
      <c r="H197" s="58">
        <v>10550</v>
      </c>
      <c r="I197" s="58">
        <v>25512</v>
      </c>
      <c r="J197" s="58">
        <v>217171</v>
      </c>
      <c r="K197" s="100">
        <v>372</v>
      </c>
      <c r="L197" s="100"/>
      <c r="M197" s="100"/>
      <c r="N197" s="100"/>
      <c r="O197" s="100">
        <v>-372</v>
      </c>
      <c r="P197" s="100">
        <v>249</v>
      </c>
      <c r="Q197" s="100">
        <v>-249</v>
      </c>
      <c r="R197" s="100"/>
      <c r="S197" s="100"/>
      <c r="T197" s="99">
        <v>1642228.5700000003</v>
      </c>
      <c r="U197" s="99">
        <v>699006.8</v>
      </c>
      <c r="V197" s="99">
        <v>292284.51</v>
      </c>
      <c r="W197" s="99">
        <v>177207.06000000003</v>
      </c>
      <c r="X197" s="99">
        <v>244763.43000000002</v>
      </c>
      <c r="Y197" s="99">
        <v>201136.50000000003</v>
      </c>
      <c r="Z197" s="99">
        <v>73768.759999999995</v>
      </c>
      <c r="AA197" s="99">
        <v>21706.770000000004</v>
      </c>
      <c r="AB197" s="99">
        <v>12383.000000000002</v>
      </c>
    </row>
    <row r="198" spans="1:28" x14ac:dyDescent="0.2">
      <c r="A198" s="101" t="s">
        <v>717</v>
      </c>
      <c r="B198" s="58">
        <v>322418.2</v>
      </c>
      <c r="C198" s="58">
        <v>910595.9</v>
      </c>
      <c r="D198" s="58">
        <v>-709632.4</v>
      </c>
      <c r="E198" s="58">
        <v>460980.10000000003</v>
      </c>
      <c r="F198" s="58">
        <v>1695275.8</v>
      </c>
      <c r="G198" s="58">
        <v>309153.7</v>
      </c>
      <c r="H198" s="58">
        <v>264712.80000000005</v>
      </c>
      <c r="I198" s="58">
        <v>293505.5</v>
      </c>
      <c r="J198" s="58">
        <v>3547009.6000000006</v>
      </c>
      <c r="K198" s="100">
        <v>27345</v>
      </c>
      <c r="L198" s="100">
        <v>26830</v>
      </c>
      <c r="M198" s="100">
        <v>27237</v>
      </c>
      <c r="N198" s="100">
        <v>24466</v>
      </c>
      <c r="O198" s="100">
        <v>60871</v>
      </c>
      <c r="P198" s="100">
        <v>17244</v>
      </c>
      <c r="Q198" s="100">
        <v>54553</v>
      </c>
      <c r="R198" s="100">
        <v>22402</v>
      </c>
      <c r="S198" s="100">
        <v>260948</v>
      </c>
      <c r="T198" s="99">
        <v>58598089.180000007</v>
      </c>
      <c r="U198" s="99">
        <v>8378258.5300000031</v>
      </c>
      <c r="V198" s="99">
        <v>7447052.1600000011</v>
      </c>
      <c r="W198" s="99">
        <v>7250321.2599999988</v>
      </c>
      <c r="X198" s="99">
        <v>10071438.929999998</v>
      </c>
      <c r="Y198" s="99">
        <v>9626552.1300000045</v>
      </c>
      <c r="Z198" s="99">
        <v>3610792.1499999985</v>
      </c>
      <c r="AA198" s="99">
        <v>9077031.5299999993</v>
      </c>
      <c r="AB198" s="99">
        <v>3684071.5100000012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4BD1-4392-D14A-8AC0-ECBE5B89EE55}">
  <dimension ref="A3:N36"/>
  <sheetViews>
    <sheetView showGridLines="0" tabSelected="1" workbookViewId="0">
      <selection activeCell="G24" sqref="G24"/>
    </sheetView>
  </sheetViews>
  <sheetFormatPr baseColWidth="10" defaultRowHeight="15" x14ac:dyDescent="0.2"/>
  <cols>
    <col min="1" max="1" width="12.5" customWidth="1"/>
    <col min="2" max="2" width="14.6640625" bestFit="1" customWidth="1"/>
    <col min="3" max="3" width="16.83203125" customWidth="1"/>
    <col min="4" max="4" width="16" customWidth="1"/>
    <col min="5" max="5" width="16.33203125" customWidth="1"/>
    <col min="6" max="6" width="16.1640625" customWidth="1"/>
    <col min="7" max="8" width="16.33203125" customWidth="1"/>
    <col min="9" max="9" width="16.1640625" customWidth="1"/>
    <col min="10" max="10" width="16" customWidth="1"/>
    <col min="11" max="11" width="16.1640625" customWidth="1"/>
    <col min="12" max="12" width="15.1640625" customWidth="1"/>
    <col min="13" max="13" width="15.6640625" customWidth="1"/>
    <col min="14" max="14" width="21.33203125" customWidth="1"/>
  </cols>
  <sheetData>
    <row r="3" spans="1:14" x14ac:dyDescent="0.2">
      <c r="A3" s="130" t="s">
        <v>746</v>
      </c>
      <c r="B3" s="132" t="s">
        <v>751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4"/>
    </row>
    <row r="4" spans="1:14" x14ac:dyDescent="0.2">
      <c r="A4" s="130"/>
      <c r="B4" s="131" t="s">
        <v>4</v>
      </c>
      <c r="C4" s="131" t="s">
        <v>5</v>
      </c>
      <c r="D4" s="131" t="s">
        <v>6</v>
      </c>
      <c r="E4" s="131" t="s">
        <v>7</v>
      </c>
      <c r="F4" s="131" t="s">
        <v>8</v>
      </c>
      <c r="G4" s="131" t="s">
        <v>9</v>
      </c>
      <c r="H4" s="131" t="s">
        <v>10</v>
      </c>
      <c r="I4" s="131" t="s">
        <v>11</v>
      </c>
      <c r="J4" s="131" t="s">
        <v>21</v>
      </c>
      <c r="K4" s="131" t="s">
        <v>22</v>
      </c>
      <c r="L4" s="131" t="s">
        <v>23</v>
      </c>
      <c r="M4" s="131" t="s">
        <v>24</v>
      </c>
      <c r="N4" s="131" t="s">
        <v>745</v>
      </c>
    </row>
    <row r="5" spans="1:14" x14ac:dyDescent="0.2">
      <c r="A5" s="64" t="s">
        <v>749</v>
      </c>
      <c r="B5" s="127">
        <v>13721834.4</v>
      </c>
      <c r="C5" s="127">
        <v>9301108.5700000003</v>
      </c>
      <c r="D5" s="127">
        <v>7465329.1200000001</v>
      </c>
      <c r="E5" s="127">
        <v>7736546.5599999996</v>
      </c>
      <c r="F5" s="127">
        <v>7364641.6900000004</v>
      </c>
      <c r="G5" s="127">
        <v>2021460.78</v>
      </c>
      <c r="H5" s="127">
        <v>6484030.6200000001</v>
      </c>
      <c r="I5" s="127">
        <v>6709382.6200000001</v>
      </c>
      <c r="J5" s="127">
        <v>6742929.5300000003</v>
      </c>
      <c r="K5" s="127">
        <v>6763057.6799999997</v>
      </c>
      <c r="L5" s="127">
        <v>6776476.4500000002</v>
      </c>
      <c r="M5" s="127">
        <v>6856989.04</v>
      </c>
      <c r="N5" s="127">
        <f>SUM(B5:M5)</f>
        <v>87943787.060000002</v>
      </c>
    </row>
    <row r="6" spans="1:14" x14ac:dyDescent="0.2">
      <c r="A6" s="64" t="s">
        <v>747</v>
      </c>
      <c r="B6" s="127">
        <v>5901205.1299999999</v>
      </c>
      <c r="C6" s="127">
        <v>4373874.09</v>
      </c>
      <c r="D6" s="127">
        <v>2493372.7000000002</v>
      </c>
      <c r="E6" s="127">
        <v>2434172.38</v>
      </c>
      <c r="F6" s="127">
        <v>2285878.87</v>
      </c>
      <c r="G6" s="127">
        <v>1565428.15</v>
      </c>
      <c r="H6" s="127">
        <v>2491933.6</v>
      </c>
      <c r="I6" s="127">
        <v>2310000</v>
      </c>
      <c r="J6" s="127">
        <v>2321550</v>
      </c>
      <c r="K6" s="127">
        <v>2328480</v>
      </c>
      <c r="L6" s="127">
        <v>2333100</v>
      </c>
      <c r="M6" s="127">
        <v>2360820</v>
      </c>
      <c r="N6" s="127">
        <f t="shared" ref="N6:N7" si="0">SUM(B6:M6)</f>
        <v>33199814.919999998</v>
      </c>
    </row>
    <row r="7" spans="1:14" x14ac:dyDescent="0.2">
      <c r="A7" s="64" t="s">
        <v>748</v>
      </c>
      <c r="B7" s="127">
        <v>2258488.64</v>
      </c>
      <c r="C7" s="127">
        <v>1856931.28</v>
      </c>
      <c r="D7" s="127">
        <v>1881255.92</v>
      </c>
      <c r="E7" s="127">
        <v>677195.56</v>
      </c>
      <c r="F7" s="127">
        <v>394414.87</v>
      </c>
      <c r="G7" s="127">
        <v>522624.29</v>
      </c>
      <c r="H7" s="127">
        <v>311582.21999999997</v>
      </c>
      <c r="I7" s="127">
        <v>322432.15000000002</v>
      </c>
      <c r="J7" s="127">
        <v>323238.23</v>
      </c>
      <c r="K7" s="127">
        <v>324044.31</v>
      </c>
      <c r="L7" s="127">
        <v>324850.39</v>
      </c>
      <c r="M7" s="127">
        <v>325656.46999999997</v>
      </c>
      <c r="N7" s="127">
        <f t="shared" si="0"/>
        <v>9522714.3300000019</v>
      </c>
    </row>
    <row r="8" spans="1:14" x14ac:dyDescent="0.2">
      <c r="A8" s="125" t="s">
        <v>750</v>
      </c>
      <c r="B8" s="126">
        <f>SUM(B5:B7)</f>
        <v>21881528.170000002</v>
      </c>
      <c r="C8" s="126">
        <f t="shared" ref="C8:N8" si="1">SUM(C5:C7)</f>
        <v>15531913.939999999</v>
      </c>
      <c r="D8" s="126">
        <f t="shared" si="1"/>
        <v>11839957.74</v>
      </c>
      <c r="E8" s="126">
        <f t="shared" si="1"/>
        <v>10847914.5</v>
      </c>
      <c r="F8" s="126">
        <f t="shared" si="1"/>
        <v>10044935.43</v>
      </c>
      <c r="G8" s="126">
        <f t="shared" si="1"/>
        <v>4109513.2199999997</v>
      </c>
      <c r="H8" s="126">
        <f t="shared" si="1"/>
        <v>9287546.4400000013</v>
      </c>
      <c r="I8" s="129">
        <f t="shared" si="1"/>
        <v>9341814.7700000014</v>
      </c>
      <c r="J8" s="126">
        <f t="shared" si="1"/>
        <v>9387717.7600000016</v>
      </c>
      <c r="K8" s="126">
        <f t="shared" si="1"/>
        <v>9415581.9900000002</v>
      </c>
      <c r="L8" s="126">
        <f t="shared" si="1"/>
        <v>9434426.8399999999</v>
      </c>
      <c r="M8" s="126">
        <f t="shared" si="1"/>
        <v>9543465.5099999998</v>
      </c>
      <c r="N8" s="126">
        <f t="shared" si="1"/>
        <v>130666316.31</v>
      </c>
    </row>
    <row r="9" spans="1:14" x14ac:dyDescent="0.2">
      <c r="A9" s="128"/>
      <c r="H9" s="136"/>
      <c r="I9" s="136"/>
      <c r="J9" s="136"/>
      <c r="K9" s="136"/>
      <c r="L9" s="136"/>
      <c r="M9" s="136"/>
      <c r="N9" s="137"/>
    </row>
    <row r="11" spans="1:14" x14ac:dyDescent="0.2">
      <c r="A11" s="130" t="s">
        <v>746</v>
      </c>
      <c r="B11" s="132" t="s">
        <v>752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4"/>
    </row>
    <row r="12" spans="1:14" x14ac:dyDescent="0.2">
      <c r="A12" s="130"/>
      <c r="B12" s="131" t="s">
        <v>4</v>
      </c>
      <c r="C12" s="131" t="s">
        <v>5</v>
      </c>
      <c r="D12" s="131" t="s">
        <v>6</v>
      </c>
      <c r="E12" s="131" t="s">
        <v>7</v>
      </c>
      <c r="F12" s="131" t="s">
        <v>8</v>
      </c>
      <c r="G12" s="131" t="s">
        <v>9</v>
      </c>
      <c r="H12" s="131" t="s">
        <v>10</v>
      </c>
      <c r="I12" s="131" t="s">
        <v>11</v>
      </c>
      <c r="J12" s="131" t="s">
        <v>21</v>
      </c>
      <c r="K12" s="131" t="s">
        <v>22</v>
      </c>
      <c r="L12" s="131" t="s">
        <v>23</v>
      </c>
      <c r="M12" s="131" t="s">
        <v>24</v>
      </c>
      <c r="N12" s="131" t="s">
        <v>745</v>
      </c>
    </row>
    <row r="13" spans="1:14" x14ac:dyDescent="0.2">
      <c r="A13" s="64" t="s">
        <v>749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>
        <f>SUM(B13:M13)</f>
        <v>0</v>
      </c>
    </row>
    <row r="14" spans="1:14" x14ac:dyDescent="0.2">
      <c r="A14" s="64" t="s">
        <v>747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>
        <f t="shared" ref="N14:N15" si="2">SUM(B14:M14)</f>
        <v>0</v>
      </c>
    </row>
    <row r="15" spans="1:14" x14ac:dyDescent="0.2">
      <c r="A15" s="64" t="s">
        <v>748</v>
      </c>
      <c r="B15" s="127"/>
      <c r="C15" s="127"/>
      <c r="D15" s="127"/>
      <c r="E15" s="127"/>
      <c r="F15" s="127"/>
      <c r="G15" s="127"/>
      <c r="H15" s="127"/>
      <c r="I15" s="127"/>
      <c r="J15" s="127">
        <f t="shared" ref="D15:M15" si="3">I15+H25</f>
        <v>0</v>
      </c>
      <c r="K15" s="127">
        <f t="shared" si="3"/>
        <v>0</v>
      </c>
      <c r="L15" s="127">
        <f t="shared" si="3"/>
        <v>0</v>
      </c>
      <c r="M15" s="127">
        <f t="shared" si="3"/>
        <v>0</v>
      </c>
      <c r="N15" s="127">
        <f t="shared" si="2"/>
        <v>0</v>
      </c>
    </row>
    <row r="16" spans="1:14" x14ac:dyDescent="0.2">
      <c r="A16" s="125" t="s">
        <v>750</v>
      </c>
      <c r="B16" s="126">
        <f>SUM(B13:B15)</f>
        <v>0</v>
      </c>
      <c r="C16" s="126">
        <f t="shared" ref="C16" si="4">SUM(C13:C15)</f>
        <v>0</v>
      </c>
      <c r="D16" s="126">
        <f t="shared" ref="D16" si="5">SUM(D13:D15)</f>
        <v>0</v>
      </c>
      <c r="E16" s="126">
        <f t="shared" ref="E16" si="6">SUM(E13:E15)</f>
        <v>0</v>
      </c>
      <c r="F16" s="126">
        <f t="shared" ref="F16" si="7">SUM(F13:F15)</f>
        <v>0</v>
      </c>
      <c r="G16" s="126">
        <f t="shared" ref="G16" si="8">SUM(G13:G15)</f>
        <v>0</v>
      </c>
      <c r="H16" s="126">
        <f t="shared" ref="H16" si="9">SUM(H13:H15)</f>
        <v>0</v>
      </c>
      <c r="I16" s="129">
        <f t="shared" ref="I16" si="10">SUM(I13:I15)</f>
        <v>0</v>
      </c>
      <c r="J16" s="126">
        <f t="shared" ref="J16" si="11">SUM(J13:J15)</f>
        <v>0</v>
      </c>
      <c r="K16" s="126">
        <f t="shared" ref="K16" si="12">SUM(K13:K15)</f>
        <v>0</v>
      </c>
      <c r="L16" s="126">
        <f t="shared" ref="L16" si="13">SUM(L13:L15)</f>
        <v>0</v>
      </c>
      <c r="M16" s="126">
        <f t="shared" ref="M16" si="14">SUM(M13:M15)</f>
        <v>0</v>
      </c>
      <c r="N16" s="126">
        <f t="shared" ref="N16" si="15">SUM(N13:N15)</f>
        <v>0</v>
      </c>
    </row>
    <row r="20" spans="1:12" x14ac:dyDescent="0.2">
      <c r="F20" s="59"/>
      <c r="G20" s="59"/>
    </row>
    <row r="21" spans="1:12" x14ac:dyDescent="0.2">
      <c r="F21" s="59"/>
      <c r="G21" s="59"/>
      <c r="L21" s="59"/>
    </row>
    <row r="22" spans="1:12" x14ac:dyDescent="0.2">
      <c r="A22" s="59"/>
      <c r="D22" s="138">
        <v>0.1</v>
      </c>
      <c r="G22" s="59"/>
    </row>
    <row r="23" spans="1:12" x14ac:dyDescent="0.2">
      <c r="A23" s="59"/>
      <c r="D23" s="59">
        <f>N8*10%</f>
        <v>13066631.631000001</v>
      </c>
      <c r="E23" s="139" t="s">
        <v>748</v>
      </c>
      <c r="F23" s="140">
        <v>0.01</v>
      </c>
      <c r="G23" s="140"/>
      <c r="H23" s="59"/>
    </row>
    <row r="24" spans="1:12" x14ac:dyDescent="0.2">
      <c r="A24" s="59"/>
      <c r="D24" s="59"/>
      <c r="E24" s="139" t="s">
        <v>749</v>
      </c>
      <c r="F24" s="143">
        <v>7.4999999999999997E-2</v>
      </c>
      <c r="G24" s="142"/>
      <c r="H24" s="59"/>
    </row>
    <row r="25" spans="1:12" x14ac:dyDescent="0.2">
      <c r="A25" s="135"/>
      <c r="D25" s="59"/>
      <c r="E25" s="139" t="s">
        <v>747</v>
      </c>
      <c r="F25" s="143">
        <v>1.4999999999999999E-2</v>
      </c>
      <c r="G25" s="141"/>
      <c r="H25" s="59"/>
    </row>
    <row r="26" spans="1:12" x14ac:dyDescent="0.2">
      <c r="A26" s="135"/>
      <c r="D26" s="59"/>
      <c r="E26" s="139" t="s">
        <v>753</v>
      </c>
      <c r="F26" s="140">
        <f>SUM(F23:F25)</f>
        <v>9.9999999999999992E-2</v>
      </c>
      <c r="G26" s="141"/>
      <c r="H26" s="59"/>
      <c r="I26" s="59"/>
    </row>
    <row r="27" spans="1:12" x14ac:dyDescent="0.2">
      <c r="A27" s="135"/>
      <c r="F27" s="59"/>
      <c r="H27" s="59"/>
    </row>
    <row r="28" spans="1:12" x14ac:dyDescent="0.2">
      <c r="A28" s="135"/>
    </row>
    <row r="29" spans="1:12" x14ac:dyDescent="0.2">
      <c r="A29" s="59"/>
    </row>
    <row r="30" spans="1:12" x14ac:dyDescent="0.2">
      <c r="A30" s="135"/>
    </row>
    <row r="31" spans="1:12" x14ac:dyDescent="0.2">
      <c r="A31" s="135"/>
    </row>
    <row r="32" spans="1:12" x14ac:dyDescent="0.2">
      <c r="A32" s="135"/>
    </row>
    <row r="33" spans="1:1" x14ac:dyDescent="0.2">
      <c r="A33" s="135"/>
    </row>
    <row r="34" spans="1:1" x14ac:dyDescent="0.2">
      <c r="A34" s="135"/>
    </row>
    <row r="35" spans="1:1" x14ac:dyDescent="0.2">
      <c r="A35" s="135"/>
    </row>
    <row r="36" spans="1:1" x14ac:dyDescent="0.2">
      <c r="A36" s="135"/>
    </row>
  </sheetData>
  <mergeCells count="4">
    <mergeCell ref="A3:A4"/>
    <mergeCell ref="B3:N3"/>
    <mergeCell ref="A11:A12"/>
    <mergeCell ref="B11:N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364C-631B-F94D-9516-AB9249CFB733}">
  <dimension ref="A1:EY2151"/>
  <sheetViews>
    <sheetView topLeftCell="I205" zoomScale="89" workbookViewId="0">
      <selection activeCell="B173" sqref="B173"/>
    </sheetView>
  </sheetViews>
  <sheetFormatPr baseColWidth="10" defaultColWidth="11.5" defaultRowHeight="15" x14ac:dyDescent="0.2"/>
  <cols>
    <col min="1" max="1" width="17.83203125" customWidth="1"/>
    <col min="2" max="2" width="18.5" customWidth="1"/>
    <col min="3" max="3" width="33.5" customWidth="1"/>
    <col min="4" max="4" width="16.1640625" style="90" customWidth="1"/>
    <col min="5" max="5" width="16.33203125" customWidth="1"/>
    <col min="6" max="9" width="15.1640625" bestFit="1" customWidth="1"/>
    <col min="10" max="12" width="14.1640625" bestFit="1" customWidth="1"/>
    <col min="13" max="13" width="17.33203125" style="14" hidden="1" customWidth="1"/>
    <col min="14" max="18" width="15.1640625" hidden="1" customWidth="1"/>
    <col min="19" max="19" width="14.1640625" hidden="1" customWidth="1"/>
    <col min="20" max="20" width="15.1640625" hidden="1" customWidth="1"/>
    <col min="21" max="21" width="14.1640625" hidden="1" customWidth="1"/>
    <col min="22" max="22" width="15" style="90" bestFit="1" customWidth="1"/>
    <col min="23" max="23" width="12.6640625" bestFit="1" customWidth="1"/>
    <col min="24" max="30" width="11.6640625" bestFit="1" customWidth="1"/>
    <col min="31" max="31" width="16" style="90" bestFit="1" customWidth="1"/>
    <col min="32" max="34" width="9.6640625" bestFit="1" customWidth="1"/>
    <col min="35" max="35" width="10.6640625" bestFit="1" customWidth="1"/>
    <col min="36" max="37" width="9.6640625" bestFit="1" customWidth="1"/>
    <col min="38" max="38" width="10" bestFit="1" customWidth="1"/>
    <col min="39" max="39" width="9.1640625" bestFit="1" customWidth="1"/>
    <col min="40" max="40" width="14.33203125" style="90" bestFit="1" customWidth="1"/>
    <col min="41" max="43" width="12.6640625" bestFit="1" customWidth="1"/>
    <col min="44" max="44" width="14.33203125" bestFit="1" customWidth="1"/>
    <col min="45" max="48" width="12.6640625" bestFit="1" customWidth="1"/>
  </cols>
  <sheetData>
    <row r="1" spans="1:155" s="76" customFormat="1" ht="45" x14ac:dyDescent="0.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25</v>
      </c>
      <c r="W1" s="77" t="s">
        <v>4</v>
      </c>
      <c r="X1" s="77" t="s">
        <v>5</v>
      </c>
      <c r="Y1" s="77" t="s">
        <v>6</v>
      </c>
      <c r="Z1" s="77" t="s">
        <v>7</v>
      </c>
      <c r="AA1" s="77" t="s">
        <v>8</v>
      </c>
      <c r="AB1" s="77" t="s">
        <v>9</v>
      </c>
      <c r="AC1" s="77" t="s">
        <v>10</v>
      </c>
      <c r="AD1" s="77" t="s">
        <v>11</v>
      </c>
      <c r="AE1" s="77" t="s">
        <v>26</v>
      </c>
      <c r="AF1" s="77" t="s">
        <v>4</v>
      </c>
      <c r="AG1" s="77" t="s">
        <v>5</v>
      </c>
      <c r="AH1" s="77" t="s">
        <v>6</v>
      </c>
      <c r="AI1" s="77" t="s">
        <v>7</v>
      </c>
      <c r="AJ1" s="77" t="s">
        <v>8</v>
      </c>
      <c r="AK1" s="77" t="s">
        <v>9</v>
      </c>
      <c r="AL1" s="77" t="s">
        <v>10</v>
      </c>
      <c r="AM1" s="77" t="s">
        <v>11</v>
      </c>
      <c r="AN1" s="77" t="s">
        <v>27</v>
      </c>
      <c r="AO1" s="77" t="s">
        <v>4</v>
      </c>
      <c r="AP1" s="77" t="s">
        <v>5</v>
      </c>
      <c r="AQ1" s="77" t="s">
        <v>6</v>
      </c>
      <c r="AR1" s="77" t="s">
        <v>7</v>
      </c>
      <c r="AS1" s="77" t="s">
        <v>8</v>
      </c>
      <c r="AT1" s="77" t="s">
        <v>9</v>
      </c>
      <c r="AU1" s="77" t="s">
        <v>10</v>
      </c>
      <c r="AV1" s="77" t="s">
        <v>11</v>
      </c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5"/>
    </row>
    <row r="2" spans="1:155" s="85" customFormat="1" x14ac:dyDescent="0.2">
      <c r="A2" s="82" t="s">
        <v>28</v>
      </c>
      <c r="B2" s="83" t="s">
        <v>345</v>
      </c>
      <c r="C2" s="83" t="s">
        <v>346</v>
      </c>
      <c r="D2" s="94">
        <v>9340075.7200000007</v>
      </c>
      <c r="E2" s="95">
        <v>1609133.27</v>
      </c>
      <c r="F2" s="95">
        <v>1185759.08</v>
      </c>
      <c r="G2" s="95">
        <v>1365333.78</v>
      </c>
      <c r="H2" s="95">
        <v>1060285.73</v>
      </c>
      <c r="I2" s="95">
        <v>1272156.8799999999</v>
      </c>
      <c r="J2" s="95">
        <v>1522694.07</v>
      </c>
      <c r="K2" s="95">
        <v>1450063</v>
      </c>
      <c r="L2" s="96">
        <v>-125350.09</v>
      </c>
      <c r="M2" s="78">
        <v>10834487.83</v>
      </c>
      <c r="N2" s="84">
        <v>1866594.59</v>
      </c>
      <c r="O2" s="84">
        <v>1375480.54</v>
      </c>
      <c r="P2" s="84">
        <v>1583787.18</v>
      </c>
      <c r="Q2" s="84">
        <v>1229931.44</v>
      </c>
      <c r="R2" s="84">
        <v>1475701.98</v>
      </c>
      <c r="S2" s="84">
        <v>1766325.12</v>
      </c>
      <c r="T2" s="84">
        <v>1682073.08</v>
      </c>
      <c r="U2" s="84">
        <v>-145406.1</v>
      </c>
      <c r="V2" s="86">
        <v>75619</v>
      </c>
      <c r="W2" s="79">
        <v>10795</v>
      </c>
      <c r="X2" s="79">
        <v>10506</v>
      </c>
      <c r="Y2" s="79">
        <v>11011</v>
      </c>
      <c r="Z2" s="79">
        <v>9062</v>
      </c>
      <c r="AA2" s="79">
        <v>11167</v>
      </c>
      <c r="AB2" s="79">
        <v>13280</v>
      </c>
      <c r="AC2" s="79">
        <v>11369</v>
      </c>
      <c r="AD2" s="79">
        <v>-1571</v>
      </c>
      <c r="AE2" s="91">
        <v>123.51493301947923</v>
      </c>
      <c r="AF2" s="84">
        <v>149.06283186660491</v>
      </c>
      <c r="AG2" s="84">
        <v>112.86494193794022</v>
      </c>
      <c r="AH2" s="84">
        <v>123.99725547180093</v>
      </c>
      <c r="AI2" s="84">
        <v>117.00350143456191</v>
      </c>
      <c r="AJ2" s="84">
        <v>113.92109608668397</v>
      </c>
      <c r="AK2" s="84">
        <v>114.66069804216868</v>
      </c>
      <c r="AL2" s="84">
        <v>127.54534259829362</v>
      </c>
      <c r="AM2" s="84">
        <v>79.790000000000006</v>
      </c>
      <c r="AN2" s="86">
        <v>796841</v>
      </c>
      <c r="AO2" s="79">
        <v>59549</v>
      </c>
      <c r="AP2" s="79">
        <v>81360</v>
      </c>
      <c r="AQ2" s="79">
        <v>185384</v>
      </c>
      <c r="AR2" s="79">
        <v>62932</v>
      </c>
      <c r="AS2" s="79">
        <v>89472</v>
      </c>
      <c r="AT2" s="79">
        <v>145368</v>
      </c>
      <c r="AU2" s="79">
        <v>172776</v>
      </c>
      <c r="AV2" s="80"/>
    </row>
    <row r="3" spans="1:155" s="85" customFormat="1" x14ac:dyDescent="0.2">
      <c r="A3" s="82" t="s">
        <v>38</v>
      </c>
      <c r="B3" s="83" t="s">
        <v>391</v>
      </c>
      <c r="C3" s="83" t="s">
        <v>392</v>
      </c>
      <c r="D3" s="94">
        <v>4979606.28</v>
      </c>
      <c r="E3" s="96">
        <v>582577.66</v>
      </c>
      <c r="F3" s="96">
        <v>904022.52</v>
      </c>
      <c r="G3" s="96">
        <v>1275687</v>
      </c>
      <c r="H3" s="96">
        <v>1022849</v>
      </c>
      <c r="I3" s="96">
        <v>1392158.21</v>
      </c>
      <c r="J3" s="96">
        <v>178046.23</v>
      </c>
      <c r="K3" s="96">
        <v>-375734.34</v>
      </c>
      <c r="L3" s="96"/>
      <c r="M3" s="78">
        <v>5776343.29</v>
      </c>
      <c r="N3" s="84">
        <v>675790.09</v>
      </c>
      <c r="O3" s="84">
        <v>1048666.1200000001</v>
      </c>
      <c r="P3" s="84">
        <v>1479796.92</v>
      </c>
      <c r="Q3" s="84">
        <v>1186504.8400000001</v>
      </c>
      <c r="R3" s="84">
        <v>1614903.53</v>
      </c>
      <c r="S3" s="84">
        <v>206533.62</v>
      </c>
      <c r="T3" s="84">
        <v>-435851.83</v>
      </c>
      <c r="U3" s="80"/>
      <c r="V3" s="86">
        <v>23439</v>
      </c>
      <c r="W3" s="79">
        <v>2530</v>
      </c>
      <c r="X3" s="79">
        <v>5960</v>
      </c>
      <c r="Y3" s="79">
        <v>5646</v>
      </c>
      <c r="Z3" s="79">
        <v>4248</v>
      </c>
      <c r="AA3" s="79">
        <v>5939</v>
      </c>
      <c r="AB3" s="79">
        <v>634</v>
      </c>
      <c r="AC3" s="79">
        <v>-1518</v>
      </c>
      <c r="AD3" s="80"/>
      <c r="AE3" s="91">
        <v>212.44960450531167</v>
      </c>
      <c r="AF3" s="84">
        <v>230.26784980237153</v>
      </c>
      <c r="AG3" s="84">
        <v>151.68163087248323</v>
      </c>
      <c r="AH3" s="84">
        <v>225.94527098831031</v>
      </c>
      <c r="AI3" s="84">
        <v>240.78366290018832</v>
      </c>
      <c r="AJ3" s="84">
        <v>234.40953190772856</v>
      </c>
      <c r="AK3" s="84">
        <v>280.83001577287064</v>
      </c>
      <c r="AL3" s="84">
        <v>247.51932806324112</v>
      </c>
      <c r="AM3" s="80"/>
      <c r="AN3" s="88"/>
      <c r="AO3" s="80"/>
      <c r="AP3" s="80"/>
      <c r="AQ3" s="80"/>
      <c r="AR3" s="80"/>
      <c r="AS3" s="80"/>
      <c r="AT3" s="80"/>
      <c r="AU3" s="80"/>
      <c r="AV3" s="80"/>
    </row>
    <row r="4" spans="1:155" s="85" customFormat="1" x14ac:dyDescent="0.2">
      <c r="A4" s="82" t="s">
        <v>38</v>
      </c>
      <c r="B4" s="83" t="s">
        <v>631</v>
      </c>
      <c r="C4" s="83" t="s">
        <v>632</v>
      </c>
      <c r="D4" s="94">
        <v>4277379.54</v>
      </c>
      <c r="E4" s="96">
        <v>26916.99</v>
      </c>
      <c r="F4" s="96"/>
      <c r="G4" s="96"/>
      <c r="H4" s="96">
        <v>3033430.75</v>
      </c>
      <c r="I4" s="96">
        <v>3347904.3</v>
      </c>
      <c r="J4" s="96">
        <v>-2687081.27</v>
      </c>
      <c r="K4" s="96">
        <v>556208.77</v>
      </c>
      <c r="L4" s="96"/>
      <c r="M4" s="78">
        <v>4961760.2699999996</v>
      </c>
      <c r="N4" s="84">
        <v>31223.71</v>
      </c>
      <c r="O4" s="80"/>
      <c r="P4" s="80"/>
      <c r="Q4" s="84">
        <v>3518779.67</v>
      </c>
      <c r="R4" s="84">
        <v>3883568.99</v>
      </c>
      <c r="S4" s="84">
        <v>-3117014.27</v>
      </c>
      <c r="T4" s="84">
        <v>645202.17000000004</v>
      </c>
      <c r="U4" s="80"/>
      <c r="V4" s="86">
        <v>35000</v>
      </c>
      <c r="W4" s="80"/>
      <c r="X4" s="80"/>
      <c r="Y4" s="80"/>
      <c r="Z4" s="80"/>
      <c r="AA4" s="79">
        <v>35000</v>
      </c>
      <c r="AB4" s="80"/>
      <c r="AC4" s="80"/>
      <c r="AD4" s="80"/>
      <c r="AE4" s="91">
        <v>122.21084399999999</v>
      </c>
      <c r="AF4" s="81" t="s">
        <v>33</v>
      </c>
      <c r="AG4" s="80"/>
      <c r="AH4" s="80"/>
      <c r="AI4" s="81" t="s">
        <v>33</v>
      </c>
      <c r="AJ4" s="84">
        <v>95.654408571428576</v>
      </c>
      <c r="AK4" s="81" t="s">
        <v>33</v>
      </c>
      <c r="AL4" s="81" t="s">
        <v>33</v>
      </c>
      <c r="AM4" s="80"/>
      <c r="AN4" s="86">
        <v>577094</v>
      </c>
      <c r="AO4" s="79">
        <v>12368</v>
      </c>
      <c r="AP4" s="80"/>
      <c r="AQ4" s="80"/>
      <c r="AR4" s="79">
        <v>1334398</v>
      </c>
      <c r="AS4" s="79">
        <v>118464</v>
      </c>
      <c r="AT4" s="79">
        <v>-1149086</v>
      </c>
      <c r="AU4" s="79">
        <v>260950</v>
      </c>
      <c r="AV4" s="80"/>
    </row>
    <row r="5" spans="1:155" s="85" customFormat="1" x14ac:dyDescent="0.2">
      <c r="A5" s="82" t="s">
        <v>38</v>
      </c>
      <c r="B5" s="83" t="s">
        <v>433</v>
      </c>
      <c r="C5" s="83" t="s">
        <v>434</v>
      </c>
      <c r="D5" s="94">
        <v>4170549.62</v>
      </c>
      <c r="E5" s="96">
        <v>957639.94</v>
      </c>
      <c r="F5" s="96">
        <v>851890.12</v>
      </c>
      <c r="G5" s="96">
        <v>982757.81</v>
      </c>
      <c r="H5" s="96">
        <v>46894.23</v>
      </c>
      <c r="I5" s="96"/>
      <c r="J5" s="96">
        <v>-34694.94</v>
      </c>
      <c r="K5" s="96">
        <v>913136.32</v>
      </c>
      <c r="L5" s="96">
        <v>452926.14</v>
      </c>
      <c r="M5" s="78">
        <v>4837837.63</v>
      </c>
      <c r="N5" s="84">
        <v>1110862.33</v>
      </c>
      <c r="O5" s="84">
        <v>988192.54</v>
      </c>
      <c r="P5" s="84">
        <v>1139999.08</v>
      </c>
      <c r="Q5" s="84">
        <v>54397.3</v>
      </c>
      <c r="R5" s="80"/>
      <c r="S5" s="84">
        <v>-40246.120000000003</v>
      </c>
      <c r="T5" s="84">
        <v>1059238.1599999999</v>
      </c>
      <c r="U5" s="84">
        <v>525394.34</v>
      </c>
      <c r="V5" s="86">
        <v>3254</v>
      </c>
      <c r="W5" s="79">
        <v>541</v>
      </c>
      <c r="X5" s="79">
        <v>424</v>
      </c>
      <c r="Y5" s="79">
        <v>388</v>
      </c>
      <c r="Z5" s="79">
        <v>65</v>
      </c>
      <c r="AA5" s="80"/>
      <c r="AB5" s="79">
        <v>351</v>
      </c>
      <c r="AC5" s="79">
        <v>1199</v>
      </c>
      <c r="AD5" s="79">
        <v>286</v>
      </c>
      <c r="AE5" s="91">
        <v>1281.668598647818</v>
      </c>
      <c r="AF5" s="84">
        <v>1770.1292791127541</v>
      </c>
      <c r="AG5" s="84">
        <v>2009.1748113207548</v>
      </c>
      <c r="AH5" s="84">
        <v>2532.8809536082476</v>
      </c>
      <c r="AI5" s="84">
        <v>721.44969230769232</v>
      </c>
      <c r="AJ5" s="80"/>
      <c r="AK5" s="84">
        <v>-98.845982905982908</v>
      </c>
      <c r="AL5" s="84">
        <v>761.58158465387828</v>
      </c>
      <c r="AM5" s="84">
        <v>1583.6578321678321</v>
      </c>
      <c r="AN5" s="86">
        <v>33955</v>
      </c>
      <c r="AO5" s="79">
        <v>9630</v>
      </c>
      <c r="AP5" s="79">
        <v>5444</v>
      </c>
      <c r="AQ5" s="79">
        <v>5736</v>
      </c>
      <c r="AR5" s="79">
        <v>855</v>
      </c>
      <c r="AS5" s="80"/>
      <c r="AT5" s="79">
        <v>1606</v>
      </c>
      <c r="AU5" s="79">
        <v>9126</v>
      </c>
      <c r="AV5" s="79">
        <v>1558</v>
      </c>
    </row>
    <row r="6" spans="1:155" s="85" customFormat="1" x14ac:dyDescent="0.2">
      <c r="A6" s="82" t="s">
        <v>38</v>
      </c>
      <c r="B6" s="83" t="s">
        <v>703</v>
      </c>
      <c r="C6" s="83" t="s">
        <v>704</v>
      </c>
      <c r="D6" s="94">
        <v>3851248.03</v>
      </c>
      <c r="E6" s="96"/>
      <c r="F6" s="96">
        <v>9172.2900000000009</v>
      </c>
      <c r="G6" s="96"/>
      <c r="H6" s="96"/>
      <c r="I6" s="96"/>
      <c r="J6" s="96">
        <v>144262.71</v>
      </c>
      <c r="K6" s="96">
        <v>1999010.57</v>
      </c>
      <c r="L6" s="96">
        <v>1698802.46</v>
      </c>
      <c r="M6" s="78">
        <v>4467447.7</v>
      </c>
      <c r="N6" s="80"/>
      <c r="O6" s="84">
        <v>10639.85</v>
      </c>
      <c r="P6" s="80"/>
      <c r="Q6" s="80"/>
      <c r="R6" s="80"/>
      <c r="S6" s="84">
        <v>167344.74</v>
      </c>
      <c r="T6" s="84">
        <v>2318852.2599999998</v>
      </c>
      <c r="U6" s="84">
        <v>1970610.85</v>
      </c>
      <c r="V6" s="86">
        <v>36787</v>
      </c>
      <c r="W6" s="80"/>
      <c r="X6" s="79">
        <v>50</v>
      </c>
      <c r="Y6" s="80"/>
      <c r="Z6" s="80"/>
      <c r="AA6" s="80"/>
      <c r="AB6" s="79">
        <v>1420</v>
      </c>
      <c r="AC6" s="79">
        <v>19198</v>
      </c>
      <c r="AD6" s="79">
        <v>16119</v>
      </c>
      <c r="AE6" s="91">
        <v>104.69046211977057</v>
      </c>
      <c r="AF6" s="80"/>
      <c r="AG6" s="84">
        <v>183.44579999999999</v>
      </c>
      <c r="AH6" s="80"/>
      <c r="AI6" s="80"/>
      <c r="AJ6" s="80"/>
      <c r="AK6" s="84">
        <v>101.59345774647888</v>
      </c>
      <c r="AL6" s="84">
        <v>104.12598031044901</v>
      </c>
      <c r="AM6" s="84">
        <v>105.39130591227745</v>
      </c>
      <c r="AN6" s="86">
        <v>397768</v>
      </c>
      <c r="AO6" s="80"/>
      <c r="AP6" s="79">
        <v>4</v>
      </c>
      <c r="AQ6" s="80"/>
      <c r="AR6" s="80"/>
      <c r="AS6" s="80"/>
      <c r="AT6" s="79">
        <v>11158</v>
      </c>
      <c r="AU6" s="79">
        <v>215874</v>
      </c>
      <c r="AV6" s="79">
        <v>170732</v>
      </c>
    </row>
    <row r="7" spans="1:155" s="85" customFormat="1" x14ac:dyDescent="0.2">
      <c r="A7" s="82" t="s">
        <v>38</v>
      </c>
      <c r="B7" s="83" t="s">
        <v>527</v>
      </c>
      <c r="C7" s="83" t="s">
        <v>528</v>
      </c>
      <c r="D7" s="94">
        <v>2823366.24</v>
      </c>
      <c r="E7" s="96">
        <v>534686.47</v>
      </c>
      <c r="F7" s="96">
        <v>754796.38</v>
      </c>
      <c r="G7" s="96">
        <v>72850.899999999994</v>
      </c>
      <c r="H7" s="96">
        <v>372456.45</v>
      </c>
      <c r="I7" s="96">
        <v>280140.13</v>
      </c>
      <c r="J7" s="96">
        <v>410815.55</v>
      </c>
      <c r="K7" s="96">
        <v>397620.36</v>
      </c>
      <c r="L7" s="96"/>
      <c r="M7" s="78">
        <v>3275104.86</v>
      </c>
      <c r="N7" s="84">
        <v>620236.31000000006</v>
      </c>
      <c r="O7" s="84">
        <v>875563.81</v>
      </c>
      <c r="P7" s="84">
        <v>84507.05</v>
      </c>
      <c r="Q7" s="84">
        <v>432049.48</v>
      </c>
      <c r="R7" s="84">
        <v>324962.55</v>
      </c>
      <c r="S7" s="84">
        <v>476546.04</v>
      </c>
      <c r="T7" s="84">
        <v>461239.62</v>
      </c>
      <c r="U7" s="80"/>
      <c r="V7" s="86">
        <v>12581</v>
      </c>
      <c r="W7" s="79">
        <v>2091</v>
      </c>
      <c r="X7" s="79">
        <v>2446</v>
      </c>
      <c r="Y7" s="79">
        <v>296</v>
      </c>
      <c r="Z7" s="79">
        <v>1728</v>
      </c>
      <c r="AA7" s="79">
        <v>1502</v>
      </c>
      <c r="AB7" s="79">
        <v>2296</v>
      </c>
      <c r="AC7" s="79">
        <v>2222</v>
      </c>
      <c r="AD7" s="80"/>
      <c r="AE7" s="91">
        <v>224.41508942055481</v>
      </c>
      <c r="AF7" s="84">
        <v>255.70849832615974</v>
      </c>
      <c r="AG7" s="84">
        <v>308.58396565821749</v>
      </c>
      <c r="AH7" s="84">
        <v>246.11790540540542</v>
      </c>
      <c r="AI7" s="84">
        <v>215.54192708333332</v>
      </c>
      <c r="AJ7" s="84">
        <v>186.51140479360853</v>
      </c>
      <c r="AK7" s="84">
        <v>178.92663327526131</v>
      </c>
      <c r="AL7" s="84">
        <v>178.94705670567058</v>
      </c>
      <c r="AM7" s="80"/>
      <c r="AN7" s="86">
        <v>278774</v>
      </c>
      <c r="AO7" s="79">
        <v>46410</v>
      </c>
      <c r="AP7" s="79">
        <v>68154</v>
      </c>
      <c r="AQ7" s="79">
        <v>5270</v>
      </c>
      <c r="AR7" s="79">
        <v>46484</v>
      </c>
      <c r="AS7" s="79">
        <v>29854</v>
      </c>
      <c r="AT7" s="79">
        <v>41286</v>
      </c>
      <c r="AU7" s="79">
        <v>41316</v>
      </c>
      <c r="AV7" s="80"/>
    </row>
    <row r="8" spans="1:155" s="85" customFormat="1" x14ac:dyDescent="0.2">
      <c r="A8" s="82" t="s">
        <v>38</v>
      </c>
      <c r="B8" s="83" t="s">
        <v>615</v>
      </c>
      <c r="C8" s="83" t="s">
        <v>616</v>
      </c>
      <c r="D8" s="94">
        <v>2657897.92</v>
      </c>
      <c r="E8" s="96">
        <v>263555.61</v>
      </c>
      <c r="F8" s="96">
        <v>592284.54</v>
      </c>
      <c r="G8" s="96">
        <v>385113.42</v>
      </c>
      <c r="H8" s="96">
        <v>496858.05</v>
      </c>
      <c r="I8" s="96">
        <v>332272.95</v>
      </c>
      <c r="J8" s="96">
        <v>293675.06</v>
      </c>
      <c r="K8" s="96">
        <v>127316.93</v>
      </c>
      <c r="L8" s="96">
        <v>166821.35999999999</v>
      </c>
      <c r="M8" s="78">
        <v>3073691.02</v>
      </c>
      <c r="N8" s="84">
        <v>305609.68</v>
      </c>
      <c r="O8" s="84">
        <v>682074.57</v>
      </c>
      <c r="P8" s="84">
        <v>446731.56</v>
      </c>
      <c r="Q8" s="84">
        <v>573017.78</v>
      </c>
      <c r="R8" s="84">
        <v>385436.63</v>
      </c>
      <c r="S8" s="84">
        <v>339620.39</v>
      </c>
      <c r="T8" s="84">
        <v>147687.64000000001</v>
      </c>
      <c r="U8" s="84">
        <v>193512.77</v>
      </c>
      <c r="V8" s="86">
        <v>6712</v>
      </c>
      <c r="W8" s="79">
        <v>646</v>
      </c>
      <c r="X8" s="79">
        <v>1076</v>
      </c>
      <c r="Y8" s="79">
        <v>906</v>
      </c>
      <c r="Z8" s="79">
        <v>923</v>
      </c>
      <c r="AA8" s="79">
        <v>856</v>
      </c>
      <c r="AB8" s="79">
        <v>1089</v>
      </c>
      <c r="AC8" s="79">
        <v>655</v>
      </c>
      <c r="AD8" s="79">
        <v>561</v>
      </c>
      <c r="AE8" s="91">
        <v>395.99194278903457</v>
      </c>
      <c r="AF8" s="84">
        <v>407.98082043343652</v>
      </c>
      <c r="AG8" s="84">
        <v>550.45031598513015</v>
      </c>
      <c r="AH8" s="84">
        <v>425.07</v>
      </c>
      <c r="AI8" s="84">
        <v>538.30774647887324</v>
      </c>
      <c r="AJ8" s="84">
        <v>388.16933411214956</v>
      </c>
      <c r="AK8" s="84">
        <v>269.67406795224974</v>
      </c>
      <c r="AL8" s="84">
        <v>194.3769923664122</v>
      </c>
      <c r="AM8" s="84">
        <v>297.36427807486632</v>
      </c>
      <c r="AN8" s="86">
        <v>88764.2</v>
      </c>
      <c r="AO8" s="79">
        <v>6740</v>
      </c>
      <c r="AP8" s="79">
        <v>15658.2</v>
      </c>
      <c r="AQ8" s="79">
        <v>15836</v>
      </c>
      <c r="AR8" s="79">
        <v>16442</v>
      </c>
      <c r="AS8" s="79">
        <v>9226</v>
      </c>
      <c r="AT8" s="79">
        <v>13658</v>
      </c>
      <c r="AU8" s="79">
        <v>4342</v>
      </c>
      <c r="AV8" s="79">
        <v>6862</v>
      </c>
    </row>
    <row r="9" spans="1:155" s="85" customFormat="1" x14ac:dyDescent="0.2">
      <c r="A9" s="82" t="s">
        <v>38</v>
      </c>
      <c r="B9" s="83" t="s">
        <v>603</v>
      </c>
      <c r="C9" s="83" t="s">
        <v>604</v>
      </c>
      <c r="D9" s="94">
        <v>2232872.73</v>
      </c>
      <c r="E9" s="96">
        <v>306576.34999999998</v>
      </c>
      <c r="F9" s="96">
        <v>368990.66</v>
      </c>
      <c r="G9" s="96">
        <v>276356.18</v>
      </c>
      <c r="H9" s="96">
        <v>304124.51</v>
      </c>
      <c r="I9" s="96">
        <v>362680.65</v>
      </c>
      <c r="J9" s="96">
        <v>273189.39</v>
      </c>
      <c r="K9" s="96">
        <v>340954.99</v>
      </c>
      <c r="L9" s="96"/>
      <c r="M9" s="78">
        <v>2589914.5499999998</v>
      </c>
      <c r="N9" s="84">
        <v>355628.56</v>
      </c>
      <c r="O9" s="84">
        <v>428029.17</v>
      </c>
      <c r="P9" s="84">
        <v>320573.17</v>
      </c>
      <c r="Q9" s="84">
        <v>352784.44</v>
      </c>
      <c r="R9" s="84">
        <v>420709.55</v>
      </c>
      <c r="S9" s="84">
        <v>316899.7</v>
      </c>
      <c r="T9" s="84">
        <v>395289.96</v>
      </c>
      <c r="U9" s="80"/>
      <c r="V9" s="86">
        <v>2474</v>
      </c>
      <c r="W9" s="79">
        <v>336</v>
      </c>
      <c r="X9" s="79">
        <v>396</v>
      </c>
      <c r="Y9" s="79">
        <v>348</v>
      </c>
      <c r="Z9" s="79">
        <v>340</v>
      </c>
      <c r="AA9" s="79">
        <v>382</v>
      </c>
      <c r="AB9" s="79">
        <v>316</v>
      </c>
      <c r="AC9" s="79">
        <v>356</v>
      </c>
      <c r="AD9" s="80"/>
      <c r="AE9" s="91">
        <v>902.53546079223929</v>
      </c>
      <c r="AF9" s="84">
        <v>912.4296130952381</v>
      </c>
      <c r="AG9" s="84">
        <v>931.79459595959599</v>
      </c>
      <c r="AH9" s="84">
        <v>794.12695402298846</v>
      </c>
      <c r="AI9" s="84">
        <v>894.48385294117645</v>
      </c>
      <c r="AJ9" s="84">
        <v>949.42578534031418</v>
      </c>
      <c r="AK9" s="84">
        <v>864.52338607594936</v>
      </c>
      <c r="AL9" s="84">
        <v>957.7387359550562</v>
      </c>
      <c r="AM9" s="80"/>
      <c r="AN9" s="86">
        <v>21652</v>
      </c>
      <c r="AO9" s="79">
        <v>3142</v>
      </c>
      <c r="AP9" s="79">
        <v>3700</v>
      </c>
      <c r="AQ9" s="79">
        <v>3104</v>
      </c>
      <c r="AR9" s="79">
        <v>2668</v>
      </c>
      <c r="AS9" s="79">
        <v>3422</v>
      </c>
      <c r="AT9" s="79">
        <v>2242</v>
      </c>
      <c r="AU9" s="79">
        <v>3374</v>
      </c>
      <c r="AV9" s="80"/>
    </row>
    <row r="10" spans="1:155" s="85" customFormat="1" x14ac:dyDescent="0.2">
      <c r="A10" s="82" t="s">
        <v>28</v>
      </c>
      <c r="B10" s="83" t="s">
        <v>275</v>
      </c>
      <c r="C10" s="83" t="s">
        <v>276</v>
      </c>
      <c r="D10" s="94">
        <v>2144480.25</v>
      </c>
      <c r="E10" s="96">
        <v>496055.99</v>
      </c>
      <c r="F10" s="96">
        <v>284900.74</v>
      </c>
      <c r="G10" s="96">
        <v>233701.2</v>
      </c>
      <c r="H10" s="96">
        <v>259376.18</v>
      </c>
      <c r="I10" s="96">
        <v>309481.5</v>
      </c>
      <c r="J10" s="96">
        <v>274240.8</v>
      </c>
      <c r="K10" s="96">
        <v>286723.84000000003</v>
      </c>
      <c r="L10" s="96"/>
      <c r="M10" s="78">
        <v>2487597.09</v>
      </c>
      <c r="N10" s="84">
        <v>575424.94999999995</v>
      </c>
      <c r="O10" s="84">
        <v>330484.84999999998</v>
      </c>
      <c r="P10" s="84">
        <v>271093.39</v>
      </c>
      <c r="Q10" s="84">
        <v>300876.37</v>
      </c>
      <c r="R10" s="84">
        <v>358998.54</v>
      </c>
      <c r="S10" s="84">
        <v>318119.33</v>
      </c>
      <c r="T10" s="84">
        <v>332599.65999999997</v>
      </c>
      <c r="U10" s="80"/>
      <c r="V10" s="86">
        <v>12506</v>
      </c>
      <c r="W10" s="79">
        <v>2905</v>
      </c>
      <c r="X10" s="79">
        <v>1635</v>
      </c>
      <c r="Y10" s="79">
        <v>1503</v>
      </c>
      <c r="Z10" s="79">
        <v>1600</v>
      </c>
      <c r="AA10" s="79">
        <v>1688</v>
      </c>
      <c r="AB10" s="79">
        <v>1588</v>
      </c>
      <c r="AC10" s="79">
        <v>1587</v>
      </c>
      <c r="AD10" s="80"/>
      <c r="AE10" s="91">
        <v>171.47611146649609</v>
      </c>
      <c r="AF10" s="84">
        <v>170.7593769363167</v>
      </c>
      <c r="AG10" s="84">
        <v>174.25121712538225</v>
      </c>
      <c r="AH10" s="84">
        <v>155.48982035928145</v>
      </c>
      <c r="AI10" s="84">
        <v>162.11011250000001</v>
      </c>
      <c r="AJ10" s="84">
        <v>183.34212085308056</v>
      </c>
      <c r="AK10" s="84">
        <v>172.69571788413097</v>
      </c>
      <c r="AL10" s="84">
        <v>180.67034656584752</v>
      </c>
      <c r="AM10" s="80"/>
      <c r="AN10" s="86">
        <v>12842</v>
      </c>
      <c r="AO10" s="79">
        <v>3186</v>
      </c>
      <c r="AP10" s="79">
        <v>1980</v>
      </c>
      <c r="AQ10" s="79">
        <v>648</v>
      </c>
      <c r="AR10" s="79">
        <v>1024</v>
      </c>
      <c r="AS10" s="79">
        <v>2500</v>
      </c>
      <c r="AT10" s="79">
        <v>1724</v>
      </c>
      <c r="AU10" s="79">
        <v>1780</v>
      </c>
      <c r="AV10" s="80"/>
    </row>
    <row r="11" spans="1:155" s="85" customFormat="1" x14ac:dyDescent="0.2">
      <c r="A11" s="82" t="s">
        <v>38</v>
      </c>
      <c r="B11" s="83" t="s">
        <v>567</v>
      </c>
      <c r="C11" s="83" t="s">
        <v>568</v>
      </c>
      <c r="D11" s="94">
        <v>1340370.68</v>
      </c>
      <c r="E11" s="96"/>
      <c r="F11" s="96"/>
      <c r="G11" s="96"/>
      <c r="H11" s="96">
        <v>186194.58</v>
      </c>
      <c r="I11" s="96">
        <v>2071.96</v>
      </c>
      <c r="J11" s="96">
        <v>430821</v>
      </c>
      <c r="K11" s="96">
        <v>328043.62</v>
      </c>
      <c r="L11" s="96">
        <v>393239.52</v>
      </c>
      <c r="M11" s="78">
        <v>1554829.99</v>
      </c>
      <c r="N11" s="80"/>
      <c r="O11" s="80"/>
      <c r="P11" s="80"/>
      <c r="Q11" s="84">
        <v>215985.71</v>
      </c>
      <c r="R11" s="84">
        <v>2403.4699999999998</v>
      </c>
      <c r="S11" s="84">
        <v>499752.36</v>
      </c>
      <c r="T11" s="84">
        <v>380530.6</v>
      </c>
      <c r="U11" s="84">
        <v>456157.85</v>
      </c>
      <c r="V11" s="86">
        <v>14409</v>
      </c>
      <c r="W11" s="80"/>
      <c r="X11" s="80"/>
      <c r="Y11" s="80"/>
      <c r="Z11" s="79">
        <v>1670</v>
      </c>
      <c r="AA11" s="79">
        <v>13</v>
      </c>
      <c r="AB11" s="79">
        <v>4525</v>
      </c>
      <c r="AC11" s="79">
        <v>3669</v>
      </c>
      <c r="AD11" s="79">
        <v>4532</v>
      </c>
      <c r="AE11" s="91">
        <v>93.02315774862933</v>
      </c>
      <c r="AF11" s="80"/>
      <c r="AG11" s="80"/>
      <c r="AH11" s="80"/>
      <c r="AI11" s="84">
        <v>111.49376047904192</v>
      </c>
      <c r="AJ11" s="84">
        <v>159.38153846153847</v>
      </c>
      <c r="AK11" s="84">
        <v>95.209060773480658</v>
      </c>
      <c r="AL11" s="84">
        <v>89.409544835104924</v>
      </c>
      <c r="AM11" s="84">
        <v>86.769532215357458</v>
      </c>
      <c r="AN11" s="86">
        <v>317376</v>
      </c>
      <c r="AO11" s="80"/>
      <c r="AP11" s="80"/>
      <c r="AQ11" s="80"/>
      <c r="AR11" s="79">
        <v>38880</v>
      </c>
      <c r="AS11" s="79">
        <v>130</v>
      </c>
      <c r="AT11" s="79">
        <v>99640</v>
      </c>
      <c r="AU11" s="79">
        <v>87560</v>
      </c>
      <c r="AV11" s="79">
        <v>91166</v>
      </c>
    </row>
    <row r="12" spans="1:155" s="85" customFormat="1" x14ac:dyDescent="0.2">
      <c r="A12" s="82" t="s">
        <v>38</v>
      </c>
      <c r="B12" s="83" t="s">
        <v>397</v>
      </c>
      <c r="C12" s="83" t="s">
        <v>398</v>
      </c>
      <c r="D12" s="94">
        <v>1001611.13</v>
      </c>
      <c r="E12" s="96"/>
      <c r="F12" s="96"/>
      <c r="G12" s="96"/>
      <c r="H12" s="96"/>
      <c r="I12" s="96"/>
      <c r="J12" s="96">
        <v>313290.84000000003</v>
      </c>
      <c r="K12" s="96">
        <v>688320.29</v>
      </c>
      <c r="L12" s="96"/>
      <c r="M12" s="78">
        <v>1161868.9099999999</v>
      </c>
      <c r="N12" s="80"/>
      <c r="O12" s="80"/>
      <c r="P12" s="80"/>
      <c r="Q12" s="80"/>
      <c r="R12" s="80"/>
      <c r="S12" s="84">
        <v>363417.38</v>
      </c>
      <c r="T12" s="84">
        <v>798451.53</v>
      </c>
      <c r="U12" s="80"/>
      <c r="V12" s="86">
        <v>9562</v>
      </c>
      <c r="W12" s="80"/>
      <c r="X12" s="80"/>
      <c r="Y12" s="80"/>
      <c r="Z12" s="80"/>
      <c r="AA12" s="80"/>
      <c r="AB12" s="79">
        <v>2972</v>
      </c>
      <c r="AC12" s="79">
        <v>6590</v>
      </c>
      <c r="AD12" s="80"/>
      <c r="AE12" s="91">
        <v>104.74912466011295</v>
      </c>
      <c r="AF12" s="80"/>
      <c r="AG12" s="80"/>
      <c r="AH12" s="80"/>
      <c r="AI12" s="80"/>
      <c r="AJ12" s="80"/>
      <c r="AK12" s="84">
        <v>105.41414535666217</v>
      </c>
      <c r="AL12" s="84">
        <v>104.44920940819424</v>
      </c>
      <c r="AM12" s="80"/>
      <c r="AN12" s="88"/>
      <c r="AO12" s="80"/>
      <c r="AP12" s="80"/>
      <c r="AQ12" s="80"/>
      <c r="AR12" s="80"/>
      <c r="AS12" s="80"/>
      <c r="AT12" s="80"/>
      <c r="AU12" s="80"/>
      <c r="AV12" s="80"/>
    </row>
    <row r="13" spans="1:155" s="85" customFormat="1" x14ac:dyDescent="0.2">
      <c r="A13" s="82" t="s">
        <v>28</v>
      </c>
      <c r="B13" s="83" t="s">
        <v>259</v>
      </c>
      <c r="C13" s="83" t="s">
        <v>260</v>
      </c>
      <c r="D13" s="94">
        <v>965618.03</v>
      </c>
      <c r="E13" s="96">
        <v>227496.12</v>
      </c>
      <c r="F13" s="96">
        <v>148770.49</v>
      </c>
      <c r="G13" s="96">
        <v>123336.06</v>
      </c>
      <c r="H13" s="96">
        <v>125415.36</v>
      </c>
      <c r="I13" s="96">
        <v>111447.77</v>
      </c>
      <c r="J13" s="96">
        <v>93610.07</v>
      </c>
      <c r="K13" s="96">
        <v>135542.16</v>
      </c>
      <c r="L13" s="96"/>
      <c r="M13" s="78">
        <v>1120116.92</v>
      </c>
      <c r="N13" s="84">
        <v>263895.5</v>
      </c>
      <c r="O13" s="84">
        <v>172573.77</v>
      </c>
      <c r="P13" s="84">
        <v>143069.82999999999</v>
      </c>
      <c r="Q13" s="84">
        <v>145481.82</v>
      </c>
      <c r="R13" s="84">
        <v>129279.41</v>
      </c>
      <c r="S13" s="84">
        <v>108587.68</v>
      </c>
      <c r="T13" s="84">
        <v>157228.91</v>
      </c>
      <c r="U13" s="80"/>
      <c r="V13" s="86">
        <v>3031</v>
      </c>
      <c r="W13" s="79">
        <v>685</v>
      </c>
      <c r="X13" s="79">
        <v>470</v>
      </c>
      <c r="Y13" s="79">
        <v>386</v>
      </c>
      <c r="Z13" s="79">
        <v>400</v>
      </c>
      <c r="AA13" s="79">
        <v>359</v>
      </c>
      <c r="AB13" s="79">
        <v>322</v>
      </c>
      <c r="AC13" s="79">
        <v>409</v>
      </c>
      <c r="AD13" s="80"/>
      <c r="AE13" s="91">
        <v>318.5806763444408</v>
      </c>
      <c r="AF13" s="84">
        <v>332.11112408759124</v>
      </c>
      <c r="AG13" s="84">
        <v>316.5329574468085</v>
      </c>
      <c r="AH13" s="84">
        <v>319.52347150259067</v>
      </c>
      <c r="AI13" s="84">
        <v>313.53840000000002</v>
      </c>
      <c r="AJ13" s="84">
        <v>310.43947075208916</v>
      </c>
      <c r="AK13" s="84">
        <v>290.71450310559004</v>
      </c>
      <c r="AL13" s="84">
        <v>331.39892420537899</v>
      </c>
      <c r="AM13" s="80"/>
      <c r="AN13" s="86">
        <v>72726</v>
      </c>
      <c r="AO13" s="79">
        <v>17810</v>
      </c>
      <c r="AP13" s="79">
        <v>11078</v>
      </c>
      <c r="AQ13" s="79">
        <v>8834</v>
      </c>
      <c r="AR13" s="79">
        <v>9302</v>
      </c>
      <c r="AS13" s="79">
        <v>8916</v>
      </c>
      <c r="AT13" s="79">
        <v>6962</v>
      </c>
      <c r="AU13" s="79">
        <v>9824</v>
      </c>
      <c r="AV13" s="80"/>
    </row>
    <row r="14" spans="1:155" s="85" customFormat="1" x14ac:dyDescent="0.2">
      <c r="A14" s="82" t="s">
        <v>28</v>
      </c>
      <c r="B14" s="83" t="s">
        <v>327</v>
      </c>
      <c r="C14" s="83" t="s">
        <v>328</v>
      </c>
      <c r="D14" s="94">
        <v>840405.59</v>
      </c>
      <c r="E14" s="96">
        <v>147739.63</v>
      </c>
      <c r="F14" s="96">
        <v>58193.87</v>
      </c>
      <c r="G14" s="96">
        <v>141075.01999999999</v>
      </c>
      <c r="H14" s="96">
        <v>171816.27</v>
      </c>
      <c r="I14" s="96">
        <v>87938.99</v>
      </c>
      <c r="J14" s="96">
        <v>156198.21</v>
      </c>
      <c r="K14" s="96">
        <v>77443.600000000006</v>
      </c>
      <c r="L14" s="96"/>
      <c r="M14" s="78">
        <v>974870.48</v>
      </c>
      <c r="N14" s="84">
        <v>171377.98</v>
      </c>
      <c r="O14" s="84">
        <v>67504.89</v>
      </c>
      <c r="P14" s="84">
        <v>163647.01999999999</v>
      </c>
      <c r="Q14" s="84">
        <v>199306.87</v>
      </c>
      <c r="R14" s="84">
        <v>102009.23</v>
      </c>
      <c r="S14" s="84">
        <v>181189.92</v>
      </c>
      <c r="T14" s="84">
        <v>89834.57</v>
      </c>
      <c r="U14" s="80"/>
      <c r="V14" s="86">
        <v>236</v>
      </c>
      <c r="W14" s="79">
        <v>46</v>
      </c>
      <c r="X14" s="79">
        <v>18</v>
      </c>
      <c r="Y14" s="79">
        <v>35</v>
      </c>
      <c r="Z14" s="79">
        <v>47</v>
      </c>
      <c r="AA14" s="79">
        <v>27</v>
      </c>
      <c r="AB14" s="79">
        <v>43</v>
      </c>
      <c r="AC14" s="79">
        <v>20</v>
      </c>
      <c r="AD14" s="80"/>
      <c r="AE14" s="91">
        <v>3561.0406355932205</v>
      </c>
      <c r="AF14" s="84">
        <v>3211.7310869565217</v>
      </c>
      <c r="AG14" s="84">
        <v>3232.992777777778</v>
      </c>
      <c r="AH14" s="84">
        <v>4030.714857142857</v>
      </c>
      <c r="AI14" s="84">
        <v>3655.6653191489363</v>
      </c>
      <c r="AJ14" s="84">
        <v>3256.9996296296295</v>
      </c>
      <c r="AK14" s="84">
        <v>3632.5165116279068</v>
      </c>
      <c r="AL14" s="84">
        <v>3872.18</v>
      </c>
      <c r="AM14" s="80"/>
      <c r="AN14" s="86">
        <v>110</v>
      </c>
      <c r="AO14" s="79">
        <v>46</v>
      </c>
      <c r="AP14" s="79">
        <v>10</v>
      </c>
      <c r="AQ14" s="80"/>
      <c r="AR14" s="79">
        <v>24</v>
      </c>
      <c r="AS14" s="80"/>
      <c r="AT14" s="79">
        <v>20</v>
      </c>
      <c r="AU14" s="79">
        <v>10</v>
      </c>
      <c r="AV14" s="80"/>
    </row>
    <row r="15" spans="1:155" s="85" customFormat="1" x14ac:dyDescent="0.2">
      <c r="A15" s="82" t="s">
        <v>38</v>
      </c>
      <c r="B15" s="83" t="s">
        <v>543</v>
      </c>
      <c r="C15" s="83" t="s">
        <v>544</v>
      </c>
      <c r="D15" s="94">
        <v>664771.65</v>
      </c>
      <c r="E15" s="96">
        <v>85892.4</v>
      </c>
      <c r="F15" s="96">
        <v>82395.429999999993</v>
      </c>
      <c r="G15" s="96">
        <v>63800.38</v>
      </c>
      <c r="H15" s="96">
        <v>49644.01</v>
      </c>
      <c r="I15" s="96">
        <v>86277.48</v>
      </c>
      <c r="J15" s="96">
        <v>96923.01</v>
      </c>
      <c r="K15" s="96">
        <v>106535.74</v>
      </c>
      <c r="L15" s="96">
        <v>93303.2</v>
      </c>
      <c r="M15" s="78">
        <v>771135.1</v>
      </c>
      <c r="N15" s="84">
        <v>99635.18</v>
      </c>
      <c r="O15" s="84">
        <v>95578.69</v>
      </c>
      <c r="P15" s="84">
        <v>74008.44</v>
      </c>
      <c r="Q15" s="84">
        <v>57587.05</v>
      </c>
      <c r="R15" s="84">
        <v>100081.87</v>
      </c>
      <c r="S15" s="84">
        <v>112430.7</v>
      </c>
      <c r="T15" s="84">
        <v>123581.46</v>
      </c>
      <c r="U15" s="84">
        <v>108231.71</v>
      </c>
      <c r="V15" s="86">
        <v>1167</v>
      </c>
      <c r="W15" s="79">
        <v>137</v>
      </c>
      <c r="X15" s="79">
        <v>155</v>
      </c>
      <c r="Y15" s="79">
        <v>121</v>
      </c>
      <c r="Z15" s="79">
        <v>102</v>
      </c>
      <c r="AA15" s="79">
        <v>157</v>
      </c>
      <c r="AB15" s="79">
        <v>178</v>
      </c>
      <c r="AC15" s="79">
        <v>146</v>
      </c>
      <c r="AD15" s="79">
        <v>171</v>
      </c>
      <c r="AE15" s="91">
        <v>569.64151670951162</v>
      </c>
      <c r="AF15" s="84">
        <v>626.95182481751829</v>
      </c>
      <c r="AG15" s="84">
        <v>531.58341935483872</v>
      </c>
      <c r="AH15" s="84">
        <v>527.27586776859505</v>
      </c>
      <c r="AI15" s="84">
        <v>486.70598039215685</v>
      </c>
      <c r="AJ15" s="84">
        <v>549.53808917197455</v>
      </c>
      <c r="AK15" s="84">
        <v>544.51129213483148</v>
      </c>
      <c r="AL15" s="84">
        <v>729.69684931506845</v>
      </c>
      <c r="AM15" s="84">
        <v>545.6327485380117</v>
      </c>
      <c r="AN15" s="86">
        <v>17412</v>
      </c>
      <c r="AO15" s="79">
        <v>1818</v>
      </c>
      <c r="AP15" s="79">
        <v>2716</v>
      </c>
      <c r="AQ15" s="79">
        <v>1396</v>
      </c>
      <c r="AR15" s="79">
        <v>1340</v>
      </c>
      <c r="AS15" s="79">
        <v>2136</v>
      </c>
      <c r="AT15" s="79">
        <v>3278</v>
      </c>
      <c r="AU15" s="79">
        <v>2004</v>
      </c>
      <c r="AV15" s="79">
        <v>2724</v>
      </c>
    </row>
    <row r="16" spans="1:155" s="85" customFormat="1" x14ac:dyDescent="0.2">
      <c r="A16" s="82" t="s">
        <v>38</v>
      </c>
      <c r="B16" s="83" t="s">
        <v>525</v>
      </c>
      <c r="C16" s="83" t="s">
        <v>526</v>
      </c>
      <c r="D16" s="94">
        <v>581960.79</v>
      </c>
      <c r="E16" s="96">
        <v>26684.92</v>
      </c>
      <c r="F16" s="96">
        <v>17760.400000000001</v>
      </c>
      <c r="G16" s="96">
        <v>14311.76</v>
      </c>
      <c r="H16" s="96">
        <v>3511.7</v>
      </c>
      <c r="I16" s="96">
        <v>71131.5</v>
      </c>
      <c r="J16" s="96">
        <v>98968.17</v>
      </c>
      <c r="K16" s="96">
        <v>349592.34</v>
      </c>
      <c r="L16" s="96"/>
      <c r="M16" s="78">
        <v>675074.52</v>
      </c>
      <c r="N16" s="84">
        <v>30954.51</v>
      </c>
      <c r="O16" s="84">
        <v>20602.07</v>
      </c>
      <c r="P16" s="84">
        <v>16601.64</v>
      </c>
      <c r="Q16" s="84">
        <v>4073.57</v>
      </c>
      <c r="R16" s="84">
        <v>82512.539999999994</v>
      </c>
      <c r="S16" s="84">
        <v>114803.08</v>
      </c>
      <c r="T16" s="84">
        <v>405527.11</v>
      </c>
      <c r="U16" s="80"/>
      <c r="V16" s="86">
        <v>1388</v>
      </c>
      <c r="W16" s="79">
        <v>25</v>
      </c>
      <c r="X16" s="79">
        <v>17</v>
      </c>
      <c r="Y16" s="79">
        <v>15</v>
      </c>
      <c r="Z16" s="79">
        <v>4</v>
      </c>
      <c r="AA16" s="79">
        <v>26</v>
      </c>
      <c r="AB16" s="79">
        <v>17</v>
      </c>
      <c r="AC16" s="79">
        <v>1284</v>
      </c>
      <c r="AD16" s="80"/>
      <c r="AE16" s="91">
        <v>419.28010806916427</v>
      </c>
      <c r="AF16" s="84">
        <v>1067.3968</v>
      </c>
      <c r="AG16" s="84">
        <v>1044.7294117647059</v>
      </c>
      <c r="AH16" s="84">
        <v>954.11733333333336</v>
      </c>
      <c r="AI16" s="84">
        <v>877.92499999999995</v>
      </c>
      <c r="AJ16" s="84">
        <v>2735.8269230769229</v>
      </c>
      <c r="AK16" s="84">
        <v>5821.657058823529</v>
      </c>
      <c r="AL16" s="84">
        <v>272.26817757009348</v>
      </c>
      <c r="AM16" s="80"/>
      <c r="AN16" s="86">
        <v>33290.199999999997</v>
      </c>
      <c r="AO16" s="79">
        <v>2148</v>
      </c>
      <c r="AP16" s="79">
        <v>556</v>
      </c>
      <c r="AQ16" s="79">
        <v>590</v>
      </c>
      <c r="AR16" s="79">
        <v>396</v>
      </c>
      <c r="AS16" s="79">
        <v>1186</v>
      </c>
      <c r="AT16" s="79">
        <v>10718</v>
      </c>
      <c r="AU16" s="79">
        <v>17696.2</v>
      </c>
      <c r="AV16" s="80"/>
    </row>
    <row r="17" spans="1:48" s="85" customFormat="1" x14ac:dyDescent="0.2">
      <c r="A17" s="82" t="s">
        <v>38</v>
      </c>
      <c r="B17" s="83" t="s">
        <v>437</v>
      </c>
      <c r="C17" s="83" t="s">
        <v>438</v>
      </c>
      <c r="D17" s="94">
        <v>576895.02</v>
      </c>
      <c r="E17" s="96">
        <v>33875.53</v>
      </c>
      <c r="F17" s="96">
        <v>29243.74</v>
      </c>
      <c r="G17" s="96">
        <v>150639.99</v>
      </c>
      <c r="H17" s="96">
        <v>73445.37</v>
      </c>
      <c r="I17" s="96">
        <v>45458.12</v>
      </c>
      <c r="J17" s="96">
        <v>97467.41</v>
      </c>
      <c r="K17" s="96">
        <v>146764.85999999999</v>
      </c>
      <c r="L17" s="96"/>
      <c r="M17" s="78">
        <v>669198.23</v>
      </c>
      <c r="N17" s="84">
        <v>39295.61</v>
      </c>
      <c r="O17" s="84">
        <v>33922.74</v>
      </c>
      <c r="P17" s="84">
        <v>174742.39</v>
      </c>
      <c r="Q17" s="84">
        <v>85196.63</v>
      </c>
      <c r="R17" s="84">
        <v>52731.42</v>
      </c>
      <c r="S17" s="84">
        <v>113062.2</v>
      </c>
      <c r="T17" s="84">
        <v>170247.24</v>
      </c>
      <c r="U17" s="80"/>
      <c r="V17" s="86">
        <v>3913</v>
      </c>
      <c r="W17" s="79">
        <v>264</v>
      </c>
      <c r="X17" s="79">
        <v>204</v>
      </c>
      <c r="Y17" s="79">
        <v>983</v>
      </c>
      <c r="Z17" s="79">
        <v>505</v>
      </c>
      <c r="AA17" s="79">
        <v>303</v>
      </c>
      <c r="AB17" s="79">
        <v>658</v>
      </c>
      <c r="AC17" s="79">
        <v>996</v>
      </c>
      <c r="AD17" s="80"/>
      <c r="AE17" s="91">
        <v>147.43036544850497</v>
      </c>
      <c r="AF17" s="84">
        <v>128.31640151515151</v>
      </c>
      <c r="AG17" s="84">
        <v>143.35166666666666</v>
      </c>
      <c r="AH17" s="84">
        <v>153.24515768056969</v>
      </c>
      <c r="AI17" s="84">
        <v>145.43637623762376</v>
      </c>
      <c r="AJ17" s="84">
        <v>150.02679867986799</v>
      </c>
      <c r="AK17" s="84">
        <v>148.12676291793312</v>
      </c>
      <c r="AL17" s="84">
        <v>147.35427710843373</v>
      </c>
      <c r="AM17" s="80"/>
      <c r="AN17" s="86">
        <v>3908</v>
      </c>
      <c r="AO17" s="79">
        <v>792</v>
      </c>
      <c r="AP17" s="79">
        <v>172</v>
      </c>
      <c r="AQ17" s="79">
        <v>1182</v>
      </c>
      <c r="AR17" s="79">
        <v>236</v>
      </c>
      <c r="AS17" s="79">
        <v>230</v>
      </c>
      <c r="AT17" s="79">
        <v>506</v>
      </c>
      <c r="AU17" s="79">
        <v>790</v>
      </c>
      <c r="AV17" s="80"/>
    </row>
    <row r="18" spans="1:48" s="85" customFormat="1" x14ac:dyDescent="0.2">
      <c r="A18" s="82" t="s">
        <v>28</v>
      </c>
      <c r="B18" s="83" t="s">
        <v>193</v>
      </c>
      <c r="C18" s="83" t="s">
        <v>194</v>
      </c>
      <c r="D18" s="94">
        <v>504373.1</v>
      </c>
      <c r="E18" s="96">
        <v>52347.44</v>
      </c>
      <c r="F18" s="96">
        <v>67738.080000000002</v>
      </c>
      <c r="G18" s="96">
        <v>55041.79</v>
      </c>
      <c r="H18" s="96">
        <v>55136.91</v>
      </c>
      <c r="I18" s="96">
        <v>47453.09</v>
      </c>
      <c r="J18" s="96">
        <v>68667.38</v>
      </c>
      <c r="K18" s="96">
        <v>91169.09</v>
      </c>
      <c r="L18" s="96">
        <v>66819.320000000007</v>
      </c>
      <c r="M18" s="78">
        <v>585072.78</v>
      </c>
      <c r="N18" s="84">
        <v>60723.03</v>
      </c>
      <c r="O18" s="84">
        <v>78576.17</v>
      </c>
      <c r="P18" s="84">
        <v>63848.480000000003</v>
      </c>
      <c r="Q18" s="84">
        <v>63958.81</v>
      </c>
      <c r="R18" s="84">
        <v>55045.58</v>
      </c>
      <c r="S18" s="84">
        <v>79654.16</v>
      </c>
      <c r="T18" s="84">
        <v>105756.14</v>
      </c>
      <c r="U18" s="84">
        <v>77510.41</v>
      </c>
      <c r="V18" s="86">
        <v>1332</v>
      </c>
      <c r="W18" s="79">
        <v>161</v>
      </c>
      <c r="X18" s="79">
        <v>171</v>
      </c>
      <c r="Y18" s="79">
        <v>130</v>
      </c>
      <c r="Z18" s="79">
        <v>151</v>
      </c>
      <c r="AA18" s="79">
        <v>141</v>
      </c>
      <c r="AB18" s="79">
        <v>178</v>
      </c>
      <c r="AC18" s="79">
        <v>216</v>
      </c>
      <c r="AD18" s="79">
        <v>184</v>
      </c>
      <c r="AE18" s="91">
        <v>378.65848348348351</v>
      </c>
      <c r="AF18" s="84">
        <v>325.13937888198757</v>
      </c>
      <c r="AG18" s="84">
        <v>396.12912280701755</v>
      </c>
      <c r="AH18" s="84">
        <v>423.3983846153846</v>
      </c>
      <c r="AI18" s="84">
        <v>365.14509933774832</v>
      </c>
      <c r="AJ18" s="84">
        <v>336.54673758865249</v>
      </c>
      <c r="AK18" s="84">
        <v>385.77179775280899</v>
      </c>
      <c r="AL18" s="84">
        <v>422.07912037037039</v>
      </c>
      <c r="AM18" s="84">
        <v>363.14847826086958</v>
      </c>
      <c r="AN18" s="86">
        <v>9266</v>
      </c>
      <c r="AO18" s="79">
        <v>1026</v>
      </c>
      <c r="AP18" s="79">
        <v>918</v>
      </c>
      <c r="AQ18" s="79">
        <v>706</v>
      </c>
      <c r="AR18" s="79">
        <v>766</v>
      </c>
      <c r="AS18" s="79">
        <v>700</v>
      </c>
      <c r="AT18" s="79">
        <v>1754</v>
      </c>
      <c r="AU18" s="79">
        <v>2350</v>
      </c>
      <c r="AV18" s="79">
        <v>1046</v>
      </c>
    </row>
    <row r="19" spans="1:48" s="85" customFormat="1" x14ac:dyDescent="0.2">
      <c r="A19" s="82" t="s">
        <v>38</v>
      </c>
      <c r="B19" s="83" t="s">
        <v>491</v>
      </c>
      <c r="C19" s="83" t="s">
        <v>492</v>
      </c>
      <c r="D19" s="94">
        <v>491574.48</v>
      </c>
      <c r="E19" s="96">
        <v>359997.07</v>
      </c>
      <c r="F19" s="96">
        <v>131577.41</v>
      </c>
      <c r="G19" s="96"/>
      <c r="H19" s="96"/>
      <c r="I19" s="96"/>
      <c r="J19" s="96"/>
      <c r="K19" s="96"/>
      <c r="L19" s="96"/>
      <c r="M19" s="78">
        <v>493128.94</v>
      </c>
      <c r="N19" s="84">
        <v>361030.51</v>
      </c>
      <c r="O19" s="84">
        <v>132098.43</v>
      </c>
      <c r="P19" s="80"/>
      <c r="Q19" s="80"/>
      <c r="R19" s="80"/>
      <c r="S19" s="80"/>
      <c r="T19" s="80"/>
      <c r="U19" s="80"/>
      <c r="V19" s="88"/>
      <c r="W19" s="80"/>
      <c r="X19" s="80"/>
      <c r="Y19" s="80"/>
      <c r="Z19" s="80"/>
      <c r="AA19" s="80"/>
      <c r="AB19" s="80"/>
      <c r="AC19" s="80"/>
      <c r="AD19" s="80"/>
      <c r="AE19" s="87" t="s">
        <v>33</v>
      </c>
      <c r="AF19" s="81" t="s">
        <v>33</v>
      </c>
      <c r="AG19" s="81" t="s">
        <v>33</v>
      </c>
      <c r="AH19" s="80"/>
      <c r="AI19" s="80"/>
      <c r="AJ19" s="80"/>
      <c r="AK19" s="80"/>
      <c r="AL19" s="80"/>
      <c r="AM19" s="80"/>
      <c r="AN19" s="88"/>
      <c r="AO19" s="80"/>
      <c r="AP19" s="80"/>
      <c r="AQ19" s="80"/>
      <c r="AR19" s="80"/>
      <c r="AS19" s="80"/>
      <c r="AT19" s="80"/>
      <c r="AU19" s="80"/>
      <c r="AV19" s="80"/>
    </row>
    <row r="20" spans="1:48" s="85" customFormat="1" x14ac:dyDescent="0.2">
      <c r="A20" s="82" t="s">
        <v>38</v>
      </c>
      <c r="B20" s="83" t="s">
        <v>581</v>
      </c>
      <c r="C20" s="83" t="s">
        <v>582</v>
      </c>
      <c r="D20" s="94">
        <v>484842.6</v>
      </c>
      <c r="E20" s="96">
        <v>70444.37</v>
      </c>
      <c r="F20" s="96">
        <v>101823.03</v>
      </c>
      <c r="G20" s="96">
        <v>156630.54</v>
      </c>
      <c r="H20" s="96">
        <v>130731.8</v>
      </c>
      <c r="I20" s="96">
        <v>5364.08</v>
      </c>
      <c r="J20" s="96">
        <v>1948.35</v>
      </c>
      <c r="K20" s="96">
        <v>17900.43</v>
      </c>
      <c r="L20" s="96"/>
      <c r="M20" s="78">
        <v>562417.42000000004</v>
      </c>
      <c r="N20" s="84">
        <v>81715.47</v>
      </c>
      <c r="O20" s="84">
        <v>118114.71</v>
      </c>
      <c r="P20" s="84">
        <v>181691.43</v>
      </c>
      <c r="Q20" s="84">
        <v>151648.89000000001</v>
      </c>
      <c r="R20" s="84">
        <v>6222.33</v>
      </c>
      <c r="S20" s="84">
        <v>2260.09</v>
      </c>
      <c r="T20" s="84">
        <v>20764.5</v>
      </c>
      <c r="U20" s="80"/>
      <c r="V20" s="88"/>
      <c r="W20" s="80"/>
      <c r="X20" s="80"/>
      <c r="Y20" s="80"/>
      <c r="Z20" s="80"/>
      <c r="AA20" s="80"/>
      <c r="AB20" s="80"/>
      <c r="AC20" s="80"/>
      <c r="AD20" s="80"/>
      <c r="AE20" s="87" t="s">
        <v>33</v>
      </c>
      <c r="AF20" s="81" t="s">
        <v>33</v>
      </c>
      <c r="AG20" s="81" t="s">
        <v>33</v>
      </c>
      <c r="AH20" s="81" t="s">
        <v>33</v>
      </c>
      <c r="AI20" s="81" t="s">
        <v>33</v>
      </c>
      <c r="AJ20" s="81" t="s">
        <v>33</v>
      </c>
      <c r="AK20" s="81" t="s">
        <v>33</v>
      </c>
      <c r="AL20" s="81" t="s">
        <v>33</v>
      </c>
      <c r="AM20" s="80"/>
      <c r="AN20" s="86">
        <v>20520</v>
      </c>
      <c r="AO20" s="79">
        <v>4338</v>
      </c>
      <c r="AP20" s="79">
        <v>4516</v>
      </c>
      <c r="AQ20" s="79">
        <v>7368</v>
      </c>
      <c r="AR20" s="79">
        <v>3658</v>
      </c>
      <c r="AS20" s="79">
        <v>104</v>
      </c>
      <c r="AT20" s="79">
        <v>40</v>
      </c>
      <c r="AU20" s="79">
        <v>496</v>
      </c>
      <c r="AV20" s="80"/>
    </row>
    <row r="21" spans="1:48" s="85" customFormat="1" x14ac:dyDescent="0.2">
      <c r="A21" s="82" t="s">
        <v>38</v>
      </c>
      <c r="B21" s="83" t="s">
        <v>389</v>
      </c>
      <c r="C21" s="83" t="s">
        <v>390</v>
      </c>
      <c r="D21" s="94">
        <v>484527.86</v>
      </c>
      <c r="E21" s="96">
        <v>1703.12</v>
      </c>
      <c r="F21" s="96">
        <v>2940.48</v>
      </c>
      <c r="G21" s="96">
        <v>118698.22</v>
      </c>
      <c r="H21" s="96">
        <v>1063.21</v>
      </c>
      <c r="I21" s="96">
        <v>1464.97</v>
      </c>
      <c r="J21" s="96">
        <v>778.73</v>
      </c>
      <c r="K21" s="96">
        <v>356747.47</v>
      </c>
      <c r="L21" s="96">
        <v>1131.6600000000001</v>
      </c>
      <c r="M21" s="78">
        <v>562052.32999999996</v>
      </c>
      <c r="N21" s="84">
        <v>1975.62</v>
      </c>
      <c r="O21" s="84">
        <v>3410.96</v>
      </c>
      <c r="P21" s="84">
        <v>137689.94</v>
      </c>
      <c r="Q21" s="84">
        <v>1233.32</v>
      </c>
      <c r="R21" s="84">
        <v>1699.36</v>
      </c>
      <c r="S21" s="84">
        <v>903.33</v>
      </c>
      <c r="T21" s="84">
        <v>413827.07</v>
      </c>
      <c r="U21" s="84">
        <v>1312.73</v>
      </c>
      <c r="V21" s="86">
        <v>4000</v>
      </c>
      <c r="W21" s="80"/>
      <c r="X21" s="80"/>
      <c r="Y21" s="79">
        <v>1000</v>
      </c>
      <c r="Z21" s="80"/>
      <c r="AA21" s="80"/>
      <c r="AB21" s="80"/>
      <c r="AC21" s="79">
        <v>3000</v>
      </c>
      <c r="AD21" s="80"/>
      <c r="AE21" s="91">
        <v>121.13196499999999</v>
      </c>
      <c r="AF21" s="81" t="s">
        <v>33</v>
      </c>
      <c r="AG21" s="81" t="s">
        <v>33</v>
      </c>
      <c r="AH21" s="84">
        <v>118.69822000000001</v>
      </c>
      <c r="AI21" s="81" t="s">
        <v>33</v>
      </c>
      <c r="AJ21" s="81" t="s">
        <v>33</v>
      </c>
      <c r="AK21" s="81" t="s">
        <v>33</v>
      </c>
      <c r="AL21" s="84">
        <v>118.91582333333334</v>
      </c>
      <c r="AM21" s="81" t="s">
        <v>33</v>
      </c>
      <c r="AN21" s="86">
        <v>1094</v>
      </c>
      <c r="AO21" s="79">
        <v>160</v>
      </c>
      <c r="AP21" s="79">
        <v>228</v>
      </c>
      <c r="AQ21" s="79">
        <v>134</v>
      </c>
      <c r="AR21" s="79">
        <v>84</v>
      </c>
      <c r="AS21" s="79">
        <v>82</v>
      </c>
      <c r="AT21" s="79">
        <v>100</v>
      </c>
      <c r="AU21" s="79">
        <v>172</v>
      </c>
      <c r="AV21" s="79">
        <v>134</v>
      </c>
    </row>
    <row r="22" spans="1:48" s="85" customFormat="1" x14ac:dyDescent="0.2">
      <c r="A22" s="82" t="s">
        <v>38</v>
      </c>
      <c r="B22" s="83" t="s">
        <v>455</v>
      </c>
      <c r="C22" s="83" t="s">
        <v>456</v>
      </c>
      <c r="D22" s="94">
        <v>465941.19</v>
      </c>
      <c r="E22" s="96">
        <v>59934.74</v>
      </c>
      <c r="F22" s="96">
        <v>66046.95</v>
      </c>
      <c r="G22" s="96"/>
      <c r="H22" s="96">
        <v>66885.13</v>
      </c>
      <c r="I22" s="96">
        <v>49411.08</v>
      </c>
      <c r="J22" s="96">
        <v>13748.45</v>
      </c>
      <c r="K22" s="96">
        <v>209914.84</v>
      </c>
      <c r="L22" s="96"/>
      <c r="M22" s="78">
        <v>540491.79</v>
      </c>
      <c r="N22" s="84">
        <v>69524.3</v>
      </c>
      <c r="O22" s="84">
        <v>76614.460000000006</v>
      </c>
      <c r="P22" s="80"/>
      <c r="Q22" s="84">
        <v>77586.75</v>
      </c>
      <c r="R22" s="84">
        <v>57316.86</v>
      </c>
      <c r="S22" s="84">
        <v>15948.2</v>
      </c>
      <c r="T22" s="84">
        <v>243501.22</v>
      </c>
      <c r="U22" s="80"/>
      <c r="V22" s="86">
        <v>788</v>
      </c>
      <c r="W22" s="79">
        <v>286</v>
      </c>
      <c r="X22" s="79">
        <v>36</v>
      </c>
      <c r="Y22" s="80"/>
      <c r="Z22" s="79">
        <v>35</v>
      </c>
      <c r="AA22" s="79">
        <v>33</v>
      </c>
      <c r="AB22" s="79">
        <v>16</v>
      </c>
      <c r="AC22" s="79">
        <v>382</v>
      </c>
      <c r="AD22" s="80"/>
      <c r="AE22" s="91">
        <v>591.29592639593909</v>
      </c>
      <c r="AF22" s="84">
        <v>209.56202797202798</v>
      </c>
      <c r="AG22" s="84">
        <v>1834.6375</v>
      </c>
      <c r="AH22" s="80"/>
      <c r="AI22" s="84">
        <v>1911.0037142857143</v>
      </c>
      <c r="AJ22" s="84">
        <v>1497.3054545454545</v>
      </c>
      <c r="AK22" s="84">
        <v>859.27812500000005</v>
      </c>
      <c r="AL22" s="84">
        <v>549.51528795811521</v>
      </c>
      <c r="AM22" s="80"/>
      <c r="AN22" s="86">
        <v>3895</v>
      </c>
      <c r="AO22" s="79">
        <v>524</v>
      </c>
      <c r="AP22" s="80"/>
      <c r="AQ22" s="80"/>
      <c r="AR22" s="79">
        <v>38</v>
      </c>
      <c r="AS22" s="79">
        <v>26</v>
      </c>
      <c r="AT22" s="79">
        <v>174</v>
      </c>
      <c r="AU22" s="79">
        <v>3133</v>
      </c>
      <c r="AV22" s="80"/>
    </row>
    <row r="23" spans="1:48" s="85" customFormat="1" x14ac:dyDescent="0.2">
      <c r="A23" s="82" t="s">
        <v>38</v>
      </c>
      <c r="B23" s="83" t="s">
        <v>421</v>
      </c>
      <c r="C23" s="83" t="s">
        <v>422</v>
      </c>
      <c r="D23" s="94">
        <v>455385.94</v>
      </c>
      <c r="E23" s="96">
        <v>13416.37</v>
      </c>
      <c r="F23" s="96">
        <v>39711.61</v>
      </c>
      <c r="G23" s="96">
        <v>51234.99</v>
      </c>
      <c r="H23" s="96">
        <v>118696.92</v>
      </c>
      <c r="I23" s="96">
        <v>118346.64</v>
      </c>
      <c r="J23" s="96">
        <v>48250.09</v>
      </c>
      <c r="K23" s="96">
        <v>24163.68</v>
      </c>
      <c r="L23" s="96">
        <v>41565.64</v>
      </c>
      <c r="M23" s="78">
        <v>528247.68999999994</v>
      </c>
      <c r="N23" s="84">
        <v>15562.99</v>
      </c>
      <c r="O23" s="84">
        <v>46065.47</v>
      </c>
      <c r="P23" s="84">
        <v>59432.59</v>
      </c>
      <c r="Q23" s="84">
        <v>137688.43</v>
      </c>
      <c r="R23" s="84">
        <v>137282.1</v>
      </c>
      <c r="S23" s="84">
        <v>55970.1</v>
      </c>
      <c r="T23" s="84">
        <v>28029.87</v>
      </c>
      <c r="U23" s="84">
        <v>48216.14</v>
      </c>
      <c r="V23" s="86">
        <v>1327</v>
      </c>
      <c r="W23" s="79">
        <v>66</v>
      </c>
      <c r="X23" s="79">
        <v>142</v>
      </c>
      <c r="Y23" s="79">
        <v>176</v>
      </c>
      <c r="Z23" s="79">
        <v>192</v>
      </c>
      <c r="AA23" s="79">
        <v>319</v>
      </c>
      <c r="AB23" s="79">
        <v>178</v>
      </c>
      <c r="AC23" s="79">
        <v>82</v>
      </c>
      <c r="AD23" s="79">
        <v>172</v>
      </c>
      <c r="AE23" s="91">
        <v>343.16951017332332</v>
      </c>
      <c r="AF23" s="84">
        <v>203.27833333333334</v>
      </c>
      <c r="AG23" s="84">
        <v>279.65922535211268</v>
      </c>
      <c r="AH23" s="84">
        <v>291.10789772727276</v>
      </c>
      <c r="AI23" s="84">
        <v>618.21312499999999</v>
      </c>
      <c r="AJ23" s="84">
        <v>370.99260188087771</v>
      </c>
      <c r="AK23" s="84">
        <v>271.0679213483146</v>
      </c>
      <c r="AL23" s="84">
        <v>294.67902439024391</v>
      </c>
      <c r="AM23" s="84">
        <v>241.6606976744186</v>
      </c>
      <c r="AN23" s="86">
        <v>25660</v>
      </c>
      <c r="AO23" s="79">
        <v>1328</v>
      </c>
      <c r="AP23" s="79">
        <v>2902</v>
      </c>
      <c r="AQ23" s="79">
        <v>3060</v>
      </c>
      <c r="AR23" s="79">
        <v>4994</v>
      </c>
      <c r="AS23" s="79">
        <v>5554</v>
      </c>
      <c r="AT23" s="79">
        <v>3692</v>
      </c>
      <c r="AU23" s="79">
        <v>1338</v>
      </c>
      <c r="AV23" s="79">
        <v>2792</v>
      </c>
    </row>
    <row r="24" spans="1:48" s="85" customFormat="1" x14ac:dyDescent="0.2">
      <c r="A24" s="82" t="s">
        <v>38</v>
      </c>
      <c r="B24" s="83" t="s">
        <v>393</v>
      </c>
      <c r="C24" s="83" t="s">
        <v>394</v>
      </c>
      <c r="D24" s="94">
        <v>443134.39</v>
      </c>
      <c r="E24" s="96">
        <v>255708.77</v>
      </c>
      <c r="F24" s="96">
        <v>3883.04</v>
      </c>
      <c r="G24" s="96"/>
      <c r="H24" s="96">
        <v>-12807.3</v>
      </c>
      <c r="I24" s="96">
        <v>79391.34</v>
      </c>
      <c r="J24" s="96">
        <v>97428.67</v>
      </c>
      <c r="K24" s="96">
        <v>19529.87</v>
      </c>
      <c r="L24" s="96"/>
      <c r="M24" s="78">
        <v>514035.9</v>
      </c>
      <c r="N24" s="84">
        <v>296622.17</v>
      </c>
      <c r="O24" s="84">
        <v>4504.33</v>
      </c>
      <c r="P24" s="80"/>
      <c r="Q24" s="84">
        <v>-14856.47</v>
      </c>
      <c r="R24" s="84">
        <v>92093.96</v>
      </c>
      <c r="S24" s="84">
        <v>113017.26</v>
      </c>
      <c r="T24" s="84">
        <v>22654.65</v>
      </c>
      <c r="U24" s="80"/>
      <c r="V24" s="86">
        <v>191</v>
      </c>
      <c r="W24" s="79">
        <v>100</v>
      </c>
      <c r="X24" s="79">
        <v>4</v>
      </c>
      <c r="Y24" s="80"/>
      <c r="Z24" s="79">
        <v>-10</v>
      </c>
      <c r="AA24" s="79">
        <v>42</v>
      </c>
      <c r="AB24" s="79">
        <v>45</v>
      </c>
      <c r="AC24" s="79">
        <v>10</v>
      </c>
      <c r="AD24" s="80"/>
      <c r="AE24" s="91">
        <v>2320.0753403141362</v>
      </c>
      <c r="AF24" s="84">
        <v>2557.0877</v>
      </c>
      <c r="AG24" s="84">
        <v>970.76</v>
      </c>
      <c r="AH24" s="80"/>
      <c r="AI24" s="84">
        <v>1280.73</v>
      </c>
      <c r="AJ24" s="84">
        <v>1890.27</v>
      </c>
      <c r="AK24" s="84">
        <v>2165.0815555555555</v>
      </c>
      <c r="AL24" s="84">
        <v>1952.9870000000001</v>
      </c>
      <c r="AM24" s="80"/>
      <c r="AN24" s="88"/>
      <c r="AO24" s="80"/>
      <c r="AP24" s="80"/>
      <c r="AQ24" s="80"/>
      <c r="AR24" s="80"/>
      <c r="AS24" s="80"/>
      <c r="AT24" s="80"/>
      <c r="AU24" s="80"/>
      <c r="AV24" s="80"/>
    </row>
    <row r="25" spans="1:48" s="85" customFormat="1" x14ac:dyDescent="0.2">
      <c r="A25" s="82" t="s">
        <v>47</v>
      </c>
      <c r="B25" s="83" t="s">
        <v>50</v>
      </c>
      <c r="C25" s="83" t="s">
        <v>51</v>
      </c>
      <c r="D25" s="94">
        <v>437576.72</v>
      </c>
      <c r="E25" s="96"/>
      <c r="F25" s="96">
        <v>14616.96</v>
      </c>
      <c r="G25" s="96">
        <v>58065.41</v>
      </c>
      <c r="H25" s="96">
        <v>93629.01</v>
      </c>
      <c r="I25" s="96">
        <v>58986.53</v>
      </c>
      <c r="J25" s="96">
        <v>112711.4</v>
      </c>
      <c r="K25" s="96">
        <v>26317.86</v>
      </c>
      <c r="L25" s="96">
        <v>73249.55</v>
      </c>
      <c r="M25" s="78">
        <v>507589</v>
      </c>
      <c r="N25" s="80"/>
      <c r="O25" s="84">
        <v>16955.669999999998</v>
      </c>
      <c r="P25" s="84">
        <v>67355.88</v>
      </c>
      <c r="Q25" s="84">
        <v>108609.66</v>
      </c>
      <c r="R25" s="84">
        <v>68424.37</v>
      </c>
      <c r="S25" s="84">
        <v>130745.22</v>
      </c>
      <c r="T25" s="84">
        <v>30528.720000000001</v>
      </c>
      <c r="U25" s="84">
        <v>84969.48</v>
      </c>
      <c r="V25" s="86">
        <v>725</v>
      </c>
      <c r="W25" s="80"/>
      <c r="X25" s="80"/>
      <c r="Y25" s="79">
        <v>105</v>
      </c>
      <c r="Z25" s="79">
        <v>190</v>
      </c>
      <c r="AA25" s="79">
        <v>100</v>
      </c>
      <c r="AB25" s="79">
        <v>230</v>
      </c>
      <c r="AC25" s="80"/>
      <c r="AD25" s="79">
        <v>100</v>
      </c>
      <c r="AE25" s="91">
        <v>603.55409655172411</v>
      </c>
      <c r="AF25" s="80"/>
      <c r="AG25" s="81" t="s">
        <v>33</v>
      </c>
      <c r="AH25" s="84">
        <v>553.00390476190478</v>
      </c>
      <c r="AI25" s="84">
        <v>492.78426315789471</v>
      </c>
      <c r="AJ25" s="84">
        <v>589.86530000000005</v>
      </c>
      <c r="AK25" s="84">
        <v>490.04956521739132</v>
      </c>
      <c r="AL25" s="81" t="s">
        <v>33</v>
      </c>
      <c r="AM25" s="84">
        <v>732.49549999999999</v>
      </c>
      <c r="AN25" s="86">
        <v>45658</v>
      </c>
      <c r="AO25" s="80"/>
      <c r="AP25" s="79">
        <v>1536</v>
      </c>
      <c r="AQ25" s="79">
        <v>4262</v>
      </c>
      <c r="AR25" s="79">
        <v>7110</v>
      </c>
      <c r="AS25" s="79">
        <v>7674</v>
      </c>
      <c r="AT25" s="79">
        <v>13454</v>
      </c>
      <c r="AU25" s="79">
        <v>2150</v>
      </c>
      <c r="AV25" s="79">
        <v>9472</v>
      </c>
    </row>
    <row r="26" spans="1:48" s="85" customFormat="1" x14ac:dyDescent="0.2">
      <c r="A26" s="82" t="s">
        <v>38</v>
      </c>
      <c r="B26" s="83" t="s">
        <v>619</v>
      </c>
      <c r="C26" s="83" t="s">
        <v>620</v>
      </c>
      <c r="D26" s="94">
        <v>435780.55</v>
      </c>
      <c r="E26" s="96">
        <v>35182</v>
      </c>
      <c r="F26" s="96"/>
      <c r="G26" s="96"/>
      <c r="H26" s="96">
        <v>308678.58</v>
      </c>
      <c r="I26" s="96">
        <v>41055.599999999999</v>
      </c>
      <c r="J26" s="96">
        <v>-4064.1</v>
      </c>
      <c r="K26" s="96">
        <v>26486.52</v>
      </c>
      <c r="L26" s="96">
        <v>28441.95</v>
      </c>
      <c r="M26" s="78">
        <v>505505.44</v>
      </c>
      <c r="N26" s="84">
        <v>40811.120000000003</v>
      </c>
      <c r="O26" s="80"/>
      <c r="P26" s="80"/>
      <c r="Q26" s="84">
        <v>358067.16</v>
      </c>
      <c r="R26" s="84">
        <v>47624.5</v>
      </c>
      <c r="S26" s="84">
        <v>-4714.3599999999997</v>
      </c>
      <c r="T26" s="84">
        <v>30724.36</v>
      </c>
      <c r="U26" s="84">
        <v>32992.660000000003</v>
      </c>
      <c r="V26" s="86">
        <v>-328</v>
      </c>
      <c r="W26" s="80"/>
      <c r="X26" s="80"/>
      <c r="Y26" s="80"/>
      <c r="Z26" s="80"/>
      <c r="AA26" s="80"/>
      <c r="AB26" s="79">
        <v>-328</v>
      </c>
      <c r="AC26" s="80"/>
      <c r="AD26" s="80"/>
      <c r="AE26" s="91">
        <v>-1328.5992378048782</v>
      </c>
      <c r="AF26" s="81" t="s">
        <v>33</v>
      </c>
      <c r="AG26" s="80"/>
      <c r="AH26" s="80"/>
      <c r="AI26" s="81" t="s">
        <v>33</v>
      </c>
      <c r="AJ26" s="81" t="s">
        <v>33</v>
      </c>
      <c r="AK26" s="84">
        <v>12.3905487804878</v>
      </c>
      <c r="AL26" s="81" t="s">
        <v>33</v>
      </c>
      <c r="AM26" s="81" t="s">
        <v>33</v>
      </c>
      <c r="AN26" s="86">
        <v>131818</v>
      </c>
      <c r="AO26" s="79">
        <v>19336</v>
      </c>
      <c r="AP26" s="80"/>
      <c r="AQ26" s="80"/>
      <c r="AR26" s="79">
        <v>68288</v>
      </c>
      <c r="AS26" s="79">
        <v>15640</v>
      </c>
      <c r="AT26" s="79">
        <v>10436</v>
      </c>
      <c r="AU26" s="79">
        <v>9016</v>
      </c>
      <c r="AV26" s="79">
        <v>9102</v>
      </c>
    </row>
    <row r="27" spans="1:48" s="85" customFormat="1" x14ac:dyDescent="0.2">
      <c r="A27" s="82" t="s">
        <v>38</v>
      </c>
      <c r="B27" s="83" t="s">
        <v>383</v>
      </c>
      <c r="C27" s="83" t="s">
        <v>384</v>
      </c>
      <c r="D27" s="94">
        <v>434508.99</v>
      </c>
      <c r="E27" s="96">
        <v>72155.570000000007</v>
      </c>
      <c r="F27" s="96">
        <v>12407.87</v>
      </c>
      <c r="G27" s="96">
        <v>16688.71</v>
      </c>
      <c r="H27" s="96">
        <v>65086.82</v>
      </c>
      <c r="I27" s="96">
        <v>98296.41</v>
      </c>
      <c r="J27" s="96">
        <v>86027.43</v>
      </c>
      <c r="K27" s="96">
        <v>83846.179999999993</v>
      </c>
      <c r="L27" s="96"/>
      <c r="M27" s="78">
        <v>503803.31</v>
      </c>
      <c r="N27" s="84">
        <v>83700.460000000006</v>
      </c>
      <c r="O27" s="84">
        <v>14393.13</v>
      </c>
      <c r="P27" s="84">
        <v>19358.900000000001</v>
      </c>
      <c r="Q27" s="84">
        <v>75403.05</v>
      </c>
      <c r="R27" s="84">
        <v>113908.65</v>
      </c>
      <c r="S27" s="84">
        <v>99777.55</v>
      </c>
      <c r="T27" s="84">
        <v>97261.57</v>
      </c>
      <c r="U27" s="80"/>
      <c r="V27" s="86">
        <v>595</v>
      </c>
      <c r="W27" s="79">
        <v>126</v>
      </c>
      <c r="X27" s="79">
        <v>30</v>
      </c>
      <c r="Y27" s="79">
        <v>24</v>
      </c>
      <c r="Z27" s="79">
        <v>113</v>
      </c>
      <c r="AA27" s="79">
        <v>112</v>
      </c>
      <c r="AB27" s="79">
        <v>101</v>
      </c>
      <c r="AC27" s="79">
        <v>89</v>
      </c>
      <c r="AD27" s="80"/>
      <c r="AE27" s="91">
        <v>730.26721008403365</v>
      </c>
      <c r="AF27" s="84">
        <v>572.66325396825403</v>
      </c>
      <c r="AG27" s="84">
        <v>413.59566666666666</v>
      </c>
      <c r="AH27" s="84">
        <v>695.36291666666671</v>
      </c>
      <c r="AI27" s="84">
        <v>575.98955752212385</v>
      </c>
      <c r="AJ27" s="84">
        <v>877.64651785714284</v>
      </c>
      <c r="AK27" s="84">
        <v>851.75673267326738</v>
      </c>
      <c r="AL27" s="84">
        <v>942.09191011235953</v>
      </c>
      <c r="AM27" s="80"/>
      <c r="AN27" s="86">
        <v>13618</v>
      </c>
      <c r="AO27" s="79">
        <v>2396</v>
      </c>
      <c r="AP27" s="79">
        <v>424</v>
      </c>
      <c r="AQ27" s="79">
        <v>574</v>
      </c>
      <c r="AR27" s="79">
        <v>2048</v>
      </c>
      <c r="AS27" s="79">
        <v>3160</v>
      </c>
      <c r="AT27" s="79">
        <v>2464</v>
      </c>
      <c r="AU27" s="79">
        <v>2552</v>
      </c>
      <c r="AV27" s="80"/>
    </row>
    <row r="28" spans="1:48" s="85" customFormat="1" x14ac:dyDescent="0.2">
      <c r="A28" s="82" t="s">
        <v>28</v>
      </c>
      <c r="B28" s="83" t="s">
        <v>235</v>
      </c>
      <c r="C28" s="83" t="s">
        <v>236</v>
      </c>
      <c r="D28" s="94">
        <v>390812.08</v>
      </c>
      <c r="E28" s="96">
        <v>42006.91</v>
      </c>
      <c r="F28" s="96">
        <v>53480.66</v>
      </c>
      <c r="G28" s="96">
        <v>43261.67</v>
      </c>
      <c r="H28" s="96">
        <v>34990.54</v>
      </c>
      <c r="I28" s="96">
        <v>44146.58</v>
      </c>
      <c r="J28" s="96">
        <v>42629.18</v>
      </c>
      <c r="K28" s="96">
        <v>79780.17</v>
      </c>
      <c r="L28" s="96">
        <v>50516.37</v>
      </c>
      <c r="M28" s="78">
        <v>453342.03</v>
      </c>
      <c r="N28" s="84">
        <v>48728.02</v>
      </c>
      <c r="O28" s="84">
        <v>62037.57</v>
      </c>
      <c r="P28" s="84">
        <v>50183.54</v>
      </c>
      <c r="Q28" s="84">
        <v>40589.03</v>
      </c>
      <c r="R28" s="84">
        <v>51210.03</v>
      </c>
      <c r="S28" s="84">
        <v>49449.85</v>
      </c>
      <c r="T28" s="84">
        <v>92545</v>
      </c>
      <c r="U28" s="84">
        <v>58598.99</v>
      </c>
      <c r="V28" s="86">
        <v>1114</v>
      </c>
      <c r="W28" s="79">
        <v>118</v>
      </c>
      <c r="X28" s="79">
        <v>146</v>
      </c>
      <c r="Y28" s="79">
        <v>119</v>
      </c>
      <c r="Z28" s="79">
        <v>95</v>
      </c>
      <c r="AA28" s="79">
        <v>130</v>
      </c>
      <c r="AB28" s="79">
        <v>118</v>
      </c>
      <c r="AC28" s="79">
        <v>246</v>
      </c>
      <c r="AD28" s="79">
        <v>142</v>
      </c>
      <c r="AE28" s="91">
        <v>350.81874326750449</v>
      </c>
      <c r="AF28" s="84">
        <v>355.99076271186442</v>
      </c>
      <c r="AG28" s="84">
        <v>366.30589041095891</v>
      </c>
      <c r="AH28" s="84">
        <v>363.54344537815126</v>
      </c>
      <c r="AI28" s="84">
        <v>368.3214736842105</v>
      </c>
      <c r="AJ28" s="84">
        <v>339.5890769230769</v>
      </c>
      <c r="AK28" s="84">
        <v>361.26423728813558</v>
      </c>
      <c r="AL28" s="84">
        <v>324.30963414634147</v>
      </c>
      <c r="AM28" s="84">
        <v>355.74908450704226</v>
      </c>
      <c r="AN28" s="86">
        <v>9868</v>
      </c>
      <c r="AO28" s="79">
        <v>1152</v>
      </c>
      <c r="AP28" s="79">
        <v>1436</v>
      </c>
      <c r="AQ28" s="79">
        <v>1078</v>
      </c>
      <c r="AR28" s="79">
        <v>938</v>
      </c>
      <c r="AS28" s="79">
        <v>1004</v>
      </c>
      <c r="AT28" s="79">
        <v>1182</v>
      </c>
      <c r="AU28" s="79">
        <v>1966</v>
      </c>
      <c r="AV28" s="79">
        <v>1112</v>
      </c>
    </row>
    <row r="29" spans="1:48" s="85" customFormat="1" x14ac:dyDescent="0.2">
      <c r="A29" s="82" t="s">
        <v>38</v>
      </c>
      <c r="B29" s="83" t="s">
        <v>649</v>
      </c>
      <c r="C29" s="83" t="s">
        <v>650</v>
      </c>
      <c r="D29" s="94">
        <v>386453.75</v>
      </c>
      <c r="E29" s="96">
        <v>12470.3</v>
      </c>
      <c r="F29" s="96">
        <v>51918.239999999998</v>
      </c>
      <c r="G29" s="96">
        <v>51522.03</v>
      </c>
      <c r="H29" s="96">
        <v>43856.73</v>
      </c>
      <c r="I29" s="96">
        <v>58723.65</v>
      </c>
      <c r="J29" s="96">
        <v>77197.070000000007</v>
      </c>
      <c r="K29" s="96">
        <v>50118.2</v>
      </c>
      <c r="L29" s="96">
        <v>40647.53</v>
      </c>
      <c r="M29" s="78">
        <v>448286.34</v>
      </c>
      <c r="N29" s="84">
        <v>14465.55</v>
      </c>
      <c r="O29" s="84">
        <v>60225.16</v>
      </c>
      <c r="P29" s="84">
        <v>59765.55</v>
      </c>
      <c r="Q29" s="84">
        <v>50873.81</v>
      </c>
      <c r="R29" s="84">
        <v>68119.429999999993</v>
      </c>
      <c r="S29" s="84">
        <v>89548.6</v>
      </c>
      <c r="T29" s="84">
        <v>58137.11</v>
      </c>
      <c r="U29" s="84">
        <v>47151.13</v>
      </c>
      <c r="V29" s="86">
        <v>1603</v>
      </c>
      <c r="W29" s="79">
        <v>40</v>
      </c>
      <c r="X29" s="79">
        <v>165</v>
      </c>
      <c r="Y29" s="79">
        <v>202</v>
      </c>
      <c r="Z29" s="79">
        <v>192</v>
      </c>
      <c r="AA29" s="79">
        <v>262</v>
      </c>
      <c r="AB29" s="79">
        <v>359</v>
      </c>
      <c r="AC29" s="79">
        <v>216</v>
      </c>
      <c r="AD29" s="79">
        <v>167</v>
      </c>
      <c r="AE29" s="91">
        <v>241.08156581409858</v>
      </c>
      <c r="AF29" s="84">
        <v>311.75749999999999</v>
      </c>
      <c r="AG29" s="84">
        <v>314.65600000000001</v>
      </c>
      <c r="AH29" s="84">
        <v>255.05955445544555</v>
      </c>
      <c r="AI29" s="84">
        <v>228.42046875</v>
      </c>
      <c r="AJ29" s="84">
        <v>224.13606870229009</v>
      </c>
      <c r="AK29" s="84">
        <v>215.03362116991644</v>
      </c>
      <c r="AL29" s="84">
        <v>232.02870370370371</v>
      </c>
      <c r="AM29" s="84">
        <v>243.39838323353294</v>
      </c>
      <c r="AN29" s="86">
        <v>5168</v>
      </c>
      <c r="AO29" s="79">
        <v>324</v>
      </c>
      <c r="AP29" s="79">
        <v>496</v>
      </c>
      <c r="AQ29" s="79">
        <v>854</v>
      </c>
      <c r="AR29" s="79">
        <v>256</v>
      </c>
      <c r="AS29" s="79">
        <v>708</v>
      </c>
      <c r="AT29" s="79">
        <v>1338</v>
      </c>
      <c r="AU29" s="79">
        <v>470</v>
      </c>
      <c r="AV29" s="79">
        <v>722</v>
      </c>
    </row>
    <row r="30" spans="1:48" s="85" customFormat="1" x14ac:dyDescent="0.2">
      <c r="A30" s="82" t="s">
        <v>38</v>
      </c>
      <c r="B30" s="83" t="s">
        <v>403</v>
      </c>
      <c r="C30" s="83" t="s">
        <v>404</v>
      </c>
      <c r="D30" s="94">
        <v>356954.71</v>
      </c>
      <c r="E30" s="96">
        <v>37698.620000000003</v>
      </c>
      <c r="F30" s="96">
        <v>53108.14</v>
      </c>
      <c r="G30" s="96">
        <v>47338.879999999997</v>
      </c>
      <c r="H30" s="96">
        <v>51872.66</v>
      </c>
      <c r="I30" s="96">
        <v>49417.9</v>
      </c>
      <c r="J30" s="96">
        <v>59592.19</v>
      </c>
      <c r="K30" s="96">
        <v>57926.32</v>
      </c>
      <c r="L30" s="96"/>
      <c r="M30" s="78">
        <v>414067.46</v>
      </c>
      <c r="N30" s="84">
        <v>43730.400000000001</v>
      </c>
      <c r="O30" s="84">
        <v>61605.440000000002</v>
      </c>
      <c r="P30" s="84">
        <v>54913.1</v>
      </c>
      <c r="Q30" s="84">
        <v>60172.28</v>
      </c>
      <c r="R30" s="84">
        <v>57324.76</v>
      </c>
      <c r="S30" s="84">
        <v>69126.95</v>
      </c>
      <c r="T30" s="84">
        <v>67194.53</v>
      </c>
      <c r="U30" s="80"/>
      <c r="V30" s="86">
        <v>1871</v>
      </c>
      <c r="W30" s="79">
        <v>251</v>
      </c>
      <c r="X30" s="79">
        <v>304</v>
      </c>
      <c r="Y30" s="79">
        <v>248</v>
      </c>
      <c r="Z30" s="79">
        <v>290</v>
      </c>
      <c r="AA30" s="79">
        <v>270</v>
      </c>
      <c r="AB30" s="79">
        <v>243</v>
      </c>
      <c r="AC30" s="79">
        <v>265</v>
      </c>
      <c r="AD30" s="80"/>
      <c r="AE30" s="91">
        <v>190.78284874398716</v>
      </c>
      <c r="AF30" s="84">
        <v>150.19370517928286</v>
      </c>
      <c r="AG30" s="84">
        <v>174.69782894736841</v>
      </c>
      <c r="AH30" s="84">
        <v>190.88258064516128</v>
      </c>
      <c r="AI30" s="84">
        <v>178.87124137931033</v>
      </c>
      <c r="AJ30" s="84">
        <v>183.02925925925925</v>
      </c>
      <c r="AK30" s="84">
        <v>245.23534979423869</v>
      </c>
      <c r="AL30" s="84">
        <v>218.58988679245283</v>
      </c>
      <c r="AM30" s="80"/>
      <c r="AN30" s="86">
        <v>23602</v>
      </c>
      <c r="AO30" s="79">
        <v>2268</v>
      </c>
      <c r="AP30" s="79">
        <v>4038</v>
      </c>
      <c r="AQ30" s="79">
        <v>2872</v>
      </c>
      <c r="AR30" s="79">
        <v>3616</v>
      </c>
      <c r="AS30" s="79">
        <v>3502</v>
      </c>
      <c r="AT30" s="79">
        <v>3078</v>
      </c>
      <c r="AU30" s="79">
        <v>4228</v>
      </c>
      <c r="AV30" s="80"/>
    </row>
    <row r="31" spans="1:48" s="85" customFormat="1" x14ac:dyDescent="0.2">
      <c r="A31" s="82" t="s">
        <v>38</v>
      </c>
      <c r="B31" s="83" t="s">
        <v>623</v>
      </c>
      <c r="C31" s="83" t="s">
        <v>624</v>
      </c>
      <c r="D31" s="94">
        <v>347669.46</v>
      </c>
      <c r="E31" s="96">
        <v>31969.88</v>
      </c>
      <c r="F31" s="96">
        <v>29408.78</v>
      </c>
      <c r="G31" s="96">
        <v>118541.57</v>
      </c>
      <c r="H31" s="96">
        <v>18835.8</v>
      </c>
      <c r="I31" s="96">
        <v>24588.560000000001</v>
      </c>
      <c r="J31" s="96">
        <v>30569.25</v>
      </c>
      <c r="K31" s="96">
        <v>55904.73</v>
      </c>
      <c r="L31" s="96">
        <v>37850.89</v>
      </c>
      <c r="M31" s="78">
        <v>403296.57</v>
      </c>
      <c r="N31" s="84">
        <v>37085.06</v>
      </c>
      <c r="O31" s="84">
        <v>34114.18</v>
      </c>
      <c r="P31" s="84">
        <v>137508.22</v>
      </c>
      <c r="Q31" s="84">
        <v>21849.53</v>
      </c>
      <c r="R31" s="84">
        <v>28522.73</v>
      </c>
      <c r="S31" s="84">
        <v>35460.33</v>
      </c>
      <c r="T31" s="84">
        <v>64849.49</v>
      </c>
      <c r="U31" s="84">
        <v>43907.03</v>
      </c>
      <c r="V31" s="86">
        <v>1039</v>
      </c>
      <c r="W31" s="79">
        <v>6</v>
      </c>
      <c r="X31" s="79">
        <v>6</v>
      </c>
      <c r="Y31" s="79">
        <v>1000</v>
      </c>
      <c r="Z31" s="79">
        <v>2</v>
      </c>
      <c r="AA31" s="79">
        <v>6</v>
      </c>
      <c r="AB31" s="79">
        <v>6</v>
      </c>
      <c r="AC31" s="79">
        <v>8</v>
      </c>
      <c r="AD31" s="79">
        <v>5</v>
      </c>
      <c r="AE31" s="91">
        <v>334.61930702598653</v>
      </c>
      <c r="AF31" s="84">
        <v>5328.3133333333335</v>
      </c>
      <c r="AG31" s="84">
        <v>4901.4633333333331</v>
      </c>
      <c r="AH31" s="84">
        <v>118.54156999999999</v>
      </c>
      <c r="AI31" s="84">
        <v>9417.9</v>
      </c>
      <c r="AJ31" s="84">
        <v>4098.0933333333332</v>
      </c>
      <c r="AK31" s="84">
        <v>5094.875</v>
      </c>
      <c r="AL31" s="84">
        <v>6988.0912500000004</v>
      </c>
      <c r="AM31" s="84">
        <v>7570.1779999999999</v>
      </c>
      <c r="AN31" s="86">
        <v>17270</v>
      </c>
      <c r="AO31" s="79">
        <v>1280</v>
      </c>
      <c r="AP31" s="79">
        <v>2122</v>
      </c>
      <c r="AQ31" s="79">
        <v>2362</v>
      </c>
      <c r="AR31" s="79">
        <v>2532</v>
      </c>
      <c r="AS31" s="79">
        <v>1812</v>
      </c>
      <c r="AT31" s="79">
        <v>3472</v>
      </c>
      <c r="AU31" s="79">
        <v>1742</v>
      </c>
      <c r="AV31" s="79">
        <v>1948</v>
      </c>
    </row>
    <row r="32" spans="1:48" s="85" customFormat="1" x14ac:dyDescent="0.2">
      <c r="A32" s="82" t="s">
        <v>28</v>
      </c>
      <c r="B32" s="83" t="s">
        <v>229</v>
      </c>
      <c r="C32" s="83" t="s">
        <v>230</v>
      </c>
      <c r="D32" s="94">
        <v>337220.12</v>
      </c>
      <c r="E32" s="96">
        <v>38198.11</v>
      </c>
      <c r="F32" s="96">
        <v>31146.09</v>
      </c>
      <c r="G32" s="96">
        <v>64470.99</v>
      </c>
      <c r="H32" s="96">
        <v>58691.64</v>
      </c>
      <c r="I32" s="96">
        <v>41042.14</v>
      </c>
      <c r="J32" s="96">
        <v>34402.83</v>
      </c>
      <c r="K32" s="96">
        <v>31873.75</v>
      </c>
      <c r="L32" s="96">
        <v>37394.57</v>
      </c>
      <c r="M32" s="78">
        <v>391175.36</v>
      </c>
      <c r="N32" s="84">
        <v>44309.81</v>
      </c>
      <c r="O32" s="84">
        <v>36129.47</v>
      </c>
      <c r="P32" s="84">
        <v>74786.34</v>
      </c>
      <c r="Q32" s="84">
        <v>68082.3</v>
      </c>
      <c r="R32" s="84">
        <v>47608.89</v>
      </c>
      <c r="S32" s="84">
        <v>39907.279999999999</v>
      </c>
      <c r="T32" s="84">
        <v>36973.57</v>
      </c>
      <c r="U32" s="84">
        <v>43377.7</v>
      </c>
      <c r="V32" s="86">
        <v>173</v>
      </c>
      <c r="W32" s="79">
        <v>3</v>
      </c>
      <c r="X32" s="79">
        <v>1</v>
      </c>
      <c r="Y32" s="79">
        <v>6</v>
      </c>
      <c r="Z32" s="79">
        <v>15</v>
      </c>
      <c r="AA32" s="79">
        <v>4</v>
      </c>
      <c r="AB32" s="79">
        <v>7</v>
      </c>
      <c r="AC32" s="79">
        <v>23</v>
      </c>
      <c r="AD32" s="79">
        <v>114</v>
      </c>
      <c r="AE32" s="91">
        <v>1949.2492485549133</v>
      </c>
      <c r="AF32" s="84">
        <v>12732.703333333333</v>
      </c>
      <c r="AG32" s="84">
        <v>31146.09</v>
      </c>
      <c r="AH32" s="84">
        <v>10745.165000000001</v>
      </c>
      <c r="AI32" s="84">
        <v>3912.7759999999998</v>
      </c>
      <c r="AJ32" s="84">
        <v>10260.535</v>
      </c>
      <c r="AK32" s="84">
        <v>4914.6899999999996</v>
      </c>
      <c r="AL32" s="84">
        <v>1385.8152173913043</v>
      </c>
      <c r="AM32" s="84">
        <v>328.02254385964915</v>
      </c>
      <c r="AN32" s="86">
        <v>66292</v>
      </c>
      <c r="AO32" s="79">
        <v>10884</v>
      </c>
      <c r="AP32" s="79">
        <v>8844</v>
      </c>
      <c r="AQ32" s="79">
        <v>11310</v>
      </c>
      <c r="AR32" s="79">
        <v>9214</v>
      </c>
      <c r="AS32" s="79">
        <v>7440</v>
      </c>
      <c r="AT32" s="79">
        <v>6758</v>
      </c>
      <c r="AU32" s="79">
        <v>7370</v>
      </c>
      <c r="AV32" s="79">
        <v>4472</v>
      </c>
    </row>
    <row r="33" spans="1:48" s="85" customFormat="1" x14ac:dyDescent="0.2">
      <c r="A33" s="82" t="s">
        <v>28</v>
      </c>
      <c r="B33" s="83" t="s">
        <v>279</v>
      </c>
      <c r="C33" s="83" t="s">
        <v>280</v>
      </c>
      <c r="D33" s="94">
        <v>332220.92</v>
      </c>
      <c r="E33" s="96">
        <v>11773.24</v>
      </c>
      <c r="F33" s="96">
        <v>48136.78</v>
      </c>
      <c r="G33" s="96">
        <v>10370.1</v>
      </c>
      <c r="H33" s="96">
        <v>40735.72</v>
      </c>
      <c r="I33" s="96">
        <v>22548.400000000001</v>
      </c>
      <c r="J33" s="96">
        <v>167369.57999999999</v>
      </c>
      <c r="K33" s="96">
        <v>12392.33</v>
      </c>
      <c r="L33" s="96">
        <v>18894.77</v>
      </c>
      <c r="M33" s="78">
        <v>385376.26</v>
      </c>
      <c r="N33" s="84">
        <v>13656.96</v>
      </c>
      <c r="O33" s="84">
        <v>55838.66</v>
      </c>
      <c r="P33" s="84">
        <v>12029.32</v>
      </c>
      <c r="Q33" s="84">
        <v>47253.440000000002</v>
      </c>
      <c r="R33" s="84">
        <v>26156.14</v>
      </c>
      <c r="S33" s="84">
        <v>194148.71</v>
      </c>
      <c r="T33" s="84">
        <v>14375.1</v>
      </c>
      <c r="U33" s="84">
        <v>21917.93</v>
      </c>
      <c r="V33" s="86">
        <v>1050</v>
      </c>
      <c r="W33" s="80"/>
      <c r="X33" s="79">
        <v>150</v>
      </c>
      <c r="Y33" s="80"/>
      <c r="Z33" s="79">
        <v>100</v>
      </c>
      <c r="AA33" s="80"/>
      <c r="AB33" s="79">
        <v>800</v>
      </c>
      <c r="AC33" s="80"/>
      <c r="AD33" s="80"/>
      <c r="AE33" s="91">
        <v>316.4008761904762</v>
      </c>
      <c r="AF33" s="81" t="s">
        <v>33</v>
      </c>
      <c r="AG33" s="84">
        <v>320.9118666666667</v>
      </c>
      <c r="AH33" s="81" t="s">
        <v>33</v>
      </c>
      <c r="AI33" s="84">
        <v>407.35719999999998</v>
      </c>
      <c r="AJ33" s="81" t="s">
        <v>33</v>
      </c>
      <c r="AK33" s="84">
        <v>209.211975</v>
      </c>
      <c r="AL33" s="81" t="s">
        <v>33</v>
      </c>
      <c r="AM33" s="81" t="s">
        <v>33</v>
      </c>
      <c r="AN33" s="86">
        <v>4166</v>
      </c>
      <c r="AO33" s="79">
        <v>382</v>
      </c>
      <c r="AP33" s="79">
        <v>592</v>
      </c>
      <c r="AQ33" s="79">
        <v>334</v>
      </c>
      <c r="AR33" s="79">
        <v>684</v>
      </c>
      <c r="AS33" s="79">
        <v>710</v>
      </c>
      <c r="AT33" s="79">
        <v>458</v>
      </c>
      <c r="AU33" s="79">
        <v>398</v>
      </c>
      <c r="AV33" s="79">
        <v>608</v>
      </c>
    </row>
    <row r="34" spans="1:48" s="85" customFormat="1" x14ac:dyDescent="0.2">
      <c r="A34" s="82" t="s">
        <v>28</v>
      </c>
      <c r="B34" s="83" t="s">
        <v>185</v>
      </c>
      <c r="C34" s="83" t="s">
        <v>186</v>
      </c>
      <c r="D34" s="94">
        <v>332033.40000000002</v>
      </c>
      <c r="E34" s="96">
        <v>36235.61</v>
      </c>
      <c r="F34" s="96">
        <v>259859.20000000001</v>
      </c>
      <c r="G34" s="96"/>
      <c r="H34" s="96">
        <v>260284.79999999999</v>
      </c>
      <c r="I34" s="96">
        <v>-259859.20000000001</v>
      </c>
      <c r="J34" s="96">
        <v>4685.05</v>
      </c>
      <c r="K34" s="96">
        <v>30827.94</v>
      </c>
      <c r="L34" s="96"/>
      <c r="M34" s="78">
        <v>343513.18</v>
      </c>
      <c r="N34" s="84">
        <v>42033.31</v>
      </c>
      <c r="O34" s="84">
        <v>259859.20000000001</v>
      </c>
      <c r="P34" s="80"/>
      <c r="Q34" s="84">
        <v>260284.79999999999</v>
      </c>
      <c r="R34" s="84">
        <v>-259859.20000000001</v>
      </c>
      <c r="S34" s="84">
        <v>5434.66</v>
      </c>
      <c r="T34" s="84">
        <v>35760.410000000003</v>
      </c>
      <c r="U34" s="80"/>
      <c r="V34" s="86">
        <v>289</v>
      </c>
      <c r="W34" s="79">
        <v>163</v>
      </c>
      <c r="X34" s="80"/>
      <c r="Y34" s="80"/>
      <c r="Z34" s="80"/>
      <c r="AA34" s="80"/>
      <c r="AB34" s="79">
        <v>16</v>
      </c>
      <c r="AC34" s="79">
        <v>110</v>
      </c>
      <c r="AD34" s="80"/>
      <c r="AE34" s="91">
        <v>1148.9044982698963</v>
      </c>
      <c r="AF34" s="84">
        <v>222.30435582822085</v>
      </c>
      <c r="AG34" s="81" t="s">
        <v>33</v>
      </c>
      <c r="AH34" s="80"/>
      <c r="AI34" s="81" t="s">
        <v>33</v>
      </c>
      <c r="AJ34" s="81" t="s">
        <v>33</v>
      </c>
      <c r="AK34" s="84">
        <v>292.81562500000001</v>
      </c>
      <c r="AL34" s="84">
        <v>280.25400000000002</v>
      </c>
      <c r="AM34" s="80"/>
      <c r="AN34" s="86">
        <v>2574</v>
      </c>
      <c r="AO34" s="79">
        <v>1198</v>
      </c>
      <c r="AP34" s="80"/>
      <c r="AQ34" s="80"/>
      <c r="AR34" s="80"/>
      <c r="AS34" s="80"/>
      <c r="AT34" s="79">
        <v>204</v>
      </c>
      <c r="AU34" s="79">
        <v>1172</v>
      </c>
      <c r="AV34" s="80"/>
    </row>
    <row r="35" spans="1:48" s="85" customFormat="1" x14ac:dyDescent="0.2">
      <c r="A35" s="82" t="s">
        <v>38</v>
      </c>
      <c r="B35" s="83" t="s">
        <v>495</v>
      </c>
      <c r="C35" s="83" t="s">
        <v>496</v>
      </c>
      <c r="D35" s="94">
        <v>324288.14</v>
      </c>
      <c r="E35" s="96">
        <v>12776.78</v>
      </c>
      <c r="F35" s="96">
        <v>20479.52</v>
      </c>
      <c r="G35" s="96">
        <v>13797.41</v>
      </c>
      <c r="H35" s="96">
        <v>17074.55</v>
      </c>
      <c r="I35" s="96">
        <v>78360.88</v>
      </c>
      <c r="J35" s="96">
        <v>920052.25</v>
      </c>
      <c r="K35" s="96">
        <v>-768994.72</v>
      </c>
      <c r="L35" s="96">
        <v>30741.47</v>
      </c>
      <c r="M35" s="78">
        <v>337704.54</v>
      </c>
      <c r="N35" s="84">
        <v>13861.64</v>
      </c>
      <c r="O35" s="84">
        <v>21320.17</v>
      </c>
      <c r="P35" s="84">
        <v>14733.44</v>
      </c>
      <c r="Q35" s="84">
        <v>18768.37</v>
      </c>
      <c r="R35" s="84">
        <v>81875.58</v>
      </c>
      <c r="S35" s="84">
        <v>924190.54</v>
      </c>
      <c r="T35" s="84">
        <v>-767786.67</v>
      </c>
      <c r="U35" s="84">
        <v>30741.47</v>
      </c>
      <c r="V35" s="86">
        <v>104</v>
      </c>
      <c r="W35" s="79">
        <v>5</v>
      </c>
      <c r="X35" s="79">
        <v>7</v>
      </c>
      <c r="Y35" s="79">
        <v>14</v>
      </c>
      <c r="Z35" s="79">
        <v>6</v>
      </c>
      <c r="AA35" s="79">
        <v>20</v>
      </c>
      <c r="AB35" s="79">
        <v>34</v>
      </c>
      <c r="AC35" s="79">
        <v>14</v>
      </c>
      <c r="AD35" s="79">
        <v>4</v>
      </c>
      <c r="AE35" s="91">
        <v>3118.1551923076922</v>
      </c>
      <c r="AF35" s="84">
        <v>2555.3560000000002</v>
      </c>
      <c r="AG35" s="84">
        <v>2925.6457142857143</v>
      </c>
      <c r="AH35" s="84">
        <v>985.52928571428572</v>
      </c>
      <c r="AI35" s="84">
        <v>2845.7583333333332</v>
      </c>
      <c r="AJ35" s="84">
        <v>3918.0439999999999</v>
      </c>
      <c r="AK35" s="84">
        <v>27060.360294117647</v>
      </c>
      <c r="AL35" s="84">
        <v>-54928.194285714286</v>
      </c>
      <c r="AM35" s="84">
        <v>7685.3675000000003</v>
      </c>
      <c r="AN35" s="86">
        <v>5300</v>
      </c>
      <c r="AO35" s="79">
        <v>226</v>
      </c>
      <c r="AP35" s="79">
        <v>804</v>
      </c>
      <c r="AQ35" s="79">
        <v>556</v>
      </c>
      <c r="AR35" s="79">
        <v>588</v>
      </c>
      <c r="AS35" s="79">
        <v>1204</v>
      </c>
      <c r="AT35" s="79">
        <v>1400</v>
      </c>
      <c r="AU35" s="79">
        <v>522</v>
      </c>
      <c r="AV35" s="80"/>
    </row>
    <row r="36" spans="1:48" s="85" customFormat="1" x14ac:dyDescent="0.2">
      <c r="A36" s="82" t="s">
        <v>38</v>
      </c>
      <c r="B36" s="83" t="s">
        <v>551</v>
      </c>
      <c r="C36" s="83" t="s">
        <v>552</v>
      </c>
      <c r="D36" s="94">
        <v>283256.38</v>
      </c>
      <c r="E36" s="96">
        <v>19266</v>
      </c>
      <c r="F36" s="96"/>
      <c r="G36" s="96">
        <v>11241</v>
      </c>
      <c r="H36" s="96">
        <v>77624.52</v>
      </c>
      <c r="I36" s="96">
        <v>174908.38</v>
      </c>
      <c r="J36" s="96">
        <v>216.48</v>
      </c>
      <c r="K36" s="96"/>
      <c r="L36" s="96"/>
      <c r="M36" s="78">
        <v>328577.40000000002</v>
      </c>
      <c r="N36" s="84">
        <v>22348.560000000001</v>
      </c>
      <c r="O36" s="80"/>
      <c r="P36" s="84">
        <v>13039.56</v>
      </c>
      <c r="Q36" s="84">
        <v>90044.44</v>
      </c>
      <c r="R36" s="84">
        <v>202893.72</v>
      </c>
      <c r="S36" s="84">
        <v>251.12</v>
      </c>
      <c r="T36" s="80"/>
      <c r="U36" s="80"/>
      <c r="V36" s="88"/>
      <c r="W36" s="80"/>
      <c r="X36" s="80"/>
      <c r="Y36" s="80"/>
      <c r="Z36" s="80"/>
      <c r="AA36" s="80"/>
      <c r="AB36" s="80"/>
      <c r="AC36" s="80"/>
      <c r="AD36" s="80"/>
      <c r="AE36" s="87" t="s">
        <v>33</v>
      </c>
      <c r="AF36" s="81" t="s">
        <v>33</v>
      </c>
      <c r="AG36" s="80"/>
      <c r="AH36" s="81" t="s">
        <v>33</v>
      </c>
      <c r="AI36" s="81" t="s">
        <v>33</v>
      </c>
      <c r="AJ36" s="81" t="s">
        <v>33</v>
      </c>
      <c r="AK36" s="81" t="s">
        <v>33</v>
      </c>
      <c r="AL36" s="80"/>
      <c r="AM36" s="80"/>
      <c r="AN36" s="86">
        <v>149624</v>
      </c>
      <c r="AO36" s="79">
        <v>6422</v>
      </c>
      <c r="AP36" s="80"/>
      <c r="AQ36" s="79">
        <v>3747</v>
      </c>
      <c r="AR36" s="79">
        <v>33993</v>
      </c>
      <c r="AS36" s="79">
        <v>105330</v>
      </c>
      <c r="AT36" s="79">
        <v>132</v>
      </c>
      <c r="AU36" s="80"/>
      <c r="AV36" s="80"/>
    </row>
    <row r="37" spans="1:48" s="85" customFormat="1" x14ac:dyDescent="0.2">
      <c r="A37" s="82" t="s">
        <v>38</v>
      </c>
      <c r="B37" s="83" t="s">
        <v>465</v>
      </c>
      <c r="C37" s="83" t="s">
        <v>466</v>
      </c>
      <c r="D37" s="94">
        <v>276560.56</v>
      </c>
      <c r="E37" s="96">
        <v>119977.08</v>
      </c>
      <c r="F37" s="96">
        <v>-48142.31</v>
      </c>
      <c r="G37" s="96">
        <v>76975.179999999993</v>
      </c>
      <c r="H37" s="96">
        <v>127104.83</v>
      </c>
      <c r="I37" s="96">
        <v>645.78</v>
      </c>
      <c r="J37" s="96"/>
      <c r="K37" s="96"/>
      <c r="L37" s="96"/>
      <c r="M37" s="78">
        <v>286260.99</v>
      </c>
      <c r="N37" s="84">
        <v>122517.99</v>
      </c>
      <c r="O37" s="84">
        <v>-47267.57</v>
      </c>
      <c r="P37" s="84">
        <v>80485.89</v>
      </c>
      <c r="Q37" s="84">
        <v>129878.9</v>
      </c>
      <c r="R37" s="84">
        <v>645.78</v>
      </c>
      <c r="S37" s="80"/>
      <c r="T37" s="80"/>
      <c r="U37" s="80"/>
      <c r="V37" s="86">
        <v>247</v>
      </c>
      <c r="W37" s="79">
        <v>121</v>
      </c>
      <c r="X37" s="79">
        <v>-31</v>
      </c>
      <c r="Y37" s="79">
        <v>70</v>
      </c>
      <c r="Z37" s="79">
        <v>86</v>
      </c>
      <c r="AA37" s="79">
        <v>1</v>
      </c>
      <c r="AB37" s="80"/>
      <c r="AC37" s="80"/>
      <c r="AD37" s="80"/>
      <c r="AE37" s="91">
        <v>1119.6783805668017</v>
      </c>
      <c r="AF37" s="84">
        <v>991.54611570247937</v>
      </c>
      <c r="AG37" s="84">
        <v>1552.9777419354839</v>
      </c>
      <c r="AH37" s="84">
        <v>1099.6454285714285</v>
      </c>
      <c r="AI37" s="84">
        <v>1477.9631395348838</v>
      </c>
      <c r="AJ37" s="84">
        <v>645.78</v>
      </c>
      <c r="AK37" s="80"/>
      <c r="AL37" s="80"/>
      <c r="AM37" s="80"/>
      <c r="AN37" s="86">
        <v>2327.1999999999998</v>
      </c>
      <c r="AO37" s="79">
        <v>4678</v>
      </c>
      <c r="AP37" s="79">
        <v>-2670.5</v>
      </c>
      <c r="AQ37" s="79">
        <v>134</v>
      </c>
      <c r="AR37" s="79">
        <v>169</v>
      </c>
      <c r="AS37" s="79">
        <v>16.7</v>
      </c>
      <c r="AT37" s="80"/>
      <c r="AU37" s="80"/>
      <c r="AV37" s="80"/>
    </row>
    <row r="38" spans="1:48" s="85" customFormat="1" x14ac:dyDescent="0.2">
      <c r="A38" s="82" t="s">
        <v>47</v>
      </c>
      <c r="B38" s="83" t="s">
        <v>132</v>
      </c>
      <c r="C38" s="83" t="s">
        <v>133</v>
      </c>
      <c r="D38" s="94">
        <v>275366.63</v>
      </c>
      <c r="E38" s="96"/>
      <c r="F38" s="96">
        <v>4576.53</v>
      </c>
      <c r="G38" s="96">
        <v>42395.13</v>
      </c>
      <c r="H38" s="96">
        <v>47314.76</v>
      </c>
      <c r="I38" s="96">
        <v>40551.370000000003</v>
      </c>
      <c r="J38" s="96">
        <v>46492.12</v>
      </c>
      <c r="K38" s="96">
        <v>46488.17</v>
      </c>
      <c r="L38" s="96">
        <v>47548.55</v>
      </c>
      <c r="M38" s="78">
        <v>319425.28999999998</v>
      </c>
      <c r="N38" s="80"/>
      <c r="O38" s="84">
        <v>5308.77</v>
      </c>
      <c r="P38" s="84">
        <v>49178.35</v>
      </c>
      <c r="Q38" s="84">
        <v>54885.120000000003</v>
      </c>
      <c r="R38" s="84">
        <v>47039.59</v>
      </c>
      <c r="S38" s="84">
        <v>53930.86</v>
      </c>
      <c r="T38" s="84">
        <v>53926.28</v>
      </c>
      <c r="U38" s="84">
        <v>55156.32</v>
      </c>
      <c r="V38" s="86">
        <v>300</v>
      </c>
      <c r="W38" s="80"/>
      <c r="X38" s="80"/>
      <c r="Y38" s="79">
        <v>50</v>
      </c>
      <c r="Z38" s="79">
        <v>50</v>
      </c>
      <c r="AA38" s="79">
        <v>50</v>
      </c>
      <c r="AB38" s="79">
        <v>50</v>
      </c>
      <c r="AC38" s="79">
        <v>50</v>
      </c>
      <c r="AD38" s="79">
        <v>50</v>
      </c>
      <c r="AE38" s="91">
        <v>917.8887666666667</v>
      </c>
      <c r="AF38" s="80"/>
      <c r="AG38" s="81" t="s">
        <v>33</v>
      </c>
      <c r="AH38" s="84">
        <v>847.90260000000001</v>
      </c>
      <c r="AI38" s="84">
        <v>946.29520000000002</v>
      </c>
      <c r="AJ38" s="84">
        <v>811.02739999999994</v>
      </c>
      <c r="AK38" s="84">
        <v>929.8424</v>
      </c>
      <c r="AL38" s="84">
        <v>929.76340000000005</v>
      </c>
      <c r="AM38" s="84">
        <v>950.971</v>
      </c>
      <c r="AN38" s="86">
        <v>28742</v>
      </c>
      <c r="AO38" s="80"/>
      <c r="AP38" s="79">
        <v>390</v>
      </c>
      <c r="AQ38" s="79">
        <v>4822</v>
      </c>
      <c r="AR38" s="79">
        <v>3480</v>
      </c>
      <c r="AS38" s="79">
        <v>4292</v>
      </c>
      <c r="AT38" s="79">
        <v>5216</v>
      </c>
      <c r="AU38" s="79">
        <v>5270</v>
      </c>
      <c r="AV38" s="79">
        <v>5272</v>
      </c>
    </row>
    <row r="39" spans="1:48" s="85" customFormat="1" x14ac:dyDescent="0.2">
      <c r="A39" s="82" t="s">
        <v>47</v>
      </c>
      <c r="B39" s="83" t="s">
        <v>76</v>
      </c>
      <c r="C39" s="83" t="s">
        <v>77</v>
      </c>
      <c r="D39" s="94">
        <v>273273.49</v>
      </c>
      <c r="E39" s="96">
        <v>75201.240000000005</v>
      </c>
      <c r="F39" s="96">
        <v>27351.7</v>
      </c>
      <c r="G39" s="96">
        <v>25822.99</v>
      </c>
      <c r="H39" s="96">
        <v>35089.03</v>
      </c>
      <c r="I39" s="96">
        <v>27074.97</v>
      </c>
      <c r="J39" s="96">
        <v>35512.61</v>
      </c>
      <c r="K39" s="96">
        <v>47220.95</v>
      </c>
      <c r="L39" s="96"/>
      <c r="M39" s="78">
        <v>316997.21000000002</v>
      </c>
      <c r="N39" s="84">
        <v>87233.44</v>
      </c>
      <c r="O39" s="84">
        <v>31727.95</v>
      </c>
      <c r="P39" s="84">
        <v>29954.66</v>
      </c>
      <c r="Q39" s="84">
        <v>40703.269999999997</v>
      </c>
      <c r="R39" s="84">
        <v>31406.97</v>
      </c>
      <c r="S39" s="84">
        <v>41194.620000000003</v>
      </c>
      <c r="T39" s="84">
        <v>54776.3</v>
      </c>
      <c r="U39" s="80"/>
      <c r="V39" s="86">
        <v>354</v>
      </c>
      <c r="W39" s="79">
        <v>80</v>
      </c>
      <c r="X39" s="79">
        <v>44</v>
      </c>
      <c r="Y39" s="79">
        <v>47</v>
      </c>
      <c r="Z39" s="79">
        <v>54</v>
      </c>
      <c r="AA39" s="79">
        <v>46</v>
      </c>
      <c r="AB39" s="79">
        <v>36</v>
      </c>
      <c r="AC39" s="79">
        <v>47</v>
      </c>
      <c r="AD39" s="80"/>
      <c r="AE39" s="91">
        <v>771.95901129943502</v>
      </c>
      <c r="AF39" s="84">
        <v>940.01549999999997</v>
      </c>
      <c r="AG39" s="84">
        <v>621.62954545454545</v>
      </c>
      <c r="AH39" s="84">
        <v>549.42531914893618</v>
      </c>
      <c r="AI39" s="84">
        <v>649.7968518518519</v>
      </c>
      <c r="AJ39" s="84">
        <v>588.58630434782606</v>
      </c>
      <c r="AK39" s="84">
        <v>986.46138888888891</v>
      </c>
      <c r="AL39" s="84">
        <v>1004.7010638297872</v>
      </c>
      <c r="AM39" s="80"/>
      <c r="AN39" s="86">
        <v>12375.6</v>
      </c>
      <c r="AO39" s="79">
        <v>3495.8</v>
      </c>
      <c r="AP39" s="79">
        <v>1203.8</v>
      </c>
      <c r="AQ39" s="79">
        <v>1629.4</v>
      </c>
      <c r="AR39" s="79">
        <v>1455.8</v>
      </c>
      <c r="AS39" s="79">
        <v>1166.5999999999999</v>
      </c>
      <c r="AT39" s="79">
        <v>1854.4</v>
      </c>
      <c r="AU39" s="79">
        <v>1569.8</v>
      </c>
      <c r="AV39" s="80"/>
    </row>
    <row r="40" spans="1:48" s="85" customFormat="1" x14ac:dyDescent="0.2">
      <c r="A40" s="82" t="s">
        <v>28</v>
      </c>
      <c r="B40" s="83" t="s">
        <v>273</v>
      </c>
      <c r="C40" s="83" t="s">
        <v>274</v>
      </c>
      <c r="D40" s="94">
        <v>251925.86</v>
      </c>
      <c r="E40" s="96">
        <v>34770.15</v>
      </c>
      <c r="F40" s="96">
        <v>38615.800000000003</v>
      </c>
      <c r="G40" s="96">
        <v>24407.9</v>
      </c>
      <c r="H40" s="96">
        <v>40482.870000000003</v>
      </c>
      <c r="I40" s="96">
        <v>34429.14</v>
      </c>
      <c r="J40" s="96">
        <v>44969.8</v>
      </c>
      <c r="K40" s="96">
        <v>34250.199999999997</v>
      </c>
      <c r="L40" s="96"/>
      <c r="M40" s="78">
        <v>291277.46000000002</v>
      </c>
      <c r="N40" s="84">
        <v>40333.370000000003</v>
      </c>
      <c r="O40" s="84">
        <v>44794.33</v>
      </c>
      <c r="P40" s="84">
        <v>28313.16</v>
      </c>
      <c r="Q40" s="84">
        <v>46194.13</v>
      </c>
      <c r="R40" s="84">
        <v>39747.269999999997</v>
      </c>
      <c r="S40" s="84">
        <v>52164.97</v>
      </c>
      <c r="T40" s="84">
        <v>39730.230000000003</v>
      </c>
      <c r="U40" s="80"/>
      <c r="V40" s="86">
        <v>304</v>
      </c>
      <c r="W40" s="79">
        <v>49</v>
      </c>
      <c r="X40" s="79">
        <v>30</v>
      </c>
      <c r="Y40" s="79">
        <v>33</v>
      </c>
      <c r="Z40" s="79">
        <v>54</v>
      </c>
      <c r="AA40" s="79">
        <v>31</v>
      </c>
      <c r="AB40" s="79">
        <v>69</v>
      </c>
      <c r="AC40" s="79">
        <v>38</v>
      </c>
      <c r="AD40" s="80"/>
      <c r="AE40" s="91">
        <v>828.70348684210524</v>
      </c>
      <c r="AF40" s="84">
        <v>709.59489795918364</v>
      </c>
      <c r="AG40" s="84">
        <v>1287.1933333333334</v>
      </c>
      <c r="AH40" s="84">
        <v>739.63333333333333</v>
      </c>
      <c r="AI40" s="84">
        <v>749.6827777777778</v>
      </c>
      <c r="AJ40" s="84">
        <v>1110.6174193548386</v>
      </c>
      <c r="AK40" s="84">
        <v>651.73623188405793</v>
      </c>
      <c r="AL40" s="84">
        <v>901.32105263157894</v>
      </c>
      <c r="AM40" s="80"/>
      <c r="AN40" s="86">
        <v>42512</v>
      </c>
      <c r="AO40" s="79">
        <v>6321.4</v>
      </c>
      <c r="AP40" s="79">
        <v>7393</v>
      </c>
      <c r="AQ40" s="79">
        <v>2846.4</v>
      </c>
      <c r="AR40" s="79">
        <v>6049.4</v>
      </c>
      <c r="AS40" s="79">
        <v>5304.6</v>
      </c>
      <c r="AT40" s="79">
        <v>8095.8</v>
      </c>
      <c r="AU40" s="79">
        <v>6501.4</v>
      </c>
      <c r="AV40" s="80"/>
    </row>
    <row r="41" spans="1:48" s="85" customFormat="1" x14ac:dyDescent="0.2">
      <c r="A41" s="82" t="s">
        <v>28</v>
      </c>
      <c r="B41" s="83" t="s">
        <v>287</v>
      </c>
      <c r="C41" s="83" t="s">
        <v>288</v>
      </c>
      <c r="D41" s="94">
        <v>249187.09</v>
      </c>
      <c r="E41" s="96">
        <v>207844.51</v>
      </c>
      <c r="F41" s="96">
        <v>41342.58</v>
      </c>
      <c r="G41" s="96"/>
      <c r="H41" s="96"/>
      <c r="I41" s="96"/>
      <c r="J41" s="96"/>
      <c r="K41" s="96"/>
      <c r="L41" s="96"/>
      <c r="M41" s="78">
        <v>289057.02</v>
      </c>
      <c r="N41" s="84">
        <v>241099.63</v>
      </c>
      <c r="O41" s="84">
        <v>47957.39</v>
      </c>
      <c r="P41" s="80"/>
      <c r="Q41" s="80"/>
      <c r="R41" s="80"/>
      <c r="S41" s="80"/>
      <c r="T41" s="80"/>
      <c r="U41" s="80"/>
      <c r="V41" s="86">
        <v>1485</v>
      </c>
      <c r="W41" s="79">
        <v>1228</v>
      </c>
      <c r="X41" s="79">
        <v>257</v>
      </c>
      <c r="Y41" s="80"/>
      <c r="Z41" s="80"/>
      <c r="AA41" s="80"/>
      <c r="AB41" s="80"/>
      <c r="AC41" s="80"/>
      <c r="AD41" s="80"/>
      <c r="AE41" s="91">
        <v>167.80275420875421</v>
      </c>
      <c r="AF41" s="84">
        <v>169.25448697068404</v>
      </c>
      <c r="AG41" s="84">
        <v>160.86607003891052</v>
      </c>
      <c r="AH41" s="80"/>
      <c r="AI41" s="80"/>
      <c r="AJ41" s="80"/>
      <c r="AK41" s="80"/>
      <c r="AL41" s="80"/>
      <c r="AM41" s="80"/>
      <c r="AN41" s="86">
        <v>6866</v>
      </c>
      <c r="AO41" s="79">
        <v>6052</v>
      </c>
      <c r="AP41" s="79">
        <v>814</v>
      </c>
      <c r="AQ41" s="80"/>
      <c r="AR41" s="80"/>
      <c r="AS41" s="80"/>
      <c r="AT41" s="80"/>
      <c r="AU41" s="80"/>
      <c r="AV41" s="80"/>
    </row>
    <row r="42" spans="1:48" s="85" customFormat="1" x14ac:dyDescent="0.2">
      <c r="A42" s="82" t="s">
        <v>38</v>
      </c>
      <c r="B42" s="83" t="s">
        <v>641</v>
      </c>
      <c r="C42" s="83" t="s">
        <v>642</v>
      </c>
      <c r="D42" s="94">
        <v>213202.85</v>
      </c>
      <c r="E42" s="96"/>
      <c r="F42" s="96"/>
      <c r="G42" s="96"/>
      <c r="H42" s="96"/>
      <c r="I42" s="96">
        <v>4569.5</v>
      </c>
      <c r="J42" s="96">
        <v>95877.5</v>
      </c>
      <c r="K42" s="96">
        <v>112755.85</v>
      </c>
      <c r="L42" s="96"/>
      <c r="M42" s="78">
        <v>247315.31</v>
      </c>
      <c r="N42" s="80"/>
      <c r="O42" s="80"/>
      <c r="P42" s="80"/>
      <c r="Q42" s="80"/>
      <c r="R42" s="84">
        <v>5300.62</v>
      </c>
      <c r="S42" s="84">
        <v>111217.9</v>
      </c>
      <c r="T42" s="84">
        <v>130796.79</v>
      </c>
      <c r="U42" s="80"/>
      <c r="V42" s="86">
        <v>769</v>
      </c>
      <c r="W42" s="80"/>
      <c r="X42" s="80"/>
      <c r="Y42" s="80"/>
      <c r="Z42" s="80"/>
      <c r="AA42" s="79">
        <v>18</v>
      </c>
      <c r="AB42" s="79">
        <v>333</v>
      </c>
      <c r="AC42" s="79">
        <v>418</v>
      </c>
      <c r="AD42" s="80"/>
      <c r="AE42" s="91">
        <v>277.24687906371912</v>
      </c>
      <c r="AF42" s="80"/>
      <c r="AG42" s="80"/>
      <c r="AH42" s="80"/>
      <c r="AI42" s="80"/>
      <c r="AJ42" s="84">
        <v>253.86111111111111</v>
      </c>
      <c r="AK42" s="84">
        <v>287.92042042042044</v>
      </c>
      <c r="AL42" s="84">
        <v>269.75083732057413</v>
      </c>
      <c r="AM42" s="80"/>
      <c r="AN42" s="87"/>
      <c r="AO42" s="80"/>
      <c r="AP42" s="80"/>
      <c r="AQ42" s="80"/>
      <c r="AR42" s="80"/>
      <c r="AS42" s="79">
        <v>624</v>
      </c>
      <c r="AT42" s="79">
        <v>-624</v>
      </c>
      <c r="AU42" s="80"/>
      <c r="AV42" s="80"/>
    </row>
    <row r="43" spans="1:48" s="85" customFormat="1" x14ac:dyDescent="0.2">
      <c r="A43" s="83" t="s">
        <v>38</v>
      </c>
      <c r="B43" s="83" t="s">
        <v>537</v>
      </c>
      <c r="C43" s="83" t="s">
        <v>538</v>
      </c>
      <c r="D43" s="94">
        <v>197749.42</v>
      </c>
      <c r="E43" s="96">
        <v>44631.41</v>
      </c>
      <c r="F43" s="96">
        <v>14074.75</v>
      </c>
      <c r="G43" s="96">
        <v>26304.26</v>
      </c>
      <c r="H43" s="96">
        <v>23135.93</v>
      </c>
      <c r="I43" s="96">
        <v>33887.79</v>
      </c>
      <c r="J43" s="96">
        <v>26480.44</v>
      </c>
      <c r="K43" s="96">
        <v>29234.84</v>
      </c>
      <c r="L43" s="96"/>
      <c r="M43" s="78">
        <v>229389.32</v>
      </c>
      <c r="N43" s="84">
        <v>51772.43</v>
      </c>
      <c r="O43" s="84">
        <v>16326.71</v>
      </c>
      <c r="P43" s="84">
        <v>30512.94</v>
      </c>
      <c r="Q43" s="84">
        <v>26837.68</v>
      </c>
      <c r="R43" s="84">
        <v>39309.839999999997</v>
      </c>
      <c r="S43" s="84">
        <v>30717.31</v>
      </c>
      <c r="T43" s="84">
        <v>33912.410000000003</v>
      </c>
      <c r="U43" s="80"/>
      <c r="V43" s="86">
        <v>789</v>
      </c>
      <c r="W43" s="79">
        <v>191</v>
      </c>
      <c r="X43" s="79">
        <v>58</v>
      </c>
      <c r="Y43" s="79">
        <v>109</v>
      </c>
      <c r="Z43" s="79">
        <v>92</v>
      </c>
      <c r="AA43" s="79">
        <v>130</v>
      </c>
      <c r="AB43" s="79">
        <v>89</v>
      </c>
      <c r="AC43" s="79">
        <v>120</v>
      </c>
      <c r="AD43" s="80"/>
      <c r="AE43" s="91">
        <v>250.6329784537389</v>
      </c>
      <c r="AF43" s="84">
        <v>233.67230366492146</v>
      </c>
      <c r="AG43" s="84">
        <v>242.66810344827587</v>
      </c>
      <c r="AH43" s="84">
        <v>241.3234862385321</v>
      </c>
      <c r="AI43" s="84">
        <v>251.47749999999999</v>
      </c>
      <c r="AJ43" s="84">
        <v>260.67530769230768</v>
      </c>
      <c r="AK43" s="84">
        <v>297.53303370786517</v>
      </c>
      <c r="AL43" s="84">
        <v>243.62366666666668</v>
      </c>
      <c r="AM43" s="80"/>
      <c r="AN43" s="86">
        <v>6720</v>
      </c>
      <c r="AO43" s="79">
        <v>1500</v>
      </c>
      <c r="AP43" s="79">
        <v>262</v>
      </c>
      <c r="AQ43" s="79">
        <v>904</v>
      </c>
      <c r="AR43" s="79">
        <v>622</v>
      </c>
      <c r="AS43" s="79">
        <v>1336</v>
      </c>
      <c r="AT43" s="79">
        <v>1240</v>
      </c>
      <c r="AU43" s="79">
        <v>856</v>
      </c>
      <c r="AV43" s="80"/>
    </row>
    <row r="44" spans="1:48" s="85" customFormat="1" x14ac:dyDescent="0.2">
      <c r="A44" s="83" t="s">
        <v>38</v>
      </c>
      <c r="B44" s="83" t="s">
        <v>499</v>
      </c>
      <c r="C44" s="83" t="s">
        <v>500</v>
      </c>
      <c r="D44" s="94">
        <v>183551.3</v>
      </c>
      <c r="E44" s="96">
        <v>40715.53</v>
      </c>
      <c r="F44" s="96">
        <v>16846.810000000001</v>
      </c>
      <c r="G44" s="96">
        <v>17464.62</v>
      </c>
      <c r="H44" s="96">
        <v>55471.87</v>
      </c>
      <c r="I44" s="96">
        <v>12730.9</v>
      </c>
      <c r="J44" s="96">
        <v>12135.72</v>
      </c>
      <c r="K44" s="96">
        <v>26561.53</v>
      </c>
      <c r="L44" s="96">
        <v>1624.32</v>
      </c>
      <c r="M44" s="78">
        <v>193705.79</v>
      </c>
      <c r="N44" s="84">
        <v>45119.79</v>
      </c>
      <c r="O44" s="84">
        <v>19223.41</v>
      </c>
      <c r="P44" s="84">
        <v>18751.919999999998</v>
      </c>
      <c r="Q44" s="84">
        <v>56120.38</v>
      </c>
      <c r="R44" s="84">
        <v>13240.01</v>
      </c>
      <c r="S44" s="84">
        <v>12342.86</v>
      </c>
      <c r="T44" s="84">
        <v>27283.1</v>
      </c>
      <c r="U44" s="84">
        <v>1624.32</v>
      </c>
      <c r="V44" s="86">
        <v>134</v>
      </c>
      <c r="W44" s="79">
        <v>31</v>
      </c>
      <c r="X44" s="79">
        <v>20</v>
      </c>
      <c r="Y44" s="79">
        <v>22</v>
      </c>
      <c r="Z44" s="79">
        <v>20</v>
      </c>
      <c r="AA44" s="79">
        <v>17</v>
      </c>
      <c r="AB44" s="79">
        <v>7</v>
      </c>
      <c r="AC44" s="79">
        <v>14</v>
      </c>
      <c r="AD44" s="79">
        <v>3</v>
      </c>
      <c r="AE44" s="91">
        <v>1369.7858208955224</v>
      </c>
      <c r="AF44" s="84">
        <v>1313.4041935483872</v>
      </c>
      <c r="AG44" s="84">
        <v>842.34050000000002</v>
      </c>
      <c r="AH44" s="84">
        <v>793.84636363636366</v>
      </c>
      <c r="AI44" s="84">
        <v>2773.5934999999999</v>
      </c>
      <c r="AJ44" s="84">
        <v>748.87647058823529</v>
      </c>
      <c r="AK44" s="84">
        <v>1733.6742857142858</v>
      </c>
      <c r="AL44" s="84">
        <v>1897.2521428571429</v>
      </c>
      <c r="AM44" s="84">
        <v>541.44000000000005</v>
      </c>
      <c r="AN44" s="86">
        <v>1516</v>
      </c>
      <c r="AO44" s="79">
        <v>82</v>
      </c>
      <c r="AP44" s="79">
        <v>139</v>
      </c>
      <c r="AQ44" s="79">
        <v>168</v>
      </c>
      <c r="AR44" s="79">
        <v>467.8</v>
      </c>
      <c r="AS44" s="79">
        <v>366.8</v>
      </c>
      <c r="AT44" s="79">
        <v>104</v>
      </c>
      <c r="AU44" s="79">
        <v>188.4</v>
      </c>
      <c r="AV44" s="80"/>
    </row>
    <row r="45" spans="1:48" s="85" customFormat="1" x14ac:dyDescent="0.2">
      <c r="A45" s="83" t="s">
        <v>38</v>
      </c>
      <c r="B45" s="83" t="s">
        <v>609</v>
      </c>
      <c r="C45" s="83" t="s">
        <v>610</v>
      </c>
      <c r="D45" s="94">
        <v>182190.57</v>
      </c>
      <c r="E45" s="96">
        <v>30083.22</v>
      </c>
      <c r="F45" s="96">
        <v>52675.25</v>
      </c>
      <c r="G45" s="96">
        <v>19540.87</v>
      </c>
      <c r="H45" s="96">
        <v>111873.06</v>
      </c>
      <c r="I45" s="96">
        <v>65826</v>
      </c>
      <c r="J45" s="96">
        <v>96882.34</v>
      </c>
      <c r="K45" s="96">
        <v>49044.91</v>
      </c>
      <c r="L45" s="96"/>
      <c r="M45" s="78">
        <v>211341.06</v>
      </c>
      <c r="N45" s="80"/>
      <c r="O45" s="80"/>
      <c r="P45" s="80"/>
      <c r="Q45" s="80"/>
      <c r="R45" s="84">
        <v>42065.45</v>
      </c>
      <c r="S45" s="84">
        <v>112383.51</v>
      </c>
      <c r="T45" s="84">
        <v>56892.1</v>
      </c>
      <c r="U45" s="80"/>
      <c r="V45" s="86">
        <v>318</v>
      </c>
      <c r="W45" s="80"/>
      <c r="X45" s="80"/>
      <c r="Y45" s="80"/>
      <c r="Z45" s="80"/>
      <c r="AA45" s="79">
        <v>61</v>
      </c>
      <c r="AB45" s="79">
        <v>166</v>
      </c>
      <c r="AC45" s="79">
        <v>91</v>
      </c>
      <c r="AD45" s="80"/>
      <c r="AE45" s="91">
        <v>572.92632075471693</v>
      </c>
      <c r="AF45" s="80"/>
      <c r="AG45" s="80"/>
      <c r="AH45" s="80"/>
      <c r="AI45" s="80"/>
      <c r="AJ45" s="84">
        <v>594.48065573770486</v>
      </c>
      <c r="AK45" s="84">
        <v>583.62855421686743</v>
      </c>
      <c r="AL45" s="84">
        <v>538.95505494505494</v>
      </c>
      <c r="AM45" s="80"/>
      <c r="AN45" s="86">
        <v>5768</v>
      </c>
      <c r="AO45" s="80"/>
      <c r="AP45" s="80"/>
      <c r="AQ45" s="80"/>
      <c r="AR45" s="80"/>
      <c r="AS45" s="79">
        <v>1940</v>
      </c>
      <c r="AT45" s="79">
        <v>2080</v>
      </c>
      <c r="AU45" s="79">
        <v>1748</v>
      </c>
      <c r="AV45" s="80"/>
    </row>
    <row r="46" spans="1:48" s="85" customFormat="1" x14ac:dyDescent="0.2">
      <c r="A46" s="83" t="s">
        <v>38</v>
      </c>
      <c r="B46" s="83" t="s">
        <v>611</v>
      </c>
      <c r="C46" s="83" t="s">
        <v>612</v>
      </c>
      <c r="D46" s="94">
        <v>178836.28</v>
      </c>
      <c r="E46" s="96">
        <v>35400.46</v>
      </c>
      <c r="F46" s="96">
        <v>16650.560000000001</v>
      </c>
      <c r="G46" s="96">
        <v>22867.06</v>
      </c>
      <c r="H46" s="96">
        <v>25588.76</v>
      </c>
      <c r="I46" s="96">
        <v>22479.24</v>
      </c>
      <c r="J46" s="96">
        <v>20415.080000000002</v>
      </c>
      <c r="K46" s="96">
        <v>19760.04</v>
      </c>
      <c r="L46" s="96">
        <v>15675.08</v>
      </c>
      <c r="M46" s="78">
        <v>207450.1</v>
      </c>
      <c r="N46" s="84">
        <v>41064.54</v>
      </c>
      <c r="O46" s="84">
        <v>19314.650000000001</v>
      </c>
      <c r="P46" s="84">
        <v>26525.79</v>
      </c>
      <c r="Q46" s="84">
        <v>29682.959999999999</v>
      </c>
      <c r="R46" s="84">
        <v>26075.919999999998</v>
      </c>
      <c r="S46" s="84">
        <v>23681.49</v>
      </c>
      <c r="T46" s="84">
        <v>22921.65</v>
      </c>
      <c r="U46" s="84">
        <v>18183.099999999999</v>
      </c>
      <c r="V46" s="86">
        <v>439</v>
      </c>
      <c r="W46" s="79">
        <v>95</v>
      </c>
      <c r="X46" s="79">
        <v>44</v>
      </c>
      <c r="Y46" s="79">
        <v>46</v>
      </c>
      <c r="Z46" s="79">
        <v>57</v>
      </c>
      <c r="AA46" s="79">
        <v>55</v>
      </c>
      <c r="AB46" s="79">
        <v>52</v>
      </c>
      <c r="AC46" s="79">
        <v>47</v>
      </c>
      <c r="AD46" s="79">
        <v>43</v>
      </c>
      <c r="AE46" s="91">
        <v>407.3719362186788</v>
      </c>
      <c r="AF46" s="84">
        <v>372.63642105263159</v>
      </c>
      <c r="AG46" s="84">
        <v>378.4218181818182</v>
      </c>
      <c r="AH46" s="84">
        <v>497.11</v>
      </c>
      <c r="AI46" s="84">
        <v>448.92561403508773</v>
      </c>
      <c r="AJ46" s="84">
        <v>408.71345454545457</v>
      </c>
      <c r="AK46" s="84">
        <v>392.59769230769228</v>
      </c>
      <c r="AL46" s="84">
        <v>420.42638297872338</v>
      </c>
      <c r="AM46" s="84">
        <v>364.53674418604652</v>
      </c>
      <c r="AN46" s="86">
        <v>2154</v>
      </c>
      <c r="AO46" s="79">
        <v>448</v>
      </c>
      <c r="AP46" s="79">
        <v>178</v>
      </c>
      <c r="AQ46" s="79">
        <v>344</v>
      </c>
      <c r="AR46" s="79">
        <v>314</v>
      </c>
      <c r="AS46" s="79">
        <v>274</v>
      </c>
      <c r="AT46" s="79">
        <v>222</v>
      </c>
      <c r="AU46" s="79">
        <v>234</v>
      </c>
      <c r="AV46" s="79">
        <v>140</v>
      </c>
    </row>
    <row r="47" spans="1:48" s="85" customFormat="1" x14ac:dyDescent="0.2">
      <c r="A47" s="83" t="s">
        <v>38</v>
      </c>
      <c r="B47" s="83" t="s">
        <v>507</v>
      </c>
      <c r="C47" s="83" t="s">
        <v>508</v>
      </c>
      <c r="D47" s="94">
        <v>172963.63</v>
      </c>
      <c r="E47" s="96">
        <v>18715.599999999999</v>
      </c>
      <c r="F47" s="96">
        <v>15443.28</v>
      </c>
      <c r="G47" s="96">
        <v>22067.55</v>
      </c>
      <c r="H47" s="96">
        <v>24416.44</v>
      </c>
      <c r="I47" s="96">
        <v>18869.57</v>
      </c>
      <c r="J47" s="96">
        <v>18012.75</v>
      </c>
      <c r="K47" s="96">
        <v>33195.760000000002</v>
      </c>
      <c r="L47" s="96">
        <v>22242.68</v>
      </c>
      <c r="M47" s="78">
        <v>199764.81</v>
      </c>
      <c r="N47" s="84">
        <v>21429.23</v>
      </c>
      <c r="O47" s="84">
        <v>17914.2</v>
      </c>
      <c r="P47" s="84">
        <v>25442.11</v>
      </c>
      <c r="Q47" s="84">
        <v>28226.27</v>
      </c>
      <c r="R47" s="84">
        <v>21780.59</v>
      </c>
      <c r="S47" s="84">
        <v>20785.57</v>
      </c>
      <c r="T47" s="84">
        <v>38385.33</v>
      </c>
      <c r="U47" s="84">
        <v>25801.51</v>
      </c>
      <c r="V47" s="86">
        <v>586</v>
      </c>
      <c r="W47" s="79">
        <v>62</v>
      </c>
      <c r="X47" s="79">
        <v>55</v>
      </c>
      <c r="Y47" s="79">
        <v>72</v>
      </c>
      <c r="Z47" s="79">
        <v>84</v>
      </c>
      <c r="AA47" s="79">
        <v>66</v>
      </c>
      <c r="AB47" s="79">
        <v>68</v>
      </c>
      <c r="AC47" s="79">
        <v>103</v>
      </c>
      <c r="AD47" s="79">
        <v>76</v>
      </c>
      <c r="AE47" s="91">
        <v>295.15977815699659</v>
      </c>
      <c r="AF47" s="84">
        <v>301.86451612903227</v>
      </c>
      <c r="AG47" s="84">
        <v>280.78690909090909</v>
      </c>
      <c r="AH47" s="84">
        <v>306.49374999999998</v>
      </c>
      <c r="AI47" s="84">
        <v>290.67190476190478</v>
      </c>
      <c r="AJ47" s="84">
        <v>285.90257575757573</v>
      </c>
      <c r="AK47" s="84">
        <v>264.89338235294116</v>
      </c>
      <c r="AL47" s="84">
        <v>322.28893203883496</v>
      </c>
      <c r="AM47" s="84">
        <v>292.66684210526319</v>
      </c>
      <c r="AN47" s="86">
        <v>697</v>
      </c>
      <c r="AO47" s="79">
        <v>110</v>
      </c>
      <c r="AP47" s="79">
        <v>36</v>
      </c>
      <c r="AQ47" s="79">
        <v>81</v>
      </c>
      <c r="AR47" s="79">
        <v>88</v>
      </c>
      <c r="AS47" s="79">
        <v>38</v>
      </c>
      <c r="AT47" s="79">
        <v>4</v>
      </c>
      <c r="AU47" s="79">
        <v>146</v>
      </c>
      <c r="AV47" s="79">
        <v>194</v>
      </c>
    </row>
    <row r="48" spans="1:48" s="85" customFormat="1" x14ac:dyDescent="0.2">
      <c r="A48" s="83" t="s">
        <v>38</v>
      </c>
      <c r="B48" s="83" t="s">
        <v>595</v>
      </c>
      <c r="C48" s="83" t="s">
        <v>596</v>
      </c>
      <c r="D48" s="94">
        <v>172358.6</v>
      </c>
      <c r="E48" s="96">
        <v>8131.96</v>
      </c>
      <c r="F48" s="96">
        <v>15067.76</v>
      </c>
      <c r="G48" s="96"/>
      <c r="H48" s="96">
        <v>30541.5</v>
      </c>
      <c r="I48" s="96">
        <v>30883.68</v>
      </c>
      <c r="J48" s="96">
        <v>13134.08</v>
      </c>
      <c r="K48" s="96">
        <v>42369.96</v>
      </c>
      <c r="L48" s="96">
        <v>32229.66</v>
      </c>
      <c r="M48" s="78">
        <v>199935.97</v>
      </c>
      <c r="N48" s="84">
        <v>9433.07</v>
      </c>
      <c r="O48" s="84">
        <v>17478.599999999999</v>
      </c>
      <c r="P48" s="80"/>
      <c r="Q48" s="84">
        <v>35428.14</v>
      </c>
      <c r="R48" s="84">
        <v>35825.07</v>
      </c>
      <c r="S48" s="84">
        <v>15235.53</v>
      </c>
      <c r="T48" s="84">
        <v>49149.15</v>
      </c>
      <c r="U48" s="84">
        <v>37386.410000000003</v>
      </c>
      <c r="V48" s="86">
        <v>44</v>
      </c>
      <c r="W48" s="79">
        <v>2</v>
      </c>
      <c r="X48" s="79">
        <v>4</v>
      </c>
      <c r="Y48" s="80"/>
      <c r="Z48" s="79">
        <v>8</v>
      </c>
      <c r="AA48" s="79">
        <v>8</v>
      </c>
      <c r="AB48" s="79">
        <v>4</v>
      </c>
      <c r="AC48" s="79">
        <v>10</v>
      </c>
      <c r="AD48" s="79">
        <v>8</v>
      </c>
      <c r="AE48" s="91">
        <v>3917.2409090909091</v>
      </c>
      <c r="AF48" s="84">
        <v>4065.98</v>
      </c>
      <c r="AG48" s="84">
        <v>3766.94</v>
      </c>
      <c r="AH48" s="80"/>
      <c r="AI48" s="84">
        <v>3817.6875</v>
      </c>
      <c r="AJ48" s="84">
        <v>3860.46</v>
      </c>
      <c r="AK48" s="84">
        <v>3283.52</v>
      </c>
      <c r="AL48" s="84">
        <v>4236.9960000000001</v>
      </c>
      <c r="AM48" s="84">
        <v>4028.7075</v>
      </c>
      <c r="AN48" s="88"/>
      <c r="AO48" s="80"/>
      <c r="AP48" s="80"/>
      <c r="AQ48" s="80"/>
      <c r="AR48" s="80"/>
      <c r="AS48" s="80"/>
      <c r="AT48" s="80"/>
      <c r="AU48" s="80"/>
      <c r="AV48" s="80"/>
    </row>
    <row r="49" spans="1:48" s="85" customFormat="1" x14ac:dyDescent="0.2">
      <c r="A49" s="83" t="s">
        <v>47</v>
      </c>
      <c r="B49" s="83" t="s">
        <v>56</v>
      </c>
      <c r="C49" s="83" t="s">
        <v>57</v>
      </c>
      <c r="D49" s="94">
        <v>167018.69</v>
      </c>
      <c r="E49" s="96">
        <v>16214.58</v>
      </c>
      <c r="F49" s="96">
        <v>35966.11</v>
      </c>
      <c r="G49" s="96">
        <v>22165.79</v>
      </c>
      <c r="H49" s="96">
        <v>21962.28</v>
      </c>
      <c r="I49" s="96">
        <v>15513.6</v>
      </c>
      <c r="J49" s="96">
        <v>38367.480000000003</v>
      </c>
      <c r="K49" s="96">
        <v>16828.849999999999</v>
      </c>
      <c r="L49" s="96"/>
      <c r="M49" s="78">
        <v>193741.68</v>
      </c>
      <c r="N49" s="84">
        <v>18808.91</v>
      </c>
      <c r="O49" s="84">
        <v>41720.68</v>
      </c>
      <c r="P49" s="84">
        <v>25712.32</v>
      </c>
      <c r="Q49" s="84">
        <v>25476.25</v>
      </c>
      <c r="R49" s="84">
        <v>17995.78</v>
      </c>
      <c r="S49" s="84">
        <v>44506.27</v>
      </c>
      <c r="T49" s="84">
        <v>19521.47</v>
      </c>
      <c r="U49" s="80"/>
      <c r="V49" s="86">
        <v>275</v>
      </c>
      <c r="W49" s="79">
        <v>37</v>
      </c>
      <c r="X49" s="79">
        <v>43</v>
      </c>
      <c r="Y49" s="79">
        <v>22</v>
      </c>
      <c r="Z49" s="79">
        <v>38</v>
      </c>
      <c r="AA49" s="79">
        <v>36</v>
      </c>
      <c r="AB49" s="79">
        <v>70</v>
      </c>
      <c r="AC49" s="79">
        <v>29</v>
      </c>
      <c r="AD49" s="80"/>
      <c r="AE49" s="91">
        <v>607.34069090909088</v>
      </c>
      <c r="AF49" s="84">
        <v>438.23189189189191</v>
      </c>
      <c r="AG49" s="84">
        <v>836.42116279069762</v>
      </c>
      <c r="AH49" s="84">
        <v>1007.5359090909091</v>
      </c>
      <c r="AI49" s="84">
        <v>577.95473684210526</v>
      </c>
      <c r="AJ49" s="84">
        <v>430.93333333333334</v>
      </c>
      <c r="AK49" s="84">
        <v>548.10685714285717</v>
      </c>
      <c r="AL49" s="84">
        <v>580.30517241379312</v>
      </c>
      <c r="AM49" s="80"/>
      <c r="AN49" s="86">
        <v>4064</v>
      </c>
      <c r="AO49" s="79">
        <v>616</v>
      </c>
      <c r="AP49" s="79">
        <v>604</v>
      </c>
      <c r="AQ49" s="79">
        <v>720</v>
      </c>
      <c r="AR49" s="79">
        <v>498</v>
      </c>
      <c r="AS49" s="79">
        <v>526</v>
      </c>
      <c r="AT49" s="79">
        <v>750</v>
      </c>
      <c r="AU49" s="79">
        <v>350</v>
      </c>
      <c r="AV49" s="80"/>
    </row>
    <row r="50" spans="1:48" s="85" customFormat="1" x14ac:dyDescent="0.2">
      <c r="A50" s="83" t="s">
        <v>38</v>
      </c>
      <c r="B50" s="83" t="s">
        <v>661</v>
      </c>
      <c r="C50" s="83" t="s">
        <v>662</v>
      </c>
      <c r="D50" s="94">
        <v>163711.99</v>
      </c>
      <c r="E50" s="96">
        <v>1187.6199999999999</v>
      </c>
      <c r="F50" s="96">
        <v>28800.79</v>
      </c>
      <c r="G50" s="96">
        <v>15274.11</v>
      </c>
      <c r="H50" s="96">
        <v>39926.089999999997</v>
      </c>
      <c r="I50" s="96">
        <v>18017</v>
      </c>
      <c r="J50" s="96">
        <v>17260.14</v>
      </c>
      <c r="K50" s="96">
        <v>10411.24</v>
      </c>
      <c r="L50" s="96">
        <v>32835</v>
      </c>
      <c r="M50" s="78">
        <v>189905.91</v>
      </c>
      <c r="N50" s="84">
        <v>1377.64</v>
      </c>
      <c r="O50" s="84">
        <v>33408.92</v>
      </c>
      <c r="P50" s="84">
        <v>17717.97</v>
      </c>
      <c r="Q50" s="84">
        <v>46314.26</v>
      </c>
      <c r="R50" s="84">
        <v>20899.72</v>
      </c>
      <c r="S50" s="84">
        <v>20021.759999999998</v>
      </c>
      <c r="T50" s="84">
        <v>12077.04</v>
      </c>
      <c r="U50" s="84">
        <v>38088.6</v>
      </c>
      <c r="V50" s="86">
        <v>200</v>
      </c>
      <c r="W50" s="80"/>
      <c r="X50" s="80"/>
      <c r="Y50" s="80"/>
      <c r="Z50" s="79">
        <v>100</v>
      </c>
      <c r="AA50" s="80"/>
      <c r="AB50" s="80"/>
      <c r="AC50" s="80"/>
      <c r="AD50" s="79">
        <v>100</v>
      </c>
      <c r="AE50" s="91">
        <v>818.55994999999996</v>
      </c>
      <c r="AF50" s="81" t="s">
        <v>33</v>
      </c>
      <c r="AG50" s="81" t="s">
        <v>33</v>
      </c>
      <c r="AH50" s="81" t="s">
        <v>33</v>
      </c>
      <c r="AI50" s="84">
        <v>399.26089999999999</v>
      </c>
      <c r="AJ50" s="81" t="s">
        <v>33</v>
      </c>
      <c r="AK50" s="81" t="s">
        <v>33</v>
      </c>
      <c r="AL50" s="81" t="s">
        <v>33</v>
      </c>
      <c r="AM50" s="84">
        <v>328.35</v>
      </c>
      <c r="AN50" s="86">
        <v>2034</v>
      </c>
      <c r="AO50" s="79">
        <v>62</v>
      </c>
      <c r="AP50" s="79">
        <v>658</v>
      </c>
      <c r="AQ50" s="79">
        <v>298</v>
      </c>
      <c r="AR50" s="79">
        <v>114</v>
      </c>
      <c r="AS50" s="79">
        <v>364</v>
      </c>
      <c r="AT50" s="79">
        <v>332</v>
      </c>
      <c r="AU50" s="79">
        <v>206</v>
      </c>
      <c r="AV50" s="80"/>
    </row>
    <row r="51" spans="1:48" s="85" customFormat="1" x14ac:dyDescent="0.2">
      <c r="A51" s="83" t="s">
        <v>47</v>
      </c>
      <c r="B51" s="83" t="s">
        <v>154</v>
      </c>
      <c r="C51" s="83" t="s">
        <v>155</v>
      </c>
      <c r="D51" s="94">
        <v>154977.47</v>
      </c>
      <c r="E51" s="96"/>
      <c r="F51" s="96">
        <v>34022.43</v>
      </c>
      <c r="G51" s="96">
        <v>11631.82</v>
      </c>
      <c r="H51" s="96">
        <v>41804.769999999997</v>
      </c>
      <c r="I51" s="96">
        <v>15080.32</v>
      </c>
      <c r="J51" s="96">
        <v>17078.41</v>
      </c>
      <c r="K51" s="96">
        <v>15744.24</v>
      </c>
      <c r="L51" s="96">
        <v>19615.48</v>
      </c>
      <c r="M51" s="78">
        <v>179773.87</v>
      </c>
      <c r="N51" s="80"/>
      <c r="O51" s="84">
        <v>39466.019999999997</v>
      </c>
      <c r="P51" s="84">
        <v>13492.91</v>
      </c>
      <c r="Q51" s="84">
        <v>48493.53</v>
      </c>
      <c r="R51" s="84">
        <v>17493.169999999998</v>
      </c>
      <c r="S51" s="84">
        <v>19810.96</v>
      </c>
      <c r="T51" s="84">
        <v>18263.32</v>
      </c>
      <c r="U51" s="84">
        <v>22753.96</v>
      </c>
      <c r="V51" s="86">
        <v>225</v>
      </c>
      <c r="W51" s="80"/>
      <c r="X51" s="79">
        <v>50</v>
      </c>
      <c r="Y51" s="80"/>
      <c r="Z51" s="79">
        <v>75</v>
      </c>
      <c r="AA51" s="79">
        <v>25</v>
      </c>
      <c r="AB51" s="79">
        <v>25</v>
      </c>
      <c r="AC51" s="79">
        <v>25</v>
      </c>
      <c r="AD51" s="79">
        <v>25</v>
      </c>
      <c r="AE51" s="91">
        <v>688.78875555555555</v>
      </c>
      <c r="AF51" s="80"/>
      <c r="AG51" s="84">
        <v>680.44860000000006</v>
      </c>
      <c r="AH51" s="81" t="s">
        <v>33</v>
      </c>
      <c r="AI51" s="84">
        <v>557.39693333333332</v>
      </c>
      <c r="AJ51" s="84">
        <v>603.21280000000002</v>
      </c>
      <c r="AK51" s="84">
        <v>683.13639999999998</v>
      </c>
      <c r="AL51" s="84">
        <v>629.76959999999997</v>
      </c>
      <c r="AM51" s="84">
        <v>784.61919999999998</v>
      </c>
      <c r="AN51" s="86">
        <v>14536</v>
      </c>
      <c r="AO51" s="80"/>
      <c r="AP51" s="79">
        <v>3610</v>
      </c>
      <c r="AQ51" s="79">
        <v>260</v>
      </c>
      <c r="AR51" s="79">
        <v>3180</v>
      </c>
      <c r="AS51" s="79">
        <v>1692</v>
      </c>
      <c r="AT51" s="79">
        <v>1908</v>
      </c>
      <c r="AU51" s="79">
        <v>1776</v>
      </c>
      <c r="AV51" s="79">
        <v>2110</v>
      </c>
    </row>
    <row r="52" spans="1:48" s="85" customFormat="1" x14ac:dyDescent="0.2">
      <c r="A52" s="83" t="s">
        <v>38</v>
      </c>
      <c r="B52" s="83" t="s">
        <v>553</v>
      </c>
      <c r="C52" s="83" t="s">
        <v>554</v>
      </c>
      <c r="D52" s="94">
        <v>154761.29</v>
      </c>
      <c r="E52" s="96">
        <v>40391.230000000003</v>
      </c>
      <c r="F52" s="96">
        <v>24454.86</v>
      </c>
      <c r="G52" s="96">
        <v>20682.490000000002</v>
      </c>
      <c r="H52" s="96">
        <v>18659.689999999999</v>
      </c>
      <c r="I52" s="96">
        <v>-5290.5</v>
      </c>
      <c r="J52" s="96">
        <v>22787.41</v>
      </c>
      <c r="K52" s="96">
        <v>33076.11</v>
      </c>
      <c r="L52" s="96"/>
      <c r="M52" s="78">
        <v>179523.1</v>
      </c>
      <c r="N52" s="84">
        <v>46853.83</v>
      </c>
      <c r="O52" s="84">
        <v>28367.64</v>
      </c>
      <c r="P52" s="84">
        <v>23991.69</v>
      </c>
      <c r="Q52" s="84">
        <v>21645.24</v>
      </c>
      <c r="R52" s="84">
        <v>-6136.98</v>
      </c>
      <c r="S52" s="84">
        <v>26433.39</v>
      </c>
      <c r="T52" s="84">
        <v>38368.29</v>
      </c>
      <c r="U52" s="80"/>
      <c r="V52" s="86">
        <v>240</v>
      </c>
      <c r="W52" s="79">
        <v>28</v>
      </c>
      <c r="X52" s="79">
        <v>50</v>
      </c>
      <c r="Y52" s="79">
        <v>35</v>
      </c>
      <c r="Z52" s="79">
        <v>36</v>
      </c>
      <c r="AA52" s="79">
        <v>20</v>
      </c>
      <c r="AB52" s="79">
        <v>46</v>
      </c>
      <c r="AC52" s="79">
        <v>25</v>
      </c>
      <c r="AD52" s="80"/>
      <c r="AE52" s="91">
        <v>644.83870833333333</v>
      </c>
      <c r="AF52" s="84">
        <v>1442.5439285714285</v>
      </c>
      <c r="AG52" s="84">
        <v>489.09719999999999</v>
      </c>
      <c r="AH52" s="84">
        <v>590.92828571428572</v>
      </c>
      <c r="AI52" s="84">
        <v>518.32472222222225</v>
      </c>
      <c r="AJ52" s="84">
        <v>-264.52499999999998</v>
      </c>
      <c r="AK52" s="84">
        <v>495.37847826086954</v>
      </c>
      <c r="AL52" s="84">
        <v>1323.0444</v>
      </c>
      <c r="AM52" s="80"/>
      <c r="AN52" s="86">
        <v>3842</v>
      </c>
      <c r="AO52" s="79">
        <v>112</v>
      </c>
      <c r="AP52" s="79">
        <v>448</v>
      </c>
      <c r="AQ52" s="79">
        <v>672</v>
      </c>
      <c r="AR52" s="79">
        <v>878</v>
      </c>
      <c r="AS52" s="79">
        <v>620</v>
      </c>
      <c r="AT52" s="79">
        <v>768</v>
      </c>
      <c r="AU52" s="79">
        <v>344</v>
      </c>
      <c r="AV52" s="80"/>
    </row>
    <row r="53" spans="1:48" s="85" customFormat="1" x14ac:dyDescent="0.2">
      <c r="A53" s="83" t="s">
        <v>38</v>
      </c>
      <c r="B53" s="83" t="s">
        <v>373</v>
      </c>
      <c r="C53" s="83" t="s">
        <v>374</v>
      </c>
      <c r="D53" s="94">
        <v>147364.07</v>
      </c>
      <c r="E53" s="96">
        <v>43030.01</v>
      </c>
      <c r="F53" s="96">
        <v>10961.14</v>
      </c>
      <c r="G53" s="96">
        <v>2405.73</v>
      </c>
      <c r="H53" s="96">
        <v>44151.17</v>
      </c>
      <c r="I53" s="96">
        <v>4111.16</v>
      </c>
      <c r="J53" s="96">
        <v>16492.54</v>
      </c>
      <c r="K53" s="96">
        <v>26212.32</v>
      </c>
      <c r="L53" s="96"/>
      <c r="M53" s="78">
        <v>170942.33</v>
      </c>
      <c r="N53" s="84">
        <v>49914.81</v>
      </c>
      <c r="O53" s="84">
        <v>12714.92</v>
      </c>
      <c r="P53" s="84">
        <v>2790.65</v>
      </c>
      <c r="Q53" s="84">
        <v>51215.360000000001</v>
      </c>
      <c r="R53" s="84">
        <v>4768.95</v>
      </c>
      <c r="S53" s="84">
        <v>19131.349999999999</v>
      </c>
      <c r="T53" s="84">
        <v>30406.29</v>
      </c>
      <c r="U53" s="80"/>
      <c r="V53" s="86">
        <v>11</v>
      </c>
      <c r="W53" s="80"/>
      <c r="X53" s="80"/>
      <c r="Y53" s="80"/>
      <c r="Z53" s="79">
        <v>6</v>
      </c>
      <c r="AA53" s="80"/>
      <c r="AB53" s="79">
        <v>2</v>
      </c>
      <c r="AC53" s="79">
        <v>3</v>
      </c>
      <c r="AD53" s="80"/>
      <c r="AE53" s="91">
        <v>13396.733636363637</v>
      </c>
      <c r="AF53" s="81" t="s">
        <v>33</v>
      </c>
      <c r="AG53" s="81" t="s">
        <v>33</v>
      </c>
      <c r="AH53" s="81" t="s">
        <v>33</v>
      </c>
      <c r="AI53" s="84">
        <v>7358.5283333333336</v>
      </c>
      <c r="AJ53" s="81" t="s">
        <v>33</v>
      </c>
      <c r="AK53" s="84">
        <v>8246.27</v>
      </c>
      <c r="AL53" s="84">
        <v>8737.44</v>
      </c>
      <c r="AM53" s="80"/>
      <c r="AN53" s="86">
        <v>5338</v>
      </c>
      <c r="AO53" s="79">
        <v>1272</v>
      </c>
      <c r="AP53" s="79">
        <v>600</v>
      </c>
      <c r="AQ53" s="79">
        <v>120</v>
      </c>
      <c r="AR53" s="79">
        <v>36</v>
      </c>
      <c r="AS53" s="79">
        <v>350</v>
      </c>
      <c r="AT53" s="79">
        <v>1240</v>
      </c>
      <c r="AU53" s="79">
        <v>1720</v>
      </c>
      <c r="AV53" s="80"/>
    </row>
    <row r="54" spans="1:48" s="85" customFormat="1" x14ac:dyDescent="0.2">
      <c r="A54" s="83" t="s">
        <v>38</v>
      </c>
      <c r="B54" s="83" t="s">
        <v>353</v>
      </c>
      <c r="C54" s="83" t="s">
        <v>354</v>
      </c>
      <c r="D54" s="94">
        <v>146610.29999999999</v>
      </c>
      <c r="E54" s="96">
        <v>28726.92</v>
      </c>
      <c r="F54" s="96">
        <v>32624.16</v>
      </c>
      <c r="G54" s="96">
        <v>24836.55</v>
      </c>
      <c r="H54" s="96">
        <v>20131.93</v>
      </c>
      <c r="I54" s="96">
        <v>8454.2199999999993</v>
      </c>
      <c r="J54" s="96">
        <v>20125.68</v>
      </c>
      <c r="K54" s="96">
        <v>11710.84</v>
      </c>
      <c r="L54" s="96"/>
      <c r="M54" s="78">
        <v>170067.96</v>
      </c>
      <c r="N54" s="84">
        <v>33323.230000000003</v>
      </c>
      <c r="O54" s="84">
        <v>37844.03</v>
      </c>
      <c r="P54" s="84">
        <v>28810.400000000001</v>
      </c>
      <c r="Q54" s="84">
        <v>23353.040000000001</v>
      </c>
      <c r="R54" s="84">
        <v>9806.9</v>
      </c>
      <c r="S54" s="84">
        <v>23345.79</v>
      </c>
      <c r="T54" s="84">
        <v>13584.57</v>
      </c>
      <c r="U54" s="80"/>
      <c r="V54" s="86">
        <v>376</v>
      </c>
      <c r="W54" s="79">
        <v>83</v>
      </c>
      <c r="X54" s="79">
        <v>98</v>
      </c>
      <c r="Y54" s="79">
        <v>56</v>
      </c>
      <c r="Z54" s="79">
        <v>48</v>
      </c>
      <c r="AA54" s="79">
        <v>24</v>
      </c>
      <c r="AB54" s="79">
        <v>38</v>
      </c>
      <c r="AC54" s="79">
        <v>29</v>
      </c>
      <c r="AD54" s="80"/>
      <c r="AE54" s="91">
        <v>389.92101063829784</v>
      </c>
      <c r="AF54" s="84">
        <v>346.10746987951808</v>
      </c>
      <c r="AG54" s="84">
        <v>332.89959183673471</v>
      </c>
      <c r="AH54" s="84">
        <v>443.50982142857146</v>
      </c>
      <c r="AI54" s="84">
        <v>419.41520833333334</v>
      </c>
      <c r="AJ54" s="84">
        <v>352.25916666666666</v>
      </c>
      <c r="AK54" s="84">
        <v>529.62315789473689</v>
      </c>
      <c r="AL54" s="84">
        <v>403.82206896551725</v>
      </c>
      <c r="AM54" s="80"/>
      <c r="AN54" s="86">
        <v>11286</v>
      </c>
      <c r="AO54" s="79">
        <v>2220</v>
      </c>
      <c r="AP54" s="79">
        <v>1996</v>
      </c>
      <c r="AQ54" s="79">
        <v>2190</v>
      </c>
      <c r="AR54" s="79">
        <v>1572</v>
      </c>
      <c r="AS54" s="79">
        <v>618</v>
      </c>
      <c r="AT54" s="79">
        <v>1812</v>
      </c>
      <c r="AU54" s="79">
        <v>878</v>
      </c>
      <c r="AV54" s="80"/>
    </row>
    <row r="55" spans="1:48" s="85" customFormat="1" x14ac:dyDescent="0.2">
      <c r="A55" s="83" t="s">
        <v>47</v>
      </c>
      <c r="B55" s="83" t="s">
        <v>82</v>
      </c>
      <c r="C55" s="83" t="s">
        <v>83</v>
      </c>
      <c r="D55" s="94">
        <v>145530.18</v>
      </c>
      <c r="E55" s="96"/>
      <c r="F55" s="96">
        <v>227.65</v>
      </c>
      <c r="G55" s="96">
        <v>60435.05</v>
      </c>
      <c r="H55" s="96">
        <v>10422.56</v>
      </c>
      <c r="I55" s="96"/>
      <c r="J55" s="96">
        <v>69835.710000000006</v>
      </c>
      <c r="K55" s="96">
        <v>4609.21</v>
      </c>
      <c r="L55" s="96"/>
      <c r="M55" s="78">
        <v>168815</v>
      </c>
      <c r="N55" s="80"/>
      <c r="O55" s="84">
        <v>264.07</v>
      </c>
      <c r="P55" s="84">
        <v>70104.66</v>
      </c>
      <c r="Q55" s="84">
        <v>12090.17</v>
      </c>
      <c r="R55" s="80"/>
      <c r="S55" s="84">
        <v>81009.42</v>
      </c>
      <c r="T55" s="84">
        <v>5346.68</v>
      </c>
      <c r="U55" s="80"/>
      <c r="V55" s="86">
        <v>499</v>
      </c>
      <c r="W55" s="80"/>
      <c r="X55" s="79">
        <v>1</v>
      </c>
      <c r="Y55" s="79">
        <v>215</v>
      </c>
      <c r="Z55" s="79">
        <v>36</v>
      </c>
      <c r="AA55" s="80"/>
      <c r="AB55" s="79">
        <v>229</v>
      </c>
      <c r="AC55" s="79">
        <v>18</v>
      </c>
      <c r="AD55" s="80"/>
      <c r="AE55" s="91">
        <v>291.64364729458919</v>
      </c>
      <c r="AF55" s="80"/>
      <c r="AG55" s="84">
        <v>227.65</v>
      </c>
      <c r="AH55" s="84">
        <v>281.09325581395348</v>
      </c>
      <c r="AI55" s="84">
        <v>289.51555555555558</v>
      </c>
      <c r="AJ55" s="80"/>
      <c r="AK55" s="84">
        <v>304.95943231441049</v>
      </c>
      <c r="AL55" s="84">
        <v>256.0672222222222</v>
      </c>
      <c r="AM55" s="80"/>
      <c r="AN55" s="86">
        <v>3750</v>
      </c>
      <c r="AO55" s="80"/>
      <c r="AP55" s="80"/>
      <c r="AQ55" s="79">
        <v>1382</v>
      </c>
      <c r="AR55" s="79">
        <v>178</v>
      </c>
      <c r="AS55" s="80"/>
      <c r="AT55" s="79">
        <v>2138</v>
      </c>
      <c r="AU55" s="79">
        <v>52</v>
      </c>
      <c r="AV55" s="80"/>
    </row>
    <row r="56" spans="1:48" s="85" customFormat="1" x14ac:dyDescent="0.2">
      <c r="A56" s="83" t="s">
        <v>38</v>
      </c>
      <c r="B56" s="83" t="s">
        <v>481</v>
      </c>
      <c r="C56" s="83" t="s">
        <v>482</v>
      </c>
      <c r="D56" s="94">
        <v>136402.46</v>
      </c>
      <c r="E56" s="96"/>
      <c r="F56" s="96">
        <v>29591.34</v>
      </c>
      <c r="G56" s="96">
        <v>-11621.32</v>
      </c>
      <c r="H56" s="96">
        <v>14892.96</v>
      </c>
      <c r="I56" s="96">
        <v>13265.44</v>
      </c>
      <c r="J56" s="96">
        <v>15486.74</v>
      </c>
      <c r="K56" s="96">
        <v>74787.3</v>
      </c>
      <c r="L56" s="96"/>
      <c r="M56" s="78">
        <v>158226.85</v>
      </c>
      <c r="N56" s="80"/>
      <c r="O56" s="84">
        <v>34325.949999999997</v>
      </c>
      <c r="P56" s="84">
        <v>-13480.73</v>
      </c>
      <c r="Q56" s="84">
        <v>17275.830000000002</v>
      </c>
      <c r="R56" s="84">
        <v>15387.91</v>
      </c>
      <c r="S56" s="84">
        <v>17964.62</v>
      </c>
      <c r="T56" s="84">
        <v>86753.27</v>
      </c>
      <c r="U56" s="80"/>
      <c r="V56" s="88"/>
      <c r="W56" s="80"/>
      <c r="X56" s="80"/>
      <c r="Y56" s="80"/>
      <c r="Z56" s="80"/>
      <c r="AA56" s="80"/>
      <c r="AB56" s="80"/>
      <c r="AC56" s="80"/>
      <c r="AD56" s="80"/>
      <c r="AE56" s="87" t="s">
        <v>33</v>
      </c>
      <c r="AF56" s="80"/>
      <c r="AG56" s="81" t="s">
        <v>33</v>
      </c>
      <c r="AH56" s="81" t="s">
        <v>33</v>
      </c>
      <c r="AI56" s="81" t="s">
        <v>33</v>
      </c>
      <c r="AJ56" s="81" t="s">
        <v>33</v>
      </c>
      <c r="AK56" s="81" t="s">
        <v>33</v>
      </c>
      <c r="AL56" s="81" t="s">
        <v>33</v>
      </c>
      <c r="AM56" s="80"/>
      <c r="AN56" s="86">
        <v>12332</v>
      </c>
      <c r="AO56" s="80"/>
      <c r="AP56" s="79">
        <v>862</v>
      </c>
      <c r="AQ56" s="79">
        <v>1488</v>
      </c>
      <c r="AR56" s="79">
        <v>2616</v>
      </c>
      <c r="AS56" s="79">
        <v>2278</v>
      </c>
      <c r="AT56" s="79">
        <v>2572</v>
      </c>
      <c r="AU56" s="79">
        <v>2516</v>
      </c>
      <c r="AV56" s="80"/>
    </row>
    <row r="57" spans="1:48" s="85" customFormat="1" x14ac:dyDescent="0.2">
      <c r="A57" s="83" t="s">
        <v>28</v>
      </c>
      <c r="B57" s="83" t="s">
        <v>329</v>
      </c>
      <c r="C57" s="83" t="s">
        <v>330</v>
      </c>
      <c r="D57" s="94">
        <v>133725.03</v>
      </c>
      <c r="E57" s="96">
        <v>29815.24</v>
      </c>
      <c r="F57" s="96">
        <v>27255.61</v>
      </c>
      <c r="G57" s="96">
        <v>14950.35</v>
      </c>
      <c r="H57" s="96">
        <v>4482.53</v>
      </c>
      <c r="I57" s="96">
        <v>43876.74</v>
      </c>
      <c r="J57" s="96">
        <v>24026.62</v>
      </c>
      <c r="K57" s="96">
        <v>3099.22</v>
      </c>
      <c r="L57" s="96">
        <v>-13781.28</v>
      </c>
      <c r="M57" s="78">
        <v>155121.04999999999</v>
      </c>
      <c r="N57" s="84">
        <v>34585.68</v>
      </c>
      <c r="O57" s="84">
        <v>31616.51</v>
      </c>
      <c r="P57" s="84">
        <v>17342.41</v>
      </c>
      <c r="Q57" s="84">
        <v>5199.7299999999996</v>
      </c>
      <c r="R57" s="84">
        <v>50897.02</v>
      </c>
      <c r="S57" s="84">
        <v>27870.880000000001</v>
      </c>
      <c r="T57" s="84">
        <v>3595.1</v>
      </c>
      <c r="U57" s="84">
        <v>-15986.28</v>
      </c>
      <c r="V57" s="86">
        <v>24</v>
      </c>
      <c r="W57" s="79">
        <v>7</v>
      </c>
      <c r="X57" s="79">
        <v>7</v>
      </c>
      <c r="Y57" s="79">
        <v>3</v>
      </c>
      <c r="Z57" s="79">
        <v>2</v>
      </c>
      <c r="AA57" s="79">
        <v>8</v>
      </c>
      <c r="AB57" s="79">
        <v>3</v>
      </c>
      <c r="AC57" s="79">
        <v>2</v>
      </c>
      <c r="AD57" s="79">
        <v>-8</v>
      </c>
      <c r="AE57" s="91">
        <v>5571.8762500000003</v>
      </c>
      <c r="AF57" s="84">
        <v>4259.32</v>
      </c>
      <c r="AG57" s="84">
        <v>3893.6585714285716</v>
      </c>
      <c r="AH57" s="84">
        <v>4983.45</v>
      </c>
      <c r="AI57" s="84">
        <v>2241.2649999999999</v>
      </c>
      <c r="AJ57" s="84">
        <v>5484.5924999999997</v>
      </c>
      <c r="AK57" s="84">
        <v>8008.873333333333</v>
      </c>
      <c r="AL57" s="84">
        <v>1549.61</v>
      </c>
      <c r="AM57" s="84">
        <v>1722.66</v>
      </c>
      <c r="AN57" s="88"/>
      <c r="AO57" s="80"/>
      <c r="AP57" s="80"/>
      <c r="AQ57" s="80"/>
      <c r="AR57" s="80"/>
      <c r="AS57" s="80"/>
      <c r="AT57" s="80"/>
      <c r="AU57" s="80"/>
      <c r="AV57" s="80"/>
    </row>
    <row r="58" spans="1:48" s="85" customFormat="1" x14ac:dyDescent="0.2">
      <c r="A58" s="83" t="s">
        <v>38</v>
      </c>
      <c r="B58" s="83" t="s">
        <v>371</v>
      </c>
      <c r="C58" s="83" t="s">
        <v>372</v>
      </c>
      <c r="D58" s="94">
        <v>128146.56</v>
      </c>
      <c r="E58" s="96">
        <v>67168.320000000007</v>
      </c>
      <c r="F58" s="96">
        <v>4994.71</v>
      </c>
      <c r="G58" s="96">
        <v>22271.74</v>
      </c>
      <c r="H58" s="96">
        <v>6701.91</v>
      </c>
      <c r="I58" s="96">
        <v>18416.75</v>
      </c>
      <c r="J58" s="96">
        <v>4204.72</v>
      </c>
      <c r="K58" s="96">
        <v>3589.49</v>
      </c>
      <c r="L58" s="96">
        <v>798.92</v>
      </c>
      <c r="M58" s="78">
        <v>148649.99</v>
      </c>
      <c r="N58" s="84">
        <v>77915.240000000005</v>
      </c>
      <c r="O58" s="84">
        <v>5793.87</v>
      </c>
      <c r="P58" s="84">
        <v>25835.22</v>
      </c>
      <c r="Q58" s="84">
        <v>7774.21</v>
      </c>
      <c r="R58" s="84">
        <v>21363.43</v>
      </c>
      <c r="S58" s="84">
        <v>4877.47</v>
      </c>
      <c r="T58" s="84">
        <v>4163.8</v>
      </c>
      <c r="U58" s="84">
        <v>926.75</v>
      </c>
      <c r="V58" s="86">
        <v>668</v>
      </c>
      <c r="W58" s="79">
        <v>342</v>
      </c>
      <c r="X58" s="79">
        <v>11</v>
      </c>
      <c r="Y58" s="79">
        <v>140</v>
      </c>
      <c r="Z58" s="79">
        <v>30</v>
      </c>
      <c r="AA58" s="79">
        <v>112</v>
      </c>
      <c r="AB58" s="79">
        <v>16</v>
      </c>
      <c r="AC58" s="79">
        <v>17</v>
      </c>
      <c r="AD58" s="80"/>
      <c r="AE58" s="91">
        <v>191.83616766467065</v>
      </c>
      <c r="AF58" s="84">
        <v>196.39859649122806</v>
      </c>
      <c r="AG58" s="84">
        <v>454.06454545454545</v>
      </c>
      <c r="AH58" s="84">
        <v>159.08385714285714</v>
      </c>
      <c r="AI58" s="84">
        <v>223.39699999999999</v>
      </c>
      <c r="AJ58" s="84">
        <v>164.43526785714286</v>
      </c>
      <c r="AK58" s="84">
        <v>262.79500000000002</v>
      </c>
      <c r="AL58" s="84">
        <v>211.1464705882353</v>
      </c>
      <c r="AM58" s="81" t="s">
        <v>33</v>
      </c>
      <c r="AN58" s="86">
        <v>526</v>
      </c>
      <c r="AO58" s="79">
        <v>64</v>
      </c>
      <c r="AP58" s="79">
        <v>158</v>
      </c>
      <c r="AQ58" s="79">
        <v>40</v>
      </c>
      <c r="AR58" s="79">
        <v>84</v>
      </c>
      <c r="AS58" s="79">
        <v>22</v>
      </c>
      <c r="AT58" s="79">
        <v>84</v>
      </c>
      <c r="AU58" s="79">
        <v>34</v>
      </c>
      <c r="AV58" s="79">
        <v>40</v>
      </c>
    </row>
    <row r="59" spans="1:48" s="85" customFormat="1" x14ac:dyDescent="0.2">
      <c r="A59" s="83" t="s">
        <v>28</v>
      </c>
      <c r="B59" s="83" t="s">
        <v>283</v>
      </c>
      <c r="C59" s="83" t="s">
        <v>284</v>
      </c>
      <c r="D59" s="94">
        <v>125099.97</v>
      </c>
      <c r="E59" s="96">
        <v>43758.41</v>
      </c>
      <c r="F59" s="96">
        <v>7297.09</v>
      </c>
      <c r="G59" s="96">
        <v>1561.95</v>
      </c>
      <c r="H59" s="96">
        <v>15379.36</v>
      </c>
      <c r="I59" s="96">
        <v>24999.279999999999</v>
      </c>
      <c r="J59" s="96">
        <v>23264.48</v>
      </c>
      <c r="K59" s="96">
        <v>8839.4</v>
      </c>
      <c r="L59" s="96"/>
      <c r="M59" s="78">
        <v>145115.95000000001</v>
      </c>
      <c r="N59" s="84">
        <v>50759.76</v>
      </c>
      <c r="O59" s="84">
        <v>8464.6200000000008</v>
      </c>
      <c r="P59" s="84">
        <v>1811.86</v>
      </c>
      <c r="Q59" s="84">
        <v>17840.05</v>
      </c>
      <c r="R59" s="84">
        <v>28999.16</v>
      </c>
      <c r="S59" s="84">
        <v>26986.799999999999</v>
      </c>
      <c r="T59" s="84">
        <v>10253.700000000001</v>
      </c>
      <c r="U59" s="80"/>
      <c r="V59" s="86">
        <v>790</v>
      </c>
      <c r="W59" s="79">
        <v>285</v>
      </c>
      <c r="X59" s="79">
        <v>46</v>
      </c>
      <c r="Y59" s="79">
        <v>10</v>
      </c>
      <c r="Z59" s="79">
        <v>98</v>
      </c>
      <c r="AA59" s="79">
        <v>156</v>
      </c>
      <c r="AB59" s="79">
        <v>146</v>
      </c>
      <c r="AC59" s="79">
        <v>49</v>
      </c>
      <c r="AD59" s="80"/>
      <c r="AE59" s="91">
        <v>158.35439240506329</v>
      </c>
      <c r="AF59" s="84">
        <v>153.53828070175439</v>
      </c>
      <c r="AG59" s="84">
        <v>158.63239130434783</v>
      </c>
      <c r="AH59" s="84">
        <v>156.19499999999999</v>
      </c>
      <c r="AI59" s="84">
        <v>156.93224489795918</v>
      </c>
      <c r="AJ59" s="84">
        <v>160.25179487179486</v>
      </c>
      <c r="AK59" s="84">
        <v>159.34575342465752</v>
      </c>
      <c r="AL59" s="84">
        <v>180.39591836734695</v>
      </c>
      <c r="AM59" s="80"/>
      <c r="AN59" s="86">
        <v>30</v>
      </c>
      <c r="AO59" s="79">
        <v>2</v>
      </c>
      <c r="AP59" s="80"/>
      <c r="AQ59" s="80"/>
      <c r="AR59" s="80"/>
      <c r="AS59" s="80"/>
      <c r="AT59" s="80"/>
      <c r="AU59" s="79">
        <v>28</v>
      </c>
      <c r="AV59" s="80"/>
    </row>
    <row r="60" spans="1:48" s="85" customFormat="1" x14ac:dyDescent="0.2">
      <c r="A60" s="83" t="s">
        <v>38</v>
      </c>
      <c r="B60" s="83" t="s">
        <v>593</v>
      </c>
      <c r="C60" s="83" t="s">
        <v>594</v>
      </c>
      <c r="D60" s="94">
        <v>123937.38</v>
      </c>
      <c r="E60" s="96">
        <v>14513.91</v>
      </c>
      <c r="F60" s="96">
        <v>22882.25</v>
      </c>
      <c r="G60" s="96">
        <v>27051.94</v>
      </c>
      <c r="H60" s="96">
        <v>17920.810000000001</v>
      </c>
      <c r="I60" s="96">
        <v>21441.64</v>
      </c>
      <c r="J60" s="96">
        <v>8853.0400000000009</v>
      </c>
      <c r="K60" s="96">
        <v>4443.91</v>
      </c>
      <c r="L60" s="96">
        <v>6829.88</v>
      </c>
      <c r="M60" s="78">
        <v>143767.37</v>
      </c>
      <c r="N60" s="84">
        <v>16836.14</v>
      </c>
      <c r="O60" s="84">
        <v>26543.41</v>
      </c>
      <c r="P60" s="84">
        <v>31380.25</v>
      </c>
      <c r="Q60" s="84">
        <v>20788.14</v>
      </c>
      <c r="R60" s="84">
        <v>24872.3</v>
      </c>
      <c r="S60" s="84">
        <v>10269.530000000001</v>
      </c>
      <c r="T60" s="84">
        <v>5154.9399999999996</v>
      </c>
      <c r="U60" s="84">
        <v>7922.66</v>
      </c>
      <c r="V60" s="86">
        <v>145</v>
      </c>
      <c r="W60" s="79">
        <v>22</v>
      </c>
      <c r="X60" s="79">
        <v>19</v>
      </c>
      <c r="Y60" s="79">
        <v>25</v>
      </c>
      <c r="Z60" s="79">
        <v>27</v>
      </c>
      <c r="AA60" s="79">
        <v>23</v>
      </c>
      <c r="AB60" s="79">
        <v>11</v>
      </c>
      <c r="AC60" s="79">
        <v>7</v>
      </c>
      <c r="AD60" s="79">
        <v>11</v>
      </c>
      <c r="AE60" s="91">
        <v>854.74055172413796</v>
      </c>
      <c r="AF60" s="84">
        <v>659.72318181818184</v>
      </c>
      <c r="AG60" s="84">
        <v>1204.328947368421</v>
      </c>
      <c r="AH60" s="84">
        <v>1082.0776000000001</v>
      </c>
      <c r="AI60" s="84">
        <v>663.73370370370367</v>
      </c>
      <c r="AJ60" s="84">
        <v>932.24521739130432</v>
      </c>
      <c r="AK60" s="84">
        <v>804.82181818181823</v>
      </c>
      <c r="AL60" s="84">
        <v>634.84428571428566</v>
      </c>
      <c r="AM60" s="84">
        <v>620.8981818181818</v>
      </c>
      <c r="AN60" s="86">
        <v>1762</v>
      </c>
      <c r="AO60" s="79">
        <v>204</v>
      </c>
      <c r="AP60" s="79">
        <v>324</v>
      </c>
      <c r="AQ60" s="79">
        <v>518</v>
      </c>
      <c r="AR60" s="79">
        <v>184</v>
      </c>
      <c r="AS60" s="79">
        <v>290</v>
      </c>
      <c r="AT60" s="79">
        <v>106</v>
      </c>
      <c r="AU60" s="79">
        <v>70</v>
      </c>
      <c r="AV60" s="79">
        <v>66</v>
      </c>
    </row>
    <row r="61" spans="1:48" s="85" customFormat="1" x14ac:dyDescent="0.2">
      <c r="A61" s="83" t="s">
        <v>38</v>
      </c>
      <c r="B61" s="83" t="s">
        <v>497</v>
      </c>
      <c r="C61" s="83" t="s">
        <v>498</v>
      </c>
      <c r="D61" s="94">
        <v>123587.97</v>
      </c>
      <c r="E61" s="96">
        <v>8868.7199999999993</v>
      </c>
      <c r="F61" s="96">
        <v>24775.08</v>
      </c>
      <c r="G61" s="96">
        <v>20018.080000000002</v>
      </c>
      <c r="H61" s="96">
        <v>14630.57</v>
      </c>
      <c r="I61" s="96">
        <v>10595.92</v>
      </c>
      <c r="J61" s="96">
        <v>13088.58</v>
      </c>
      <c r="K61" s="96">
        <v>14085.15</v>
      </c>
      <c r="L61" s="96">
        <v>17525.87</v>
      </c>
      <c r="M61" s="78">
        <v>143362.04</v>
      </c>
      <c r="N61" s="84">
        <v>10287.709999999999</v>
      </c>
      <c r="O61" s="84">
        <v>28739.09</v>
      </c>
      <c r="P61" s="84">
        <v>23220.98</v>
      </c>
      <c r="Q61" s="84">
        <v>16971.46</v>
      </c>
      <c r="R61" s="84">
        <v>12291.26</v>
      </c>
      <c r="S61" s="84">
        <v>15182.75</v>
      </c>
      <c r="T61" s="84">
        <v>16338.78</v>
      </c>
      <c r="U61" s="84">
        <v>20330.009999999998</v>
      </c>
      <c r="V61" s="86">
        <v>41</v>
      </c>
      <c r="W61" s="79">
        <v>2</v>
      </c>
      <c r="X61" s="79">
        <v>9</v>
      </c>
      <c r="Y61" s="79">
        <v>6</v>
      </c>
      <c r="Z61" s="79">
        <v>3</v>
      </c>
      <c r="AA61" s="79">
        <v>5</v>
      </c>
      <c r="AB61" s="79">
        <v>4</v>
      </c>
      <c r="AC61" s="79">
        <v>6</v>
      </c>
      <c r="AD61" s="79">
        <v>6</v>
      </c>
      <c r="AE61" s="91">
        <v>3014.340731707317</v>
      </c>
      <c r="AF61" s="84">
        <v>4434.3599999999997</v>
      </c>
      <c r="AG61" s="84">
        <v>2752.7866666666669</v>
      </c>
      <c r="AH61" s="84">
        <v>3336.3466666666668</v>
      </c>
      <c r="AI61" s="84">
        <v>4876.8566666666666</v>
      </c>
      <c r="AJ61" s="84">
        <v>2119.1840000000002</v>
      </c>
      <c r="AK61" s="84">
        <v>3272.145</v>
      </c>
      <c r="AL61" s="84">
        <v>2347.5250000000001</v>
      </c>
      <c r="AM61" s="84">
        <v>2920.9783333333335</v>
      </c>
      <c r="AN61" s="86">
        <v>4018</v>
      </c>
      <c r="AO61" s="79">
        <v>1016</v>
      </c>
      <c r="AP61" s="79">
        <v>800</v>
      </c>
      <c r="AQ61" s="79">
        <v>556</v>
      </c>
      <c r="AR61" s="79">
        <v>402</v>
      </c>
      <c r="AS61" s="79">
        <v>198</v>
      </c>
      <c r="AT61" s="79">
        <v>356</v>
      </c>
      <c r="AU61" s="79">
        <v>126</v>
      </c>
      <c r="AV61" s="79">
        <v>564</v>
      </c>
    </row>
    <row r="62" spans="1:48" s="85" customFormat="1" x14ac:dyDescent="0.2">
      <c r="A62" s="83" t="s">
        <v>38</v>
      </c>
      <c r="B62" s="83" t="s">
        <v>461</v>
      </c>
      <c r="C62" s="83" t="s">
        <v>462</v>
      </c>
      <c r="D62" s="94">
        <v>109041.12</v>
      </c>
      <c r="E62" s="96"/>
      <c r="F62" s="96"/>
      <c r="G62" s="96"/>
      <c r="H62" s="96"/>
      <c r="I62" s="96"/>
      <c r="J62" s="96">
        <v>68235.070000000007</v>
      </c>
      <c r="K62" s="96">
        <v>40806.050000000003</v>
      </c>
      <c r="L62" s="96"/>
      <c r="M62" s="78">
        <v>126487.7</v>
      </c>
      <c r="N62" s="80"/>
      <c r="O62" s="80"/>
      <c r="P62" s="80"/>
      <c r="Q62" s="80"/>
      <c r="R62" s="80"/>
      <c r="S62" s="84">
        <v>79152.679999999993</v>
      </c>
      <c r="T62" s="84">
        <v>47335.02</v>
      </c>
      <c r="U62" s="80"/>
      <c r="V62" s="86">
        <v>250</v>
      </c>
      <c r="W62" s="80"/>
      <c r="X62" s="80"/>
      <c r="Y62" s="80"/>
      <c r="Z62" s="80"/>
      <c r="AA62" s="80"/>
      <c r="AB62" s="79">
        <v>158</v>
      </c>
      <c r="AC62" s="79">
        <v>92</v>
      </c>
      <c r="AD62" s="80"/>
      <c r="AE62" s="91">
        <v>436.16448000000003</v>
      </c>
      <c r="AF62" s="80"/>
      <c r="AG62" s="80"/>
      <c r="AH62" s="80"/>
      <c r="AI62" s="80"/>
      <c r="AJ62" s="80"/>
      <c r="AK62" s="84">
        <v>431.86753164556961</v>
      </c>
      <c r="AL62" s="84">
        <v>443.54402173913041</v>
      </c>
      <c r="AM62" s="80"/>
      <c r="AN62" s="86">
        <v>4226</v>
      </c>
      <c r="AO62" s="80"/>
      <c r="AP62" s="80"/>
      <c r="AQ62" s="80"/>
      <c r="AR62" s="80"/>
      <c r="AS62" s="80"/>
      <c r="AT62" s="79">
        <v>2638</v>
      </c>
      <c r="AU62" s="79">
        <v>1588</v>
      </c>
      <c r="AV62" s="80"/>
    </row>
    <row r="63" spans="1:48" s="85" customFormat="1" x14ac:dyDescent="0.2">
      <c r="A63" s="83" t="s">
        <v>38</v>
      </c>
      <c r="B63" s="83" t="s">
        <v>449</v>
      </c>
      <c r="C63" s="83" t="s">
        <v>450</v>
      </c>
      <c r="D63" s="94">
        <v>108119.9</v>
      </c>
      <c r="E63" s="96">
        <v>17942.400000000001</v>
      </c>
      <c r="F63" s="96">
        <v>8906.01</v>
      </c>
      <c r="G63" s="96">
        <v>17834.73</v>
      </c>
      <c r="H63" s="96">
        <v>9354.6200000000008</v>
      </c>
      <c r="I63" s="96">
        <v>17925.63</v>
      </c>
      <c r="J63" s="96">
        <v>18113.46</v>
      </c>
      <c r="K63" s="96">
        <v>18043.05</v>
      </c>
      <c r="L63" s="96"/>
      <c r="M63" s="78">
        <v>125419.07</v>
      </c>
      <c r="N63" s="84">
        <v>20813.18</v>
      </c>
      <c r="O63" s="84">
        <v>10330.969999999999</v>
      </c>
      <c r="P63" s="84">
        <v>20688.29</v>
      </c>
      <c r="Q63" s="84">
        <v>10851.36</v>
      </c>
      <c r="R63" s="84">
        <v>20793.73</v>
      </c>
      <c r="S63" s="84">
        <v>21011.61</v>
      </c>
      <c r="T63" s="84">
        <v>20929.93</v>
      </c>
      <c r="U63" s="80"/>
      <c r="V63" s="86">
        <v>36</v>
      </c>
      <c r="W63" s="79">
        <v>6</v>
      </c>
      <c r="X63" s="79">
        <v>3</v>
      </c>
      <c r="Y63" s="79">
        <v>6</v>
      </c>
      <c r="Z63" s="79">
        <v>3</v>
      </c>
      <c r="AA63" s="79">
        <v>6</v>
      </c>
      <c r="AB63" s="79">
        <v>6</v>
      </c>
      <c r="AC63" s="79">
        <v>6</v>
      </c>
      <c r="AD63" s="80"/>
      <c r="AE63" s="91">
        <v>3003.3305555555557</v>
      </c>
      <c r="AF63" s="84">
        <v>2990.4</v>
      </c>
      <c r="AG63" s="84">
        <v>2968.67</v>
      </c>
      <c r="AH63" s="84">
        <v>2972.4549999999999</v>
      </c>
      <c r="AI63" s="84">
        <v>3118.2066666666665</v>
      </c>
      <c r="AJ63" s="84">
        <v>2987.605</v>
      </c>
      <c r="AK63" s="84">
        <v>3018.91</v>
      </c>
      <c r="AL63" s="84">
        <v>3007.1750000000002</v>
      </c>
      <c r="AM63" s="80"/>
      <c r="AN63" s="86">
        <v>118</v>
      </c>
      <c r="AO63" s="79">
        <v>4</v>
      </c>
      <c r="AP63" s="80"/>
      <c r="AQ63" s="80"/>
      <c r="AR63" s="79">
        <v>92</v>
      </c>
      <c r="AS63" s="80"/>
      <c r="AT63" s="80"/>
      <c r="AU63" s="79">
        <v>22</v>
      </c>
      <c r="AV63" s="80"/>
    </row>
    <row r="64" spans="1:48" s="85" customFormat="1" x14ac:dyDescent="0.2">
      <c r="A64" s="83" t="s">
        <v>38</v>
      </c>
      <c r="B64" s="83" t="s">
        <v>43</v>
      </c>
      <c r="C64" s="83" t="s">
        <v>44</v>
      </c>
      <c r="D64" s="94">
        <v>107548.34</v>
      </c>
      <c r="E64" s="96">
        <v>216672.62</v>
      </c>
      <c r="F64" s="96">
        <v>2751.56</v>
      </c>
      <c r="G64" s="96"/>
      <c r="H64" s="96"/>
      <c r="I64" s="96">
        <v>-31847.58</v>
      </c>
      <c r="J64" s="96"/>
      <c r="K64" s="96"/>
      <c r="L64" s="96"/>
      <c r="M64" s="78">
        <v>124756.07</v>
      </c>
      <c r="N64" s="84">
        <v>158507.46</v>
      </c>
      <c r="O64" s="84">
        <v>3191.81</v>
      </c>
      <c r="P64" s="80"/>
      <c r="Q64" s="80"/>
      <c r="R64" s="84">
        <v>-36943.199999999997</v>
      </c>
      <c r="S64" s="80"/>
      <c r="T64" s="80"/>
      <c r="U64" s="80"/>
      <c r="V64" s="87"/>
      <c r="W64" s="79">
        <v>372</v>
      </c>
      <c r="X64" s="80"/>
      <c r="Y64" s="80"/>
      <c r="Z64" s="80"/>
      <c r="AA64" s="79">
        <v>-372</v>
      </c>
      <c r="AB64" s="80"/>
      <c r="AC64" s="80"/>
      <c r="AD64" s="80"/>
      <c r="AE64" s="87" t="s">
        <v>33</v>
      </c>
      <c r="AF64" s="84">
        <v>367.32354838709676</v>
      </c>
      <c r="AG64" s="81" t="s">
        <v>33</v>
      </c>
      <c r="AH64" s="80"/>
      <c r="AI64" s="80"/>
      <c r="AJ64" s="84">
        <v>85.611774193548385</v>
      </c>
      <c r="AK64" s="80"/>
      <c r="AL64" s="80"/>
      <c r="AM64" s="80"/>
      <c r="AN64" s="86">
        <v>12764</v>
      </c>
      <c r="AO64" s="79">
        <v>12496</v>
      </c>
      <c r="AP64" s="79">
        <v>262</v>
      </c>
      <c r="AQ64" s="80"/>
      <c r="AR64" s="80"/>
      <c r="AS64" s="79">
        <v>6</v>
      </c>
      <c r="AT64" s="80"/>
      <c r="AU64" s="80"/>
      <c r="AV64" s="80"/>
    </row>
    <row r="65" spans="1:48" s="85" customFormat="1" x14ac:dyDescent="0.2">
      <c r="A65" s="83" t="s">
        <v>28</v>
      </c>
      <c r="B65" s="83" t="s">
        <v>343</v>
      </c>
      <c r="C65" s="83" t="s">
        <v>344</v>
      </c>
      <c r="D65" s="94">
        <v>103895.01</v>
      </c>
      <c r="E65" s="96">
        <v>25171.73</v>
      </c>
      <c r="F65" s="96">
        <v>11550.9</v>
      </c>
      <c r="G65" s="96">
        <v>14328.46</v>
      </c>
      <c r="H65" s="96">
        <v>14093.17</v>
      </c>
      <c r="I65" s="96">
        <v>15977.16</v>
      </c>
      <c r="J65" s="96">
        <v>6604.93</v>
      </c>
      <c r="K65" s="96">
        <v>16168.66</v>
      </c>
      <c r="L65" s="96"/>
      <c r="M65" s="78">
        <v>120518.21</v>
      </c>
      <c r="N65" s="84">
        <v>29199.200000000001</v>
      </c>
      <c r="O65" s="84">
        <v>13399.04</v>
      </c>
      <c r="P65" s="84">
        <v>16621.009999999998</v>
      </c>
      <c r="Q65" s="84">
        <v>16348.08</v>
      </c>
      <c r="R65" s="84">
        <v>18533.509999999998</v>
      </c>
      <c r="S65" s="84">
        <v>7661.72</v>
      </c>
      <c r="T65" s="84">
        <v>18755.650000000001</v>
      </c>
      <c r="U65" s="80"/>
      <c r="V65" s="88"/>
      <c r="W65" s="80"/>
      <c r="X65" s="80"/>
      <c r="Y65" s="80"/>
      <c r="Z65" s="80"/>
      <c r="AA65" s="80"/>
      <c r="AB65" s="80"/>
      <c r="AC65" s="80"/>
      <c r="AD65" s="80"/>
      <c r="AE65" s="87" t="s">
        <v>33</v>
      </c>
      <c r="AF65" s="81" t="s">
        <v>33</v>
      </c>
      <c r="AG65" s="81" t="s">
        <v>33</v>
      </c>
      <c r="AH65" s="81" t="s">
        <v>33</v>
      </c>
      <c r="AI65" s="81" t="s">
        <v>33</v>
      </c>
      <c r="AJ65" s="81" t="s">
        <v>33</v>
      </c>
      <c r="AK65" s="81" t="s">
        <v>33</v>
      </c>
      <c r="AL65" s="81" t="s">
        <v>33</v>
      </c>
      <c r="AM65" s="80"/>
      <c r="AN65" s="86">
        <v>9142</v>
      </c>
      <c r="AO65" s="79">
        <v>2274</v>
      </c>
      <c r="AP65" s="79">
        <v>900</v>
      </c>
      <c r="AQ65" s="79">
        <v>1264</v>
      </c>
      <c r="AR65" s="79">
        <v>1162</v>
      </c>
      <c r="AS65" s="79">
        <v>1170</v>
      </c>
      <c r="AT65" s="79">
        <v>520</v>
      </c>
      <c r="AU65" s="79">
        <v>1852</v>
      </c>
      <c r="AV65" s="80"/>
    </row>
    <row r="66" spans="1:48" s="85" customFormat="1" x14ac:dyDescent="0.2">
      <c r="A66" s="83" t="s">
        <v>38</v>
      </c>
      <c r="B66" s="83" t="s">
        <v>573</v>
      </c>
      <c r="C66" s="83" t="s">
        <v>574</v>
      </c>
      <c r="D66" s="94">
        <v>103448.21</v>
      </c>
      <c r="E66" s="96"/>
      <c r="F66" s="96">
        <v>152</v>
      </c>
      <c r="G66" s="96">
        <v>130</v>
      </c>
      <c r="H66" s="96"/>
      <c r="I66" s="96">
        <v>6922.21</v>
      </c>
      <c r="J66" s="96">
        <v>46078.02</v>
      </c>
      <c r="K66" s="96">
        <v>39013.08</v>
      </c>
      <c r="L66" s="96">
        <v>11152.9</v>
      </c>
      <c r="M66" s="78">
        <v>110803.6</v>
      </c>
      <c r="N66" s="80"/>
      <c r="O66" s="84">
        <v>176.32</v>
      </c>
      <c r="P66" s="84">
        <v>150.80000000000001</v>
      </c>
      <c r="Q66" s="80"/>
      <c r="R66" s="84">
        <v>7600.14</v>
      </c>
      <c r="S66" s="84">
        <v>48168.28</v>
      </c>
      <c r="T66" s="84">
        <v>41770.699999999997</v>
      </c>
      <c r="U66" s="84">
        <v>12937.36</v>
      </c>
      <c r="V66" s="86">
        <v>90</v>
      </c>
      <c r="W66" s="80"/>
      <c r="X66" s="79">
        <v>1</v>
      </c>
      <c r="Y66" s="79">
        <v>1</v>
      </c>
      <c r="Z66" s="80"/>
      <c r="AA66" s="79">
        <v>13</v>
      </c>
      <c r="AB66" s="79">
        <v>13</v>
      </c>
      <c r="AC66" s="79">
        <v>34</v>
      </c>
      <c r="AD66" s="79">
        <v>28</v>
      </c>
      <c r="AE66" s="91">
        <v>1149.4245555555556</v>
      </c>
      <c r="AF66" s="80"/>
      <c r="AG66" s="84">
        <v>152</v>
      </c>
      <c r="AH66" s="84">
        <v>130</v>
      </c>
      <c r="AI66" s="80"/>
      <c r="AJ66" s="84">
        <v>532.47769230769234</v>
      </c>
      <c r="AK66" s="84">
        <v>3544.4630769230771</v>
      </c>
      <c r="AL66" s="84">
        <v>1147.4435294117648</v>
      </c>
      <c r="AM66" s="84">
        <v>398.31785714285712</v>
      </c>
      <c r="AN66" s="86">
        <v>2843</v>
      </c>
      <c r="AO66" s="80"/>
      <c r="AP66" s="80"/>
      <c r="AQ66" s="80"/>
      <c r="AR66" s="80"/>
      <c r="AS66" s="79">
        <v>127.2</v>
      </c>
      <c r="AT66" s="79">
        <v>1076</v>
      </c>
      <c r="AU66" s="79">
        <v>1571.8</v>
      </c>
      <c r="AV66" s="79">
        <v>68</v>
      </c>
    </row>
    <row r="67" spans="1:48" s="85" customFormat="1" x14ac:dyDescent="0.2">
      <c r="A67" s="83" t="s">
        <v>38</v>
      </c>
      <c r="B67" s="83" t="s">
        <v>663</v>
      </c>
      <c r="C67" s="83" t="s">
        <v>664</v>
      </c>
      <c r="D67" s="94">
        <v>101833.57</v>
      </c>
      <c r="E67" s="96">
        <v>14925.44</v>
      </c>
      <c r="F67" s="96">
        <v>2628.26</v>
      </c>
      <c r="G67" s="96">
        <v>8557.1299999999992</v>
      </c>
      <c r="H67" s="96">
        <v>11716.09</v>
      </c>
      <c r="I67" s="96">
        <v>15977.45</v>
      </c>
      <c r="J67" s="96">
        <v>31160.36</v>
      </c>
      <c r="K67" s="96">
        <v>5029.7700000000004</v>
      </c>
      <c r="L67" s="96">
        <v>11839.07</v>
      </c>
      <c r="M67" s="78">
        <v>118126.92</v>
      </c>
      <c r="N67" s="84">
        <v>17313.5</v>
      </c>
      <c r="O67" s="84">
        <v>3048.78</v>
      </c>
      <c r="P67" s="84">
        <v>9926.27</v>
      </c>
      <c r="Q67" s="84">
        <v>13590.66</v>
      </c>
      <c r="R67" s="84">
        <v>18533.84</v>
      </c>
      <c r="S67" s="84">
        <v>36146.019999999997</v>
      </c>
      <c r="T67" s="84">
        <v>5834.53</v>
      </c>
      <c r="U67" s="84">
        <v>13733.32</v>
      </c>
      <c r="V67" s="86">
        <v>22</v>
      </c>
      <c r="W67" s="79">
        <v>3</v>
      </c>
      <c r="X67" s="80"/>
      <c r="Y67" s="79">
        <v>3</v>
      </c>
      <c r="Z67" s="79">
        <v>3</v>
      </c>
      <c r="AA67" s="79">
        <v>2</v>
      </c>
      <c r="AB67" s="79">
        <v>8</v>
      </c>
      <c r="AC67" s="79">
        <v>1</v>
      </c>
      <c r="AD67" s="79">
        <v>2</v>
      </c>
      <c r="AE67" s="91">
        <v>4628.7986363636364</v>
      </c>
      <c r="AF67" s="84">
        <v>4975.1466666666665</v>
      </c>
      <c r="AG67" s="81" t="s">
        <v>33</v>
      </c>
      <c r="AH67" s="84">
        <v>2852.3766666666666</v>
      </c>
      <c r="AI67" s="84">
        <v>3905.3633333333332</v>
      </c>
      <c r="AJ67" s="84">
        <v>7988.7250000000004</v>
      </c>
      <c r="AK67" s="84">
        <v>3895.0450000000001</v>
      </c>
      <c r="AL67" s="84">
        <v>5029.7700000000004</v>
      </c>
      <c r="AM67" s="84">
        <v>5919.5349999999999</v>
      </c>
      <c r="AN67" s="86">
        <v>3934</v>
      </c>
      <c r="AO67" s="79">
        <v>736</v>
      </c>
      <c r="AP67" s="79">
        <v>588</v>
      </c>
      <c r="AQ67" s="79">
        <v>464</v>
      </c>
      <c r="AR67" s="79">
        <v>140</v>
      </c>
      <c r="AS67" s="79">
        <v>716</v>
      </c>
      <c r="AT67" s="79">
        <v>262</v>
      </c>
      <c r="AU67" s="79">
        <v>258</v>
      </c>
      <c r="AV67" s="79">
        <v>770</v>
      </c>
    </row>
    <row r="68" spans="1:48" s="85" customFormat="1" x14ac:dyDescent="0.2">
      <c r="A68" s="83" t="s">
        <v>38</v>
      </c>
      <c r="B68" s="83" t="s">
        <v>503</v>
      </c>
      <c r="C68" s="83" t="s">
        <v>504</v>
      </c>
      <c r="D68" s="94">
        <v>101232.86</v>
      </c>
      <c r="E68" s="96">
        <v>7298.66</v>
      </c>
      <c r="F68" s="96">
        <v>15621.4</v>
      </c>
      <c r="G68" s="96">
        <v>9270.66</v>
      </c>
      <c r="H68" s="96">
        <v>8697.17</v>
      </c>
      <c r="I68" s="96">
        <v>2623.25</v>
      </c>
      <c r="J68" s="96">
        <v>5367.38</v>
      </c>
      <c r="K68" s="96">
        <v>15991.66</v>
      </c>
      <c r="L68" s="96">
        <v>36362.68</v>
      </c>
      <c r="M68" s="78">
        <v>117352.92</v>
      </c>
      <c r="N68" s="84">
        <v>8466.4500000000007</v>
      </c>
      <c r="O68" s="84">
        <v>18120.82</v>
      </c>
      <c r="P68" s="84">
        <v>10676.76</v>
      </c>
      <c r="Q68" s="84">
        <v>10088.719999999999</v>
      </c>
      <c r="R68" s="84">
        <v>3042.97</v>
      </c>
      <c r="S68" s="84">
        <v>6226.16</v>
      </c>
      <c r="T68" s="84">
        <v>18550.330000000002</v>
      </c>
      <c r="U68" s="84">
        <v>42180.71</v>
      </c>
      <c r="V68" s="86">
        <v>201</v>
      </c>
      <c r="W68" s="79">
        <v>9</v>
      </c>
      <c r="X68" s="79">
        <v>26</v>
      </c>
      <c r="Y68" s="79">
        <v>25</v>
      </c>
      <c r="Z68" s="79">
        <v>25</v>
      </c>
      <c r="AA68" s="79">
        <v>12</v>
      </c>
      <c r="AB68" s="79">
        <v>14</v>
      </c>
      <c r="AC68" s="79">
        <v>28</v>
      </c>
      <c r="AD68" s="79">
        <v>62</v>
      </c>
      <c r="AE68" s="91">
        <v>503.6460696517413</v>
      </c>
      <c r="AF68" s="84">
        <v>810.96222222222218</v>
      </c>
      <c r="AG68" s="84">
        <v>600.82307692307688</v>
      </c>
      <c r="AH68" s="84">
        <v>370.82639999999998</v>
      </c>
      <c r="AI68" s="84">
        <v>347.88679999999999</v>
      </c>
      <c r="AJ68" s="84">
        <v>218.60416666666666</v>
      </c>
      <c r="AK68" s="84">
        <v>383.38428571428574</v>
      </c>
      <c r="AL68" s="84">
        <v>571.13071428571425</v>
      </c>
      <c r="AM68" s="84">
        <v>586.49483870967742</v>
      </c>
      <c r="AN68" s="86">
        <v>1578</v>
      </c>
      <c r="AO68" s="79">
        <v>148</v>
      </c>
      <c r="AP68" s="79">
        <v>202</v>
      </c>
      <c r="AQ68" s="79">
        <v>220</v>
      </c>
      <c r="AR68" s="79">
        <v>190</v>
      </c>
      <c r="AS68" s="79">
        <v>-52</v>
      </c>
      <c r="AT68" s="79">
        <v>114</v>
      </c>
      <c r="AU68" s="79">
        <v>184</v>
      </c>
      <c r="AV68" s="79">
        <v>572</v>
      </c>
    </row>
    <row r="69" spans="1:48" s="85" customFormat="1" x14ac:dyDescent="0.2">
      <c r="A69" s="83" t="s">
        <v>38</v>
      </c>
      <c r="B69" s="83" t="s">
        <v>701</v>
      </c>
      <c r="C69" s="83" t="s">
        <v>702</v>
      </c>
      <c r="D69" s="94">
        <v>100271.25</v>
      </c>
      <c r="E69" s="96"/>
      <c r="F69" s="96"/>
      <c r="G69" s="96"/>
      <c r="H69" s="96">
        <v>15679.66</v>
      </c>
      <c r="I69" s="96">
        <v>33296.97</v>
      </c>
      <c r="J69" s="96">
        <v>6382.53</v>
      </c>
      <c r="K69" s="96">
        <v>44912.09</v>
      </c>
      <c r="L69" s="96"/>
      <c r="M69" s="78">
        <v>116314.65</v>
      </c>
      <c r="N69" s="80"/>
      <c r="O69" s="80"/>
      <c r="P69" s="80"/>
      <c r="Q69" s="84">
        <v>18188.41</v>
      </c>
      <c r="R69" s="84">
        <v>38624.49</v>
      </c>
      <c r="S69" s="84">
        <v>7403.73</v>
      </c>
      <c r="T69" s="84">
        <v>52098.02</v>
      </c>
      <c r="U69" s="80"/>
      <c r="V69" s="86">
        <v>81</v>
      </c>
      <c r="W69" s="80"/>
      <c r="X69" s="80"/>
      <c r="Y69" s="80"/>
      <c r="Z69" s="79">
        <v>13</v>
      </c>
      <c r="AA69" s="79">
        <v>27</v>
      </c>
      <c r="AB69" s="79">
        <v>5</v>
      </c>
      <c r="AC69" s="79">
        <v>36</v>
      </c>
      <c r="AD69" s="80"/>
      <c r="AE69" s="91">
        <v>1237.9166666666667</v>
      </c>
      <c r="AF69" s="80"/>
      <c r="AG69" s="80"/>
      <c r="AH69" s="80"/>
      <c r="AI69" s="84">
        <v>1206.1276923076923</v>
      </c>
      <c r="AJ69" s="84">
        <v>1233.2211111111112</v>
      </c>
      <c r="AK69" s="84">
        <v>1276.5060000000001</v>
      </c>
      <c r="AL69" s="84">
        <v>1247.5580555555555</v>
      </c>
      <c r="AM69" s="80"/>
      <c r="AN69" s="88"/>
      <c r="AO69" s="80"/>
      <c r="AP69" s="80"/>
      <c r="AQ69" s="80"/>
      <c r="AR69" s="80"/>
      <c r="AS69" s="80"/>
      <c r="AT69" s="80"/>
      <c r="AU69" s="80"/>
      <c r="AV69" s="80"/>
    </row>
    <row r="70" spans="1:48" s="85" customFormat="1" x14ac:dyDescent="0.2">
      <c r="A70" s="83" t="s">
        <v>38</v>
      </c>
      <c r="B70" s="83" t="s">
        <v>427</v>
      </c>
      <c r="C70" s="83" t="s">
        <v>428</v>
      </c>
      <c r="D70" s="94">
        <v>99002.27</v>
      </c>
      <c r="E70" s="96">
        <v>10831.63</v>
      </c>
      <c r="F70" s="96">
        <v>13643.85</v>
      </c>
      <c r="G70" s="96">
        <v>3910.79</v>
      </c>
      <c r="H70" s="96"/>
      <c r="I70" s="96"/>
      <c r="J70" s="96"/>
      <c r="K70" s="96"/>
      <c r="L70" s="96">
        <v>70616</v>
      </c>
      <c r="M70" s="78">
        <v>114842.64</v>
      </c>
      <c r="N70" s="84">
        <v>12564.69</v>
      </c>
      <c r="O70" s="84">
        <v>15826.87</v>
      </c>
      <c r="P70" s="84">
        <v>4536.5200000000004</v>
      </c>
      <c r="Q70" s="80"/>
      <c r="R70" s="80"/>
      <c r="S70" s="80"/>
      <c r="T70" s="80"/>
      <c r="U70" s="84">
        <v>81914.559999999998</v>
      </c>
      <c r="V70" s="86">
        <v>300</v>
      </c>
      <c r="W70" s="80"/>
      <c r="X70" s="80"/>
      <c r="Y70" s="80"/>
      <c r="Z70" s="80"/>
      <c r="AA70" s="80"/>
      <c r="AB70" s="80"/>
      <c r="AC70" s="80"/>
      <c r="AD70" s="79">
        <v>300</v>
      </c>
      <c r="AE70" s="91">
        <v>330.00756666666666</v>
      </c>
      <c r="AF70" s="81" t="s">
        <v>33</v>
      </c>
      <c r="AG70" s="81" t="s">
        <v>33</v>
      </c>
      <c r="AH70" s="81" t="s">
        <v>33</v>
      </c>
      <c r="AI70" s="80"/>
      <c r="AJ70" s="80"/>
      <c r="AK70" s="80"/>
      <c r="AL70" s="80"/>
      <c r="AM70" s="84">
        <v>235.38666666666666</v>
      </c>
      <c r="AN70" s="86">
        <v>1398</v>
      </c>
      <c r="AO70" s="79">
        <v>562</v>
      </c>
      <c r="AP70" s="79">
        <v>656</v>
      </c>
      <c r="AQ70" s="79">
        <v>180</v>
      </c>
      <c r="AR70" s="80"/>
      <c r="AS70" s="80"/>
      <c r="AT70" s="80"/>
      <c r="AU70" s="80"/>
      <c r="AV70" s="80"/>
    </row>
    <row r="71" spans="1:48" s="85" customFormat="1" x14ac:dyDescent="0.2">
      <c r="A71" s="83" t="s">
        <v>47</v>
      </c>
      <c r="B71" s="83" t="s">
        <v>118</v>
      </c>
      <c r="C71" s="83" t="s">
        <v>119</v>
      </c>
      <c r="D71" s="94">
        <v>98064.51</v>
      </c>
      <c r="E71" s="96">
        <v>11385.95</v>
      </c>
      <c r="F71" s="96">
        <v>15567.26</v>
      </c>
      <c r="G71" s="96">
        <v>20227.59</v>
      </c>
      <c r="H71" s="96">
        <v>14546.29</v>
      </c>
      <c r="I71" s="96">
        <v>3635.35</v>
      </c>
      <c r="J71" s="96">
        <v>10450.25</v>
      </c>
      <c r="K71" s="96">
        <v>12504.31</v>
      </c>
      <c r="L71" s="96">
        <v>9747.51</v>
      </c>
      <c r="M71" s="78">
        <v>113754.83</v>
      </c>
      <c r="N71" s="84">
        <v>13207.7</v>
      </c>
      <c r="O71" s="84">
        <v>18058.02</v>
      </c>
      <c r="P71" s="84">
        <v>23464</v>
      </c>
      <c r="Q71" s="84">
        <v>16873.7</v>
      </c>
      <c r="R71" s="84">
        <v>4217.01</v>
      </c>
      <c r="S71" s="84">
        <v>12122.29</v>
      </c>
      <c r="T71" s="84">
        <v>14505</v>
      </c>
      <c r="U71" s="84">
        <v>11307.11</v>
      </c>
      <c r="V71" s="86">
        <v>185</v>
      </c>
      <c r="W71" s="79">
        <v>23</v>
      </c>
      <c r="X71" s="79">
        <v>30</v>
      </c>
      <c r="Y71" s="79">
        <v>41</v>
      </c>
      <c r="Z71" s="79">
        <v>29</v>
      </c>
      <c r="AA71" s="79">
        <v>9</v>
      </c>
      <c r="AB71" s="79">
        <v>15</v>
      </c>
      <c r="AC71" s="79">
        <v>23</v>
      </c>
      <c r="AD71" s="79">
        <v>15</v>
      </c>
      <c r="AE71" s="91">
        <v>530.07843243243246</v>
      </c>
      <c r="AF71" s="84">
        <v>495.0413043478261</v>
      </c>
      <c r="AG71" s="84">
        <v>518.9086666666667</v>
      </c>
      <c r="AH71" s="84">
        <v>493.3558536585366</v>
      </c>
      <c r="AI71" s="84">
        <v>501.59620689655173</v>
      </c>
      <c r="AJ71" s="84">
        <v>403.92777777777781</v>
      </c>
      <c r="AK71" s="84">
        <v>696.68333333333328</v>
      </c>
      <c r="AL71" s="84">
        <v>543.66565217391303</v>
      </c>
      <c r="AM71" s="84">
        <v>649.83399999999995</v>
      </c>
      <c r="AN71" s="86">
        <v>9180</v>
      </c>
      <c r="AO71" s="79">
        <v>1124</v>
      </c>
      <c r="AP71" s="79">
        <v>1368</v>
      </c>
      <c r="AQ71" s="79">
        <v>1884</v>
      </c>
      <c r="AR71" s="79">
        <v>1300</v>
      </c>
      <c r="AS71" s="79">
        <v>244</v>
      </c>
      <c r="AT71" s="79">
        <v>1136</v>
      </c>
      <c r="AU71" s="79">
        <v>1168</v>
      </c>
      <c r="AV71" s="79">
        <v>956</v>
      </c>
    </row>
    <row r="72" spans="1:48" s="85" customFormat="1" x14ac:dyDescent="0.2">
      <c r="A72" s="83" t="s">
        <v>38</v>
      </c>
      <c r="B72" s="83" t="s">
        <v>425</v>
      </c>
      <c r="C72" s="83" t="s">
        <v>426</v>
      </c>
      <c r="D72" s="94">
        <v>95174.49</v>
      </c>
      <c r="E72" s="96"/>
      <c r="F72" s="96">
        <v>14653.7</v>
      </c>
      <c r="G72" s="96">
        <v>6592.22</v>
      </c>
      <c r="H72" s="96"/>
      <c r="I72" s="96">
        <v>21636.32</v>
      </c>
      <c r="J72" s="96">
        <v>24386.32</v>
      </c>
      <c r="K72" s="96"/>
      <c r="L72" s="96">
        <v>27905.93</v>
      </c>
      <c r="M72" s="78">
        <v>110402.41</v>
      </c>
      <c r="N72" s="80"/>
      <c r="O72" s="84">
        <v>16998.29</v>
      </c>
      <c r="P72" s="84">
        <v>7646.98</v>
      </c>
      <c r="Q72" s="80"/>
      <c r="R72" s="84">
        <v>25098.13</v>
      </c>
      <c r="S72" s="84">
        <v>28288.13</v>
      </c>
      <c r="T72" s="80"/>
      <c r="U72" s="84">
        <v>32370.880000000001</v>
      </c>
      <c r="V72" s="86">
        <v>22</v>
      </c>
      <c r="W72" s="80"/>
      <c r="X72" s="79">
        <v>3</v>
      </c>
      <c r="Y72" s="79">
        <v>1</v>
      </c>
      <c r="Z72" s="80"/>
      <c r="AA72" s="79">
        <v>5</v>
      </c>
      <c r="AB72" s="79">
        <v>6</v>
      </c>
      <c r="AC72" s="80"/>
      <c r="AD72" s="79">
        <v>7</v>
      </c>
      <c r="AE72" s="91">
        <v>4326.1131818181821</v>
      </c>
      <c r="AF72" s="80"/>
      <c r="AG72" s="84">
        <v>4884.5666666666666</v>
      </c>
      <c r="AH72" s="84">
        <v>6592.22</v>
      </c>
      <c r="AI72" s="80"/>
      <c r="AJ72" s="84">
        <v>4327.2640000000001</v>
      </c>
      <c r="AK72" s="84">
        <v>4064.3866666666668</v>
      </c>
      <c r="AL72" s="80"/>
      <c r="AM72" s="84">
        <v>3986.5614285714287</v>
      </c>
      <c r="AN72" s="88"/>
      <c r="AO72" s="80"/>
      <c r="AP72" s="80"/>
      <c r="AQ72" s="80"/>
      <c r="AR72" s="80"/>
      <c r="AS72" s="80"/>
      <c r="AT72" s="80"/>
      <c r="AU72" s="80"/>
      <c r="AV72" s="80"/>
    </row>
    <row r="73" spans="1:48" s="85" customFormat="1" x14ac:dyDescent="0.2">
      <c r="A73" s="83" t="s">
        <v>28</v>
      </c>
      <c r="B73" s="83" t="s">
        <v>209</v>
      </c>
      <c r="C73" s="83" t="s">
        <v>210</v>
      </c>
      <c r="D73" s="94">
        <v>92992.74</v>
      </c>
      <c r="E73" s="96">
        <v>10177.43</v>
      </c>
      <c r="F73" s="96">
        <v>9396.6200000000008</v>
      </c>
      <c r="G73" s="96">
        <v>12464.49</v>
      </c>
      <c r="H73" s="96">
        <v>16425.86</v>
      </c>
      <c r="I73" s="96">
        <v>17159.18</v>
      </c>
      <c r="J73" s="96">
        <v>18148.73</v>
      </c>
      <c r="K73" s="96">
        <v>9220.43</v>
      </c>
      <c r="L73" s="96"/>
      <c r="M73" s="78">
        <v>107871.59</v>
      </c>
      <c r="N73" s="84">
        <v>11805.82</v>
      </c>
      <c r="O73" s="84">
        <v>10900.08</v>
      </c>
      <c r="P73" s="84">
        <v>14458.81</v>
      </c>
      <c r="Q73" s="84">
        <v>19054</v>
      </c>
      <c r="R73" s="84">
        <v>19904.650000000001</v>
      </c>
      <c r="S73" s="84">
        <v>21052.53</v>
      </c>
      <c r="T73" s="84">
        <v>10695.7</v>
      </c>
      <c r="U73" s="80"/>
      <c r="V73" s="88"/>
      <c r="W73" s="80"/>
      <c r="X73" s="80"/>
      <c r="Y73" s="80"/>
      <c r="Z73" s="80"/>
      <c r="AA73" s="80"/>
      <c r="AB73" s="80"/>
      <c r="AC73" s="80"/>
      <c r="AD73" s="80"/>
      <c r="AE73" s="87" t="s">
        <v>33</v>
      </c>
      <c r="AF73" s="81" t="s">
        <v>33</v>
      </c>
      <c r="AG73" s="81" t="s">
        <v>33</v>
      </c>
      <c r="AH73" s="81" t="s">
        <v>33</v>
      </c>
      <c r="AI73" s="81" t="s">
        <v>33</v>
      </c>
      <c r="AJ73" s="81" t="s">
        <v>33</v>
      </c>
      <c r="AK73" s="81" t="s">
        <v>33</v>
      </c>
      <c r="AL73" s="81" t="s">
        <v>33</v>
      </c>
      <c r="AM73" s="80"/>
      <c r="AN73" s="86">
        <v>4002</v>
      </c>
      <c r="AO73" s="79">
        <v>414</v>
      </c>
      <c r="AP73" s="79">
        <v>422</v>
      </c>
      <c r="AQ73" s="79">
        <v>552</v>
      </c>
      <c r="AR73" s="79">
        <v>702</v>
      </c>
      <c r="AS73" s="79">
        <v>736</v>
      </c>
      <c r="AT73" s="79">
        <v>774</v>
      </c>
      <c r="AU73" s="79">
        <v>402</v>
      </c>
      <c r="AV73" s="80"/>
    </row>
    <row r="74" spans="1:48" s="85" customFormat="1" x14ac:dyDescent="0.2">
      <c r="A74" s="83" t="s">
        <v>38</v>
      </c>
      <c r="B74" s="83" t="s">
        <v>589</v>
      </c>
      <c r="C74" s="83" t="s">
        <v>590</v>
      </c>
      <c r="D74" s="94">
        <v>91053.34</v>
      </c>
      <c r="E74" s="96">
        <v>10808.16</v>
      </c>
      <c r="F74" s="96">
        <v>14326.95</v>
      </c>
      <c r="G74" s="96">
        <v>13880.09</v>
      </c>
      <c r="H74" s="96">
        <v>13328.63</v>
      </c>
      <c r="I74" s="96">
        <v>7933.73</v>
      </c>
      <c r="J74" s="96">
        <v>9225.2999999999993</v>
      </c>
      <c r="K74" s="96">
        <v>12257.51</v>
      </c>
      <c r="L74" s="96">
        <v>9292.9699999999993</v>
      </c>
      <c r="M74" s="78">
        <v>105621.88</v>
      </c>
      <c r="N74" s="84">
        <v>12537.47</v>
      </c>
      <c r="O74" s="84">
        <v>16619.259999999998</v>
      </c>
      <c r="P74" s="84">
        <v>16100.9</v>
      </c>
      <c r="Q74" s="84">
        <v>15461.21</v>
      </c>
      <c r="R74" s="84">
        <v>9203.1299999999992</v>
      </c>
      <c r="S74" s="84">
        <v>10701.35</v>
      </c>
      <c r="T74" s="84">
        <v>14218.71</v>
      </c>
      <c r="U74" s="84">
        <v>10779.85</v>
      </c>
      <c r="V74" s="86">
        <v>253</v>
      </c>
      <c r="W74" s="79">
        <v>31</v>
      </c>
      <c r="X74" s="79">
        <v>38</v>
      </c>
      <c r="Y74" s="79">
        <v>39</v>
      </c>
      <c r="Z74" s="79">
        <v>36</v>
      </c>
      <c r="AA74" s="79">
        <v>27</v>
      </c>
      <c r="AB74" s="79">
        <v>28</v>
      </c>
      <c r="AC74" s="79">
        <v>28</v>
      </c>
      <c r="AD74" s="79">
        <v>26</v>
      </c>
      <c r="AE74" s="91">
        <v>359.89462450592885</v>
      </c>
      <c r="AF74" s="84">
        <v>348.65032258064514</v>
      </c>
      <c r="AG74" s="84">
        <v>377.02499999999998</v>
      </c>
      <c r="AH74" s="84">
        <v>355.89974358974359</v>
      </c>
      <c r="AI74" s="84">
        <v>370.23972222222221</v>
      </c>
      <c r="AJ74" s="84">
        <v>293.84185185185186</v>
      </c>
      <c r="AK74" s="84">
        <v>329.47500000000002</v>
      </c>
      <c r="AL74" s="84">
        <v>437.76821428571429</v>
      </c>
      <c r="AM74" s="84">
        <v>357.42192307692306</v>
      </c>
      <c r="AN74" s="86">
        <v>1354</v>
      </c>
      <c r="AO74" s="79">
        <v>160</v>
      </c>
      <c r="AP74" s="79">
        <v>282</v>
      </c>
      <c r="AQ74" s="79">
        <v>142</v>
      </c>
      <c r="AR74" s="79">
        <v>142</v>
      </c>
      <c r="AS74" s="79">
        <v>66</v>
      </c>
      <c r="AT74" s="79">
        <v>130</v>
      </c>
      <c r="AU74" s="79">
        <v>242</v>
      </c>
      <c r="AV74" s="79">
        <v>190</v>
      </c>
    </row>
    <row r="75" spans="1:48" s="85" customFormat="1" ht="13.5" customHeight="1" x14ac:dyDescent="0.2">
      <c r="A75" s="83" t="s">
        <v>38</v>
      </c>
      <c r="B75" s="83" t="s">
        <v>691</v>
      </c>
      <c r="C75" s="83" t="s">
        <v>692</v>
      </c>
      <c r="D75" s="94">
        <v>89164.64</v>
      </c>
      <c r="E75" s="96">
        <v>83723</v>
      </c>
      <c r="F75" s="96">
        <v>5441.64</v>
      </c>
      <c r="G75" s="96"/>
      <c r="H75" s="96"/>
      <c r="I75" s="96"/>
      <c r="J75" s="96"/>
      <c r="K75" s="96"/>
      <c r="L75" s="96"/>
      <c r="M75" s="78">
        <v>103430.97</v>
      </c>
      <c r="N75" s="84">
        <v>97118.67</v>
      </c>
      <c r="O75" s="84">
        <v>6312.3</v>
      </c>
      <c r="P75" s="80"/>
      <c r="Q75" s="80"/>
      <c r="R75" s="80"/>
      <c r="S75" s="80"/>
      <c r="T75" s="80"/>
      <c r="U75" s="80"/>
      <c r="V75" s="86">
        <v>828</v>
      </c>
      <c r="W75" s="79">
        <v>810</v>
      </c>
      <c r="X75" s="79">
        <v>18</v>
      </c>
      <c r="Y75" s="80"/>
      <c r="Z75" s="80"/>
      <c r="AA75" s="80"/>
      <c r="AB75" s="80"/>
      <c r="AC75" s="80"/>
      <c r="AD75" s="80"/>
      <c r="AE75" s="91">
        <v>107.68676328502416</v>
      </c>
      <c r="AF75" s="84">
        <v>103.36172839506173</v>
      </c>
      <c r="AG75" s="84">
        <v>302.31333333333333</v>
      </c>
      <c r="AH75" s="80"/>
      <c r="AI75" s="80"/>
      <c r="AJ75" s="80"/>
      <c r="AK75" s="80"/>
      <c r="AL75" s="80"/>
      <c r="AM75" s="80"/>
      <c r="AN75" s="86">
        <v>70</v>
      </c>
      <c r="AO75" s="79">
        <v>70</v>
      </c>
      <c r="AP75" s="80"/>
      <c r="AQ75" s="80"/>
      <c r="AR75" s="80"/>
      <c r="AS75" s="80"/>
      <c r="AT75" s="80"/>
      <c r="AU75" s="80"/>
      <c r="AV75" s="80"/>
    </row>
    <row r="76" spans="1:48" s="85" customFormat="1" x14ac:dyDescent="0.2">
      <c r="A76" s="83" t="s">
        <v>47</v>
      </c>
      <c r="B76" s="83" t="s">
        <v>72</v>
      </c>
      <c r="C76" s="83" t="s">
        <v>73</v>
      </c>
      <c r="D76" s="94">
        <v>88021.04</v>
      </c>
      <c r="E76" s="96">
        <v>21955.63</v>
      </c>
      <c r="F76" s="96">
        <v>7756.19</v>
      </c>
      <c r="G76" s="96">
        <v>6818.36</v>
      </c>
      <c r="H76" s="96">
        <v>23282.49</v>
      </c>
      <c r="I76" s="96">
        <v>2722.04</v>
      </c>
      <c r="J76" s="96">
        <v>4022.46</v>
      </c>
      <c r="K76" s="96">
        <v>21463.87</v>
      </c>
      <c r="L76" s="96"/>
      <c r="M76" s="78">
        <v>102104.41</v>
      </c>
      <c r="N76" s="84">
        <v>25468.53</v>
      </c>
      <c r="O76" s="84">
        <v>8997.18</v>
      </c>
      <c r="P76" s="84">
        <v>7909.3</v>
      </c>
      <c r="Q76" s="84">
        <v>27007.69</v>
      </c>
      <c r="R76" s="84">
        <v>3157.57</v>
      </c>
      <c r="S76" s="84">
        <v>4666.05</v>
      </c>
      <c r="T76" s="84">
        <v>24898.09</v>
      </c>
      <c r="U76" s="80"/>
      <c r="V76" s="86">
        <v>201</v>
      </c>
      <c r="W76" s="79">
        <v>52</v>
      </c>
      <c r="X76" s="79">
        <v>20</v>
      </c>
      <c r="Y76" s="79">
        <v>17</v>
      </c>
      <c r="Z76" s="79">
        <v>44</v>
      </c>
      <c r="AA76" s="79">
        <v>8</v>
      </c>
      <c r="AB76" s="79">
        <v>11</v>
      </c>
      <c r="AC76" s="79">
        <v>49</v>
      </c>
      <c r="AD76" s="80"/>
      <c r="AE76" s="91">
        <v>437.91562189054724</v>
      </c>
      <c r="AF76" s="84">
        <v>422.22365384615387</v>
      </c>
      <c r="AG76" s="84">
        <v>387.80950000000001</v>
      </c>
      <c r="AH76" s="84">
        <v>401.08</v>
      </c>
      <c r="AI76" s="84">
        <v>529.14750000000004</v>
      </c>
      <c r="AJ76" s="84">
        <v>340.255</v>
      </c>
      <c r="AK76" s="84">
        <v>365.67818181818183</v>
      </c>
      <c r="AL76" s="84">
        <v>438.03816326530614</v>
      </c>
      <c r="AM76" s="80"/>
      <c r="AN76" s="86">
        <v>5078</v>
      </c>
      <c r="AO76" s="79">
        <v>1368</v>
      </c>
      <c r="AP76" s="79">
        <v>380</v>
      </c>
      <c r="AQ76" s="79">
        <v>350</v>
      </c>
      <c r="AR76" s="79">
        <v>1520</v>
      </c>
      <c r="AS76" s="79">
        <v>96</v>
      </c>
      <c r="AT76" s="79">
        <v>188</v>
      </c>
      <c r="AU76" s="79">
        <v>1176</v>
      </c>
      <c r="AV76" s="80"/>
    </row>
    <row r="77" spans="1:48" s="85" customFormat="1" x14ac:dyDescent="0.2">
      <c r="A77" s="83" t="s">
        <v>38</v>
      </c>
      <c r="B77" s="83" t="s">
        <v>575</v>
      </c>
      <c r="C77" s="83" t="s">
        <v>576</v>
      </c>
      <c r="D77" s="94">
        <v>85454.23</v>
      </c>
      <c r="E77" s="96">
        <v>10273.36</v>
      </c>
      <c r="F77" s="96">
        <v>18981.169999999998</v>
      </c>
      <c r="G77" s="96">
        <v>13593.95</v>
      </c>
      <c r="H77" s="96">
        <v>10075.219999999999</v>
      </c>
      <c r="I77" s="96">
        <v>8220.36</v>
      </c>
      <c r="J77" s="96">
        <v>15020.94</v>
      </c>
      <c r="K77" s="96">
        <v>9289.23</v>
      </c>
      <c r="L77" s="96"/>
      <c r="M77" s="78">
        <v>99126.92</v>
      </c>
      <c r="N77" s="84">
        <v>11917.1</v>
      </c>
      <c r="O77" s="84">
        <v>22018.16</v>
      </c>
      <c r="P77" s="84">
        <v>15768.98</v>
      </c>
      <c r="Q77" s="84">
        <v>11687.26</v>
      </c>
      <c r="R77" s="84">
        <v>9535.6200000000008</v>
      </c>
      <c r="S77" s="84">
        <v>17424.29</v>
      </c>
      <c r="T77" s="84">
        <v>10775.51</v>
      </c>
      <c r="U77" s="80"/>
      <c r="V77" s="86">
        <v>209</v>
      </c>
      <c r="W77" s="79">
        <v>26</v>
      </c>
      <c r="X77" s="79">
        <v>21</v>
      </c>
      <c r="Y77" s="79">
        <v>41</v>
      </c>
      <c r="Z77" s="79">
        <v>31</v>
      </c>
      <c r="AA77" s="79">
        <v>21</v>
      </c>
      <c r="AB77" s="79">
        <v>45</v>
      </c>
      <c r="AC77" s="79">
        <v>24</v>
      </c>
      <c r="AD77" s="80"/>
      <c r="AE77" s="91">
        <v>408.87191387559807</v>
      </c>
      <c r="AF77" s="84">
        <v>395.12923076923079</v>
      </c>
      <c r="AG77" s="84">
        <v>903.86523809523806</v>
      </c>
      <c r="AH77" s="84">
        <v>331.55975609756098</v>
      </c>
      <c r="AI77" s="84">
        <v>325.00709677419354</v>
      </c>
      <c r="AJ77" s="84">
        <v>391.4457142857143</v>
      </c>
      <c r="AK77" s="84">
        <v>333.79866666666669</v>
      </c>
      <c r="AL77" s="84">
        <v>387.05124999999998</v>
      </c>
      <c r="AM77" s="80"/>
      <c r="AN77" s="86">
        <v>2476</v>
      </c>
      <c r="AO77" s="79">
        <v>338</v>
      </c>
      <c r="AP77" s="79">
        <v>428</v>
      </c>
      <c r="AQ77" s="79">
        <v>426</v>
      </c>
      <c r="AR77" s="79">
        <v>306</v>
      </c>
      <c r="AS77" s="79">
        <v>222</v>
      </c>
      <c r="AT77" s="79">
        <v>484</v>
      </c>
      <c r="AU77" s="79">
        <v>272</v>
      </c>
      <c r="AV77" s="80"/>
    </row>
    <row r="78" spans="1:48" s="85" customFormat="1" x14ac:dyDescent="0.2">
      <c r="A78" s="83" t="s">
        <v>38</v>
      </c>
      <c r="B78" s="83" t="s">
        <v>667</v>
      </c>
      <c r="C78" s="83" t="s">
        <v>668</v>
      </c>
      <c r="D78" s="94">
        <v>83586.09</v>
      </c>
      <c r="E78" s="96">
        <v>1258.24</v>
      </c>
      <c r="F78" s="96">
        <v>4908.1400000000003</v>
      </c>
      <c r="G78" s="96">
        <v>6855.41</v>
      </c>
      <c r="H78" s="96">
        <v>18783.669999999998</v>
      </c>
      <c r="I78" s="96">
        <v>17190.919999999998</v>
      </c>
      <c r="J78" s="96">
        <v>16105.86</v>
      </c>
      <c r="K78" s="96">
        <v>12308.89</v>
      </c>
      <c r="L78" s="96">
        <v>6174.96</v>
      </c>
      <c r="M78" s="78">
        <v>96959.86</v>
      </c>
      <c r="N78" s="84">
        <v>1459.55</v>
      </c>
      <c r="O78" s="84">
        <v>5693.44</v>
      </c>
      <c r="P78" s="84">
        <v>7952.28</v>
      </c>
      <c r="Q78" s="84">
        <v>21789.06</v>
      </c>
      <c r="R78" s="84">
        <v>19941.47</v>
      </c>
      <c r="S78" s="84">
        <v>18682.8</v>
      </c>
      <c r="T78" s="84">
        <v>14278.31</v>
      </c>
      <c r="U78" s="84">
        <v>7162.95</v>
      </c>
      <c r="V78" s="86">
        <v>331</v>
      </c>
      <c r="W78" s="79">
        <v>8</v>
      </c>
      <c r="X78" s="79">
        <v>22</v>
      </c>
      <c r="Y78" s="79">
        <v>34</v>
      </c>
      <c r="Z78" s="79">
        <v>77</v>
      </c>
      <c r="AA78" s="79">
        <v>48</v>
      </c>
      <c r="AB78" s="79">
        <v>66</v>
      </c>
      <c r="AC78" s="79">
        <v>48</v>
      </c>
      <c r="AD78" s="79">
        <v>28</v>
      </c>
      <c r="AE78" s="91">
        <v>252.52595166163141</v>
      </c>
      <c r="AF78" s="84">
        <v>157.28</v>
      </c>
      <c r="AG78" s="84">
        <v>223.09727272727272</v>
      </c>
      <c r="AH78" s="84">
        <v>201.62970588235294</v>
      </c>
      <c r="AI78" s="84">
        <v>243.94376623376624</v>
      </c>
      <c r="AJ78" s="84">
        <v>358.14416666666665</v>
      </c>
      <c r="AK78" s="84">
        <v>244.02818181818182</v>
      </c>
      <c r="AL78" s="84">
        <v>256.43520833333332</v>
      </c>
      <c r="AM78" s="84">
        <v>220.53428571428572</v>
      </c>
      <c r="AN78" s="86">
        <v>1658</v>
      </c>
      <c r="AO78" s="79">
        <v>10</v>
      </c>
      <c r="AP78" s="79">
        <v>262</v>
      </c>
      <c r="AQ78" s="79">
        <v>78</v>
      </c>
      <c r="AR78" s="79">
        <v>232</v>
      </c>
      <c r="AS78" s="79">
        <v>368</v>
      </c>
      <c r="AT78" s="79">
        <v>324</v>
      </c>
      <c r="AU78" s="79">
        <v>298</v>
      </c>
      <c r="AV78" s="79">
        <v>86</v>
      </c>
    </row>
    <row r="79" spans="1:48" s="85" customFormat="1" x14ac:dyDescent="0.2">
      <c r="A79" s="83" t="s">
        <v>38</v>
      </c>
      <c r="B79" s="83" t="s">
        <v>621</v>
      </c>
      <c r="C79" s="83" t="s">
        <v>622</v>
      </c>
      <c r="D79" s="94">
        <v>82637.649999999994</v>
      </c>
      <c r="E79" s="96"/>
      <c r="F79" s="96"/>
      <c r="G79" s="96">
        <v>81515.61</v>
      </c>
      <c r="H79" s="96">
        <v>1122.04</v>
      </c>
      <c r="I79" s="96"/>
      <c r="J79" s="96"/>
      <c r="K79" s="96"/>
      <c r="L79" s="96"/>
      <c r="M79" s="78">
        <v>95859.68</v>
      </c>
      <c r="N79" s="80"/>
      <c r="O79" s="80"/>
      <c r="P79" s="84">
        <v>94558.11</v>
      </c>
      <c r="Q79" s="84">
        <v>1301.57</v>
      </c>
      <c r="R79" s="80"/>
      <c r="S79" s="80"/>
      <c r="T79" s="80"/>
      <c r="U79" s="80"/>
      <c r="V79" s="86">
        <v>125</v>
      </c>
      <c r="W79" s="80"/>
      <c r="X79" s="80"/>
      <c r="Y79" s="79">
        <v>124</v>
      </c>
      <c r="Z79" s="79">
        <v>1</v>
      </c>
      <c r="AA79" s="80"/>
      <c r="AB79" s="80"/>
      <c r="AC79" s="80"/>
      <c r="AD79" s="80"/>
      <c r="AE79" s="91">
        <v>661.10119999999995</v>
      </c>
      <c r="AF79" s="80"/>
      <c r="AG79" s="80"/>
      <c r="AH79" s="84">
        <v>657.38395161290327</v>
      </c>
      <c r="AI79" s="84">
        <v>1122.04</v>
      </c>
      <c r="AJ79" s="80"/>
      <c r="AK79" s="80"/>
      <c r="AL79" s="80"/>
      <c r="AM79" s="80"/>
      <c r="AN79" s="86">
        <v>1330</v>
      </c>
      <c r="AO79" s="80"/>
      <c r="AP79" s="80"/>
      <c r="AQ79" s="79">
        <v>1298</v>
      </c>
      <c r="AR79" s="79">
        <v>32</v>
      </c>
      <c r="AS79" s="80"/>
      <c r="AT79" s="80"/>
      <c r="AU79" s="80"/>
      <c r="AV79" s="80"/>
    </row>
    <row r="80" spans="1:48" s="85" customFormat="1" x14ac:dyDescent="0.2">
      <c r="A80" s="83" t="s">
        <v>28</v>
      </c>
      <c r="B80" s="83" t="s">
        <v>261</v>
      </c>
      <c r="C80" s="83" t="s">
        <v>262</v>
      </c>
      <c r="D80" s="94">
        <v>81935.48</v>
      </c>
      <c r="E80" s="96">
        <v>296.57</v>
      </c>
      <c r="F80" s="96">
        <v>10361.69</v>
      </c>
      <c r="G80" s="96">
        <v>272.52</v>
      </c>
      <c r="H80" s="96">
        <v>21851.48</v>
      </c>
      <c r="I80" s="96">
        <v>44431.81</v>
      </c>
      <c r="J80" s="96">
        <v>4283.54</v>
      </c>
      <c r="K80" s="96">
        <v>415.37</v>
      </c>
      <c r="L80" s="96">
        <v>22.5</v>
      </c>
      <c r="M80" s="78">
        <v>95045.16</v>
      </c>
      <c r="N80" s="84">
        <v>344.02</v>
      </c>
      <c r="O80" s="84">
        <v>12019.56</v>
      </c>
      <c r="P80" s="84">
        <v>316.12</v>
      </c>
      <c r="Q80" s="84">
        <v>25347.72</v>
      </c>
      <c r="R80" s="84">
        <v>51540.9</v>
      </c>
      <c r="S80" s="84">
        <v>4968.91</v>
      </c>
      <c r="T80" s="84">
        <v>481.83</v>
      </c>
      <c r="U80" s="84">
        <v>26.1</v>
      </c>
      <c r="V80" s="86">
        <v>300</v>
      </c>
      <c r="W80" s="80"/>
      <c r="X80" s="79">
        <v>50</v>
      </c>
      <c r="Y80" s="80"/>
      <c r="Z80" s="79">
        <v>100</v>
      </c>
      <c r="AA80" s="79">
        <v>150</v>
      </c>
      <c r="AB80" s="80"/>
      <c r="AC80" s="80"/>
      <c r="AD80" s="80"/>
      <c r="AE80" s="91">
        <v>273.11826666666667</v>
      </c>
      <c r="AF80" s="81" t="s">
        <v>33</v>
      </c>
      <c r="AG80" s="84">
        <v>207.2338</v>
      </c>
      <c r="AH80" s="81" t="s">
        <v>33</v>
      </c>
      <c r="AI80" s="84">
        <v>218.51480000000001</v>
      </c>
      <c r="AJ80" s="84">
        <v>296.21206666666666</v>
      </c>
      <c r="AK80" s="81" t="s">
        <v>33</v>
      </c>
      <c r="AL80" s="81" t="s">
        <v>33</v>
      </c>
      <c r="AM80" s="81" t="s">
        <v>33</v>
      </c>
      <c r="AN80" s="86">
        <v>2960</v>
      </c>
      <c r="AO80" s="79">
        <v>26</v>
      </c>
      <c r="AP80" s="81"/>
      <c r="AQ80" s="79">
        <v>8</v>
      </c>
      <c r="AR80" s="79">
        <v>112</v>
      </c>
      <c r="AS80" s="79">
        <v>2120</v>
      </c>
      <c r="AT80" s="79">
        <v>638</v>
      </c>
      <c r="AU80" s="79">
        <v>54</v>
      </c>
      <c r="AV80" s="79">
        <v>2</v>
      </c>
    </row>
    <row r="81" spans="1:48" s="85" customFormat="1" x14ac:dyDescent="0.2">
      <c r="A81" s="83" t="s">
        <v>38</v>
      </c>
      <c r="B81" s="83" t="s">
        <v>605</v>
      </c>
      <c r="C81" s="83" t="s">
        <v>606</v>
      </c>
      <c r="D81" s="94">
        <v>81433.960000000006</v>
      </c>
      <c r="E81" s="96">
        <v>13182.34</v>
      </c>
      <c r="F81" s="96">
        <v>15270.99</v>
      </c>
      <c r="G81" s="96">
        <v>8314.2099999999991</v>
      </c>
      <c r="H81" s="96">
        <v>7054.88</v>
      </c>
      <c r="I81" s="96">
        <v>8431.19</v>
      </c>
      <c r="J81" s="96">
        <v>8799.24</v>
      </c>
      <c r="K81" s="96">
        <v>6222.64</v>
      </c>
      <c r="L81" s="96">
        <v>14158.47</v>
      </c>
      <c r="M81" s="78">
        <v>94463.39</v>
      </c>
      <c r="N81" s="84">
        <v>15291.51</v>
      </c>
      <c r="O81" s="84">
        <v>17714.349999999999</v>
      </c>
      <c r="P81" s="84">
        <v>9644.48</v>
      </c>
      <c r="Q81" s="84">
        <v>8183.66</v>
      </c>
      <c r="R81" s="84">
        <v>9780.18</v>
      </c>
      <c r="S81" s="84">
        <v>10207.120000000001</v>
      </c>
      <c r="T81" s="84">
        <v>7218.26</v>
      </c>
      <c r="U81" s="84">
        <v>16423.830000000002</v>
      </c>
      <c r="V81" s="86">
        <v>205</v>
      </c>
      <c r="W81" s="79">
        <v>34</v>
      </c>
      <c r="X81" s="79">
        <v>32</v>
      </c>
      <c r="Y81" s="79">
        <v>27</v>
      </c>
      <c r="Z81" s="79">
        <v>22</v>
      </c>
      <c r="AA81" s="79">
        <v>24</v>
      </c>
      <c r="AB81" s="79">
        <v>22</v>
      </c>
      <c r="AC81" s="79">
        <v>11</v>
      </c>
      <c r="AD81" s="79">
        <v>33</v>
      </c>
      <c r="AE81" s="91">
        <v>397.2388292682927</v>
      </c>
      <c r="AF81" s="84">
        <v>387.71588235294121</v>
      </c>
      <c r="AG81" s="84">
        <v>477.21843749999999</v>
      </c>
      <c r="AH81" s="84">
        <v>307.93370370370371</v>
      </c>
      <c r="AI81" s="84">
        <v>320.67636363636365</v>
      </c>
      <c r="AJ81" s="84">
        <v>351.29958333333332</v>
      </c>
      <c r="AK81" s="84">
        <v>399.96545454545458</v>
      </c>
      <c r="AL81" s="84">
        <v>565.6945454545455</v>
      </c>
      <c r="AM81" s="84">
        <v>429.04454545454547</v>
      </c>
      <c r="AN81" s="86">
        <v>2210</v>
      </c>
      <c r="AO81" s="79">
        <v>456</v>
      </c>
      <c r="AP81" s="79">
        <v>464</v>
      </c>
      <c r="AQ81" s="79">
        <v>152</v>
      </c>
      <c r="AR81" s="79">
        <v>162</v>
      </c>
      <c r="AS81" s="79">
        <v>212</v>
      </c>
      <c r="AT81" s="79">
        <v>220</v>
      </c>
      <c r="AU81" s="79">
        <v>160</v>
      </c>
      <c r="AV81" s="79">
        <v>384</v>
      </c>
    </row>
    <row r="82" spans="1:48" s="85" customFormat="1" x14ac:dyDescent="0.2">
      <c r="A82" s="83" t="s">
        <v>38</v>
      </c>
      <c r="B82" s="83" t="s">
        <v>361</v>
      </c>
      <c r="C82" s="83" t="s">
        <v>362</v>
      </c>
      <c r="D82" s="94">
        <v>80473.47</v>
      </c>
      <c r="E82" s="96">
        <v>5093.2299999999996</v>
      </c>
      <c r="F82" s="96">
        <v>46498.82</v>
      </c>
      <c r="G82" s="96">
        <v>8120.68</v>
      </c>
      <c r="H82" s="96">
        <v>2751.86</v>
      </c>
      <c r="I82" s="96">
        <v>13205.35</v>
      </c>
      <c r="J82" s="96">
        <v>2402.7800000000002</v>
      </c>
      <c r="K82" s="96">
        <v>2400.75</v>
      </c>
      <c r="L82" s="96"/>
      <c r="M82" s="78">
        <v>93349.23</v>
      </c>
      <c r="N82" s="84">
        <v>5908.15</v>
      </c>
      <c r="O82" s="84">
        <v>53938.63</v>
      </c>
      <c r="P82" s="84">
        <v>9419.99</v>
      </c>
      <c r="Q82" s="84">
        <v>3192.16</v>
      </c>
      <c r="R82" s="84">
        <v>15318.21</v>
      </c>
      <c r="S82" s="84">
        <v>2787.22</v>
      </c>
      <c r="T82" s="84">
        <v>2784.87</v>
      </c>
      <c r="U82" s="80"/>
      <c r="V82" s="86">
        <v>65</v>
      </c>
      <c r="W82" s="79">
        <v>3</v>
      </c>
      <c r="X82" s="79">
        <v>46</v>
      </c>
      <c r="Y82" s="79">
        <v>6</v>
      </c>
      <c r="Z82" s="79">
        <v>2</v>
      </c>
      <c r="AA82" s="79">
        <v>6</v>
      </c>
      <c r="AB82" s="79">
        <v>1</v>
      </c>
      <c r="AC82" s="79">
        <v>1</v>
      </c>
      <c r="AD82" s="80"/>
      <c r="AE82" s="91">
        <v>1238.0533846153846</v>
      </c>
      <c r="AF82" s="84">
        <v>1697.7433333333333</v>
      </c>
      <c r="AG82" s="84">
        <v>1010.8439130434782</v>
      </c>
      <c r="AH82" s="84">
        <v>1353.4466666666667</v>
      </c>
      <c r="AI82" s="84">
        <v>1375.93</v>
      </c>
      <c r="AJ82" s="84">
        <v>2200.8916666666669</v>
      </c>
      <c r="AK82" s="84">
        <v>2402.7800000000002</v>
      </c>
      <c r="AL82" s="84">
        <v>2400.75</v>
      </c>
      <c r="AM82" s="80"/>
      <c r="AN82" s="86">
        <v>1486</v>
      </c>
      <c r="AO82" s="79">
        <v>12</v>
      </c>
      <c r="AP82" s="79">
        <v>1378</v>
      </c>
      <c r="AQ82" s="79">
        <v>54</v>
      </c>
      <c r="AR82" s="79">
        <v>42</v>
      </c>
      <c r="AS82" s="80"/>
      <c r="AT82" s="80"/>
      <c r="AU82" s="80"/>
      <c r="AV82" s="80"/>
    </row>
    <row r="83" spans="1:48" s="85" customFormat="1" x14ac:dyDescent="0.2">
      <c r="A83" s="83" t="s">
        <v>28</v>
      </c>
      <c r="B83" s="83" t="s">
        <v>325</v>
      </c>
      <c r="C83" s="83" t="s">
        <v>326</v>
      </c>
      <c r="D83" s="94">
        <v>77408.41</v>
      </c>
      <c r="E83" s="96">
        <v>1108.3599999999999</v>
      </c>
      <c r="F83" s="96"/>
      <c r="G83" s="96">
        <v>38783.19</v>
      </c>
      <c r="H83" s="96">
        <v>3113.18</v>
      </c>
      <c r="I83" s="96">
        <v>1591.48</v>
      </c>
      <c r="J83" s="96">
        <v>272.94</v>
      </c>
      <c r="K83" s="96">
        <v>32539.26</v>
      </c>
      <c r="L83" s="96"/>
      <c r="M83" s="78">
        <v>89793.76</v>
      </c>
      <c r="N83" s="84">
        <v>1285.7</v>
      </c>
      <c r="O83" s="80"/>
      <c r="P83" s="84">
        <v>44988.5</v>
      </c>
      <c r="Q83" s="84">
        <v>3611.29</v>
      </c>
      <c r="R83" s="84">
        <v>1846.12</v>
      </c>
      <c r="S83" s="84">
        <v>316.61</v>
      </c>
      <c r="T83" s="84">
        <v>37745.54</v>
      </c>
      <c r="U83" s="80"/>
      <c r="V83" s="86">
        <v>35</v>
      </c>
      <c r="W83" s="79">
        <v>2</v>
      </c>
      <c r="X83" s="80"/>
      <c r="Y83" s="79">
        <v>17</v>
      </c>
      <c r="Z83" s="79">
        <v>8</v>
      </c>
      <c r="AA83" s="79">
        <v>3</v>
      </c>
      <c r="AB83" s="79">
        <v>1</v>
      </c>
      <c r="AC83" s="79">
        <v>4</v>
      </c>
      <c r="AD83" s="80"/>
      <c r="AE83" s="91">
        <v>2211.6688571428572</v>
      </c>
      <c r="AF83" s="84">
        <v>554.17999999999995</v>
      </c>
      <c r="AG83" s="80"/>
      <c r="AH83" s="84">
        <v>2281.3641176470587</v>
      </c>
      <c r="AI83" s="84">
        <v>389.14749999999998</v>
      </c>
      <c r="AJ83" s="84">
        <v>530.49333333333334</v>
      </c>
      <c r="AK83" s="84">
        <v>272.94</v>
      </c>
      <c r="AL83" s="84">
        <v>8134.8149999999996</v>
      </c>
      <c r="AM83" s="80"/>
      <c r="AN83" s="86">
        <v>1314</v>
      </c>
      <c r="AO83" s="79">
        <v>154</v>
      </c>
      <c r="AP83" s="80"/>
      <c r="AQ83" s="79">
        <v>864</v>
      </c>
      <c r="AR83" s="79">
        <v>158</v>
      </c>
      <c r="AS83" s="79">
        <v>138</v>
      </c>
      <c r="AT83" s="80"/>
      <c r="AU83" s="80"/>
      <c r="AV83" s="80"/>
    </row>
    <row r="84" spans="1:48" s="85" customFormat="1" x14ac:dyDescent="0.2">
      <c r="A84" s="83" t="s">
        <v>38</v>
      </c>
      <c r="B84" s="83" t="s">
        <v>423</v>
      </c>
      <c r="C84" s="83" t="s">
        <v>424</v>
      </c>
      <c r="D84" s="94">
        <v>75536.710000000006</v>
      </c>
      <c r="E84" s="96">
        <v>29962.98</v>
      </c>
      <c r="F84" s="96">
        <v>2925.78</v>
      </c>
      <c r="G84" s="96">
        <v>1911.82</v>
      </c>
      <c r="H84" s="96">
        <v>1994</v>
      </c>
      <c r="I84" s="96">
        <v>31530.799999999999</v>
      </c>
      <c r="J84" s="96">
        <v>4235.57</v>
      </c>
      <c r="K84" s="96">
        <v>2975.76</v>
      </c>
      <c r="L84" s="96"/>
      <c r="M84" s="78">
        <v>87622.58</v>
      </c>
      <c r="N84" s="84">
        <v>34757.06</v>
      </c>
      <c r="O84" s="84">
        <v>3393.9</v>
      </c>
      <c r="P84" s="84">
        <v>2217.71</v>
      </c>
      <c r="Q84" s="84">
        <v>2313.04</v>
      </c>
      <c r="R84" s="84">
        <v>36575.730000000003</v>
      </c>
      <c r="S84" s="84">
        <v>4913.26</v>
      </c>
      <c r="T84" s="84">
        <v>3451.88</v>
      </c>
      <c r="U84" s="80"/>
      <c r="V84" s="86">
        <v>350</v>
      </c>
      <c r="W84" s="79">
        <v>150</v>
      </c>
      <c r="X84" s="80"/>
      <c r="Y84" s="80"/>
      <c r="Z84" s="80"/>
      <c r="AA84" s="79">
        <v>200</v>
      </c>
      <c r="AB84" s="80"/>
      <c r="AC84" s="80"/>
      <c r="AD84" s="80"/>
      <c r="AE84" s="91">
        <v>215.81917142857142</v>
      </c>
      <c r="AF84" s="84">
        <v>199.75319999999999</v>
      </c>
      <c r="AG84" s="81" t="s">
        <v>33</v>
      </c>
      <c r="AH84" s="81" t="s">
        <v>33</v>
      </c>
      <c r="AI84" s="81" t="s">
        <v>33</v>
      </c>
      <c r="AJ84" s="84">
        <v>157.654</v>
      </c>
      <c r="AK84" s="81" t="s">
        <v>33</v>
      </c>
      <c r="AL84" s="81" t="s">
        <v>33</v>
      </c>
      <c r="AM84" s="80"/>
      <c r="AN84" s="86">
        <v>3762</v>
      </c>
      <c r="AO84" s="79">
        <v>458</v>
      </c>
      <c r="AP84" s="79">
        <v>750</v>
      </c>
      <c r="AQ84" s="79">
        <v>170</v>
      </c>
      <c r="AR84" s="79">
        <v>408</v>
      </c>
      <c r="AS84" s="79">
        <v>228</v>
      </c>
      <c r="AT84" s="79">
        <v>1028</v>
      </c>
      <c r="AU84" s="79">
        <v>720</v>
      </c>
      <c r="AV84" s="80"/>
    </row>
    <row r="85" spans="1:48" s="85" customFormat="1" x14ac:dyDescent="0.2">
      <c r="A85" s="83" t="s">
        <v>28</v>
      </c>
      <c r="B85" s="83" t="s">
        <v>331</v>
      </c>
      <c r="C85" s="83" t="s">
        <v>332</v>
      </c>
      <c r="D85" s="94">
        <v>75515</v>
      </c>
      <c r="E85" s="96">
        <v>523.07000000000005</v>
      </c>
      <c r="F85" s="96">
        <v>269.19</v>
      </c>
      <c r="G85" s="96">
        <v>72719.429999999993</v>
      </c>
      <c r="H85" s="96">
        <v>641.88</v>
      </c>
      <c r="I85" s="96"/>
      <c r="J85" s="96">
        <v>43.12</v>
      </c>
      <c r="K85" s="96">
        <v>175.48</v>
      </c>
      <c r="L85" s="96">
        <v>1142.83</v>
      </c>
      <c r="M85" s="78">
        <v>87597.4</v>
      </c>
      <c r="N85" s="84">
        <v>606.76</v>
      </c>
      <c r="O85" s="84">
        <v>312.26</v>
      </c>
      <c r="P85" s="84">
        <v>84354.54</v>
      </c>
      <c r="Q85" s="84">
        <v>744.58</v>
      </c>
      <c r="R85" s="80"/>
      <c r="S85" s="84">
        <v>50.02</v>
      </c>
      <c r="T85" s="84">
        <v>203.56</v>
      </c>
      <c r="U85" s="84">
        <v>1325.68</v>
      </c>
      <c r="V85" s="86">
        <v>400</v>
      </c>
      <c r="W85" s="80"/>
      <c r="X85" s="80"/>
      <c r="Y85" s="79">
        <v>400</v>
      </c>
      <c r="Z85" s="80"/>
      <c r="AA85" s="80"/>
      <c r="AB85" s="80"/>
      <c r="AC85" s="80"/>
      <c r="AD85" s="80"/>
      <c r="AE85" s="91">
        <v>188.78749999999999</v>
      </c>
      <c r="AF85" s="81" t="s">
        <v>33</v>
      </c>
      <c r="AG85" s="81" t="s">
        <v>33</v>
      </c>
      <c r="AH85" s="84">
        <v>181.798575</v>
      </c>
      <c r="AI85" s="81" t="s">
        <v>33</v>
      </c>
      <c r="AJ85" s="80"/>
      <c r="AK85" s="81" t="s">
        <v>33</v>
      </c>
      <c r="AL85" s="81" t="s">
        <v>33</v>
      </c>
      <c r="AM85" s="81" t="s">
        <v>33</v>
      </c>
      <c r="AN85" s="86">
        <v>88</v>
      </c>
      <c r="AO85" s="79">
        <v>8</v>
      </c>
      <c r="AP85" s="79">
        <v>6</v>
      </c>
      <c r="AQ85" s="79">
        <v>30</v>
      </c>
      <c r="AR85" s="79">
        <v>12</v>
      </c>
      <c r="AS85" s="80"/>
      <c r="AT85" s="79">
        <v>2</v>
      </c>
      <c r="AU85" s="79">
        <v>4</v>
      </c>
      <c r="AV85" s="79">
        <v>26</v>
      </c>
    </row>
    <row r="86" spans="1:48" s="85" customFormat="1" x14ac:dyDescent="0.2">
      <c r="A86" s="83" t="s">
        <v>28</v>
      </c>
      <c r="B86" s="83" t="s">
        <v>245</v>
      </c>
      <c r="C86" s="83" t="s">
        <v>246</v>
      </c>
      <c r="D86" s="94">
        <v>74450.429999999993</v>
      </c>
      <c r="E86" s="96">
        <v>2557.31</v>
      </c>
      <c r="F86" s="96">
        <v>8534.86</v>
      </c>
      <c r="G86" s="96">
        <v>18239.77</v>
      </c>
      <c r="H86" s="96">
        <v>18435.400000000001</v>
      </c>
      <c r="I86" s="96">
        <v>12263.57</v>
      </c>
      <c r="J86" s="96">
        <v>13276.21</v>
      </c>
      <c r="K86" s="96">
        <v>1143.31</v>
      </c>
      <c r="L86" s="96"/>
      <c r="M86" s="78">
        <v>86362.5</v>
      </c>
      <c r="N86" s="84">
        <v>2966.48</v>
      </c>
      <c r="O86" s="84">
        <v>9900.44</v>
      </c>
      <c r="P86" s="84">
        <v>21158.14</v>
      </c>
      <c r="Q86" s="84">
        <v>21385.06</v>
      </c>
      <c r="R86" s="84">
        <v>14225.74</v>
      </c>
      <c r="S86" s="84">
        <v>15400.4</v>
      </c>
      <c r="T86" s="84">
        <v>1326.24</v>
      </c>
      <c r="U86" s="80"/>
      <c r="V86" s="86">
        <v>70</v>
      </c>
      <c r="W86" s="79">
        <v>11</v>
      </c>
      <c r="X86" s="79">
        <v>12</v>
      </c>
      <c r="Y86" s="79">
        <v>18</v>
      </c>
      <c r="Z86" s="79">
        <v>13</v>
      </c>
      <c r="AA86" s="79">
        <v>6</v>
      </c>
      <c r="AB86" s="79">
        <v>9</v>
      </c>
      <c r="AC86" s="79">
        <v>1</v>
      </c>
      <c r="AD86" s="80"/>
      <c r="AE86" s="91">
        <v>1063.5775714285714</v>
      </c>
      <c r="AF86" s="84">
        <v>232.48272727272726</v>
      </c>
      <c r="AG86" s="84">
        <v>711.23833333333334</v>
      </c>
      <c r="AH86" s="84">
        <v>1013.3205555555555</v>
      </c>
      <c r="AI86" s="84">
        <v>1418.1076923076923</v>
      </c>
      <c r="AJ86" s="84">
        <v>2043.9283333333333</v>
      </c>
      <c r="AK86" s="84">
        <v>1475.1344444444444</v>
      </c>
      <c r="AL86" s="84">
        <v>1143.31</v>
      </c>
      <c r="AM86" s="80"/>
      <c r="AN86" s="86">
        <v>46</v>
      </c>
      <c r="AO86" s="79">
        <v>4</v>
      </c>
      <c r="AP86" s="79">
        <v>14</v>
      </c>
      <c r="AQ86" s="79">
        <v>26</v>
      </c>
      <c r="AR86" s="80"/>
      <c r="AS86" s="80"/>
      <c r="AT86" s="79">
        <v>2</v>
      </c>
      <c r="AU86" s="80"/>
      <c r="AV86" s="80"/>
    </row>
    <row r="87" spans="1:48" s="85" customFormat="1" x14ac:dyDescent="0.2">
      <c r="A87" s="83" t="s">
        <v>38</v>
      </c>
      <c r="B87" s="83" t="s">
        <v>565</v>
      </c>
      <c r="C87" s="83" t="s">
        <v>566</v>
      </c>
      <c r="D87" s="94">
        <v>73951.210000000006</v>
      </c>
      <c r="E87" s="96">
        <v>320.3</v>
      </c>
      <c r="F87" s="96">
        <v>540.53</v>
      </c>
      <c r="G87" s="96"/>
      <c r="H87" s="96">
        <v>3876.21</v>
      </c>
      <c r="I87" s="96">
        <v>530.29</v>
      </c>
      <c r="J87" s="96">
        <v>68547.62</v>
      </c>
      <c r="K87" s="96">
        <v>136.26</v>
      </c>
      <c r="L87" s="96"/>
      <c r="M87" s="78">
        <v>85783.4</v>
      </c>
      <c r="N87" s="84">
        <v>371.55</v>
      </c>
      <c r="O87" s="84">
        <v>627.01</v>
      </c>
      <c r="P87" s="80"/>
      <c r="Q87" s="84">
        <v>4496.3999999999996</v>
      </c>
      <c r="R87" s="84">
        <v>615.14</v>
      </c>
      <c r="S87" s="84">
        <v>79515.240000000005</v>
      </c>
      <c r="T87" s="84">
        <v>158.06</v>
      </c>
      <c r="U87" s="80"/>
      <c r="V87" s="86">
        <v>200</v>
      </c>
      <c r="W87" s="80"/>
      <c r="X87" s="80"/>
      <c r="Y87" s="80"/>
      <c r="Z87" s="80"/>
      <c r="AA87" s="80"/>
      <c r="AB87" s="79">
        <v>200</v>
      </c>
      <c r="AC87" s="80"/>
      <c r="AD87" s="80"/>
      <c r="AE87" s="91">
        <v>369.75605000000002</v>
      </c>
      <c r="AF87" s="81" t="s">
        <v>33</v>
      </c>
      <c r="AG87" s="81" t="s">
        <v>33</v>
      </c>
      <c r="AH87" s="80"/>
      <c r="AI87" s="81" t="s">
        <v>33</v>
      </c>
      <c r="AJ87" s="81" t="s">
        <v>33</v>
      </c>
      <c r="AK87" s="84">
        <v>342.73809999999997</v>
      </c>
      <c r="AL87" s="81" t="s">
        <v>33</v>
      </c>
      <c r="AM87" s="80"/>
      <c r="AN87" s="86">
        <v>406</v>
      </c>
      <c r="AO87" s="79">
        <v>14</v>
      </c>
      <c r="AP87" s="79">
        <v>22</v>
      </c>
      <c r="AQ87" s="80"/>
      <c r="AR87" s="79">
        <v>300</v>
      </c>
      <c r="AS87" s="79">
        <v>34</v>
      </c>
      <c r="AT87" s="79">
        <v>18</v>
      </c>
      <c r="AU87" s="79">
        <v>18</v>
      </c>
      <c r="AV87" s="80"/>
    </row>
    <row r="88" spans="1:48" s="85" customFormat="1" x14ac:dyDescent="0.2">
      <c r="A88" s="83" t="s">
        <v>38</v>
      </c>
      <c r="B88" s="83" t="s">
        <v>561</v>
      </c>
      <c r="C88" s="83" t="s">
        <v>562</v>
      </c>
      <c r="D88" s="94">
        <v>72556.960000000006</v>
      </c>
      <c r="E88" s="96">
        <v>15048.02</v>
      </c>
      <c r="F88" s="96"/>
      <c r="G88" s="96">
        <v>34165.620000000003</v>
      </c>
      <c r="H88" s="96">
        <v>23343.32</v>
      </c>
      <c r="I88" s="96"/>
      <c r="J88" s="96"/>
      <c r="K88" s="96"/>
      <c r="L88" s="96"/>
      <c r="M88" s="78">
        <v>72599.600000000006</v>
      </c>
      <c r="N88" s="84">
        <v>15090.66</v>
      </c>
      <c r="O88" s="80"/>
      <c r="P88" s="84">
        <v>34165.620000000003</v>
      </c>
      <c r="Q88" s="84">
        <v>23343.32</v>
      </c>
      <c r="R88" s="80"/>
      <c r="S88" s="80"/>
      <c r="T88" s="80"/>
      <c r="U88" s="80"/>
      <c r="V88" s="86">
        <v>14</v>
      </c>
      <c r="W88" s="79">
        <v>4</v>
      </c>
      <c r="X88" s="80"/>
      <c r="Y88" s="79">
        <v>6</v>
      </c>
      <c r="Z88" s="79">
        <v>4</v>
      </c>
      <c r="AA88" s="80"/>
      <c r="AB88" s="80"/>
      <c r="AC88" s="80"/>
      <c r="AD88" s="80"/>
      <c r="AE88" s="91">
        <v>5182.6400000000003</v>
      </c>
      <c r="AF88" s="84">
        <v>3762.0050000000001</v>
      </c>
      <c r="AG88" s="80"/>
      <c r="AH88" s="84">
        <v>5694.27</v>
      </c>
      <c r="AI88" s="84">
        <v>5835.83</v>
      </c>
      <c r="AJ88" s="80"/>
      <c r="AK88" s="80"/>
      <c r="AL88" s="80"/>
      <c r="AM88" s="80"/>
      <c r="AN88" s="88"/>
      <c r="AO88" s="80"/>
      <c r="AP88" s="80"/>
      <c r="AQ88" s="80"/>
      <c r="AR88" s="80"/>
      <c r="AS88" s="80"/>
      <c r="AT88" s="80"/>
      <c r="AU88" s="80"/>
      <c r="AV88" s="80"/>
    </row>
    <row r="89" spans="1:48" s="85" customFormat="1" x14ac:dyDescent="0.2">
      <c r="A89" s="83" t="s">
        <v>38</v>
      </c>
      <c r="B89" s="83" t="s">
        <v>479</v>
      </c>
      <c r="C89" s="83" t="s">
        <v>480</v>
      </c>
      <c r="D89" s="94">
        <v>68825.36</v>
      </c>
      <c r="E89" s="96">
        <v>22270.03</v>
      </c>
      <c r="F89" s="96">
        <v>410.43</v>
      </c>
      <c r="G89" s="96">
        <v>4274.04</v>
      </c>
      <c r="H89" s="96">
        <v>-10101.59</v>
      </c>
      <c r="I89" s="96">
        <v>24717</v>
      </c>
      <c r="J89" s="96">
        <v>725.61</v>
      </c>
      <c r="K89" s="96">
        <v>26529.84</v>
      </c>
      <c r="L89" s="96"/>
      <c r="M89" s="78">
        <v>79837.42</v>
      </c>
      <c r="N89" s="84">
        <v>25833.23</v>
      </c>
      <c r="O89" s="84">
        <v>476.1</v>
      </c>
      <c r="P89" s="84">
        <v>4957.8900000000003</v>
      </c>
      <c r="Q89" s="84">
        <v>-11717.84</v>
      </c>
      <c r="R89" s="84">
        <v>28671.72</v>
      </c>
      <c r="S89" s="84">
        <v>841.71</v>
      </c>
      <c r="T89" s="84">
        <v>30774.61</v>
      </c>
      <c r="U89" s="80"/>
      <c r="V89" s="86">
        <v>200</v>
      </c>
      <c r="W89" s="80"/>
      <c r="X89" s="80"/>
      <c r="Y89" s="80"/>
      <c r="Z89" s="80"/>
      <c r="AA89" s="79">
        <v>100</v>
      </c>
      <c r="AB89" s="80"/>
      <c r="AC89" s="79">
        <v>100</v>
      </c>
      <c r="AD89" s="80"/>
      <c r="AE89" s="91">
        <v>344.1268</v>
      </c>
      <c r="AF89" s="81" t="s">
        <v>33</v>
      </c>
      <c r="AG89" s="81" t="s">
        <v>33</v>
      </c>
      <c r="AH89" s="81" t="s">
        <v>33</v>
      </c>
      <c r="AI89" s="81" t="s">
        <v>33</v>
      </c>
      <c r="AJ89" s="84">
        <v>247.17</v>
      </c>
      <c r="AK89" s="81" t="s">
        <v>33</v>
      </c>
      <c r="AL89" s="84">
        <v>265.29840000000002</v>
      </c>
      <c r="AM89" s="80"/>
      <c r="AN89" s="86">
        <v>284</v>
      </c>
      <c r="AO89" s="79">
        <v>318</v>
      </c>
      <c r="AP89" s="79">
        <v>6</v>
      </c>
      <c r="AQ89" s="79">
        <v>60</v>
      </c>
      <c r="AR89" s="79">
        <v>-134</v>
      </c>
      <c r="AS89" s="80"/>
      <c r="AT89" s="79">
        <v>10</v>
      </c>
      <c r="AU89" s="79">
        <v>24</v>
      </c>
      <c r="AV89" s="80"/>
    </row>
    <row r="90" spans="1:48" s="85" customFormat="1" x14ac:dyDescent="0.2">
      <c r="A90" s="83" t="s">
        <v>28</v>
      </c>
      <c r="B90" s="83" t="s">
        <v>243</v>
      </c>
      <c r="C90" s="83" t="s">
        <v>244</v>
      </c>
      <c r="D90" s="94">
        <v>68324.7</v>
      </c>
      <c r="E90" s="96">
        <v>2446.3000000000002</v>
      </c>
      <c r="F90" s="96">
        <v>2932.71</v>
      </c>
      <c r="G90" s="96">
        <v>7564.32</v>
      </c>
      <c r="H90" s="96">
        <v>5084.03</v>
      </c>
      <c r="I90" s="96">
        <v>33207.699999999997</v>
      </c>
      <c r="J90" s="96">
        <v>5434.99</v>
      </c>
      <c r="K90" s="96">
        <v>7716.06</v>
      </c>
      <c r="L90" s="96">
        <v>3938.59</v>
      </c>
      <c r="M90" s="78">
        <v>79256.639999999999</v>
      </c>
      <c r="N90" s="84">
        <v>2837.71</v>
      </c>
      <c r="O90" s="84">
        <v>3401.94</v>
      </c>
      <c r="P90" s="84">
        <v>8774.61</v>
      </c>
      <c r="Q90" s="84">
        <v>5897.47</v>
      </c>
      <c r="R90" s="84">
        <v>38520.93</v>
      </c>
      <c r="S90" s="84">
        <v>6304.59</v>
      </c>
      <c r="T90" s="84">
        <v>8950.6299999999992</v>
      </c>
      <c r="U90" s="84">
        <v>4568.76</v>
      </c>
      <c r="V90" s="86">
        <v>100</v>
      </c>
      <c r="W90" s="80"/>
      <c r="X90" s="80"/>
      <c r="Y90" s="80"/>
      <c r="Z90" s="80"/>
      <c r="AA90" s="79">
        <v>100</v>
      </c>
      <c r="AB90" s="80"/>
      <c r="AC90" s="80"/>
      <c r="AD90" s="80"/>
      <c r="AE90" s="91">
        <v>683.24699999999996</v>
      </c>
      <c r="AF90" s="81" t="s">
        <v>33</v>
      </c>
      <c r="AG90" s="81" t="s">
        <v>33</v>
      </c>
      <c r="AH90" s="81" t="s">
        <v>33</v>
      </c>
      <c r="AI90" s="81" t="s">
        <v>33</v>
      </c>
      <c r="AJ90" s="84">
        <v>332.077</v>
      </c>
      <c r="AK90" s="81" t="s">
        <v>33</v>
      </c>
      <c r="AL90" s="81" t="s">
        <v>33</v>
      </c>
      <c r="AM90" s="81" t="s">
        <v>33</v>
      </c>
      <c r="AN90" s="86">
        <v>1044</v>
      </c>
      <c r="AO90" s="79">
        <v>68</v>
      </c>
      <c r="AP90" s="79">
        <v>90</v>
      </c>
      <c r="AQ90" s="79">
        <v>206</v>
      </c>
      <c r="AR90" s="79">
        <v>136</v>
      </c>
      <c r="AS90" s="79">
        <v>106</v>
      </c>
      <c r="AT90" s="79">
        <v>138</v>
      </c>
      <c r="AU90" s="79">
        <v>200</v>
      </c>
      <c r="AV90" s="79">
        <v>100</v>
      </c>
    </row>
    <row r="91" spans="1:48" s="85" customFormat="1" x14ac:dyDescent="0.2">
      <c r="A91" s="83" t="s">
        <v>28</v>
      </c>
      <c r="B91" s="83" t="s">
        <v>237</v>
      </c>
      <c r="C91" s="83" t="s">
        <v>238</v>
      </c>
      <c r="D91" s="94">
        <v>67350.89</v>
      </c>
      <c r="E91" s="96">
        <v>67350.89</v>
      </c>
      <c r="F91" s="96"/>
      <c r="G91" s="96"/>
      <c r="H91" s="96"/>
      <c r="I91" s="96"/>
      <c r="J91" s="96"/>
      <c r="K91" s="96"/>
      <c r="L91" s="96"/>
      <c r="M91" s="78">
        <v>78127.03</v>
      </c>
      <c r="N91" s="84">
        <v>78127.03</v>
      </c>
      <c r="O91" s="80"/>
      <c r="P91" s="80"/>
      <c r="Q91" s="80"/>
      <c r="R91" s="80"/>
      <c r="S91" s="80"/>
      <c r="T91" s="80"/>
      <c r="U91" s="80"/>
      <c r="V91" s="88"/>
      <c r="W91" s="80"/>
      <c r="X91" s="80"/>
      <c r="Y91" s="80"/>
      <c r="Z91" s="80"/>
      <c r="AA91" s="80"/>
      <c r="AB91" s="80"/>
      <c r="AC91" s="80"/>
      <c r="AD91" s="80"/>
      <c r="AE91" s="87" t="s">
        <v>33</v>
      </c>
      <c r="AF91" s="81" t="s">
        <v>33</v>
      </c>
      <c r="AG91" s="80"/>
      <c r="AH91" s="80"/>
      <c r="AI91" s="80"/>
      <c r="AJ91" s="80"/>
      <c r="AK91" s="80"/>
      <c r="AL91" s="80"/>
      <c r="AM91" s="80"/>
      <c r="AN91" s="86">
        <v>12736</v>
      </c>
      <c r="AO91" s="79">
        <v>12736</v>
      </c>
      <c r="AP91" s="80"/>
      <c r="AQ91" s="80"/>
      <c r="AR91" s="80"/>
      <c r="AS91" s="80"/>
      <c r="AT91" s="80"/>
      <c r="AU91" s="80"/>
      <c r="AV91" s="80"/>
    </row>
    <row r="92" spans="1:48" s="85" customFormat="1" x14ac:dyDescent="0.2">
      <c r="A92" s="83" t="s">
        <v>38</v>
      </c>
      <c r="B92" s="83" t="s">
        <v>517</v>
      </c>
      <c r="C92" s="83" t="s">
        <v>518</v>
      </c>
      <c r="D92" s="94">
        <v>65680.02</v>
      </c>
      <c r="E92" s="96">
        <v>3397.91</v>
      </c>
      <c r="F92" s="96">
        <v>3604.93</v>
      </c>
      <c r="G92" s="96">
        <v>10732.45</v>
      </c>
      <c r="H92" s="96">
        <v>12277.94</v>
      </c>
      <c r="I92" s="96">
        <v>9259.5</v>
      </c>
      <c r="J92" s="96">
        <v>7553.65</v>
      </c>
      <c r="K92" s="96">
        <v>9258.42</v>
      </c>
      <c r="L92" s="96">
        <v>9595.2199999999993</v>
      </c>
      <c r="M92" s="78">
        <v>76188.83</v>
      </c>
      <c r="N92" s="84">
        <v>3941.58</v>
      </c>
      <c r="O92" s="84">
        <v>4181.72</v>
      </c>
      <c r="P92" s="84">
        <v>12449.64</v>
      </c>
      <c r="Q92" s="84">
        <v>14242.41</v>
      </c>
      <c r="R92" s="84">
        <v>10741.02</v>
      </c>
      <c r="S92" s="84">
        <v>8762.23</v>
      </c>
      <c r="T92" s="84">
        <v>10739.77</v>
      </c>
      <c r="U92" s="84">
        <v>11130.46</v>
      </c>
      <c r="V92" s="86">
        <v>152</v>
      </c>
      <c r="W92" s="79">
        <v>9</v>
      </c>
      <c r="X92" s="79">
        <v>10</v>
      </c>
      <c r="Y92" s="79">
        <v>27</v>
      </c>
      <c r="Z92" s="79">
        <v>29</v>
      </c>
      <c r="AA92" s="79">
        <v>18</v>
      </c>
      <c r="AB92" s="79">
        <v>19</v>
      </c>
      <c r="AC92" s="79">
        <v>19</v>
      </c>
      <c r="AD92" s="79">
        <v>21</v>
      </c>
      <c r="AE92" s="91">
        <v>432.10539473684213</v>
      </c>
      <c r="AF92" s="84">
        <v>377.54555555555555</v>
      </c>
      <c r="AG92" s="84">
        <v>360.49299999999999</v>
      </c>
      <c r="AH92" s="84">
        <v>397.49814814814818</v>
      </c>
      <c r="AI92" s="84">
        <v>423.37724137931036</v>
      </c>
      <c r="AJ92" s="84">
        <v>514.41666666666663</v>
      </c>
      <c r="AK92" s="84">
        <v>397.56052631578945</v>
      </c>
      <c r="AL92" s="84">
        <v>487.28526315789475</v>
      </c>
      <c r="AM92" s="84">
        <v>456.91523809523812</v>
      </c>
      <c r="AN92" s="86">
        <v>1928</v>
      </c>
      <c r="AO92" s="79">
        <v>88</v>
      </c>
      <c r="AP92" s="79">
        <v>28</v>
      </c>
      <c r="AQ92" s="79">
        <v>354</v>
      </c>
      <c r="AR92" s="79">
        <v>422</v>
      </c>
      <c r="AS92" s="79">
        <v>356</v>
      </c>
      <c r="AT92" s="79">
        <v>124</v>
      </c>
      <c r="AU92" s="79">
        <v>304</v>
      </c>
      <c r="AV92" s="79">
        <v>252</v>
      </c>
    </row>
    <row r="93" spans="1:48" s="85" customFormat="1" x14ac:dyDescent="0.2">
      <c r="A93" s="83" t="s">
        <v>47</v>
      </c>
      <c r="B93" s="83" t="s">
        <v>92</v>
      </c>
      <c r="C93" s="83" t="s">
        <v>93</v>
      </c>
      <c r="D93" s="94">
        <v>65191.14</v>
      </c>
      <c r="E93" s="96">
        <v>24417.62</v>
      </c>
      <c r="F93" s="96">
        <v>13766.65</v>
      </c>
      <c r="G93" s="96">
        <v>10415.620000000001</v>
      </c>
      <c r="H93" s="96">
        <v>11995.83</v>
      </c>
      <c r="I93" s="96">
        <v>4595.42</v>
      </c>
      <c r="J93" s="96"/>
      <c r="K93" s="96"/>
      <c r="L93" s="96"/>
      <c r="M93" s="78">
        <v>75621.710000000006</v>
      </c>
      <c r="N93" s="84">
        <v>28324.43</v>
      </c>
      <c r="O93" s="84">
        <v>15969.31</v>
      </c>
      <c r="P93" s="84">
        <v>12082.12</v>
      </c>
      <c r="Q93" s="84">
        <v>13915.16</v>
      </c>
      <c r="R93" s="84">
        <v>5330.69</v>
      </c>
      <c r="S93" s="80"/>
      <c r="T93" s="80"/>
      <c r="U93" s="80"/>
      <c r="V93" s="86">
        <v>368</v>
      </c>
      <c r="W93" s="79">
        <v>132</v>
      </c>
      <c r="X93" s="79">
        <v>86</v>
      </c>
      <c r="Y93" s="79">
        <v>55</v>
      </c>
      <c r="Z93" s="79">
        <v>70</v>
      </c>
      <c r="AA93" s="79">
        <v>25</v>
      </c>
      <c r="AB93" s="80"/>
      <c r="AC93" s="80"/>
      <c r="AD93" s="80"/>
      <c r="AE93" s="91">
        <v>177.14983695652174</v>
      </c>
      <c r="AF93" s="84">
        <v>184.98196969696971</v>
      </c>
      <c r="AG93" s="84">
        <v>160.07732558139534</v>
      </c>
      <c r="AH93" s="84">
        <v>189.37490909090909</v>
      </c>
      <c r="AI93" s="84">
        <v>171.369</v>
      </c>
      <c r="AJ93" s="84">
        <v>183.8168</v>
      </c>
      <c r="AK93" s="80"/>
      <c r="AL93" s="80"/>
      <c r="AM93" s="80"/>
      <c r="AN93" s="86">
        <v>420</v>
      </c>
      <c r="AO93" s="79">
        <v>182</v>
      </c>
      <c r="AP93" s="79">
        <v>30</v>
      </c>
      <c r="AQ93" s="79">
        <v>94</v>
      </c>
      <c r="AR93" s="79">
        <v>72</v>
      </c>
      <c r="AS93" s="79">
        <v>42</v>
      </c>
      <c r="AT93" s="80"/>
      <c r="AU93" s="80"/>
      <c r="AV93" s="80"/>
    </row>
    <row r="94" spans="1:48" s="85" customFormat="1" x14ac:dyDescent="0.2">
      <c r="A94" s="83" t="s">
        <v>38</v>
      </c>
      <c r="B94" s="83" t="s">
        <v>587</v>
      </c>
      <c r="C94" s="83" t="s">
        <v>588</v>
      </c>
      <c r="D94" s="94">
        <v>64439.6</v>
      </c>
      <c r="E94" s="96">
        <v>6071.73</v>
      </c>
      <c r="F94" s="96">
        <v>5848.5</v>
      </c>
      <c r="G94" s="96">
        <v>29346.77</v>
      </c>
      <c r="H94" s="96">
        <v>2804.81</v>
      </c>
      <c r="I94" s="96">
        <v>2186.8200000000002</v>
      </c>
      <c r="J94" s="96">
        <v>7288.52</v>
      </c>
      <c r="K94" s="96">
        <v>6307.61</v>
      </c>
      <c r="L94" s="96">
        <v>4584.84</v>
      </c>
      <c r="M94" s="78">
        <v>74065.95</v>
      </c>
      <c r="N94" s="84">
        <v>6359.22</v>
      </c>
      <c r="O94" s="84">
        <v>6784.26</v>
      </c>
      <c r="P94" s="84">
        <v>34042.25</v>
      </c>
      <c r="Q94" s="84">
        <v>3253.58</v>
      </c>
      <c r="R94" s="84">
        <v>2536.71</v>
      </c>
      <c r="S94" s="84">
        <v>8454.68</v>
      </c>
      <c r="T94" s="84">
        <v>7316.83</v>
      </c>
      <c r="U94" s="84">
        <v>5318.42</v>
      </c>
      <c r="V94" s="86">
        <v>212</v>
      </c>
      <c r="W94" s="79">
        <v>13</v>
      </c>
      <c r="X94" s="79">
        <v>23</v>
      </c>
      <c r="Y94" s="79">
        <v>88</v>
      </c>
      <c r="Z94" s="79">
        <v>9</v>
      </c>
      <c r="AA94" s="79">
        <v>7</v>
      </c>
      <c r="AB94" s="79">
        <v>25</v>
      </c>
      <c r="AC94" s="79">
        <v>22</v>
      </c>
      <c r="AD94" s="79">
        <v>25</v>
      </c>
      <c r="AE94" s="91">
        <v>303.96037735849058</v>
      </c>
      <c r="AF94" s="84">
        <v>467.05615384615385</v>
      </c>
      <c r="AG94" s="84">
        <v>254.28260869565216</v>
      </c>
      <c r="AH94" s="84">
        <v>333.48602272727271</v>
      </c>
      <c r="AI94" s="84">
        <v>311.64555555555557</v>
      </c>
      <c r="AJ94" s="84">
        <v>312.40285714285716</v>
      </c>
      <c r="AK94" s="84">
        <v>291.54079999999999</v>
      </c>
      <c r="AL94" s="84">
        <v>286.70954545454543</v>
      </c>
      <c r="AM94" s="84">
        <v>183.39359999999999</v>
      </c>
      <c r="AN94" s="86">
        <v>2816</v>
      </c>
      <c r="AO94" s="79">
        <v>62</v>
      </c>
      <c r="AP94" s="79">
        <v>288</v>
      </c>
      <c r="AQ94" s="79">
        <v>1590</v>
      </c>
      <c r="AR94" s="79">
        <v>58</v>
      </c>
      <c r="AS94" s="79">
        <v>62</v>
      </c>
      <c r="AT94" s="79">
        <v>442</v>
      </c>
      <c r="AU94" s="79">
        <v>160</v>
      </c>
      <c r="AV94" s="79">
        <v>154</v>
      </c>
    </row>
    <row r="95" spans="1:48" s="85" customFormat="1" x14ac:dyDescent="0.2">
      <c r="A95" s="83" t="s">
        <v>47</v>
      </c>
      <c r="B95" s="83" t="s">
        <v>144</v>
      </c>
      <c r="C95" s="83" t="s">
        <v>145</v>
      </c>
      <c r="D95" s="94">
        <v>63784.11</v>
      </c>
      <c r="E95" s="96"/>
      <c r="F95" s="96">
        <v>13598.78</v>
      </c>
      <c r="G95" s="96">
        <v>7890.42</v>
      </c>
      <c r="H95" s="96">
        <v>24597.26</v>
      </c>
      <c r="I95" s="96">
        <v>16988.07</v>
      </c>
      <c r="J95" s="96">
        <v>709.58</v>
      </c>
      <c r="K95" s="96"/>
      <c r="L95" s="96"/>
      <c r="M95" s="78">
        <v>73989.570000000007</v>
      </c>
      <c r="N95" s="80"/>
      <c r="O95" s="84">
        <v>15774.58</v>
      </c>
      <c r="P95" s="84">
        <v>9152.89</v>
      </c>
      <c r="Q95" s="84">
        <v>28532.83</v>
      </c>
      <c r="R95" s="84">
        <v>19706.16</v>
      </c>
      <c r="S95" s="84">
        <v>823.11</v>
      </c>
      <c r="T95" s="80"/>
      <c r="U95" s="80"/>
      <c r="V95" s="86">
        <v>99</v>
      </c>
      <c r="W95" s="80"/>
      <c r="X95" s="79">
        <v>16</v>
      </c>
      <c r="Y95" s="79">
        <v>15</v>
      </c>
      <c r="Z95" s="79">
        <v>40</v>
      </c>
      <c r="AA95" s="79">
        <v>28</v>
      </c>
      <c r="AB95" s="80"/>
      <c r="AC95" s="80"/>
      <c r="AD95" s="80"/>
      <c r="AE95" s="91">
        <v>644.28393939393936</v>
      </c>
      <c r="AF95" s="80"/>
      <c r="AG95" s="84">
        <v>849.92375000000004</v>
      </c>
      <c r="AH95" s="84">
        <v>526.02800000000002</v>
      </c>
      <c r="AI95" s="84">
        <v>614.93150000000003</v>
      </c>
      <c r="AJ95" s="84">
        <v>606.71678571428572</v>
      </c>
      <c r="AK95" s="81" t="s">
        <v>33</v>
      </c>
      <c r="AL95" s="80"/>
      <c r="AM95" s="80"/>
      <c r="AN95" s="86">
        <v>5110</v>
      </c>
      <c r="AO95" s="80"/>
      <c r="AP95" s="79">
        <v>1532</v>
      </c>
      <c r="AQ95" s="79">
        <v>482</v>
      </c>
      <c r="AR95" s="79">
        <v>1634</v>
      </c>
      <c r="AS95" s="79">
        <v>1386</v>
      </c>
      <c r="AT95" s="79">
        <v>76</v>
      </c>
      <c r="AU95" s="80"/>
      <c r="AV95" s="80"/>
    </row>
    <row r="96" spans="1:48" s="85" customFormat="1" x14ac:dyDescent="0.2">
      <c r="A96" s="83" t="s">
        <v>38</v>
      </c>
      <c r="B96" s="83" t="s">
        <v>607</v>
      </c>
      <c r="C96" s="83" t="s">
        <v>608</v>
      </c>
      <c r="D96" s="94">
        <v>60173.17</v>
      </c>
      <c r="E96" s="96"/>
      <c r="F96" s="96"/>
      <c r="G96" s="96">
        <v>50485.68</v>
      </c>
      <c r="H96" s="96">
        <v>1606.33</v>
      </c>
      <c r="I96" s="96">
        <v>5144.05</v>
      </c>
      <c r="J96" s="96"/>
      <c r="K96" s="96">
        <v>2937.11</v>
      </c>
      <c r="L96" s="96"/>
      <c r="M96" s="78">
        <v>60173.17</v>
      </c>
      <c r="N96" s="80"/>
      <c r="O96" s="80"/>
      <c r="P96" s="84">
        <v>50485.68</v>
      </c>
      <c r="Q96" s="84">
        <v>1606.33</v>
      </c>
      <c r="R96" s="84">
        <v>5144.05</v>
      </c>
      <c r="S96" s="80"/>
      <c r="T96" s="84">
        <v>2937.11</v>
      </c>
      <c r="U96" s="80"/>
      <c r="V96" s="86">
        <v>4</v>
      </c>
      <c r="W96" s="80"/>
      <c r="X96" s="80"/>
      <c r="Y96" s="79">
        <v>2</v>
      </c>
      <c r="Z96" s="81"/>
      <c r="AA96" s="79">
        <v>1</v>
      </c>
      <c r="AB96" s="80"/>
      <c r="AC96" s="79">
        <v>1</v>
      </c>
      <c r="AD96" s="80"/>
      <c r="AE96" s="91">
        <v>15043.2925</v>
      </c>
      <c r="AF96" s="80"/>
      <c r="AG96" s="80"/>
      <c r="AH96" s="84">
        <v>25242.84</v>
      </c>
      <c r="AI96" s="81" t="s">
        <v>33</v>
      </c>
      <c r="AJ96" s="84">
        <v>5144.05</v>
      </c>
      <c r="AK96" s="80"/>
      <c r="AL96" s="84">
        <v>2937.11</v>
      </c>
      <c r="AM96" s="80"/>
      <c r="AN96" s="88"/>
      <c r="AO96" s="80"/>
      <c r="AP96" s="80"/>
      <c r="AQ96" s="80"/>
      <c r="AR96" s="80"/>
      <c r="AS96" s="80"/>
      <c r="AT96" s="80"/>
      <c r="AU96" s="80"/>
      <c r="AV96" s="80"/>
    </row>
    <row r="97" spans="1:48" s="85" customFormat="1" x14ac:dyDescent="0.2">
      <c r="A97" s="83" t="s">
        <v>28</v>
      </c>
      <c r="B97" s="83" t="s">
        <v>267</v>
      </c>
      <c r="C97" s="83" t="s">
        <v>268</v>
      </c>
      <c r="D97" s="94">
        <v>60048.480000000003</v>
      </c>
      <c r="E97" s="96">
        <v>29560.3</v>
      </c>
      <c r="F97" s="96">
        <v>17736.18</v>
      </c>
      <c r="G97" s="96"/>
      <c r="H97" s="96"/>
      <c r="I97" s="96"/>
      <c r="J97" s="96">
        <v>12752</v>
      </c>
      <c r="K97" s="96"/>
      <c r="L97" s="96"/>
      <c r="M97" s="78">
        <v>69656.240000000005</v>
      </c>
      <c r="N97" s="84">
        <v>34289.949999999997</v>
      </c>
      <c r="O97" s="84">
        <v>20573.97</v>
      </c>
      <c r="P97" s="80"/>
      <c r="Q97" s="80"/>
      <c r="R97" s="80"/>
      <c r="S97" s="84">
        <v>14792.32</v>
      </c>
      <c r="T97" s="80"/>
      <c r="U97" s="80"/>
      <c r="V97" s="86">
        <v>20</v>
      </c>
      <c r="W97" s="79">
        <v>10</v>
      </c>
      <c r="X97" s="79">
        <v>6</v>
      </c>
      <c r="Y97" s="80"/>
      <c r="Z97" s="80"/>
      <c r="AA97" s="80"/>
      <c r="AB97" s="79">
        <v>4</v>
      </c>
      <c r="AC97" s="80"/>
      <c r="AD97" s="80"/>
      <c r="AE97" s="91">
        <v>3002.424</v>
      </c>
      <c r="AF97" s="84">
        <v>2956.03</v>
      </c>
      <c r="AG97" s="84">
        <v>2956.03</v>
      </c>
      <c r="AH97" s="80"/>
      <c r="AI97" s="80"/>
      <c r="AJ97" s="80"/>
      <c r="AK97" s="84">
        <v>3188</v>
      </c>
      <c r="AL97" s="80"/>
      <c r="AM97" s="80"/>
      <c r="AN97" s="88"/>
      <c r="AO97" s="80"/>
      <c r="AP97" s="80"/>
      <c r="AQ97" s="80"/>
      <c r="AR97" s="80"/>
      <c r="AS97" s="80"/>
      <c r="AT97" s="80"/>
      <c r="AU97" s="80"/>
      <c r="AV97" s="80"/>
    </row>
    <row r="98" spans="1:48" s="85" customFormat="1" x14ac:dyDescent="0.2">
      <c r="A98" s="83" t="s">
        <v>28</v>
      </c>
      <c r="B98" s="83" t="s">
        <v>269</v>
      </c>
      <c r="C98" s="83" t="s">
        <v>270</v>
      </c>
      <c r="D98" s="94">
        <v>57883.43</v>
      </c>
      <c r="E98" s="96">
        <v>5327.2</v>
      </c>
      <c r="F98" s="96">
        <v>5234.8100000000004</v>
      </c>
      <c r="G98" s="96">
        <v>1479.66</v>
      </c>
      <c r="H98" s="96">
        <v>9788.2099999999991</v>
      </c>
      <c r="I98" s="96">
        <v>8589.5400000000009</v>
      </c>
      <c r="J98" s="96">
        <v>6229.18</v>
      </c>
      <c r="K98" s="96">
        <v>21234.83</v>
      </c>
      <c r="L98" s="96"/>
      <c r="M98" s="78">
        <v>67144.789999999994</v>
      </c>
      <c r="N98" s="84">
        <v>6179.55</v>
      </c>
      <c r="O98" s="84">
        <v>6072.38</v>
      </c>
      <c r="P98" s="84">
        <v>1716.41</v>
      </c>
      <c r="Q98" s="84">
        <v>11354.33</v>
      </c>
      <c r="R98" s="84">
        <v>9963.8700000000008</v>
      </c>
      <c r="S98" s="84">
        <v>7225.85</v>
      </c>
      <c r="T98" s="84">
        <v>24632.400000000001</v>
      </c>
      <c r="U98" s="80"/>
      <c r="V98" s="86">
        <v>93</v>
      </c>
      <c r="W98" s="80"/>
      <c r="X98" s="80"/>
      <c r="Y98" s="80"/>
      <c r="Z98" s="79">
        <v>22</v>
      </c>
      <c r="AA98" s="79">
        <v>24</v>
      </c>
      <c r="AB98" s="79">
        <v>15</v>
      </c>
      <c r="AC98" s="79">
        <v>32</v>
      </c>
      <c r="AD98" s="80"/>
      <c r="AE98" s="91">
        <v>622.40247311827954</v>
      </c>
      <c r="AF98" s="81" t="s">
        <v>33</v>
      </c>
      <c r="AG98" s="81" t="s">
        <v>33</v>
      </c>
      <c r="AH98" s="81" t="s">
        <v>33</v>
      </c>
      <c r="AI98" s="84">
        <v>444.91863636363638</v>
      </c>
      <c r="AJ98" s="84">
        <v>357.89749999999998</v>
      </c>
      <c r="AK98" s="84">
        <v>415.27866666666665</v>
      </c>
      <c r="AL98" s="84">
        <v>663.58843750000005</v>
      </c>
      <c r="AM98" s="80"/>
      <c r="AN98" s="86">
        <v>1048</v>
      </c>
      <c r="AO98" s="79">
        <v>144</v>
      </c>
      <c r="AP98" s="79">
        <v>146</v>
      </c>
      <c r="AQ98" s="79">
        <v>54</v>
      </c>
      <c r="AR98" s="79">
        <v>160</v>
      </c>
      <c r="AS98" s="79">
        <v>116</v>
      </c>
      <c r="AT98" s="79">
        <v>98</v>
      </c>
      <c r="AU98" s="79">
        <v>330</v>
      </c>
      <c r="AV98" s="80"/>
    </row>
    <row r="99" spans="1:48" s="85" customFormat="1" x14ac:dyDescent="0.2">
      <c r="A99" s="83" t="s">
        <v>28</v>
      </c>
      <c r="B99" s="83" t="s">
        <v>183</v>
      </c>
      <c r="C99" s="83" t="s">
        <v>184</v>
      </c>
      <c r="D99" s="94">
        <v>57454.22</v>
      </c>
      <c r="E99" s="96">
        <v>1866.7</v>
      </c>
      <c r="F99" s="96">
        <v>1948.02</v>
      </c>
      <c r="G99" s="96">
        <v>2934.39</v>
      </c>
      <c r="H99" s="96">
        <v>22919.93</v>
      </c>
      <c r="I99" s="96">
        <v>3611.79</v>
      </c>
      <c r="J99" s="96">
        <v>2759.8</v>
      </c>
      <c r="K99" s="96">
        <v>1531.59</v>
      </c>
      <c r="L99" s="96">
        <v>19882</v>
      </c>
      <c r="M99" s="78">
        <v>66646.89</v>
      </c>
      <c r="N99" s="84">
        <v>2165.37</v>
      </c>
      <c r="O99" s="84">
        <v>2259.6999999999998</v>
      </c>
      <c r="P99" s="84">
        <v>3403.89</v>
      </c>
      <c r="Q99" s="84">
        <v>26587.119999999999</v>
      </c>
      <c r="R99" s="84">
        <v>4189.68</v>
      </c>
      <c r="S99" s="84">
        <v>3201.37</v>
      </c>
      <c r="T99" s="84">
        <v>1776.64</v>
      </c>
      <c r="U99" s="84">
        <v>23063.119999999999</v>
      </c>
      <c r="V99" s="86">
        <v>200</v>
      </c>
      <c r="W99" s="80"/>
      <c r="X99" s="80"/>
      <c r="Y99" s="80"/>
      <c r="Z99" s="79">
        <v>100</v>
      </c>
      <c r="AA99" s="80"/>
      <c r="AB99" s="80"/>
      <c r="AC99" s="80"/>
      <c r="AD99" s="79">
        <v>100</v>
      </c>
      <c r="AE99" s="91">
        <v>287.27109999999999</v>
      </c>
      <c r="AF99" s="81" t="s">
        <v>33</v>
      </c>
      <c r="AG99" s="81" t="s">
        <v>33</v>
      </c>
      <c r="AH99" s="81" t="s">
        <v>33</v>
      </c>
      <c r="AI99" s="84">
        <v>229.19929999999999</v>
      </c>
      <c r="AJ99" s="81" t="s">
        <v>33</v>
      </c>
      <c r="AK99" s="81" t="s">
        <v>33</v>
      </c>
      <c r="AL99" s="81" t="s">
        <v>33</v>
      </c>
      <c r="AM99" s="84">
        <v>198.82</v>
      </c>
      <c r="AN99" s="86">
        <v>2064</v>
      </c>
      <c r="AO99" s="79">
        <v>162</v>
      </c>
      <c r="AP99" s="79">
        <v>110</v>
      </c>
      <c r="AQ99" s="79">
        <v>290</v>
      </c>
      <c r="AR99" s="79">
        <v>346</v>
      </c>
      <c r="AS99" s="79">
        <v>498</v>
      </c>
      <c r="AT99" s="79">
        <v>484</v>
      </c>
      <c r="AU99" s="79">
        <v>174</v>
      </c>
      <c r="AV99" s="80"/>
    </row>
    <row r="100" spans="1:48" s="85" customFormat="1" x14ac:dyDescent="0.2">
      <c r="A100" s="83" t="s">
        <v>38</v>
      </c>
      <c r="B100" s="83" t="s">
        <v>411</v>
      </c>
      <c r="C100" s="83" t="s">
        <v>412</v>
      </c>
      <c r="D100" s="94">
        <v>55739.65</v>
      </c>
      <c r="E100" s="96">
        <v>2877.99</v>
      </c>
      <c r="F100" s="96">
        <v>2861.17</v>
      </c>
      <c r="G100" s="96">
        <v>7799.32</v>
      </c>
      <c r="H100" s="96">
        <v>7085.84</v>
      </c>
      <c r="I100" s="96">
        <v>13846.42</v>
      </c>
      <c r="J100" s="96">
        <v>-4759.47</v>
      </c>
      <c r="K100" s="96">
        <v>10335.34</v>
      </c>
      <c r="L100" s="96">
        <v>15693.04</v>
      </c>
      <c r="M100" s="78">
        <v>64658.01</v>
      </c>
      <c r="N100" s="84">
        <v>3338.47</v>
      </c>
      <c r="O100" s="84">
        <v>3318.96</v>
      </c>
      <c r="P100" s="84">
        <v>9047.2099999999991</v>
      </c>
      <c r="Q100" s="84">
        <v>8219.58</v>
      </c>
      <c r="R100" s="84">
        <v>16061.85</v>
      </c>
      <c r="S100" s="84">
        <v>-5520.98</v>
      </c>
      <c r="T100" s="84">
        <v>11989</v>
      </c>
      <c r="U100" s="84">
        <v>18203.919999999998</v>
      </c>
      <c r="V100" s="88"/>
      <c r="W100" s="80"/>
      <c r="X100" s="80"/>
      <c r="Y100" s="80"/>
      <c r="Z100" s="80"/>
      <c r="AA100" s="80"/>
      <c r="AB100" s="80"/>
      <c r="AC100" s="80"/>
      <c r="AD100" s="80"/>
      <c r="AE100" s="87" t="s">
        <v>33</v>
      </c>
      <c r="AF100" s="81" t="s">
        <v>33</v>
      </c>
      <c r="AG100" s="81" t="s">
        <v>33</v>
      </c>
      <c r="AH100" s="81" t="s">
        <v>33</v>
      </c>
      <c r="AI100" s="81" t="s">
        <v>33</v>
      </c>
      <c r="AJ100" s="81" t="s">
        <v>33</v>
      </c>
      <c r="AK100" s="81" t="s">
        <v>33</v>
      </c>
      <c r="AL100" s="81" t="s">
        <v>33</v>
      </c>
      <c r="AM100" s="81" t="s">
        <v>33</v>
      </c>
      <c r="AN100" s="86">
        <v>8555</v>
      </c>
      <c r="AO100" s="79">
        <v>402</v>
      </c>
      <c r="AP100" s="79">
        <v>398</v>
      </c>
      <c r="AQ100" s="79">
        <v>1214</v>
      </c>
      <c r="AR100" s="79">
        <v>1236</v>
      </c>
      <c r="AS100" s="79">
        <v>1964</v>
      </c>
      <c r="AT100" s="79">
        <v>-773</v>
      </c>
      <c r="AU100" s="79">
        <v>2118</v>
      </c>
      <c r="AV100" s="79">
        <v>1996</v>
      </c>
    </row>
    <row r="101" spans="1:48" s="85" customFormat="1" ht="17" customHeight="1" x14ac:dyDescent="0.2">
      <c r="A101" s="83" t="s">
        <v>28</v>
      </c>
      <c r="B101" s="83" t="s">
        <v>271</v>
      </c>
      <c r="C101" s="83" t="s">
        <v>272</v>
      </c>
      <c r="D101" s="94">
        <v>54826.83</v>
      </c>
      <c r="E101" s="96">
        <v>10557.86</v>
      </c>
      <c r="F101" s="96">
        <v>34298.26</v>
      </c>
      <c r="G101" s="96">
        <v>8255.57</v>
      </c>
      <c r="H101" s="96">
        <v>1336.54</v>
      </c>
      <c r="I101" s="96">
        <v>378.6</v>
      </c>
      <c r="J101" s="96"/>
      <c r="K101" s="96"/>
      <c r="L101" s="96"/>
      <c r="M101" s="78">
        <v>63599.13</v>
      </c>
      <c r="N101" s="84">
        <v>12247.12</v>
      </c>
      <c r="O101" s="84">
        <v>39785.980000000003</v>
      </c>
      <c r="P101" s="84">
        <v>9576.4599999999991</v>
      </c>
      <c r="Q101" s="84">
        <v>1550.39</v>
      </c>
      <c r="R101" s="84">
        <v>439.18</v>
      </c>
      <c r="S101" s="80"/>
      <c r="T101" s="80"/>
      <c r="U101" s="80"/>
      <c r="V101" s="86">
        <v>195</v>
      </c>
      <c r="W101" s="79">
        <v>38</v>
      </c>
      <c r="X101" s="79">
        <v>121</v>
      </c>
      <c r="Y101" s="79">
        <v>28</v>
      </c>
      <c r="Z101" s="79">
        <v>7</v>
      </c>
      <c r="AA101" s="79">
        <v>1</v>
      </c>
      <c r="AB101" s="80"/>
      <c r="AC101" s="80"/>
      <c r="AD101" s="80"/>
      <c r="AE101" s="91">
        <v>281.16323076923078</v>
      </c>
      <c r="AF101" s="84">
        <v>277.83842105263159</v>
      </c>
      <c r="AG101" s="84">
        <v>283.45669421487605</v>
      </c>
      <c r="AH101" s="84">
        <v>294.84178571428572</v>
      </c>
      <c r="AI101" s="84">
        <v>190.93428571428572</v>
      </c>
      <c r="AJ101" s="84">
        <v>378.6</v>
      </c>
      <c r="AK101" s="80"/>
      <c r="AL101" s="80"/>
      <c r="AM101" s="80"/>
      <c r="AN101" s="86">
        <v>6082</v>
      </c>
      <c r="AO101" s="79">
        <v>1266</v>
      </c>
      <c r="AP101" s="79">
        <v>3974</v>
      </c>
      <c r="AQ101" s="79">
        <v>812</v>
      </c>
      <c r="AR101" s="79">
        <v>6</v>
      </c>
      <c r="AS101" s="79">
        <v>24</v>
      </c>
      <c r="AT101" s="80"/>
      <c r="AU101" s="80"/>
      <c r="AV101" s="80"/>
    </row>
    <row r="102" spans="1:48" s="85" customFormat="1" x14ac:dyDescent="0.2">
      <c r="A102" s="83" t="s">
        <v>47</v>
      </c>
      <c r="B102" s="83" t="s">
        <v>58</v>
      </c>
      <c r="C102" s="83" t="s">
        <v>59</v>
      </c>
      <c r="D102" s="94">
        <v>53607.54</v>
      </c>
      <c r="E102" s="96"/>
      <c r="F102" s="96">
        <v>1160.24</v>
      </c>
      <c r="G102" s="96">
        <v>24181.56</v>
      </c>
      <c r="H102" s="96">
        <v>1559.84</v>
      </c>
      <c r="I102" s="96">
        <v>20804.490000000002</v>
      </c>
      <c r="J102" s="96">
        <v>807.83</v>
      </c>
      <c r="K102" s="96">
        <v>3760.63</v>
      </c>
      <c r="L102" s="96">
        <v>1332.95</v>
      </c>
      <c r="M102" s="78">
        <v>62184.74</v>
      </c>
      <c r="N102" s="80"/>
      <c r="O102" s="84">
        <v>1345.88</v>
      </c>
      <c r="P102" s="84">
        <v>28050.63</v>
      </c>
      <c r="Q102" s="84">
        <v>1809.41</v>
      </c>
      <c r="R102" s="84">
        <v>24133.19</v>
      </c>
      <c r="S102" s="84">
        <v>937.08</v>
      </c>
      <c r="T102" s="84">
        <v>4362.33</v>
      </c>
      <c r="U102" s="84">
        <v>1546.22</v>
      </c>
      <c r="V102" s="86">
        <v>115</v>
      </c>
      <c r="W102" s="80"/>
      <c r="X102" s="80"/>
      <c r="Y102" s="79">
        <v>60</v>
      </c>
      <c r="Z102" s="80"/>
      <c r="AA102" s="79">
        <v>50</v>
      </c>
      <c r="AB102" s="80"/>
      <c r="AC102" s="79">
        <v>5</v>
      </c>
      <c r="AD102" s="80"/>
      <c r="AE102" s="91">
        <v>466.15252173913041</v>
      </c>
      <c r="AF102" s="80"/>
      <c r="AG102" s="81" t="s">
        <v>33</v>
      </c>
      <c r="AH102" s="84">
        <v>403.02600000000001</v>
      </c>
      <c r="AI102" s="81" t="s">
        <v>33</v>
      </c>
      <c r="AJ102" s="84">
        <v>416.08980000000003</v>
      </c>
      <c r="AK102" s="81" t="s">
        <v>33</v>
      </c>
      <c r="AL102" s="84">
        <v>752.12599999999998</v>
      </c>
      <c r="AM102" s="81" t="s">
        <v>33</v>
      </c>
      <c r="AN102" s="86">
        <v>3446</v>
      </c>
      <c r="AO102" s="80"/>
      <c r="AP102" s="79">
        <v>164</v>
      </c>
      <c r="AQ102" s="79">
        <v>1080</v>
      </c>
      <c r="AR102" s="79">
        <v>228</v>
      </c>
      <c r="AS102" s="79">
        <v>1440</v>
      </c>
      <c r="AT102" s="79">
        <v>130</v>
      </c>
      <c r="AU102" s="79">
        <v>286</v>
      </c>
      <c r="AV102" s="79">
        <v>118</v>
      </c>
    </row>
    <row r="103" spans="1:48" s="85" customFormat="1" x14ac:dyDescent="0.2">
      <c r="A103" s="83" t="s">
        <v>28</v>
      </c>
      <c r="B103" s="83" t="s">
        <v>187</v>
      </c>
      <c r="C103" s="83" t="s">
        <v>188</v>
      </c>
      <c r="D103" s="94">
        <v>52540.19</v>
      </c>
      <c r="E103" s="96">
        <v>725.73</v>
      </c>
      <c r="F103" s="96">
        <v>1160.83</v>
      </c>
      <c r="G103" s="96">
        <v>1119.73</v>
      </c>
      <c r="H103" s="96">
        <v>558.63</v>
      </c>
      <c r="I103" s="96">
        <v>592.74</v>
      </c>
      <c r="J103" s="96">
        <v>48290.34</v>
      </c>
      <c r="K103" s="96">
        <v>92.19</v>
      </c>
      <c r="L103" s="96"/>
      <c r="M103" s="78">
        <v>60946.61</v>
      </c>
      <c r="N103" s="84">
        <v>841.84</v>
      </c>
      <c r="O103" s="84">
        <v>1346.56</v>
      </c>
      <c r="P103" s="84">
        <v>1298.8900000000001</v>
      </c>
      <c r="Q103" s="84">
        <v>648.01</v>
      </c>
      <c r="R103" s="84">
        <v>687.57</v>
      </c>
      <c r="S103" s="84">
        <v>56016.800000000003</v>
      </c>
      <c r="T103" s="84">
        <v>106.94</v>
      </c>
      <c r="U103" s="80"/>
      <c r="V103" s="86">
        <v>210</v>
      </c>
      <c r="W103" s="79">
        <v>1</v>
      </c>
      <c r="X103" s="79">
        <v>3</v>
      </c>
      <c r="Y103" s="79">
        <v>2</v>
      </c>
      <c r="Z103" s="79">
        <v>1</v>
      </c>
      <c r="AA103" s="79">
        <v>2</v>
      </c>
      <c r="AB103" s="79">
        <v>201</v>
      </c>
      <c r="AC103" s="80"/>
      <c r="AD103" s="80"/>
      <c r="AE103" s="91">
        <v>250.19138095238094</v>
      </c>
      <c r="AF103" s="84">
        <v>725.73</v>
      </c>
      <c r="AG103" s="84">
        <v>386.94333333333333</v>
      </c>
      <c r="AH103" s="84">
        <v>559.86500000000001</v>
      </c>
      <c r="AI103" s="84">
        <v>558.63</v>
      </c>
      <c r="AJ103" s="84">
        <v>296.37</v>
      </c>
      <c r="AK103" s="84">
        <v>240.25044776119404</v>
      </c>
      <c r="AL103" s="81" t="s">
        <v>33</v>
      </c>
      <c r="AM103" s="80"/>
      <c r="AN103" s="86">
        <v>272</v>
      </c>
      <c r="AO103" s="79">
        <v>32</v>
      </c>
      <c r="AP103" s="79">
        <v>22</v>
      </c>
      <c r="AQ103" s="79">
        <v>98</v>
      </c>
      <c r="AR103" s="79">
        <v>42</v>
      </c>
      <c r="AS103" s="79">
        <v>18</v>
      </c>
      <c r="AT103" s="79">
        <v>48</v>
      </c>
      <c r="AU103" s="79">
        <v>12</v>
      </c>
      <c r="AV103" s="80"/>
    </row>
    <row r="104" spans="1:48" s="85" customFormat="1" x14ac:dyDescent="0.2">
      <c r="A104" s="83" t="s">
        <v>47</v>
      </c>
      <c r="B104" s="83" t="s">
        <v>114</v>
      </c>
      <c r="C104" s="83" t="s">
        <v>115</v>
      </c>
      <c r="D104" s="94">
        <v>52412.73</v>
      </c>
      <c r="E104" s="96"/>
      <c r="F104" s="96">
        <v>731.61</v>
      </c>
      <c r="G104" s="96"/>
      <c r="H104" s="96">
        <v>24942</v>
      </c>
      <c r="I104" s="96">
        <v>552.96</v>
      </c>
      <c r="J104" s="96">
        <v>483.84</v>
      </c>
      <c r="K104" s="96">
        <v>25564.080000000002</v>
      </c>
      <c r="L104" s="96">
        <v>138.24</v>
      </c>
      <c r="M104" s="78">
        <v>60798.76</v>
      </c>
      <c r="N104" s="80"/>
      <c r="O104" s="84">
        <v>848.67</v>
      </c>
      <c r="P104" s="80"/>
      <c r="Q104" s="84">
        <v>28932.720000000001</v>
      </c>
      <c r="R104" s="84">
        <v>641.42999999999995</v>
      </c>
      <c r="S104" s="84">
        <v>561.25</v>
      </c>
      <c r="T104" s="84">
        <v>29654.33</v>
      </c>
      <c r="U104" s="84">
        <v>160.36000000000001</v>
      </c>
      <c r="V104" s="86">
        <v>240</v>
      </c>
      <c r="W104" s="80"/>
      <c r="X104" s="80"/>
      <c r="Y104" s="80"/>
      <c r="Z104" s="79">
        <v>120</v>
      </c>
      <c r="AA104" s="80"/>
      <c r="AB104" s="80"/>
      <c r="AC104" s="79">
        <v>120</v>
      </c>
      <c r="AD104" s="80"/>
      <c r="AE104" s="91">
        <v>218.38637499999999</v>
      </c>
      <c r="AF104" s="80"/>
      <c r="AG104" s="81" t="s">
        <v>33</v>
      </c>
      <c r="AH104" s="80"/>
      <c r="AI104" s="84">
        <v>207.85</v>
      </c>
      <c r="AJ104" s="81" t="s">
        <v>33</v>
      </c>
      <c r="AK104" s="81" t="s">
        <v>33</v>
      </c>
      <c r="AL104" s="84">
        <v>213.03399999999999</v>
      </c>
      <c r="AM104" s="81" t="s">
        <v>33</v>
      </c>
      <c r="AN104" s="86">
        <v>44</v>
      </c>
      <c r="AO104" s="80"/>
      <c r="AP104" s="79">
        <v>18</v>
      </c>
      <c r="AQ104" s="80"/>
      <c r="AR104" s="80"/>
      <c r="AS104" s="79">
        <v>8</v>
      </c>
      <c r="AT104" s="79">
        <v>7</v>
      </c>
      <c r="AU104" s="79">
        <v>9</v>
      </c>
      <c r="AV104" s="79">
        <v>2</v>
      </c>
    </row>
    <row r="105" spans="1:48" s="85" customFormat="1" x14ac:dyDescent="0.2">
      <c r="A105" s="83" t="s">
        <v>47</v>
      </c>
      <c r="B105" s="83" t="s">
        <v>172</v>
      </c>
      <c r="C105" s="83" t="s">
        <v>173</v>
      </c>
      <c r="D105" s="94">
        <v>51258.86</v>
      </c>
      <c r="E105" s="96">
        <v>886.69</v>
      </c>
      <c r="F105" s="96">
        <v>16184.55</v>
      </c>
      <c r="G105" s="96">
        <v>17328.72</v>
      </c>
      <c r="H105" s="96">
        <v>845.12</v>
      </c>
      <c r="I105" s="96">
        <v>366.53</v>
      </c>
      <c r="J105" s="96">
        <v>14025.12</v>
      </c>
      <c r="K105" s="96">
        <v>404.41</v>
      </c>
      <c r="L105" s="96">
        <v>1217.72</v>
      </c>
      <c r="M105" s="78">
        <v>59460.29</v>
      </c>
      <c r="N105" s="84">
        <v>1028.56</v>
      </c>
      <c r="O105" s="84">
        <v>18774.080000000002</v>
      </c>
      <c r="P105" s="84">
        <v>20101.32</v>
      </c>
      <c r="Q105" s="84">
        <v>980.34</v>
      </c>
      <c r="R105" s="84">
        <v>425.17</v>
      </c>
      <c r="S105" s="84">
        <v>16269.14</v>
      </c>
      <c r="T105" s="84">
        <v>469.12</v>
      </c>
      <c r="U105" s="84">
        <v>1412.56</v>
      </c>
      <c r="V105" s="86">
        <v>160</v>
      </c>
      <c r="W105" s="80"/>
      <c r="X105" s="79">
        <v>50</v>
      </c>
      <c r="Y105" s="79">
        <v>60</v>
      </c>
      <c r="Z105" s="80"/>
      <c r="AA105" s="80"/>
      <c r="AB105" s="79">
        <v>50</v>
      </c>
      <c r="AC105" s="80"/>
      <c r="AD105" s="80"/>
      <c r="AE105" s="91">
        <v>320.36787500000003</v>
      </c>
      <c r="AF105" s="81" t="s">
        <v>33</v>
      </c>
      <c r="AG105" s="84">
        <v>323.69099999999997</v>
      </c>
      <c r="AH105" s="84">
        <v>288.81200000000001</v>
      </c>
      <c r="AI105" s="81" t="s">
        <v>33</v>
      </c>
      <c r="AJ105" s="81" t="s">
        <v>33</v>
      </c>
      <c r="AK105" s="84">
        <v>280.50240000000002</v>
      </c>
      <c r="AL105" s="81" t="s">
        <v>33</v>
      </c>
      <c r="AM105" s="81" t="s">
        <v>33</v>
      </c>
      <c r="AN105" s="86">
        <v>182</v>
      </c>
      <c r="AO105" s="79">
        <v>32</v>
      </c>
      <c r="AP105" s="79">
        <v>20</v>
      </c>
      <c r="AQ105" s="79">
        <v>24</v>
      </c>
      <c r="AR105" s="79">
        <v>20</v>
      </c>
      <c r="AS105" s="79">
        <v>10</v>
      </c>
      <c r="AT105" s="79">
        <v>16</v>
      </c>
      <c r="AU105" s="79">
        <v>12</v>
      </c>
      <c r="AV105" s="79">
        <v>48</v>
      </c>
    </row>
    <row r="106" spans="1:48" s="85" customFormat="1" x14ac:dyDescent="0.2">
      <c r="A106" s="83" t="s">
        <v>47</v>
      </c>
      <c r="B106" s="83" t="s">
        <v>150</v>
      </c>
      <c r="C106" s="83" t="s">
        <v>151</v>
      </c>
      <c r="D106" s="94">
        <v>47999.32</v>
      </c>
      <c r="E106" s="96">
        <v>9765.6200000000008</v>
      </c>
      <c r="F106" s="96">
        <v>7276.14</v>
      </c>
      <c r="G106" s="96">
        <v>11307.9</v>
      </c>
      <c r="H106" s="96">
        <v>3329.02</v>
      </c>
      <c r="I106" s="96">
        <v>3723.33</v>
      </c>
      <c r="J106" s="96">
        <v>3920.35</v>
      </c>
      <c r="K106" s="96">
        <v>2644.09</v>
      </c>
      <c r="L106" s="96">
        <v>6032.87</v>
      </c>
      <c r="M106" s="78">
        <v>55679.199999999997</v>
      </c>
      <c r="N106" s="84">
        <v>11328.12</v>
      </c>
      <c r="O106" s="84">
        <v>8440.32</v>
      </c>
      <c r="P106" s="84">
        <v>13117.16</v>
      </c>
      <c r="Q106" s="84">
        <v>3861.66</v>
      </c>
      <c r="R106" s="84">
        <v>4319.0600000000004</v>
      </c>
      <c r="S106" s="84">
        <v>4547.6099999999997</v>
      </c>
      <c r="T106" s="84">
        <v>3067.14</v>
      </c>
      <c r="U106" s="84">
        <v>6998.13</v>
      </c>
      <c r="V106" s="86">
        <v>169</v>
      </c>
      <c r="W106" s="79">
        <v>27</v>
      </c>
      <c r="X106" s="79">
        <v>27</v>
      </c>
      <c r="Y106" s="79">
        <v>47</v>
      </c>
      <c r="Z106" s="79">
        <v>13</v>
      </c>
      <c r="AA106" s="79">
        <v>15</v>
      </c>
      <c r="AB106" s="79">
        <v>12</v>
      </c>
      <c r="AC106" s="79">
        <v>11</v>
      </c>
      <c r="AD106" s="79">
        <v>17</v>
      </c>
      <c r="AE106" s="91">
        <v>284.01964497041422</v>
      </c>
      <c r="AF106" s="84">
        <v>361.68962962962962</v>
      </c>
      <c r="AG106" s="84">
        <v>269.48666666666668</v>
      </c>
      <c r="AH106" s="84">
        <v>240.5936170212766</v>
      </c>
      <c r="AI106" s="84">
        <v>256.07846153846157</v>
      </c>
      <c r="AJ106" s="84">
        <v>248.22200000000001</v>
      </c>
      <c r="AK106" s="84">
        <v>326.69583333333333</v>
      </c>
      <c r="AL106" s="84">
        <v>240.37181818181818</v>
      </c>
      <c r="AM106" s="84">
        <v>354.87470588235294</v>
      </c>
      <c r="AN106" s="86">
        <v>376</v>
      </c>
      <c r="AO106" s="79">
        <v>194</v>
      </c>
      <c r="AP106" s="79">
        <v>40</v>
      </c>
      <c r="AQ106" s="79">
        <v>26</v>
      </c>
      <c r="AR106" s="79">
        <v>10</v>
      </c>
      <c r="AS106" s="79">
        <v>8</v>
      </c>
      <c r="AT106" s="79">
        <v>32</v>
      </c>
      <c r="AU106" s="79">
        <v>4</v>
      </c>
      <c r="AV106" s="79">
        <v>62</v>
      </c>
    </row>
    <row r="107" spans="1:48" s="85" customFormat="1" x14ac:dyDescent="0.2">
      <c r="A107" s="83" t="s">
        <v>28</v>
      </c>
      <c r="B107" s="83" t="s">
        <v>181</v>
      </c>
      <c r="C107" s="83" t="s">
        <v>182</v>
      </c>
      <c r="D107" s="94">
        <v>46388.45</v>
      </c>
      <c r="E107" s="96">
        <v>113.28</v>
      </c>
      <c r="F107" s="96">
        <v>40827.760000000002</v>
      </c>
      <c r="G107" s="96">
        <v>2109.89</v>
      </c>
      <c r="H107" s="96">
        <v>2146.4299999999998</v>
      </c>
      <c r="I107" s="96">
        <v>598.38</v>
      </c>
      <c r="J107" s="96">
        <v>499.2</v>
      </c>
      <c r="K107" s="96">
        <v>93.51</v>
      </c>
      <c r="L107" s="96"/>
      <c r="M107" s="78">
        <v>53810.59</v>
      </c>
      <c r="N107" s="84">
        <v>131.4</v>
      </c>
      <c r="O107" s="84">
        <v>47360.2</v>
      </c>
      <c r="P107" s="84">
        <v>2447.4699999999998</v>
      </c>
      <c r="Q107" s="84">
        <v>2489.86</v>
      </c>
      <c r="R107" s="84">
        <v>694.12</v>
      </c>
      <c r="S107" s="84">
        <v>579.07000000000005</v>
      </c>
      <c r="T107" s="84">
        <v>108.47</v>
      </c>
      <c r="U107" s="80"/>
      <c r="V107" s="86">
        <v>200</v>
      </c>
      <c r="W107" s="80"/>
      <c r="X107" s="79">
        <v>200</v>
      </c>
      <c r="Y107" s="80"/>
      <c r="Z107" s="80"/>
      <c r="AA107" s="80"/>
      <c r="AB107" s="80"/>
      <c r="AC107" s="80"/>
      <c r="AD107" s="80"/>
      <c r="AE107" s="91">
        <v>231.94225</v>
      </c>
      <c r="AF107" s="81" t="s">
        <v>33</v>
      </c>
      <c r="AG107" s="84">
        <v>204.1388</v>
      </c>
      <c r="AH107" s="81" t="s">
        <v>33</v>
      </c>
      <c r="AI107" s="81" t="s">
        <v>33</v>
      </c>
      <c r="AJ107" s="81" t="s">
        <v>33</v>
      </c>
      <c r="AK107" s="81" t="s">
        <v>33</v>
      </c>
      <c r="AL107" s="81" t="s">
        <v>33</v>
      </c>
      <c r="AM107" s="80"/>
      <c r="AN107" s="86">
        <v>880</v>
      </c>
      <c r="AO107" s="80"/>
      <c r="AP107" s="79">
        <v>172</v>
      </c>
      <c r="AQ107" s="79">
        <v>244</v>
      </c>
      <c r="AR107" s="79">
        <v>258</v>
      </c>
      <c r="AS107" s="79">
        <v>92</v>
      </c>
      <c r="AT107" s="79">
        <v>96</v>
      </c>
      <c r="AU107" s="79">
        <v>18</v>
      </c>
      <c r="AV107" s="80"/>
    </row>
    <row r="108" spans="1:48" s="85" customFormat="1" x14ac:dyDescent="0.2">
      <c r="A108" s="83" t="s">
        <v>38</v>
      </c>
      <c r="B108" s="83" t="s">
        <v>635</v>
      </c>
      <c r="C108" s="83" t="s">
        <v>636</v>
      </c>
      <c r="D108" s="94">
        <v>45577.73</v>
      </c>
      <c r="E108" s="96">
        <v>4482.5</v>
      </c>
      <c r="F108" s="96">
        <v>8021.53</v>
      </c>
      <c r="G108" s="96">
        <v>7575.47</v>
      </c>
      <c r="H108" s="96">
        <v>8418.16</v>
      </c>
      <c r="I108" s="96">
        <v>7045.49</v>
      </c>
      <c r="J108" s="96">
        <v>6650.23</v>
      </c>
      <c r="K108" s="96">
        <v>3384.35</v>
      </c>
      <c r="L108" s="96"/>
      <c r="M108" s="78">
        <v>45629.86</v>
      </c>
      <c r="N108" s="84">
        <v>4482.5</v>
      </c>
      <c r="O108" s="84">
        <v>8053.79</v>
      </c>
      <c r="P108" s="84">
        <v>7575.47</v>
      </c>
      <c r="Q108" s="84">
        <v>8418.16</v>
      </c>
      <c r="R108" s="84">
        <v>7045.49</v>
      </c>
      <c r="S108" s="84">
        <v>6670.1</v>
      </c>
      <c r="T108" s="84">
        <v>3384.35</v>
      </c>
      <c r="U108" s="80"/>
      <c r="V108" s="86">
        <v>86</v>
      </c>
      <c r="W108" s="79">
        <v>8</v>
      </c>
      <c r="X108" s="79">
        <v>16</v>
      </c>
      <c r="Y108" s="79">
        <v>17</v>
      </c>
      <c r="Z108" s="79">
        <v>15</v>
      </c>
      <c r="AA108" s="79">
        <v>15</v>
      </c>
      <c r="AB108" s="79">
        <v>10</v>
      </c>
      <c r="AC108" s="79">
        <v>5</v>
      </c>
      <c r="AD108" s="80"/>
      <c r="AE108" s="91">
        <v>529.97360465116276</v>
      </c>
      <c r="AF108" s="84">
        <v>560.3125</v>
      </c>
      <c r="AG108" s="84">
        <v>501.34562499999998</v>
      </c>
      <c r="AH108" s="84">
        <v>445.61588235294118</v>
      </c>
      <c r="AI108" s="84">
        <v>561.21066666666673</v>
      </c>
      <c r="AJ108" s="84">
        <v>469.69933333333336</v>
      </c>
      <c r="AK108" s="84">
        <v>665.02300000000002</v>
      </c>
      <c r="AL108" s="84">
        <v>676.87</v>
      </c>
      <c r="AM108" s="80"/>
      <c r="AN108" s="86">
        <v>518</v>
      </c>
      <c r="AO108" s="79">
        <v>41.7</v>
      </c>
      <c r="AP108" s="79">
        <v>137.5</v>
      </c>
      <c r="AQ108" s="79">
        <v>88.8</v>
      </c>
      <c r="AR108" s="79">
        <v>97.1</v>
      </c>
      <c r="AS108" s="79">
        <v>89.7</v>
      </c>
      <c r="AT108" s="79">
        <v>41.9</v>
      </c>
      <c r="AU108" s="79">
        <v>21.3</v>
      </c>
      <c r="AV108" s="80"/>
    </row>
    <row r="109" spans="1:48" s="85" customFormat="1" x14ac:dyDescent="0.2">
      <c r="A109" s="83" t="s">
        <v>38</v>
      </c>
      <c r="B109" s="83" t="s">
        <v>519</v>
      </c>
      <c r="C109" s="83" t="s">
        <v>520</v>
      </c>
      <c r="D109" s="94">
        <v>44114.96</v>
      </c>
      <c r="E109" s="96">
        <v>4581.97</v>
      </c>
      <c r="F109" s="96">
        <v>9973.15</v>
      </c>
      <c r="G109" s="96">
        <v>5759.16</v>
      </c>
      <c r="H109" s="96">
        <v>4908.82</v>
      </c>
      <c r="I109" s="96">
        <v>5495.92</v>
      </c>
      <c r="J109" s="96">
        <v>8071.57</v>
      </c>
      <c r="K109" s="96">
        <v>5324.37</v>
      </c>
      <c r="L109" s="96"/>
      <c r="M109" s="78">
        <v>51173.36</v>
      </c>
      <c r="N109" s="84">
        <v>5315.09</v>
      </c>
      <c r="O109" s="84">
        <v>11568.85</v>
      </c>
      <c r="P109" s="84">
        <v>6680.63</v>
      </c>
      <c r="Q109" s="84">
        <v>5694.23</v>
      </c>
      <c r="R109" s="84">
        <v>6375.27</v>
      </c>
      <c r="S109" s="84">
        <v>9363.02</v>
      </c>
      <c r="T109" s="84">
        <v>6176.27</v>
      </c>
      <c r="U109" s="80"/>
      <c r="V109" s="86">
        <v>139</v>
      </c>
      <c r="W109" s="79">
        <v>15</v>
      </c>
      <c r="X109" s="79">
        <v>32</v>
      </c>
      <c r="Y109" s="79">
        <v>17</v>
      </c>
      <c r="Z109" s="79">
        <v>13</v>
      </c>
      <c r="AA109" s="79">
        <v>18</v>
      </c>
      <c r="AB109" s="79">
        <v>27</v>
      </c>
      <c r="AC109" s="79">
        <v>17</v>
      </c>
      <c r="AD109" s="80"/>
      <c r="AE109" s="91">
        <v>317.3738129496403</v>
      </c>
      <c r="AF109" s="84">
        <v>305.46466666666669</v>
      </c>
      <c r="AG109" s="84">
        <v>311.66093749999999</v>
      </c>
      <c r="AH109" s="84">
        <v>338.7741176470588</v>
      </c>
      <c r="AI109" s="84">
        <v>377.60153846153844</v>
      </c>
      <c r="AJ109" s="84">
        <v>305.32888888888891</v>
      </c>
      <c r="AK109" s="84">
        <v>298.94703703703703</v>
      </c>
      <c r="AL109" s="84">
        <v>313.19823529411764</v>
      </c>
      <c r="AM109" s="80"/>
      <c r="AN109" s="86">
        <v>88</v>
      </c>
      <c r="AO109" s="80"/>
      <c r="AP109" s="79">
        <v>10</v>
      </c>
      <c r="AQ109" s="80"/>
      <c r="AR109" s="79">
        <v>78</v>
      </c>
      <c r="AS109" s="80"/>
      <c r="AT109" s="80"/>
      <c r="AU109" s="80"/>
      <c r="AV109" s="80"/>
    </row>
    <row r="110" spans="1:48" s="85" customFormat="1" x14ac:dyDescent="0.2">
      <c r="A110" s="83" t="s">
        <v>28</v>
      </c>
      <c r="B110" s="83" t="s">
        <v>211</v>
      </c>
      <c r="C110" s="83" t="s">
        <v>212</v>
      </c>
      <c r="D110" s="94">
        <v>43704.65</v>
      </c>
      <c r="E110" s="96"/>
      <c r="F110" s="96">
        <v>20822</v>
      </c>
      <c r="G110" s="96">
        <v>1725.15</v>
      </c>
      <c r="H110" s="96">
        <v>68.22</v>
      </c>
      <c r="I110" s="96">
        <v>387.28</v>
      </c>
      <c r="J110" s="96">
        <v>20702</v>
      </c>
      <c r="K110" s="96"/>
      <c r="L110" s="96"/>
      <c r="M110" s="78">
        <v>50697.39</v>
      </c>
      <c r="N110" s="80"/>
      <c r="O110" s="84">
        <v>24153.52</v>
      </c>
      <c r="P110" s="84">
        <v>2001.17</v>
      </c>
      <c r="Q110" s="84">
        <v>79.14</v>
      </c>
      <c r="R110" s="84">
        <v>449.24</v>
      </c>
      <c r="S110" s="84">
        <v>24014.32</v>
      </c>
      <c r="T110" s="80"/>
      <c r="U110" s="80"/>
      <c r="V110" s="86">
        <v>200</v>
      </c>
      <c r="W110" s="80"/>
      <c r="X110" s="79">
        <v>100</v>
      </c>
      <c r="Y110" s="80"/>
      <c r="Z110" s="80"/>
      <c r="AA110" s="80"/>
      <c r="AB110" s="79">
        <v>100</v>
      </c>
      <c r="AC110" s="80"/>
      <c r="AD110" s="80"/>
      <c r="AE110" s="91">
        <v>218.52324999999999</v>
      </c>
      <c r="AF110" s="80"/>
      <c r="AG110" s="84">
        <v>208.22</v>
      </c>
      <c r="AH110" s="81" t="s">
        <v>33</v>
      </c>
      <c r="AI110" s="81" t="s">
        <v>33</v>
      </c>
      <c r="AJ110" s="81" t="s">
        <v>33</v>
      </c>
      <c r="AK110" s="84">
        <v>207.02</v>
      </c>
      <c r="AL110" s="80"/>
      <c r="AM110" s="80"/>
      <c r="AN110" s="86">
        <v>50</v>
      </c>
      <c r="AO110" s="80"/>
      <c r="AP110" s="80"/>
      <c r="AQ110" s="79">
        <v>30</v>
      </c>
      <c r="AR110" s="79">
        <v>4</v>
      </c>
      <c r="AS110" s="79">
        <v>16</v>
      </c>
      <c r="AT110" s="80"/>
      <c r="AU110" s="80"/>
      <c r="AV110" s="80"/>
    </row>
    <row r="111" spans="1:48" s="85" customFormat="1" x14ac:dyDescent="0.2">
      <c r="A111" s="83" t="s">
        <v>47</v>
      </c>
      <c r="B111" s="83" t="s">
        <v>174</v>
      </c>
      <c r="C111" s="83" t="s">
        <v>175</v>
      </c>
      <c r="D111" s="94">
        <v>40867.370000000003</v>
      </c>
      <c r="E111" s="96"/>
      <c r="F111" s="96">
        <v>5044.32</v>
      </c>
      <c r="G111" s="96">
        <v>6984.5</v>
      </c>
      <c r="H111" s="96">
        <v>14886.76</v>
      </c>
      <c r="I111" s="96">
        <v>13597.01</v>
      </c>
      <c r="J111" s="96">
        <v>354.78</v>
      </c>
      <c r="K111" s="96"/>
      <c r="L111" s="96"/>
      <c r="M111" s="78">
        <v>47363.92</v>
      </c>
      <c r="N111" s="80"/>
      <c r="O111" s="84">
        <v>5851.4</v>
      </c>
      <c r="P111" s="84">
        <v>8102.02</v>
      </c>
      <c r="Q111" s="84">
        <v>17268.64</v>
      </c>
      <c r="R111" s="84">
        <v>15730.32</v>
      </c>
      <c r="S111" s="84">
        <v>411.54</v>
      </c>
      <c r="T111" s="80"/>
      <c r="U111" s="80"/>
      <c r="V111" s="86">
        <v>95</v>
      </c>
      <c r="W111" s="80"/>
      <c r="X111" s="79">
        <v>10</v>
      </c>
      <c r="Y111" s="79">
        <v>10</v>
      </c>
      <c r="Z111" s="79">
        <v>40</v>
      </c>
      <c r="AA111" s="79">
        <v>35</v>
      </c>
      <c r="AB111" s="80"/>
      <c r="AC111" s="80"/>
      <c r="AD111" s="80"/>
      <c r="AE111" s="91">
        <v>430.18284210526315</v>
      </c>
      <c r="AF111" s="80"/>
      <c r="AG111" s="84">
        <v>504.43200000000002</v>
      </c>
      <c r="AH111" s="84">
        <v>698.45</v>
      </c>
      <c r="AI111" s="84">
        <v>372.16899999999998</v>
      </c>
      <c r="AJ111" s="84">
        <v>388.48599999999999</v>
      </c>
      <c r="AK111" s="81" t="s">
        <v>33</v>
      </c>
      <c r="AL111" s="80"/>
      <c r="AM111" s="80"/>
      <c r="AN111" s="86">
        <v>2837.9</v>
      </c>
      <c r="AO111" s="80"/>
      <c r="AP111" s="79">
        <v>422</v>
      </c>
      <c r="AQ111" s="79">
        <v>624</v>
      </c>
      <c r="AR111" s="79">
        <v>722</v>
      </c>
      <c r="AS111" s="79">
        <v>1037.9000000000001</v>
      </c>
      <c r="AT111" s="79">
        <v>32</v>
      </c>
      <c r="AU111" s="80"/>
      <c r="AV111" s="80"/>
    </row>
    <row r="112" spans="1:48" s="85" customFormat="1" x14ac:dyDescent="0.2">
      <c r="A112" s="83" t="s">
        <v>38</v>
      </c>
      <c r="B112" s="83" t="s">
        <v>681</v>
      </c>
      <c r="C112" s="83" t="s">
        <v>682</v>
      </c>
      <c r="D112" s="94">
        <v>40766.82</v>
      </c>
      <c r="E112" s="96"/>
      <c r="F112" s="96"/>
      <c r="G112" s="96"/>
      <c r="H112" s="96"/>
      <c r="I112" s="96"/>
      <c r="J112" s="96">
        <v>40766.82</v>
      </c>
      <c r="K112" s="96"/>
      <c r="L112" s="96"/>
      <c r="M112" s="78">
        <v>47289.51</v>
      </c>
      <c r="N112" s="80"/>
      <c r="O112" s="80"/>
      <c r="P112" s="80"/>
      <c r="Q112" s="80"/>
      <c r="R112" s="81"/>
      <c r="S112" s="84">
        <v>47289.51</v>
      </c>
      <c r="T112" s="81"/>
      <c r="U112" s="80"/>
      <c r="V112" s="86">
        <v>402</v>
      </c>
      <c r="W112" s="80"/>
      <c r="X112" s="80"/>
      <c r="Y112" s="80"/>
      <c r="Z112" s="80"/>
      <c r="AA112" s="81"/>
      <c r="AB112" s="79">
        <v>402</v>
      </c>
      <c r="AC112" s="81"/>
      <c r="AD112" s="80"/>
      <c r="AE112" s="91">
        <v>101.41</v>
      </c>
      <c r="AF112" s="80"/>
      <c r="AG112" s="80"/>
      <c r="AH112" s="80"/>
      <c r="AI112" s="80"/>
      <c r="AJ112" s="81" t="s">
        <v>33</v>
      </c>
      <c r="AK112" s="84">
        <v>101.41</v>
      </c>
      <c r="AL112" s="81" t="s">
        <v>33</v>
      </c>
      <c r="AM112" s="80"/>
      <c r="AN112" s="88"/>
      <c r="AO112" s="80"/>
      <c r="AP112" s="80"/>
      <c r="AQ112" s="80"/>
      <c r="AR112" s="80"/>
      <c r="AS112" s="80"/>
      <c r="AT112" s="80"/>
      <c r="AU112" s="80"/>
      <c r="AV112" s="80"/>
    </row>
    <row r="113" spans="1:48" s="85" customFormat="1" x14ac:dyDescent="0.2">
      <c r="A113" s="83" t="s">
        <v>28</v>
      </c>
      <c r="B113" s="83" t="s">
        <v>195</v>
      </c>
      <c r="C113" s="83" t="s">
        <v>196</v>
      </c>
      <c r="D113" s="94">
        <v>39904.629999999997</v>
      </c>
      <c r="E113" s="96">
        <v>8388.4</v>
      </c>
      <c r="F113" s="96">
        <v>4405.34</v>
      </c>
      <c r="G113" s="96">
        <v>8820.1299999999992</v>
      </c>
      <c r="H113" s="96">
        <v>4427.3999999999996</v>
      </c>
      <c r="I113" s="96">
        <v>4992.8100000000004</v>
      </c>
      <c r="J113" s="96">
        <v>4436.8500000000004</v>
      </c>
      <c r="K113" s="96">
        <v>4433.7</v>
      </c>
      <c r="L113" s="96"/>
      <c r="M113" s="78">
        <v>46289.36</v>
      </c>
      <c r="N113" s="84">
        <v>9730.5400000000009</v>
      </c>
      <c r="O113" s="84">
        <v>5110.1899999999996</v>
      </c>
      <c r="P113" s="84">
        <v>10231.35</v>
      </c>
      <c r="Q113" s="84">
        <v>5135.78</v>
      </c>
      <c r="R113" s="84">
        <v>5791.66</v>
      </c>
      <c r="S113" s="84">
        <v>5146.75</v>
      </c>
      <c r="T113" s="84">
        <v>5143.09</v>
      </c>
      <c r="U113" s="80"/>
      <c r="V113" s="86">
        <v>9</v>
      </c>
      <c r="W113" s="79">
        <v>2</v>
      </c>
      <c r="X113" s="79">
        <v>1</v>
      </c>
      <c r="Y113" s="79">
        <v>2</v>
      </c>
      <c r="Z113" s="79">
        <v>1</v>
      </c>
      <c r="AA113" s="79">
        <v>1</v>
      </c>
      <c r="AB113" s="79">
        <v>1</v>
      </c>
      <c r="AC113" s="79">
        <v>1</v>
      </c>
      <c r="AD113" s="80"/>
      <c r="AE113" s="91">
        <v>4433.847777777778</v>
      </c>
      <c r="AF113" s="84">
        <v>4194.2</v>
      </c>
      <c r="AG113" s="84">
        <v>4405.34</v>
      </c>
      <c r="AH113" s="84">
        <v>4410.0649999999996</v>
      </c>
      <c r="AI113" s="84">
        <v>4427.3999999999996</v>
      </c>
      <c r="AJ113" s="84">
        <v>4992.8100000000004</v>
      </c>
      <c r="AK113" s="84">
        <v>4436.8500000000004</v>
      </c>
      <c r="AL113" s="84">
        <v>4433.7</v>
      </c>
      <c r="AM113" s="80"/>
      <c r="AN113" s="88"/>
      <c r="AO113" s="80"/>
      <c r="AP113" s="80"/>
      <c r="AQ113" s="80"/>
      <c r="AR113" s="80"/>
      <c r="AS113" s="80"/>
      <c r="AT113" s="80"/>
      <c r="AU113" s="80"/>
      <c r="AV113" s="80"/>
    </row>
    <row r="114" spans="1:48" s="85" customFormat="1" x14ac:dyDescent="0.2">
      <c r="A114" s="83" t="s">
        <v>47</v>
      </c>
      <c r="B114" s="83" t="s">
        <v>124</v>
      </c>
      <c r="C114" s="83" t="s">
        <v>125</v>
      </c>
      <c r="D114" s="94">
        <v>39186.230000000003</v>
      </c>
      <c r="E114" s="96"/>
      <c r="F114" s="96">
        <v>9014.25</v>
      </c>
      <c r="G114" s="96">
        <v>7631.71</v>
      </c>
      <c r="H114" s="96">
        <v>7593.19</v>
      </c>
      <c r="I114" s="96">
        <v>861.12</v>
      </c>
      <c r="J114" s="96">
        <v>8665.75</v>
      </c>
      <c r="K114" s="96">
        <v>183.04</v>
      </c>
      <c r="L114" s="96">
        <v>5237.17</v>
      </c>
      <c r="M114" s="78">
        <v>45456.03</v>
      </c>
      <c r="N114" s="80"/>
      <c r="O114" s="84">
        <v>10456.530000000001</v>
      </c>
      <c r="P114" s="84">
        <v>8852.7800000000007</v>
      </c>
      <c r="Q114" s="84">
        <v>8808.1</v>
      </c>
      <c r="R114" s="84">
        <v>998.9</v>
      </c>
      <c r="S114" s="84">
        <v>10052.27</v>
      </c>
      <c r="T114" s="84">
        <v>212.33</v>
      </c>
      <c r="U114" s="84">
        <v>6075.12</v>
      </c>
      <c r="V114" s="86">
        <v>58</v>
      </c>
      <c r="W114" s="80"/>
      <c r="X114" s="79">
        <v>15</v>
      </c>
      <c r="Y114" s="79">
        <v>12</v>
      </c>
      <c r="Z114" s="79">
        <v>11</v>
      </c>
      <c r="AA114" s="80"/>
      <c r="AB114" s="79">
        <v>15</v>
      </c>
      <c r="AC114" s="80"/>
      <c r="AD114" s="79">
        <v>5</v>
      </c>
      <c r="AE114" s="91">
        <v>675.62465517241378</v>
      </c>
      <c r="AF114" s="80"/>
      <c r="AG114" s="84">
        <v>600.95000000000005</v>
      </c>
      <c r="AH114" s="84">
        <v>635.9758333333333</v>
      </c>
      <c r="AI114" s="84">
        <v>690.29</v>
      </c>
      <c r="AJ114" s="81" t="s">
        <v>33</v>
      </c>
      <c r="AK114" s="84">
        <v>577.7166666666667</v>
      </c>
      <c r="AL114" s="81" t="s">
        <v>33</v>
      </c>
      <c r="AM114" s="84">
        <v>1047.434</v>
      </c>
      <c r="AN114" s="86">
        <v>3995</v>
      </c>
      <c r="AO114" s="80"/>
      <c r="AP114" s="79">
        <v>990</v>
      </c>
      <c r="AQ114" s="79">
        <v>449</v>
      </c>
      <c r="AR114" s="79">
        <v>846</v>
      </c>
      <c r="AS114" s="79">
        <v>72</v>
      </c>
      <c r="AT114" s="79">
        <v>890</v>
      </c>
      <c r="AU114" s="79">
        <v>32</v>
      </c>
      <c r="AV114" s="79">
        <v>716</v>
      </c>
    </row>
    <row r="115" spans="1:48" s="85" customFormat="1" x14ac:dyDescent="0.2">
      <c r="A115" s="83" t="s">
        <v>28</v>
      </c>
      <c r="B115" s="83" t="s">
        <v>309</v>
      </c>
      <c r="C115" s="83" t="s">
        <v>310</v>
      </c>
      <c r="D115" s="94">
        <v>38466.620000000003</v>
      </c>
      <c r="E115" s="96"/>
      <c r="F115" s="96"/>
      <c r="G115" s="96"/>
      <c r="H115" s="96"/>
      <c r="I115" s="96">
        <v>27742.48</v>
      </c>
      <c r="J115" s="96">
        <v>10724.14</v>
      </c>
      <c r="K115" s="96"/>
      <c r="L115" s="96"/>
      <c r="M115" s="78">
        <v>44621.279999999999</v>
      </c>
      <c r="N115" s="80"/>
      <c r="O115" s="80"/>
      <c r="P115" s="80"/>
      <c r="Q115" s="80"/>
      <c r="R115" s="84">
        <v>32181.279999999999</v>
      </c>
      <c r="S115" s="84">
        <v>12440</v>
      </c>
      <c r="T115" s="80"/>
      <c r="U115" s="80"/>
      <c r="V115" s="86">
        <v>18</v>
      </c>
      <c r="W115" s="80"/>
      <c r="X115" s="80"/>
      <c r="Y115" s="80"/>
      <c r="Z115" s="80"/>
      <c r="AA115" s="79">
        <v>13</v>
      </c>
      <c r="AB115" s="79">
        <v>5</v>
      </c>
      <c r="AC115" s="80"/>
      <c r="AD115" s="80"/>
      <c r="AE115" s="91">
        <v>2137.0344444444445</v>
      </c>
      <c r="AF115" s="80"/>
      <c r="AG115" s="80"/>
      <c r="AH115" s="80"/>
      <c r="AI115" s="80"/>
      <c r="AJ115" s="84">
        <v>2134.0369230769229</v>
      </c>
      <c r="AK115" s="84">
        <v>2144.828</v>
      </c>
      <c r="AL115" s="80"/>
      <c r="AM115" s="80"/>
      <c r="AN115" s="88"/>
      <c r="AO115" s="80"/>
      <c r="AP115" s="80"/>
      <c r="AQ115" s="80"/>
      <c r="AR115" s="80"/>
      <c r="AS115" s="80"/>
      <c r="AT115" s="80"/>
      <c r="AU115" s="80"/>
      <c r="AV115" s="80"/>
    </row>
    <row r="116" spans="1:48" s="85" customFormat="1" x14ac:dyDescent="0.2">
      <c r="A116" s="83" t="s">
        <v>38</v>
      </c>
      <c r="B116" s="83" t="s">
        <v>585</v>
      </c>
      <c r="C116" s="83" t="s">
        <v>586</v>
      </c>
      <c r="D116" s="94">
        <v>37956.1</v>
      </c>
      <c r="E116" s="96">
        <v>6277.32</v>
      </c>
      <c r="F116" s="96">
        <v>6859.1</v>
      </c>
      <c r="G116" s="96">
        <v>7656.16</v>
      </c>
      <c r="H116" s="96">
        <v>4697.4399999999996</v>
      </c>
      <c r="I116" s="96">
        <v>4622.55</v>
      </c>
      <c r="J116" s="96">
        <v>3643.63</v>
      </c>
      <c r="K116" s="96">
        <v>4199.8999999999996</v>
      </c>
      <c r="L116" s="96"/>
      <c r="M116" s="78">
        <v>44029.08</v>
      </c>
      <c r="N116" s="84">
        <v>7281.69</v>
      </c>
      <c r="O116" s="84">
        <v>7956.56</v>
      </c>
      <c r="P116" s="84">
        <v>8881.15</v>
      </c>
      <c r="Q116" s="84">
        <v>5449.03</v>
      </c>
      <c r="R116" s="84">
        <v>5362.16</v>
      </c>
      <c r="S116" s="84">
        <v>4226.6099999999997</v>
      </c>
      <c r="T116" s="84">
        <v>4871.88</v>
      </c>
      <c r="U116" s="80"/>
      <c r="V116" s="86">
        <v>135</v>
      </c>
      <c r="W116" s="79">
        <v>24</v>
      </c>
      <c r="X116" s="79">
        <v>27</v>
      </c>
      <c r="Y116" s="79">
        <v>29</v>
      </c>
      <c r="Z116" s="79">
        <v>17</v>
      </c>
      <c r="AA116" s="79">
        <v>13</v>
      </c>
      <c r="AB116" s="79">
        <v>13</v>
      </c>
      <c r="AC116" s="79">
        <v>12</v>
      </c>
      <c r="AD116" s="80"/>
      <c r="AE116" s="91">
        <v>281.15629629629632</v>
      </c>
      <c r="AF116" s="84">
        <v>261.55500000000001</v>
      </c>
      <c r="AG116" s="84">
        <v>254.04074074074074</v>
      </c>
      <c r="AH116" s="84">
        <v>264.00551724137932</v>
      </c>
      <c r="AI116" s="84">
        <v>276.32</v>
      </c>
      <c r="AJ116" s="84">
        <v>355.58076923076925</v>
      </c>
      <c r="AK116" s="84">
        <v>280.27923076923076</v>
      </c>
      <c r="AL116" s="84">
        <v>349.99166666666667</v>
      </c>
      <c r="AM116" s="80"/>
      <c r="AN116" s="86">
        <v>444</v>
      </c>
      <c r="AO116" s="79">
        <v>68</v>
      </c>
      <c r="AP116" s="79">
        <v>54</v>
      </c>
      <c r="AQ116" s="79">
        <v>102</v>
      </c>
      <c r="AR116" s="79">
        <v>64</v>
      </c>
      <c r="AS116" s="79">
        <v>58</v>
      </c>
      <c r="AT116" s="79">
        <v>30</v>
      </c>
      <c r="AU116" s="79">
        <v>68</v>
      </c>
      <c r="AV116" s="80"/>
    </row>
    <row r="117" spans="1:48" s="85" customFormat="1" x14ac:dyDescent="0.2">
      <c r="A117" s="83" t="s">
        <v>38</v>
      </c>
      <c r="B117" s="83" t="s">
        <v>39</v>
      </c>
      <c r="C117" s="83" t="s">
        <v>40</v>
      </c>
      <c r="D117" s="94">
        <v>37079.85</v>
      </c>
      <c r="E117" s="96">
        <v>8525.11</v>
      </c>
      <c r="F117" s="96">
        <v>10803.460000000001</v>
      </c>
      <c r="G117" s="96">
        <v>8935.0600000000013</v>
      </c>
      <c r="H117" s="96">
        <v>19470.34</v>
      </c>
      <c r="I117" s="96">
        <v>8913.18</v>
      </c>
      <c r="J117" s="96">
        <v>8801.91</v>
      </c>
      <c r="K117" s="96">
        <v>10233.650000000001</v>
      </c>
      <c r="L117" s="96">
        <v>8525.11</v>
      </c>
      <c r="M117" s="78">
        <v>43012.639999999999</v>
      </c>
      <c r="N117" s="84">
        <v>9889.1299999999992</v>
      </c>
      <c r="O117" s="84">
        <v>3643.2</v>
      </c>
      <c r="P117" s="84">
        <v>2575.56</v>
      </c>
      <c r="Q117" s="84">
        <v>3078.68</v>
      </c>
      <c r="R117" s="84">
        <v>369.81</v>
      </c>
      <c r="S117" s="84">
        <v>10633.35</v>
      </c>
      <c r="T117" s="84">
        <v>5736.91</v>
      </c>
      <c r="U117" s="84">
        <v>7086</v>
      </c>
      <c r="V117" s="86">
        <v>55</v>
      </c>
      <c r="W117" s="80"/>
      <c r="X117" s="80"/>
      <c r="Y117" s="80"/>
      <c r="Z117" s="80"/>
      <c r="AA117" s="80"/>
      <c r="AB117" s="79">
        <v>26</v>
      </c>
      <c r="AC117" s="79">
        <v>12</v>
      </c>
      <c r="AD117" s="79">
        <v>17</v>
      </c>
      <c r="AE117" s="91">
        <v>674.17909090909086</v>
      </c>
      <c r="AF117" s="81" t="s">
        <v>33</v>
      </c>
      <c r="AG117" s="81" t="s">
        <v>33</v>
      </c>
      <c r="AH117" s="81" t="s">
        <v>33</v>
      </c>
      <c r="AI117" s="81" t="s">
        <v>33</v>
      </c>
      <c r="AJ117" s="81" t="s">
        <v>33</v>
      </c>
      <c r="AK117" s="84">
        <v>352.56461538461537</v>
      </c>
      <c r="AL117" s="84">
        <v>412.13416666666666</v>
      </c>
      <c r="AM117" s="84">
        <v>359.3305882352941</v>
      </c>
      <c r="AN117" s="86">
        <v>760</v>
      </c>
      <c r="AO117" s="79">
        <v>232</v>
      </c>
      <c r="AP117" s="79">
        <v>126</v>
      </c>
      <c r="AQ117" s="79">
        <v>68</v>
      </c>
      <c r="AR117" s="79">
        <v>82</v>
      </c>
      <c r="AS117" s="79">
        <v>20</v>
      </c>
      <c r="AT117" s="79">
        <v>116</v>
      </c>
      <c r="AU117" s="79">
        <v>52</v>
      </c>
      <c r="AV117" s="79">
        <v>64</v>
      </c>
    </row>
    <row r="118" spans="1:48" s="85" customFormat="1" x14ac:dyDescent="0.2">
      <c r="A118" s="83" t="s">
        <v>38</v>
      </c>
      <c r="B118" s="83" t="s">
        <v>633</v>
      </c>
      <c r="C118" s="83" t="s">
        <v>634</v>
      </c>
      <c r="D118" s="94">
        <v>36890.97</v>
      </c>
      <c r="E118" s="96">
        <v>4396.82</v>
      </c>
      <c r="F118" s="96">
        <v>4099.8999999999996</v>
      </c>
      <c r="G118" s="96">
        <v>6247.43</v>
      </c>
      <c r="H118" s="96">
        <v>4529.3900000000003</v>
      </c>
      <c r="I118" s="96">
        <v>3229.68</v>
      </c>
      <c r="J118" s="96">
        <v>5003.5600000000004</v>
      </c>
      <c r="K118" s="96">
        <v>4450.3900000000003</v>
      </c>
      <c r="L118" s="96">
        <v>4933.8</v>
      </c>
      <c r="M118" s="78">
        <v>42793.52</v>
      </c>
      <c r="N118" s="84">
        <v>5100.3100000000004</v>
      </c>
      <c r="O118" s="84">
        <v>4755.88</v>
      </c>
      <c r="P118" s="84">
        <v>7247.02</v>
      </c>
      <c r="Q118" s="84">
        <v>5254.09</v>
      </c>
      <c r="R118" s="84">
        <v>3746.43</v>
      </c>
      <c r="S118" s="84">
        <v>5804.13</v>
      </c>
      <c r="T118" s="84">
        <v>5162.45</v>
      </c>
      <c r="U118" s="84">
        <v>5723.21</v>
      </c>
      <c r="V118" s="86">
        <v>118</v>
      </c>
      <c r="W118" s="79">
        <v>9</v>
      </c>
      <c r="X118" s="79">
        <v>7</v>
      </c>
      <c r="Y118" s="79">
        <v>21</v>
      </c>
      <c r="Z118" s="79">
        <v>15</v>
      </c>
      <c r="AA118" s="79">
        <v>9</v>
      </c>
      <c r="AB118" s="79">
        <v>17</v>
      </c>
      <c r="AC118" s="79">
        <v>18</v>
      </c>
      <c r="AD118" s="79">
        <v>22</v>
      </c>
      <c r="AE118" s="91">
        <v>312.63533898305087</v>
      </c>
      <c r="AF118" s="84">
        <v>488.53555555555556</v>
      </c>
      <c r="AG118" s="84">
        <v>585.70000000000005</v>
      </c>
      <c r="AH118" s="84">
        <v>297.49666666666667</v>
      </c>
      <c r="AI118" s="84">
        <v>301.95933333333335</v>
      </c>
      <c r="AJ118" s="84">
        <v>358.85333333333335</v>
      </c>
      <c r="AK118" s="84">
        <v>294.3270588235294</v>
      </c>
      <c r="AL118" s="84">
        <v>247.2438888888889</v>
      </c>
      <c r="AM118" s="84">
        <v>224.26363636363635</v>
      </c>
      <c r="AN118" s="86">
        <v>1420</v>
      </c>
      <c r="AO118" s="79">
        <v>22</v>
      </c>
      <c r="AP118" s="79">
        <v>80</v>
      </c>
      <c r="AQ118" s="79">
        <v>150</v>
      </c>
      <c r="AR118" s="79">
        <v>118</v>
      </c>
      <c r="AS118" s="79">
        <v>236</v>
      </c>
      <c r="AT118" s="79">
        <v>240</v>
      </c>
      <c r="AU118" s="79">
        <v>224</v>
      </c>
      <c r="AV118" s="79">
        <v>350</v>
      </c>
    </row>
    <row r="119" spans="1:48" s="85" customFormat="1" x14ac:dyDescent="0.2">
      <c r="A119" s="83" t="s">
        <v>47</v>
      </c>
      <c r="B119" s="83" t="s">
        <v>130</v>
      </c>
      <c r="C119" s="83" t="s">
        <v>131</v>
      </c>
      <c r="D119" s="94">
        <v>33920.120000000003</v>
      </c>
      <c r="E119" s="96"/>
      <c r="F119" s="96"/>
      <c r="G119" s="96">
        <v>11060.89</v>
      </c>
      <c r="H119" s="96">
        <v>8960.34</v>
      </c>
      <c r="I119" s="96">
        <v>1328.15</v>
      </c>
      <c r="J119" s="96">
        <v>11819.84</v>
      </c>
      <c r="K119" s="96">
        <v>-443.69</v>
      </c>
      <c r="L119" s="96">
        <v>1194.5899999999999</v>
      </c>
      <c r="M119" s="78">
        <v>38599.89</v>
      </c>
      <c r="N119" s="80"/>
      <c r="O119" s="80"/>
      <c r="P119" s="84">
        <v>12423.55</v>
      </c>
      <c r="Q119" s="84">
        <v>10362.11</v>
      </c>
      <c r="R119" s="84">
        <v>1379.89</v>
      </c>
      <c r="S119" s="84">
        <v>13621.85</v>
      </c>
      <c r="T119" s="84">
        <v>-561.51</v>
      </c>
      <c r="U119" s="84">
        <v>1374</v>
      </c>
      <c r="V119" s="86">
        <v>135</v>
      </c>
      <c r="W119" s="80"/>
      <c r="X119" s="80"/>
      <c r="Y119" s="79">
        <v>40</v>
      </c>
      <c r="Z119" s="79">
        <v>45</v>
      </c>
      <c r="AA119" s="80"/>
      <c r="AB119" s="79">
        <v>50</v>
      </c>
      <c r="AC119" s="80"/>
      <c r="AD119" s="80"/>
      <c r="AE119" s="91">
        <v>251.26014814814815</v>
      </c>
      <c r="AF119" s="80"/>
      <c r="AG119" s="80"/>
      <c r="AH119" s="84">
        <v>276.52224999999999</v>
      </c>
      <c r="AI119" s="84">
        <v>199.11866666666668</v>
      </c>
      <c r="AJ119" s="81" t="s">
        <v>33</v>
      </c>
      <c r="AK119" s="84">
        <v>236.39680000000001</v>
      </c>
      <c r="AL119" s="81" t="s">
        <v>33</v>
      </c>
      <c r="AM119" s="81" t="s">
        <v>33</v>
      </c>
      <c r="AN119" s="86">
        <v>352.1</v>
      </c>
      <c r="AO119" s="80"/>
      <c r="AP119" s="80"/>
      <c r="AQ119" s="79">
        <v>59.9</v>
      </c>
      <c r="AR119" s="79">
        <v>93.1</v>
      </c>
      <c r="AS119" s="79">
        <v>36.6</v>
      </c>
      <c r="AT119" s="79">
        <v>60.5</v>
      </c>
      <c r="AU119" s="79">
        <v>-12</v>
      </c>
      <c r="AV119" s="79">
        <v>114</v>
      </c>
    </row>
    <row r="120" spans="1:48" s="85" customFormat="1" x14ac:dyDescent="0.2">
      <c r="A120" s="83" t="s">
        <v>38</v>
      </c>
      <c r="B120" s="83" t="s">
        <v>671</v>
      </c>
      <c r="C120" s="83" t="s">
        <v>672</v>
      </c>
      <c r="D120" s="94">
        <v>33534.93</v>
      </c>
      <c r="E120" s="96">
        <v>6880.92</v>
      </c>
      <c r="F120" s="96">
        <v>3272.54</v>
      </c>
      <c r="G120" s="96">
        <v>3554.39</v>
      </c>
      <c r="H120" s="96">
        <v>3721.98</v>
      </c>
      <c r="I120" s="96">
        <v>6645.44</v>
      </c>
      <c r="J120" s="96">
        <v>4685.5200000000004</v>
      </c>
      <c r="K120" s="96">
        <v>4774.1400000000003</v>
      </c>
      <c r="L120" s="96"/>
      <c r="M120" s="78">
        <v>38900.519999999997</v>
      </c>
      <c r="N120" s="84">
        <v>7981.87</v>
      </c>
      <c r="O120" s="84">
        <v>3796.15</v>
      </c>
      <c r="P120" s="84">
        <v>4123.09</v>
      </c>
      <c r="Q120" s="84">
        <v>4317.5</v>
      </c>
      <c r="R120" s="84">
        <v>7708.71</v>
      </c>
      <c r="S120" s="84">
        <v>5435.2</v>
      </c>
      <c r="T120" s="84">
        <v>5538</v>
      </c>
      <c r="U120" s="80"/>
      <c r="V120" s="86">
        <v>161</v>
      </c>
      <c r="W120" s="79">
        <v>32</v>
      </c>
      <c r="X120" s="79">
        <v>16</v>
      </c>
      <c r="Y120" s="79">
        <v>18</v>
      </c>
      <c r="Z120" s="79">
        <v>21</v>
      </c>
      <c r="AA120" s="79">
        <v>32</v>
      </c>
      <c r="AB120" s="79">
        <v>19</v>
      </c>
      <c r="AC120" s="79">
        <v>23</v>
      </c>
      <c r="AD120" s="80"/>
      <c r="AE120" s="91">
        <v>208.2914906832298</v>
      </c>
      <c r="AF120" s="84">
        <v>215.02875</v>
      </c>
      <c r="AG120" s="84">
        <v>204.53375</v>
      </c>
      <c r="AH120" s="84">
        <v>197.4661111111111</v>
      </c>
      <c r="AI120" s="84">
        <v>177.23714285714286</v>
      </c>
      <c r="AJ120" s="84">
        <v>207.67</v>
      </c>
      <c r="AK120" s="84">
        <v>246.60631578947368</v>
      </c>
      <c r="AL120" s="84">
        <v>207.5713043478261</v>
      </c>
      <c r="AM120" s="80"/>
      <c r="AN120" s="86">
        <v>426</v>
      </c>
      <c r="AO120" s="79">
        <v>110</v>
      </c>
      <c r="AP120" s="79">
        <v>26</v>
      </c>
      <c r="AQ120" s="79">
        <v>20</v>
      </c>
      <c r="AR120" s="79">
        <v>30</v>
      </c>
      <c r="AS120" s="79">
        <v>58</v>
      </c>
      <c r="AT120" s="79">
        <v>156</v>
      </c>
      <c r="AU120" s="79">
        <v>26</v>
      </c>
      <c r="AV120" s="80"/>
    </row>
    <row r="121" spans="1:48" s="85" customFormat="1" x14ac:dyDescent="0.2">
      <c r="A121" s="83" t="s">
        <v>38</v>
      </c>
      <c r="B121" s="83" t="s">
        <v>523</v>
      </c>
      <c r="C121" s="83" t="s">
        <v>524</v>
      </c>
      <c r="D121" s="94">
        <v>33001.339999999997</v>
      </c>
      <c r="E121" s="96">
        <v>5387.1</v>
      </c>
      <c r="F121" s="96">
        <v>7056.91</v>
      </c>
      <c r="G121" s="96">
        <v>5041.72</v>
      </c>
      <c r="H121" s="96">
        <v>3837.39</v>
      </c>
      <c r="I121" s="96">
        <v>3882.69</v>
      </c>
      <c r="J121" s="96">
        <v>3072.82</v>
      </c>
      <c r="K121" s="96">
        <v>4722.71</v>
      </c>
      <c r="L121" s="96"/>
      <c r="M121" s="78">
        <v>38281.56</v>
      </c>
      <c r="N121" s="84">
        <v>6249.04</v>
      </c>
      <c r="O121" s="84">
        <v>8186.02</v>
      </c>
      <c r="P121" s="84">
        <v>5848.4</v>
      </c>
      <c r="Q121" s="84">
        <v>4451.37</v>
      </c>
      <c r="R121" s="84">
        <v>4503.92</v>
      </c>
      <c r="S121" s="84">
        <v>3564.47</v>
      </c>
      <c r="T121" s="84">
        <v>5478.34</v>
      </c>
      <c r="U121" s="80"/>
      <c r="V121" s="86">
        <v>177</v>
      </c>
      <c r="W121" s="79">
        <v>27</v>
      </c>
      <c r="X121" s="79">
        <v>38</v>
      </c>
      <c r="Y121" s="79">
        <v>28</v>
      </c>
      <c r="Z121" s="79">
        <v>21</v>
      </c>
      <c r="AA121" s="79">
        <v>21</v>
      </c>
      <c r="AB121" s="79">
        <v>16</v>
      </c>
      <c r="AC121" s="79">
        <v>26</v>
      </c>
      <c r="AD121" s="80"/>
      <c r="AE121" s="91">
        <v>186.44824858757062</v>
      </c>
      <c r="AF121" s="84">
        <v>199.52222222222221</v>
      </c>
      <c r="AG121" s="84">
        <v>185.70815789473684</v>
      </c>
      <c r="AH121" s="84">
        <v>180.06142857142856</v>
      </c>
      <c r="AI121" s="84">
        <v>182.73285714285714</v>
      </c>
      <c r="AJ121" s="84">
        <v>184.89</v>
      </c>
      <c r="AK121" s="84">
        <v>192.05125000000001</v>
      </c>
      <c r="AL121" s="84">
        <v>181.6426923076923</v>
      </c>
      <c r="AM121" s="80"/>
      <c r="AN121" s="86">
        <v>468</v>
      </c>
      <c r="AO121" s="79">
        <v>176</v>
      </c>
      <c r="AP121" s="79">
        <v>30</v>
      </c>
      <c r="AQ121" s="79">
        <v>58</v>
      </c>
      <c r="AR121" s="79">
        <v>58</v>
      </c>
      <c r="AS121" s="79">
        <v>44</v>
      </c>
      <c r="AT121" s="79">
        <v>40</v>
      </c>
      <c r="AU121" s="79">
        <v>62</v>
      </c>
      <c r="AV121" s="80"/>
    </row>
    <row r="122" spans="1:48" s="85" customFormat="1" x14ac:dyDescent="0.2">
      <c r="A122" s="83" t="s">
        <v>28</v>
      </c>
      <c r="B122" s="83" t="s">
        <v>289</v>
      </c>
      <c r="C122" s="83" t="s">
        <v>290</v>
      </c>
      <c r="D122" s="94">
        <v>32362.03</v>
      </c>
      <c r="E122" s="96">
        <v>20669.64</v>
      </c>
      <c r="F122" s="96"/>
      <c r="G122" s="96">
        <v>4718.0200000000004</v>
      </c>
      <c r="H122" s="96">
        <v>6974.37</v>
      </c>
      <c r="I122" s="96"/>
      <c r="J122" s="96"/>
      <c r="K122" s="96"/>
      <c r="L122" s="96"/>
      <c r="M122" s="78">
        <v>33492.629999999997</v>
      </c>
      <c r="N122" s="84">
        <v>21417.41</v>
      </c>
      <c r="O122" s="80"/>
      <c r="P122" s="84">
        <v>4892.12</v>
      </c>
      <c r="Q122" s="84">
        <v>7183.1</v>
      </c>
      <c r="R122" s="80"/>
      <c r="S122" s="80"/>
      <c r="T122" s="80"/>
      <c r="U122" s="80"/>
      <c r="V122" s="86">
        <v>104</v>
      </c>
      <c r="W122" s="79">
        <v>68</v>
      </c>
      <c r="X122" s="80"/>
      <c r="Y122" s="79">
        <v>14</v>
      </c>
      <c r="Z122" s="79">
        <v>22</v>
      </c>
      <c r="AA122" s="80"/>
      <c r="AB122" s="80"/>
      <c r="AC122" s="80"/>
      <c r="AD122" s="80"/>
      <c r="AE122" s="91">
        <v>311.17336538461541</v>
      </c>
      <c r="AF122" s="84">
        <v>303.96529411764703</v>
      </c>
      <c r="AG122" s="80"/>
      <c r="AH122" s="84">
        <v>337.00142857142856</v>
      </c>
      <c r="AI122" s="84">
        <v>317.01681818181817</v>
      </c>
      <c r="AJ122" s="80"/>
      <c r="AK122" s="80"/>
      <c r="AL122" s="80"/>
      <c r="AM122" s="80"/>
      <c r="AN122" s="86">
        <v>361.8</v>
      </c>
      <c r="AO122" s="79">
        <v>231</v>
      </c>
      <c r="AP122" s="80"/>
      <c r="AQ122" s="79">
        <v>71.2</v>
      </c>
      <c r="AR122" s="79">
        <v>59.6</v>
      </c>
      <c r="AS122" s="80"/>
      <c r="AT122" s="80"/>
      <c r="AU122" s="80"/>
      <c r="AV122" s="80"/>
    </row>
    <row r="123" spans="1:48" s="85" customFormat="1" x14ac:dyDescent="0.2">
      <c r="A123" s="83" t="s">
        <v>38</v>
      </c>
      <c r="B123" s="83" t="s">
        <v>451</v>
      </c>
      <c r="C123" s="83" t="s">
        <v>452</v>
      </c>
      <c r="D123" s="94">
        <v>31986.15</v>
      </c>
      <c r="E123" s="96">
        <v>6771.08</v>
      </c>
      <c r="F123" s="96">
        <v>3129.79</v>
      </c>
      <c r="G123" s="96"/>
      <c r="H123" s="96">
        <v>1187.03</v>
      </c>
      <c r="I123" s="96"/>
      <c r="J123" s="96">
        <v>833.29</v>
      </c>
      <c r="K123" s="96">
        <v>9656.8700000000008</v>
      </c>
      <c r="L123" s="96">
        <v>10408.09</v>
      </c>
      <c r="M123" s="78">
        <v>37103.93</v>
      </c>
      <c r="N123" s="84">
        <v>7854.45</v>
      </c>
      <c r="O123" s="84">
        <v>3630.56</v>
      </c>
      <c r="P123" s="80"/>
      <c r="Q123" s="84">
        <v>1376.95</v>
      </c>
      <c r="R123" s="80"/>
      <c r="S123" s="84">
        <v>966.62</v>
      </c>
      <c r="T123" s="84">
        <v>11201.97</v>
      </c>
      <c r="U123" s="84">
        <v>12073.38</v>
      </c>
      <c r="V123" s="86">
        <v>99</v>
      </c>
      <c r="W123" s="79">
        <v>21</v>
      </c>
      <c r="X123" s="79">
        <v>11</v>
      </c>
      <c r="Y123" s="80"/>
      <c r="Z123" s="79">
        <v>2</v>
      </c>
      <c r="AA123" s="80"/>
      <c r="AB123" s="79">
        <v>2</v>
      </c>
      <c r="AC123" s="79">
        <v>26</v>
      </c>
      <c r="AD123" s="79">
        <v>37</v>
      </c>
      <c r="AE123" s="91">
        <v>323.09242424242422</v>
      </c>
      <c r="AF123" s="84">
        <v>322.43238095238092</v>
      </c>
      <c r="AG123" s="84">
        <v>284.52636363636361</v>
      </c>
      <c r="AH123" s="80"/>
      <c r="AI123" s="84">
        <v>593.51499999999999</v>
      </c>
      <c r="AJ123" s="80"/>
      <c r="AK123" s="84">
        <v>416.64499999999998</v>
      </c>
      <c r="AL123" s="84">
        <v>371.41807692307691</v>
      </c>
      <c r="AM123" s="84">
        <v>281.29972972972973</v>
      </c>
      <c r="AN123" s="86">
        <v>1894</v>
      </c>
      <c r="AO123" s="79">
        <v>476</v>
      </c>
      <c r="AP123" s="79">
        <v>154</v>
      </c>
      <c r="AQ123" s="80"/>
      <c r="AR123" s="79">
        <v>92</v>
      </c>
      <c r="AS123" s="80"/>
      <c r="AT123" s="79">
        <v>30</v>
      </c>
      <c r="AU123" s="79">
        <v>628</v>
      </c>
      <c r="AV123" s="79">
        <v>514</v>
      </c>
    </row>
    <row r="124" spans="1:48" s="85" customFormat="1" x14ac:dyDescent="0.2">
      <c r="A124" s="83" t="s">
        <v>47</v>
      </c>
      <c r="B124" s="83" t="s">
        <v>106</v>
      </c>
      <c r="C124" s="83" t="s">
        <v>107</v>
      </c>
      <c r="D124" s="94">
        <v>31213.82</v>
      </c>
      <c r="E124" s="96">
        <v>5709.17</v>
      </c>
      <c r="F124" s="96">
        <v>7112.24</v>
      </c>
      <c r="G124" s="96">
        <v>8572.2099999999991</v>
      </c>
      <c r="H124" s="96">
        <v>2468.6999999999998</v>
      </c>
      <c r="I124" s="96">
        <v>2061.96</v>
      </c>
      <c r="J124" s="96">
        <v>1195.72</v>
      </c>
      <c r="K124" s="96">
        <v>1867.84</v>
      </c>
      <c r="L124" s="96">
        <v>2225.98</v>
      </c>
      <c r="M124" s="78">
        <v>36208.03</v>
      </c>
      <c r="N124" s="84">
        <v>6622.64</v>
      </c>
      <c r="O124" s="84">
        <v>8250.2000000000007</v>
      </c>
      <c r="P124" s="84">
        <v>9943.76</v>
      </c>
      <c r="Q124" s="84">
        <v>2863.69</v>
      </c>
      <c r="R124" s="84">
        <v>2391.87</v>
      </c>
      <c r="S124" s="84">
        <v>1387.04</v>
      </c>
      <c r="T124" s="84">
        <v>2166.69</v>
      </c>
      <c r="U124" s="84">
        <v>2582.14</v>
      </c>
      <c r="V124" s="86">
        <v>70</v>
      </c>
      <c r="W124" s="79">
        <v>14</v>
      </c>
      <c r="X124" s="79">
        <v>13</v>
      </c>
      <c r="Y124" s="79">
        <v>19</v>
      </c>
      <c r="Z124" s="79">
        <v>5</v>
      </c>
      <c r="AA124" s="79">
        <v>6</v>
      </c>
      <c r="AB124" s="79">
        <v>3</v>
      </c>
      <c r="AC124" s="79">
        <v>5</v>
      </c>
      <c r="AD124" s="79">
        <v>5</v>
      </c>
      <c r="AE124" s="91">
        <v>445.91171428571431</v>
      </c>
      <c r="AF124" s="84">
        <v>407.79785714285714</v>
      </c>
      <c r="AG124" s="84">
        <v>547.09538461538466</v>
      </c>
      <c r="AH124" s="84">
        <v>451.16894736842107</v>
      </c>
      <c r="AI124" s="84">
        <v>493.74</v>
      </c>
      <c r="AJ124" s="84">
        <v>343.66</v>
      </c>
      <c r="AK124" s="84">
        <v>398.57333333333332</v>
      </c>
      <c r="AL124" s="84">
        <v>373.56799999999998</v>
      </c>
      <c r="AM124" s="84">
        <v>445.19600000000003</v>
      </c>
      <c r="AN124" s="86">
        <v>1458</v>
      </c>
      <c r="AO124" s="79">
        <v>358</v>
      </c>
      <c r="AP124" s="79">
        <v>438</v>
      </c>
      <c r="AQ124" s="79">
        <v>316</v>
      </c>
      <c r="AR124" s="79">
        <v>108</v>
      </c>
      <c r="AS124" s="79">
        <v>38</v>
      </c>
      <c r="AT124" s="79">
        <v>38</v>
      </c>
      <c r="AU124" s="79">
        <v>64</v>
      </c>
      <c r="AV124" s="79">
        <v>98</v>
      </c>
    </row>
    <row r="125" spans="1:48" s="85" customFormat="1" x14ac:dyDescent="0.2">
      <c r="A125" s="83" t="s">
        <v>47</v>
      </c>
      <c r="B125" s="83" t="s">
        <v>66</v>
      </c>
      <c r="C125" s="83" t="s">
        <v>67</v>
      </c>
      <c r="D125" s="94">
        <v>30573.53</v>
      </c>
      <c r="E125" s="96"/>
      <c r="F125" s="96">
        <v>9418.98</v>
      </c>
      <c r="G125" s="96">
        <v>8075.6</v>
      </c>
      <c r="H125" s="96">
        <v>14229.84</v>
      </c>
      <c r="I125" s="96">
        <v>-1150.8900000000001</v>
      </c>
      <c r="J125" s="96"/>
      <c r="K125" s="96"/>
      <c r="L125" s="96"/>
      <c r="M125" s="78">
        <v>35465.300000000003</v>
      </c>
      <c r="N125" s="80"/>
      <c r="O125" s="84">
        <v>10926.02</v>
      </c>
      <c r="P125" s="84">
        <v>9367.7000000000007</v>
      </c>
      <c r="Q125" s="84">
        <v>16506.62</v>
      </c>
      <c r="R125" s="84">
        <v>-1335.04</v>
      </c>
      <c r="S125" s="80"/>
      <c r="T125" s="80"/>
      <c r="U125" s="80"/>
      <c r="V125" s="86">
        <v>40</v>
      </c>
      <c r="W125" s="80"/>
      <c r="X125" s="79">
        <v>10</v>
      </c>
      <c r="Y125" s="79">
        <v>10</v>
      </c>
      <c r="Z125" s="79">
        <v>20</v>
      </c>
      <c r="AA125" s="80"/>
      <c r="AB125" s="80"/>
      <c r="AC125" s="80"/>
      <c r="AD125" s="80"/>
      <c r="AE125" s="91">
        <v>764.33825000000002</v>
      </c>
      <c r="AF125" s="80"/>
      <c r="AG125" s="84">
        <v>941.89800000000002</v>
      </c>
      <c r="AH125" s="84">
        <v>807.56</v>
      </c>
      <c r="AI125" s="84">
        <v>711.49199999999996</v>
      </c>
      <c r="AJ125" s="81" t="s">
        <v>33</v>
      </c>
      <c r="AK125" s="80"/>
      <c r="AL125" s="80"/>
      <c r="AM125" s="80"/>
      <c r="AN125" s="86">
        <v>2722</v>
      </c>
      <c r="AO125" s="80"/>
      <c r="AP125" s="79">
        <v>1052</v>
      </c>
      <c r="AQ125" s="79">
        <v>784</v>
      </c>
      <c r="AR125" s="79">
        <v>1226</v>
      </c>
      <c r="AS125" s="79">
        <v>-340</v>
      </c>
      <c r="AT125" s="80"/>
      <c r="AU125" s="80"/>
      <c r="AV125" s="80"/>
    </row>
    <row r="126" spans="1:48" s="85" customFormat="1" x14ac:dyDescent="0.2">
      <c r="A126" s="83" t="s">
        <v>47</v>
      </c>
      <c r="B126" s="83" t="s">
        <v>96</v>
      </c>
      <c r="C126" s="83" t="s">
        <v>97</v>
      </c>
      <c r="D126" s="94">
        <v>30571.919999999998</v>
      </c>
      <c r="E126" s="96"/>
      <c r="F126" s="96">
        <v>641</v>
      </c>
      <c r="G126" s="96">
        <v>1133.53</v>
      </c>
      <c r="H126" s="96"/>
      <c r="I126" s="96">
        <v>501.52</v>
      </c>
      <c r="J126" s="96">
        <v>26542.3</v>
      </c>
      <c r="K126" s="96">
        <v>841.45</v>
      </c>
      <c r="L126" s="96">
        <v>912.12</v>
      </c>
      <c r="M126" s="78">
        <v>35463.42</v>
      </c>
      <c r="N126" s="80"/>
      <c r="O126" s="84">
        <v>743.56</v>
      </c>
      <c r="P126" s="84">
        <v>1314.89</v>
      </c>
      <c r="Q126" s="80"/>
      <c r="R126" s="84">
        <v>581.76</v>
      </c>
      <c r="S126" s="84">
        <v>30789.07</v>
      </c>
      <c r="T126" s="84">
        <v>976.08</v>
      </c>
      <c r="U126" s="84">
        <v>1058.06</v>
      </c>
      <c r="V126" s="86">
        <v>30</v>
      </c>
      <c r="W126" s="80"/>
      <c r="X126" s="80"/>
      <c r="Y126" s="80"/>
      <c r="Z126" s="80"/>
      <c r="AA126" s="80"/>
      <c r="AB126" s="79">
        <v>30</v>
      </c>
      <c r="AC126" s="80"/>
      <c r="AD126" s="80"/>
      <c r="AE126" s="91">
        <v>1019.064</v>
      </c>
      <c r="AF126" s="80"/>
      <c r="AG126" s="81" t="s">
        <v>33</v>
      </c>
      <c r="AH126" s="81" t="s">
        <v>33</v>
      </c>
      <c r="AI126" s="80"/>
      <c r="AJ126" s="81" t="s">
        <v>33</v>
      </c>
      <c r="AK126" s="84">
        <v>884.74333333333334</v>
      </c>
      <c r="AL126" s="81" t="s">
        <v>33</v>
      </c>
      <c r="AM126" s="81" t="s">
        <v>33</v>
      </c>
      <c r="AN126" s="86">
        <v>3842</v>
      </c>
      <c r="AO126" s="80"/>
      <c r="AP126" s="79">
        <v>8</v>
      </c>
      <c r="AQ126" s="79">
        <v>82</v>
      </c>
      <c r="AR126" s="80"/>
      <c r="AS126" s="79">
        <v>16</v>
      </c>
      <c r="AT126" s="79">
        <v>3500</v>
      </c>
      <c r="AU126" s="79">
        <v>98</v>
      </c>
      <c r="AV126" s="79">
        <v>138</v>
      </c>
    </row>
    <row r="127" spans="1:48" s="85" customFormat="1" x14ac:dyDescent="0.2">
      <c r="A127" s="83" t="s">
        <v>38</v>
      </c>
      <c r="B127" s="83" t="s">
        <v>453</v>
      </c>
      <c r="C127" s="83" t="s">
        <v>454</v>
      </c>
      <c r="D127" s="94">
        <v>30052.53</v>
      </c>
      <c r="E127" s="96">
        <v>3668.44</v>
      </c>
      <c r="F127" s="96">
        <v>2304.9499999999998</v>
      </c>
      <c r="G127" s="96">
        <v>3146.88</v>
      </c>
      <c r="H127" s="96">
        <v>4295.1899999999996</v>
      </c>
      <c r="I127" s="96">
        <v>2553.8000000000002</v>
      </c>
      <c r="J127" s="96">
        <v>7960.96</v>
      </c>
      <c r="K127" s="96">
        <v>6122.31</v>
      </c>
      <c r="L127" s="96"/>
      <c r="M127" s="78">
        <v>34860.93</v>
      </c>
      <c r="N127" s="84">
        <v>4255.3900000000003</v>
      </c>
      <c r="O127" s="84">
        <v>2673.74</v>
      </c>
      <c r="P127" s="84">
        <v>3650.38</v>
      </c>
      <c r="Q127" s="84">
        <v>4982.42</v>
      </c>
      <c r="R127" s="84">
        <v>2962.41</v>
      </c>
      <c r="S127" s="84">
        <v>9234.7099999999991</v>
      </c>
      <c r="T127" s="84">
        <v>7101.88</v>
      </c>
      <c r="U127" s="80"/>
      <c r="V127" s="88"/>
      <c r="W127" s="80"/>
      <c r="X127" s="80"/>
      <c r="Y127" s="80"/>
      <c r="Z127" s="80"/>
      <c r="AA127" s="80"/>
      <c r="AB127" s="80"/>
      <c r="AC127" s="80"/>
      <c r="AD127" s="80"/>
      <c r="AE127" s="87" t="s">
        <v>33</v>
      </c>
      <c r="AF127" s="81" t="s">
        <v>33</v>
      </c>
      <c r="AG127" s="81" t="s">
        <v>33</v>
      </c>
      <c r="AH127" s="81" t="s">
        <v>33</v>
      </c>
      <c r="AI127" s="81" t="s">
        <v>33</v>
      </c>
      <c r="AJ127" s="81" t="s">
        <v>33</v>
      </c>
      <c r="AK127" s="81" t="s">
        <v>33</v>
      </c>
      <c r="AL127" s="81" t="s">
        <v>33</v>
      </c>
      <c r="AM127" s="80"/>
      <c r="AN127" s="86">
        <v>822</v>
      </c>
      <c r="AO127" s="79">
        <v>112</v>
      </c>
      <c r="AP127" s="79">
        <v>58</v>
      </c>
      <c r="AQ127" s="79">
        <v>96</v>
      </c>
      <c r="AR127" s="79">
        <v>126</v>
      </c>
      <c r="AS127" s="79">
        <v>58</v>
      </c>
      <c r="AT127" s="79">
        <v>210</v>
      </c>
      <c r="AU127" s="79">
        <v>162</v>
      </c>
      <c r="AV127" s="80"/>
    </row>
    <row r="128" spans="1:48" s="85" customFormat="1" x14ac:dyDescent="0.2">
      <c r="A128" s="83" t="s">
        <v>38</v>
      </c>
      <c r="B128" s="83" t="s">
        <v>431</v>
      </c>
      <c r="C128" s="83" t="s">
        <v>432</v>
      </c>
      <c r="D128" s="94">
        <v>29677.759999999998</v>
      </c>
      <c r="E128" s="96">
        <v>3469.83</v>
      </c>
      <c r="F128" s="96">
        <v>4045.5</v>
      </c>
      <c r="G128" s="96">
        <v>4488.54</v>
      </c>
      <c r="H128" s="96">
        <v>2287.91</v>
      </c>
      <c r="I128" s="96">
        <v>3873.23</v>
      </c>
      <c r="J128" s="96">
        <v>2986.17</v>
      </c>
      <c r="K128" s="96">
        <v>8526.58</v>
      </c>
      <c r="L128" s="96"/>
      <c r="M128" s="78">
        <v>34426.21</v>
      </c>
      <c r="N128" s="84">
        <v>4025</v>
      </c>
      <c r="O128" s="84">
        <v>4692.78</v>
      </c>
      <c r="P128" s="84">
        <v>5206.71</v>
      </c>
      <c r="Q128" s="84">
        <v>2653.98</v>
      </c>
      <c r="R128" s="84">
        <v>4492.95</v>
      </c>
      <c r="S128" s="84">
        <v>3463.96</v>
      </c>
      <c r="T128" s="84">
        <v>9890.83</v>
      </c>
      <c r="U128" s="80"/>
      <c r="V128" s="88"/>
      <c r="W128" s="80"/>
      <c r="X128" s="80"/>
      <c r="Y128" s="80"/>
      <c r="Z128" s="80"/>
      <c r="AA128" s="80"/>
      <c r="AB128" s="80"/>
      <c r="AC128" s="80"/>
      <c r="AD128" s="80"/>
      <c r="AE128" s="87" t="s">
        <v>33</v>
      </c>
      <c r="AF128" s="81" t="s">
        <v>33</v>
      </c>
      <c r="AG128" s="81" t="s">
        <v>33</v>
      </c>
      <c r="AH128" s="81" t="s">
        <v>33</v>
      </c>
      <c r="AI128" s="81" t="s">
        <v>33</v>
      </c>
      <c r="AJ128" s="81" t="s">
        <v>33</v>
      </c>
      <c r="AK128" s="81" t="s">
        <v>33</v>
      </c>
      <c r="AL128" s="81" t="s">
        <v>33</v>
      </c>
      <c r="AM128" s="80"/>
      <c r="AN128" s="86">
        <v>7706</v>
      </c>
      <c r="AO128" s="79">
        <v>1058</v>
      </c>
      <c r="AP128" s="79">
        <v>1100</v>
      </c>
      <c r="AQ128" s="79">
        <v>1272</v>
      </c>
      <c r="AR128" s="79">
        <v>538</v>
      </c>
      <c r="AS128" s="79">
        <v>1086</v>
      </c>
      <c r="AT128" s="79">
        <v>782</v>
      </c>
      <c r="AU128" s="79">
        <v>1870</v>
      </c>
      <c r="AV128" s="80"/>
    </row>
    <row r="129" spans="1:48" s="85" customFormat="1" x14ac:dyDescent="0.2">
      <c r="A129" s="83" t="s">
        <v>38</v>
      </c>
      <c r="B129" s="83" t="s">
        <v>597</v>
      </c>
      <c r="C129" s="83" t="s">
        <v>598</v>
      </c>
      <c r="D129" s="94">
        <v>29286.17</v>
      </c>
      <c r="E129" s="96">
        <v>145.29</v>
      </c>
      <c r="F129" s="96"/>
      <c r="G129" s="96"/>
      <c r="H129" s="96"/>
      <c r="I129" s="96"/>
      <c r="J129" s="96"/>
      <c r="K129" s="96">
        <v>82.14</v>
      </c>
      <c r="L129" s="96">
        <v>29058.74</v>
      </c>
      <c r="M129" s="78">
        <v>33971.96</v>
      </c>
      <c r="N129" s="84">
        <v>168.54</v>
      </c>
      <c r="O129" s="80"/>
      <c r="P129" s="80"/>
      <c r="Q129" s="80"/>
      <c r="R129" s="80"/>
      <c r="S129" s="80"/>
      <c r="T129" s="84">
        <v>95.28</v>
      </c>
      <c r="U129" s="84">
        <v>33708.14</v>
      </c>
      <c r="V129" s="86">
        <v>100</v>
      </c>
      <c r="W129" s="80"/>
      <c r="X129" s="80"/>
      <c r="Y129" s="80"/>
      <c r="Z129" s="80"/>
      <c r="AA129" s="80"/>
      <c r="AB129" s="80"/>
      <c r="AC129" s="80"/>
      <c r="AD129" s="79">
        <v>100</v>
      </c>
      <c r="AE129" s="91">
        <v>292.86169999999998</v>
      </c>
      <c r="AF129" s="81" t="s">
        <v>33</v>
      </c>
      <c r="AG129" s="80"/>
      <c r="AH129" s="80"/>
      <c r="AI129" s="80"/>
      <c r="AJ129" s="80"/>
      <c r="AK129" s="80"/>
      <c r="AL129" s="81" t="s">
        <v>33</v>
      </c>
      <c r="AM129" s="84">
        <v>290.5874</v>
      </c>
      <c r="AN129" s="86">
        <v>12</v>
      </c>
      <c r="AO129" s="79">
        <v>10</v>
      </c>
      <c r="AP129" s="80"/>
      <c r="AQ129" s="80"/>
      <c r="AR129" s="80"/>
      <c r="AS129" s="80"/>
      <c r="AT129" s="80"/>
      <c r="AU129" s="79">
        <v>2</v>
      </c>
      <c r="AV129" s="80"/>
    </row>
    <row r="130" spans="1:48" s="85" customFormat="1" x14ac:dyDescent="0.2">
      <c r="A130" s="83" t="s">
        <v>47</v>
      </c>
      <c r="B130" s="83" t="s">
        <v>128</v>
      </c>
      <c r="C130" s="83" t="s">
        <v>129</v>
      </c>
      <c r="D130" s="94">
        <v>28988.17</v>
      </c>
      <c r="E130" s="96">
        <v>2664.32</v>
      </c>
      <c r="F130" s="96">
        <v>7500.62</v>
      </c>
      <c r="G130" s="96">
        <v>13084.45</v>
      </c>
      <c r="H130" s="96">
        <v>5738.78</v>
      </c>
      <c r="I130" s="96"/>
      <c r="J130" s="96"/>
      <c r="K130" s="96"/>
      <c r="L130" s="96"/>
      <c r="M130" s="78">
        <v>31673.3</v>
      </c>
      <c r="N130" s="84">
        <v>2949.07</v>
      </c>
      <c r="O130" s="84">
        <v>7886.79</v>
      </c>
      <c r="P130" s="84">
        <v>14396.77</v>
      </c>
      <c r="Q130" s="84">
        <v>6440.67</v>
      </c>
      <c r="R130" s="80"/>
      <c r="S130" s="80"/>
      <c r="T130" s="80"/>
      <c r="U130" s="80"/>
      <c r="V130" s="86">
        <v>76</v>
      </c>
      <c r="W130" s="79">
        <v>9</v>
      </c>
      <c r="X130" s="79">
        <v>22</v>
      </c>
      <c r="Y130" s="79">
        <v>28</v>
      </c>
      <c r="Z130" s="79">
        <v>17</v>
      </c>
      <c r="AA130" s="80"/>
      <c r="AB130" s="80"/>
      <c r="AC130" s="80"/>
      <c r="AD130" s="80"/>
      <c r="AE130" s="91">
        <v>381.42328947368424</v>
      </c>
      <c r="AF130" s="84">
        <v>296.03555555555556</v>
      </c>
      <c r="AG130" s="84">
        <v>340.93727272727273</v>
      </c>
      <c r="AH130" s="84">
        <v>467.3017857142857</v>
      </c>
      <c r="AI130" s="84">
        <v>337.57529411764705</v>
      </c>
      <c r="AJ130" s="80"/>
      <c r="AK130" s="80"/>
      <c r="AL130" s="80"/>
      <c r="AM130" s="80"/>
      <c r="AN130" s="86">
        <v>538</v>
      </c>
      <c r="AO130" s="79">
        <v>2</v>
      </c>
      <c r="AP130" s="79">
        <v>49</v>
      </c>
      <c r="AQ130" s="79">
        <v>427</v>
      </c>
      <c r="AR130" s="79">
        <v>60</v>
      </c>
      <c r="AS130" s="80"/>
      <c r="AT130" s="80"/>
      <c r="AU130" s="80"/>
      <c r="AV130" s="80"/>
    </row>
    <row r="131" spans="1:48" s="85" customFormat="1" x14ac:dyDescent="0.2">
      <c r="A131" s="83" t="s">
        <v>38</v>
      </c>
      <c r="B131" s="83" t="s">
        <v>555</v>
      </c>
      <c r="C131" s="83" t="s">
        <v>556</v>
      </c>
      <c r="D131" s="94">
        <v>28390.81</v>
      </c>
      <c r="E131" s="96">
        <v>3349.68</v>
      </c>
      <c r="F131" s="96">
        <v>3895.38</v>
      </c>
      <c r="G131" s="96">
        <v>5677.72</v>
      </c>
      <c r="H131" s="96">
        <v>4303.6099999999997</v>
      </c>
      <c r="I131" s="96">
        <v>3446.68</v>
      </c>
      <c r="J131" s="96">
        <v>1771.23</v>
      </c>
      <c r="K131" s="96">
        <v>2758.01</v>
      </c>
      <c r="L131" s="96">
        <v>3188.5</v>
      </c>
      <c r="M131" s="78">
        <v>32933.339999999997</v>
      </c>
      <c r="N131" s="84">
        <v>3885.63</v>
      </c>
      <c r="O131" s="84">
        <v>4518.6400000000003</v>
      </c>
      <c r="P131" s="84">
        <v>6586.16</v>
      </c>
      <c r="Q131" s="84">
        <v>4992.1899999999996</v>
      </c>
      <c r="R131" s="84">
        <v>3998.14</v>
      </c>
      <c r="S131" s="84">
        <v>2054.63</v>
      </c>
      <c r="T131" s="84">
        <v>3199.29</v>
      </c>
      <c r="U131" s="84">
        <v>3698.66</v>
      </c>
      <c r="V131" s="86">
        <v>79</v>
      </c>
      <c r="W131" s="79">
        <v>10</v>
      </c>
      <c r="X131" s="79">
        <v>11</v>
      </c>
      <c r="Y131" s="79">
        <v>16</v>
      </c>
      <c r="Z131" s="79">
        <v>12</v>
      </c>
      <c r="AA131" s="79">
        <v>9</v>
      </c>
      <c r="AB131" s="79">
        <v>6</v>
      </c>
      <c r="AC131" s="79">
        <v>6</v>
      </c>
      <c r="AD131" s="79">
        <v>9</v>
      </c>
      <c r="AE131" s="91">
        <v>359.37734177215191</v>
      </c>
      <c r="AF131" s="84">
        <v>334.96800000000002</v>
      </c>
      <c r="AG131" s="84">
        <v>354.12545454545455</v>
      </c>
      <c r="AH131" s="84">
        <v>354.85750000000002</v>
      </c>
      <c r="AI131" s="84">
        <v>358.63416666666666</v>
      </c>
      <c r="AJ131" s="84">
        <v>382.96444444444444</v>
      </c>
      <c r="AK131" s="84">
        <v>295.20499999999998</v>
      </c>
      <c r="AL131" s="84">
        <v>459.66833333333335</v>
      </c>
      <c r="AM131" s="84">
        <v>354.27777777777777</v>
      </c>
      <c r="AN131" s="86">
        <v>518</v>
      </c>
      <c r="AO131" s="79">
        <v>80</v>
      </c>
      <c r="AP131" s="79">
        <v>80</v>
      </c>
      <c r="AQ131" s="79">
        <v>110</v>
      </c>
      <c r="AR131" s="79">
        <v>88</v>
      </c>
      <c r="AS131" s="79">
        <v>84</v>
      </c>
      <c r="AT131" s="79">
        <v>2</v>
      </c>
      <c r="AU131" s="79">
        <v>58</v>
      </c>
      <c r="AV131" s="79">
        <v>16</v>
      </c>
    </row>
    <row r="132" spans="1:48" s="85" customFormat="1" x14ac:dyDescent="0.2">
      <c r="A132" s="83" t="s">
        <v>28</v>
      </c>
      <c r="B132" s="83" t="s">
        <v>291</v>
      </c>
      <c r="C132" s="83" t="s">
        <v>292</v>
      </c>
      <c r="D132" s="94">
        <v>28108.92</v>
      </c>
      <c r="E132" s="96">
        <v>20.62</v>
      </c>
      <c r="F132" s="96">
        <v>1934.31</v>
      </c>
      <c r="G132" s="96">
        <v>3042.42</v>
      </c>
      <c r="H132" s="96">
        <v>16605.810000000001</v>
      </c>
      <c r="I132" s="96">
        <v>4053.63</v>
      </c>
      <c r="J132" s="96">
        <v>303.01</v>
      </c>
      <c r="K132" s="96">
        <v>2149.12</v>
      </c>
      <c r="L132" s="96"/>
      <c r="M132" s="78">
        <v>32606.35</v>
      </c>
      <c r="N132" s="84">
        <v>23.92</v>
      </c>
      <c r="O132" s="84">
        <v>2243.8000000000002</v>
      </c>
      <c r="P132" s="84">
        <v>3529.21</v>
      </c>
      <c r="Q132" s="84">
        <v>19262.740000000002</v>
      </c>
      <c r="R132" s="84">
        <v>4702.21</v>
      </c>
      <c r="S132" s="84">
        <v>351.49</v>
      </c>
      <c r="T132" s="84">
        <v>2492.98</v>
      </c>
      <c r="U132" s="80"/>
      <c r="V132" s="86">
        <v>60</v>
      </c>
      <c r="W132" s="80"/>
      <c r="X132" s="80"/>
      <c r="Y132" s="80"/>
      <c r="Z132" s="79">
        <v>60</v>
      </c>
      <c r="AA132" s="80"/>
      <c r="AB132" s="80"/>
      <c r="AC132" s="80"/>
      <c r="AD132" s="80"/>
      <c r="AE132" s="91">
        <v>468.48200000000003</v>
      </c>
      <c r="AF132" s="81" t="s">
        <v>33</v>
      </c>
      <c r="AG132" s="81" t="s">
        <v>33</v>
      </c>
      <c r="AH132" s="81" t="s">
        <v>33</v>
      </c>
      <c r="AI132" s="84">
        <v>276.76350000000002</v>
      </c>
      <c r="AJ132" s="81" t="s">
        <v>33</v>
      </c>
      <c r="AK132" s="81" t="s">
        <v>33</v>
      </c>
      <c r="AL132" s="81" t="s">
        <v>33</v>
      </c>
      <c r="AM132" s="80"/>
      <c r="AN132" s="86">
        <v>1256</v>
      </c>
      <c r="AO132" s="79">
        <v>4</v>
      </c>
      <c r="AP132" s="79">
        <v>218</v>
      </c>
      <c r="AQ132" s="79">
        <v>326</v>
      </c>
      <c r="AR132" s="79">
        <v>88</v>
      </c>
      <c r="AS132" s="79">
        <v>326</v>
      </c>
      <c r="AT132" s="79">
        <v>60</v>
      </c>
      <c r="AU132" s="79">
        <v>234</v>
      </c>
      <c r="AV132" s="80"/>
    </row>
    <row r="133" spans="1:48" s="85" customFormat="1" x14ac:dyDescent="0.2">
      <c r="A133" s="83" t="s">
        <v>38</v>
      </c>
      <c r="B133" s="83" t="s">
        <v>629</v>
      </c>
      <c r="C133" s="83" t="s">
        <v>630</v>
      </c>
      <c r="D133" s="94">
        <v>27242.32</v>
      </c>
      <c r="E133" s="96">
        <v>2241.3200000000002</v>
      </c>
      <c r="F133" s="96">
        <v>7250.21</v>
      </c>
      <c r="G133" s="96"/>
      <c r="H133" s="96">
        <v>2946.69</v>
      </c>
      <c r="I133" s="96">
        <v>10375.18</v>
      </c>
      <c r="J133" s="96">
        <v>2296.0300000000002</v>
      </c>
      <c r="K133" s="96">
        <v>458.23</v>
      </c>
      <c r="L133" s="96">
        <v>1674.66</v>
      </c>
      <c r="M133" s="78">
        <v>31601.09</v>
      </c>
      <c r="N133" s="84">
        <v>2599.9299999999998</v>
      </c>
      <c r="O133" s="84">
        <v>8410.24</v>
      </c>
      <c r="P133" s="80"/>
      <c r="Q133" s="84">
        <v>3418.16</v>
      </c>
      <c r="R133" s="84">
        <v>12035.21</v>
      </c>
      <c r="S133" s="84">
        <v>2663.39</v>
      </c>
      <c r="T133" s="84">
        <v>531.54999999999995</v>
      </c>
      <c r="U133" s="84">
        <v>1942.61</v>
      </c>
      <c r="V133" s="86">
        <v>53</v>
      </c>
      <c r="W133" s="79">
        <v>4</v>
      </c>
      <c r="X133" s="79">
        <v>12</v>
      </c>
      <c r="Y133" s="80"/>
      <c r="Z133" s="79">
        <v>7</v>
      </c>
      <c r="AA133" s="79">
        <v>19</v>
      </c>
      <c r="AB133" s="79">
        <v>6</v>
      </c>
      <c r="AC133" s="79">
        <v>1</v>
      </c>
      <c r="AD133" s="79">
        <v>4</v>
      </c>
      <c r="AE133" s="91">
        <v>514.00603773584908</v>
      </c>
      <c r="AF133" s="84">
        <v>560.33000000000004</v>
      </c>
      <c r="AG133" s="84">
        <v>604.18416666666667</v>
      </c>
      <c r="AH133" s="80"/>
      <c r="AI133" s="84">
        <v>420.95571428571429</v>
      </c>
      <c r="AJ133" s="84">
        <v>546.06210526315795</v>
      </c>
      <c r="AK133" s="84">
        <v>382.67166666666668</v>
      </c>
      <c r="AL133" s="84">
        <v>458.23</v>
      </c>
      <c r="AM133" s="84">
        <v>418.66500000000002</v>
      </c>
      <c r="AN133" s="86">
        <v>904</v>
      </c>
      <c r="AO133" s="79">
        <v>112</v>
      </c>
      <c r="AP133" s="79">
        <v>358</v>
      </c>
      <c r="AQ133" s="80"/>
      <c r="AR133" s="79">
        <v>30</v>
      </c>
      <c r="AS133" s="79">
        <v>354</v>
      </c>
      <c r="AT133" s="79">
        <v>30</v>
      </c>
      <c r="AU133" s="79">
        <v>6</v>
      </c>
      <c r="AV133" s="79">
        <v>14</v>
      </c>
    </row>
    <row r="134" spans="1:48" s="85" customFormat="1" x14ac:dyDescent="0.2">
      <c r="A134" s="83" t="s">
        <v>28</v>
      </c>
      <c r="B134" s="83" t="s">
        <v>315</v>
      </c>
      <c r="C134" s="83" t="s">
        <v>316</v>
      </c>
      <c r="D134" s="94">
        <v>27237.19</v>
      </c>
      <c r="E134" s="96">
        <v>8699.4</v>
      </c>
      <c r="F134" s="96">
        <v>235.11</v>
      </c>
      <c r="G134" s="96">
        <v>131.86000000000001</v>
      </c>
      <c r="H134" s="96">
        <v>9074.2800000000007</v>
      </c>
      <c r="I134" s="96"/>
      <c r="J134" s="96">
        <v>113.28</v>
      </c>
      <c r="K134" s="96"/>
      <c r="L134" s="96">
        <v>8983.26</v>
      </c>
      <c r="M134" s="78">
        <v>31595.13</v>
      </c>
      <c r="N134" s="84">
        <v>10091.299999999999</v>
      </c>
      <c r="O134" s="84">
        <v>272.73</v>
      </c>
      <c r="P134" s="84">
        <v>152.96</v>
      </c>
      <c r="Q134" s="84">
        <v>10526.16</v>
      </c>
      <c r="R134" s="80"/>
      <c r="S134" s="84">
        <v>131.4</v>
      </c>
      <c r="T134" s="80"/>
      <c r="U134" s="84">
        <v>10420.58</v>
      </c>
      <c r="V134" s="86">
        <v>90</v>
      </c>
      <c r="W134" s="79">
        <v>30</v>
      </c>
      <c r="X134" s="80"/>
      <c r="Y134" s="80"/>
      <c r="Z134" s="79">
        <v>30</v>
      </c>
      <c r="AA134" s="80"/>
      <c r="AB134" s="80"/>
      <c r="AC134" s="80"/>
      <c r="AD134" s="79">
        <v>30</v>
      </c>
      <c r="AE134" s="91">
        <v>302.63544444444443</v>
      </c>
      <c r="AF134" s="84">
        <v>289.98</v>
      </c>
      <c r="AG134" s="81" t="s">
        <v>33</v>
      </c>
      <c r="AH134" s="81" t="s">
        <v>33</v>
      </c>
      <c r="AI134" s="84">
        <v>302.476</v>
      </c>
      <c r="AJ134" s="80"/>
      <c r="AK134" s="81" t="s">
        <v>33</v>
      </c>
      <c r="AL134" s="80"/>
      <c r="AM134" s="84">
        <v>299.44200000000001</v>
      </c>
      <c r="AN134" s="86">
        <v>20</v>
      </c>
      <c r="AO134" s="80"/>
      <c r="AP134" s="79">
        <v>2</v>
      </c>
      <c r="AQ134" s="79">
        <v>2</v>
      </c>
      <c r="AR134" s="80"/>
      <c r="AS134" s="80"/>
      <c r="AT134" s="80"/>
      <c r="AU134" s="80"/>
      <c r="AV134" s="79">
        <v>16</v>
      </c>
    </row>
    <row r="135" spans="1:48" s="85" customFormat="1" x14ac:dyDescent="0.2">
      <c r="A135" s="83" t="s">
        <v>28</v>
      </c>
      <c r="B135" s="83" t="s">
        <v>311</v>
      </c>
      <c r="C135" s="83" t="s">
        <v>312</v>
      </c>
      <c r="D135" s="94">
        <v>26748.799999999999</v>
      </c>
      <c r="E135" s="96">
        <v>764.28</v>
      </c>
      <c r="F135" s="96">
        <v>12564.01</v>
      </c>
      <c r="G135" s="96">
        <v>853.99</v>
      </c>
      <c r="H135" s="96">
        <v>11262.79</v>
      </c>
      <c r="I135" s="96">
        <v>1303.73</v>
      </c>
      <c r="J135" s="96"/>
      <c r="K135" s="96"/>
      <c r="L135" s="96"/>
      <c r="M135" s="78">
        <v>31028.62</v>
      </c>
      <c r="N135" s="84">
        <v>886.56</v>
      </c>
      <c r="O135" s="84">
        <v>14574.26</v>
      </c>
      <c r="P135" s="84">
        <v>990.63</v>
      </c>
      <c r="Q135" s="84">
        <v>13064.84</v>
      </c>
      <c r="R135" s="84">
        <v>1512.33</v>
      </c>
      <c r="S135" s="80"/>
      <c r="T135" s="80"/>
      <c r="U135" s="80"/>
      <c r="V135" s="86">
        <v>100</v>
      </c>
      <c r="W135" s="80"/>
      <c r="X135" s="79">
        <v>50</v>
      </c>
      <c r="Y135" s="80"/>
      <c r="Z135" s="79">
        <v>50</v>
      </c>
      <c r="AA135" s="80"/>
      <c r="AB135" s="80"/>
      <c r="AC135" s="80"/>
      <c r="AD135" s="80"/>
      <c r="AE135" s="91">
        <v>267.488</v>
      </c>
      <c r="AF135" s="81" t="s">
        <v>33</v>
      </c>
      <c r="AG135" s="84">
        <v>251.28020000000001</v>
      </c>
      <c r="AH135" s="81" t="s">
        <v>33</v>
      </c>
      <c r="AI135" s="84">
        <v>225.25579999999999</v>
      </c>
      <c r="AJ135" s="81" t="s">
        <v>33</v>
      </c>
      <c r="AK135" s="80"/>
      <c r="AL135" s="80"/>
      <c r="AM135" s="80"/>
      <c r="AN135" s="86">
        <v>376</v>
      </c>
      <c r="AO135" s="79">
        <v>48</v>
      </c>
      <c r="AP135" s="79">
        <v>166</v>
      </c>
      <c r="AQ135" s="79">
        <v>44</v>
      </c>
      <c r="AR135" s="79">
        <v>62</v>
      </c>
      <c r="AS135" s="79">
        <v>56</v>
      </c>
      <c r="AT135" s="80"/>
      <c r="AU135" s="80"/>
      <c r="AV135" s="80"/>
    </row>
    <row r="136" spans="1:48" s="85" customFormat="1" x14ac:dyDescent="0.2">
      <c r="A136" s="83" t="s">
        <v>28</v>
      </c>
      <c r="B136" s="83" t="s">
        <v>301</v>
      </c>
      <c r="C136" s="83" t="s">
        <v>302</v>
      </c>
      <c r="D136" s="94">
        <v>26655.1</v>
      </c>
      <c r="E136" s="96">
        <v>26024.93</v>
      </c>
      <c r="F136" s="96">
        <v>538.82000000000005</v>
      </c>
      <c r="G136" s="96"/>
      <c r="H136" s="96">
        <v>18.690000000000001</v>
      </c>
      <c r="I136" s="96">
        <v>72.66</v>
      </c>
      <c r="J136" s="96"/>
      <c r="K136" s="96"/>
      <c r="L136" s="96"/>
      <c r="M136" s="78">
        <v>30919.919999999998</v>
      </c>
      <c r="N136" s="84">
        <v>30188.92</v>
      </c>
      <c r="O136" s="84">
        <v>625.03</v>
      </c>
      <c r="P136" s="80"/>
      <c r="Q136" s="84">
        <v>21.68</v>
      </c>
      <c r="R136" s="84">
        <v>84.29</v>
      </c>
      <c r="S136" s="80"/>
      <c r="T136" s="80"/>
      <c r="U136" s="80"/>
      <c r="V136" s="88"/>
      <c r="W136" s="80"/>
      <c r="X136" s="80"/>
      <c r="Y136" s="80"/>
      <c r="Z136" s="80"/>
      <c r="AA136" s="80"/>
      <c r="AB136" s="80"/>
      <c r="AC136" s="80"/>
      <c r="AD136" s="80"/>
      <c r="AE136" s="87" t="s">
        <v>33</v>
      </c>
      <c r="AF136" s="81" t="s">
        <v>33</v>
      </c>
      <c r="AG136" s="81" t="s">
        <v>33</v>
      </c>
      <c r="AH136" s="80"/>
      <c r="AI136" s="81" t="s">
        <v>33</v>
      </c>
      <c r="AJ136" s="81" t="s">
        <v>33</v>
      </c>
      <c r="AK136" s="80"/>
      <c r="AL136" s="80"/>
      <c r="AM136" s="80"/>
      <c r="AN136" s="86">
        <v>2400</v>
      </c>
      <c r="AO136" s="79">
        <v>2326</v>
      </c>
      <c r="AP136" s="79">
        <v>58</v>
      </c>
      <c r="AQ136" s="80"/>
      <c r="AR136" s="79">
        <v>2</v>
      </c>
      <c r="AS136" s="79">
        <v>14</v>
      </c>
      <c r="AT136" s="80"/>
      <c r="AU136" s="80"/>
      <c r="AV136" s="80"/>
    </row>
    <row r="137" spans="1:48" s="85" customFormat="1" x14ac:dyDescent="0.2">
      <c r="A137" s="83" t="s">
        <v>28</v>
      </c>
      <c r="B137" s="83" t="s">
        <v>293</v>
      </c>
      <c r="C137" s="83" t="s">
        <v>294</v>
      </c>
      <c r="D137" s="94">
        <v>26590.560000000001</v>
      </c>
      <c r="E137" s="96">
        <v>987.02</v>
      </c>
      <c r="F137" s="96">
        <v>5051.6099999999997</v>
      </c>
      <c r="G137" s="96">
        <v>3276.81</v>
      </c>
      <c r="H137" s="96">
        <v>6758.26</v>
      </c>
      <c r="I137" s="96">
        <v>908.23</v>
      </c>
      <c r="J137" s="96">
        <v>6612.42</v>
      </c>
      <c r="K137" s="96">
        <v>2996.21</v>
      </c>
      <c r="L137" s="96"/>
      <c r="M137" s="78">
        <v>30845.05</v>
      </c>
      <c r="N137" s="84">
        <v>1144.94</v>
      </c>
      <c r="O137" s="84">
        <v>5859.87</v>
      </c>
      <c r="P137" s="84">
        <v>3801.1</v>
      </c>
      <c r="Q137" s="84">
        <v>7839.58</v>
      </c>
      <c r="R137" s="84">
        <v>1053.55</v>
      </c>
      <c r="S137" s="84">
        <v>7670.41</v>
      </c>
      <c r="T137" s="84">
        <v>3475.6</v>
      </c>
      <c r="U137" s="80"/>
      <c r="V137" s="88"/>
      <c r="W137" s="80"/>
      <c r="X137" s="80"/>
      <c r="Y137" s="80"/>
      <c r="Z137" s="80"/>
      <c r="AA137" s="80"/>
      <c r="AB137" s="80"/>
      <c r="AC137" s="80"/>
      <c r="AD137" s="80"/>
      <c r="AE137" s="87" t="s">
        <v>33</v>
      </c>
      <c r="AF137" s="81" t="s">
        <v>33</v>
      </c>
      <c r="AG137" s="81" t="s">
        <v>33</v>
      </c>
      <c r="AH137" s="81" t="s">
        <v>33</v>
      </c>
      <c r="AI137" s="81" t="s">
        <v>33</v>
      </c>
      <c r="AJ137" s="81" t="s">
        <v>33</v>
      </c>
      <c r="AK137" s="81" t="s">
        <v>33</v>
      </c>
      <c r="AL137" s="81" t="s">
        <v>33</v>
      </c>
      <c r="AM137" s="80"/>
      <c r="AN137" s="86">
        <v>1102</v>
      </c>
      <c r="AO137" s="79">
        <v>34</v>
      </c>
      <c r="AP137" s="79">
        <v>186</v>
      </c>
      <c r="AQ137" s="79">
        <v>136</v>
      </c>
      <c r="AR137" s="79">
        <v>270</v>
      </c>
      <c r="AS137" s="79">
        <v>38</v>
      </c>
      <c r="AT137" s="79">
        <v>266</v>
      </c>
      <c r="AU137" s="79">
        <v>172</v>
      </c>
      <c r="AV137" s="80"/>
    </row>
    <row r="138" spans="1:48" s="85" customFormat="1" x14ac:dyDescent="0.2">
      <c r="A138" s="83" t="s">
        <v>47</v>
      </c>
      <c r="B138" s="83" t="s">
        <v>94</v>
      </c>
      <c r="C138" s="83" t="s">
        <v>95</v>
      </c>
      <c r="D138" s="94">
        <v>26264.58</v>
      </c>
      <c r="E138" s="96">
        <v>6658.41</v>
      </c>
      <c r="F138" s="96">
        <v>4465.04</v>
      </c>
      <c r="G138" s="96">
        <v>5678.23</v>
      </c>
      <c r="H138" s="96">
        <v>5410.14</v>
      </c>
      <c r="I138" s="96">
        <v>356.3</v>
      </c>
      <c r="J138" s="96"/>
      <c r="K138" s="96">
        <v>3696.46</v>
      </c>
      <c r="L138" s="96"/>
      <c r="M138" s="78">
        <v>30460.560000000001</v>
      </c>
      <c r="N138" s="84">
        <v>7723.76</v>
      </c>
      <c r="O138" s="84">
        <v>5179.45</v>
      </c>
      <c r="P138" s="84">
        <v>6586.75</v>
      </c>
      <c r="Q138" s="84">
        <v>6275.77</v>
      </c>
      <c r="R138" s="84">
        <v>406.94</v>
      </c>
      <c r="S138" s="80"/>
      <c r="T138" s="84">
        <v>4287.8900000000003</v>
      </c>
      <c r="U138" s="80"/>
      <c r="V138" s="86">
        <v>88</v>
      </c>
      <c r="W138" s="79">
        <v>25</v>
      </c>
      <c r="X138" s="79">
        <v>15</v>
      </c>
      <c r="Y138" s="79">
        <v>19</v>
      </c>
      <c r="Z138" s="79">
        <v>16</v>
      </c>
      <c r="AA138" s="80"/>
      <c r="AB138" s="80"/>
      <c r="AC138" s="79">
        <v>13</v>
      </c>
      <c r="AD138" s="80"/>
      <c r="AE138" s="91">
        <v>298.46113636363634</v>
      </c>
      <c r="AF138" s="84">
        <v>266.33640000000003</v>
      </c>
      <c r="AG138" s="84">
        <v>297.66933333333333</v>
      </c>
      <c r="AH138" s="84">
        <v>298.8542105263158</v>
      </c>
      <c r="AI138" s="84">
        <v>338.13375000000002</v>
      </c>
      <c r="AJ138" s="81" t="s">
        <v>33</v>
      </c>
      <c r="AK138" s="80"/>
      <c r="AL138" s="84">
        <v>284.34307692307692</v>
      </c>
      <c r="AM138" s="80"/>
      <c r="AN138" s="86">
        <v>253</v>
      </c>
      <c r="AO138" s="79">
        <v>74</v>
      </c>
      <c r="AP138" s="79">
        <v>48</v>
      </c>
      <c r="AQ138" s="79">
        <v>30</v>
      </c>
      <c r="AR138" s="79">
        <v>90</v>
      </c>
      <c r="AS138" s="79">
        <v>11</v>
      </c>
      <c r="AT138" s="80"/>
      <c r="AU138" s="80"/>
      <c r="AV138" s="80"/>
    </row>
    <row r="139" spans="1:48" s="85" customFormat="1" x14ac:dyDescent="0.2">
      <c r="A139" s="83" t="s">
        <v>28</v>
      </c>
      <c r="B139" s="83" t="s">
        <v>323</v>
      </c>
      <c r="C139" s="83" t="s">
        <v>324</v>
      </c>
      <c r="D139" s="94">
        <v>26123.43</v>
      </c>
      <c r="E139" s="96">
        <v>259.69</v>
      </c>
      <c r="F139" s="96"/>
      <c r="G139" s="96"/>
      <c r="H139" s="96"/>
      <c r="I139" s="96">
        <v>25747</v>
      </c>
      <c r="J139" s="96">
        <v>58.32</v>
      </c>
      <c r="K139" s="96">
        <v>58.42</v>
      </c>
      <c r="L139" s="96"/>
      <c r="M139" s="78">
        <v>30303.18</v>
      </c>
      <c r="N139" s="84">
        <v>301.24</v>
      </c>
      <c r="O139" s="80"/>
      <c r="P139" s="80"/>
      <c r="Q139" s="80"/>
      <c r="R139" s="84">
        <v>29866.52</v>
      </c>
      <c r="S139" s="84">
        <v>67.650000000000006</v>
      </c>
      <c r="T139" s="84">
        <v>67.77</v>
      </c>
      <c r="U139" s="80"/>
      <c r="V139" s="86">
        <v>100</v>
      </c>
      <c r="W139" s="80"/>
      <c r="X139" s="80"/>
      <c r="Y139" s="80"/>
      <c r="Z139" s="80"/>
      <c r="AA139" s="79">
        <v>100</v>
      </c>
      <c r="AB139" s="80"/>
      <c r="AC139" s="80"/>
      <c r="AD139" s="80"/>
      <c r="AE139" s="91">
        <v>261.23430000000002</v>
      </c>
      <c r="AF139" s="81" t="s">
        <v>33</v>
      </c>
      <c r="AG139" s="80"/>
      <c r="AH139" s="80"/>
      <c r="AI139" s="80"/>
      <c r="AJ139" s="84">
        <v>257.47000000000003</v>
      </c>
      <c r="AK139" s="81" t="s">
        <v>33</v>
      </c>
      <c r="AL139" s="81" t="s">
        <v>33</v>
      </c>
      <c r="AM139" s="80"/>
      <c r="AN139" s="86">
        <v>20</v>
      </c>
      <c r="AO139" s="79">
        <v>12</v>
      </c>
      <c r="AP139" s="80"/>
      <c r="AQ139" s="80"/>
      <c r="AR139" s="80"/>
      <c r="AS139" s="80"/>
      <c r="AT139" s="79">
        <v>4</v>
      </c>
      <c r="AU139" s="79">
        <v>4</v>
      </c>
      <c r="AV139" s="80"/>
    </row>
    <row r="140" spans="1:48" s="85" customFormat="1" x14ac:dyDescent="0.2">
      <c r="A140" s="83" t="s">
        <v>28</v>
      </c>
      <c r="B140" s="83" t="s">
        <v>251</v>
      </c>
      <c r="C140" s="83" t="s">
        <v>252</v>
      </c>
      <c r="D140" s="94">
        <v>25936.57</v>
      </c>
      <c r="E140" s="96">
        <v>911.7</v>
      </c>
      <c r="F140" s="96">
        <v>750</v>
      </c>
      <c r="G140" s="96">
        <v>1154.8599999999999</v>
      </c>
      <c r="H140" s="96">
        <v>5898.03</v>
      </c>
      <c r="I140" s="96">
        <v>10835.29</v>
      </c>
      <c r="J140" s="96">
        <v>3008.48</v>
      </c>
      <c r="K140" s="96">
        <v>2100.71</v>
      </c>
      <c r="L140" s="96">
        <v>1277.5</v>
      </c>
      <c r="M140" s="78">
        <v>30086.42</v>
      </c>
      <c r="N140" s="84">
        <v>1057.57</v>
      </c>
      <c r="O140" s="84">
        <v>870</v>
      </c>
      <c r="P140" s="84">
        <v>1339.64</v>
      </c>
      <c r="Q140" s="84">
        <v>6841.71</v>
      </c>
      <c r="R140" s="84">
        <v>12568.94</v>
      </c>
      <c r="S140" s="84">
        <v>3489.84</v>
      </c>
      <c r="T140" s="84">
        <v>2436.8200000000002</v>
      </c>
      <c r="U140" s="84">
        <v>1481.9</v>
      </c>
      <c r="V140" s="86">
        <v>50</v>
      </c>
      <c r="W140" s="80"/>
      <c r="X140" s="80"/>
      <c r="Y140" s="80"/>
      <c r="Z140" s="80"/>
      <c r="AA140" s="79">
        <v>50</v>
      </c>
      <c r="AB140" s="80"/>
      <c r="AC140" s="80"/>
      <c r="AD140" s="80"/>
      <c r="AE140" s="91">
        <v>518.73140000000001</v>
      </c>
      <c r="AF140" s="81" t="s">
        <v>33</v>
      </c>
      <c r="AG140" s="81" t="s">
        <v>33</v>
      </c>
      <c r="AH140" s="81" t="s">
        <v>33</v>
      </c>
      <c r="AI140" s="81" t="s">
        <v>33</v>
      </c>
      <c r="AJ140" s="84">
        <v>216.70580000000001</v>
      </c>
      <c r="AK140" s="81" t="s">
        <v>33</v>
      </c>
      <c r="AL140" s="81" t="s">
        <v>33</v>
      </c>
      <c r="AM140" s="81" t="s">
        <v>33</v>
      </c>
      <c r="AN140" s="86">
        <v>2130</v>
      </c>
      <c r="AO140" s="79">
        <v>102</v>
      </c>
      <c r="AP140" s="80"/>
      <c r="AQ140" s="79">
        <v>142</v>
      </c>
      <c r="AR140" s="79">
        <v>796</v>
      </c>
      <c r="AS140" s="79">
        <v>226</v>
      </c>
      <c r="AT140" s="79">
        <v>394</v>
      </c>
      <c r="AU140" s="79">
        <v>306</v>
      </c>
      <c r="AV140" s="79">
        <v>164</v>
      </c>
    </row>
    <row r="141" spans="1:48" s="85" customFormat="1" x14ac:dyDescent="0.2">
      <c r="A141" s="83" t="s">
        <v>28</v>
      </c>
      <c r="B141" s="83" t="s">
        <v>321</v>
      </c>
      <c r="C141" s="83" t="s">
        <v>322</v>
      </c>
      <c r="D141" s="94">
        <v>25813.72</v>
      </c>
      <c r="E141" s="96">
        <v>3017.83</v>
      </c>
      <c r="F141" s="96">
        <v>1109.6300000000001</v>
      </c>
      <c r="G141" s="96">
        <v>793.58</v>
      </c>
      <c r="H141" s="96">
        <v>2777.89</v>
      </c>
      <c r="I141" s="96">
        <v>2301.71</v>
      </c>
      <c r="J141" s="96">
        <v>1289.56</v>
      </c>
      <c r="K141" s="96">
        <v>1516.02</v>
      </c>
      <c r="L141" s="96">
        <v>13007.5</v>
      </c>
      <c r="M141" s="78">
        <v>29943.9</v>
      </c>
      <c r="N141" s="84">
        <v>3500.68</v>
      </c>
      <c r="O141" s="84">
        <v>1287.17</v>
      </c>
      <c r="P141" s="84">
        <v>920.55</v>
      </c>
      <c r="Q141" s="84">
        <v>3222.35</v>
      </c>
      <c r="R141" s="84">
        <v>2669.98</v>
      </c>
      <c r="S141" s="84">
        <v>1495.89</v>
      </c>
      <c r="T141" s="84">
        <v>1758.58</v>
      </c>
      <c r="U141" s="84">
        <v>15088.7</v>
      </c>
      <c r="V141" s="86">
        <v>50</v>
      </c>
      <c r="W141" s="80"/>
      <c r="X141" s="80"/>
      <c r="Y141" s="80"/>
      <c r="Z141" s="80"/>
      <c r="AA141" s="80"/>
      <c r="AB141" s="80"/>
      <c r="AC141" s="80"/>
      <c r="AD141" s="79">
        <v>50</v>
      </c>
      <c r="AE141" s="91">
        <v>516.27440000000001</v>
      </c>
      <c r="AF141" s="81" t="s">
        <v>33</v>
      </c>
      <c r="AG141" s="81" t="s">
        <v>33</v>
      </c>
      <c r="AH141" s="81" t="s">
        <v>33</v>
      </c>
      <c r="AI141" s="81" t="s">
        <v>33</v>
      </c>
      <c r="AJ141" s="81" t="s">
        <v>33</v>
      </c>
      <c r="AK141" s="81" t="s">
        <v>33</v>
      </c>
      <c r="AL141" s="81" t="s">
        <v>33</v>
      </c>
      <c r="AM141" s="84">
        <v>260.14999999999998</v>
      </c>
      <c r="AN141" s="86">
        <v>1584</v>
      </c>
      <c r="AO141" s="79">
        <v>370</v>
      </c>
      <c r="AP141" s="79">
        <v>148</v>
      </c>
      <c r="AQ141" s="79">
        <v>112</v>
      </c>
      <c r="AR141" s="79">
        <v>382</v>
      </c>
      <c r="AS141" s="79">
        <v>254</v>
      </c>
      <c r="AT141" s="79">
        <v>148</v>
      </c>
      <c r="AU141" s="79">
        <v>170</v>
      </c>
      <c r="AV141" s="80"/>
    </row>
    <row r="142" spans="1:48" s="85" customFormat="1" x14ac:dyDescent="0.2">
      <c r="A142" s="83" t="s">
        <v>28</v>
      </c>
      <c r="B142" s="83" t="s">
        <v>217</v>
      </c>
      <c r="C142" s="83" t="s">
        <v>218</v>
      </c>
      <c r="D142" s="94">
        <v>25070.54</v>
      </c>
      <c r="E142" s="96">
        <v>4351.17</v>
      </c>
      <c r="F142" s="96">
        <v>4374.84</v>
      </c>
      <c r="G142" s="96">
        <v>4280.57</v>
      </c>
      <c r="H142" s="96">
        <v>3431.29</v>
      </c>
      <c r="I142" s="96">
        <v>4382.3999999999996</v>
      </c>
      <c r="J142" s="96">
        <v>2575.59</v>
      </c>
      <c r="K142" s="96">
        <v>1674.68</v>
      </c>
      <c r="L142" s="96"/>
      <c r="M142" s="78">
        <v>29081.82</v>
      </c>
      <c r="N142" s="84">
        <v>5047.3599999999997</v>
      </c>
      <c r="O142" s="84">
        <v>5074.8100000000004</v>
      </c>
      <c r="P142" s="84">
        <v>4965.46</v>
      </c>
      <c r="Q142" s="84">
        <v>3980.3</v>
      </c>
      <c r="R142" s="84">
        <v>5083.58</v>
      </c>
      <c r="S142" s="84">
        <v>2987.68</v>
      </c>
      <c r="T142" s="84">
        <v>1942.63</v>
      </c>
      <c r="U142" s="80"/>
      <c r="V142" s="86">
        <v>3</v>
      </c>
      <c r="W142" s="80"/>
      <c r="X142" s="80"/>
      <c r="Y142" s="80"/>
      <c r="Z142" s="80"/>
      <c r="AA142" s="80"/>
      <c r="AB142" s="79">
        <v>1</v>
      </c>
      <c r="AC142" s="79">
        <v>2</v>
      </c>
      <c r="AD142" s="80"/>
      <c r="AE142" s="91">
        <v>8356.8466666666664</v>
      </c>
      <c r="AF142" s="81" t="s">
        <v>33</v>
      </c>
      <c r="AG142" s="81" t="s">
        <v>33</v>
      </c>
      <c r="AH142" s="81" t="s">
        <v>33</v>
      </c>
      <c r="AI142" s="81" t="s">
        <v>33</v>
      </c>
      <c r="AJ142" s="81" t="s">
        <v>33</v>
      </c>
      <c r="AK142" s="84">
        <v>2575.59</v>
      </c>
      <c r="AL142" s="84">
        <v>837.34</v>
      </c>
      <c r="AM142" s="80"/>
      <c r="AN142" s="86">
        <v>408</v>
      </c>
      <c r="AO142" s="79">
        <v>66</v>
      </c>
      <c r="AP142" s="79">
        <v>72</v>
      </c>
      <c r="AQ142" s="79">
        <v>78</v>
      </c>
      <c r="AR142" s="79">
        <v>54</v>
      </c>
      <c r="AS142" s="79">
        <v>68</v>
      </c>
      <c r="AT142" s="79">
        <v>46</v>
      </c>
      <c r="AU142" s="79">
        <v>24</v>
      </c>
      <c r="AV142" s="80"/>
    </row>
    <row r="143" spans="1:48" s="85" customFormat="1" x14ac:dyDescent="0.2">
      <c r="A143" s="83" t="s">
        <v>47</v>
      </c>
      <c r="B143" s="83" t="s">
        <v>54</v>
      </c>
      <c r="C143" s="83" t="s">
        <v>55</v>
      </c>
      <c r="D143" s="94">
        <v>23384.31</v>
      </c>
      <c r="E143" s="96">
        <v>3971.57</v>
      </c>
      <c r="F143" s="96">
        <v>895.41</v>
      </c>
      <c r="G143" s="96"/>
      <c r="H143" s="96">
        <v>-1605.74</v>
      </c>
      <c r="I143" s="96">
        <v>9426.9500000000007</v>
      </c>
      <c r="J143" s="96">
        <v>10554.88</v>
      </c>
      <c r="K143" s="96">
        <v>141.24</v>
      </c>
      <c r="L143" s="96"/>
      <c r="M143" s="78">
        <v>27125.8</v>
      </c>
      <c r="N143" s="84">
        <v>4607.0200000000004</v>
      </c>
      <c r="O143" s="84">
        <v>1038.68</v>
      </c>
      <c r="P143" s="80"/>
      <c r="Q143" s="84">
        <v>-1862.66</v>
      </c>
      <c r="R143" s="84">
        <v>10935.26</v>
      </c>
      <c r="S143" s="84">
        <v>12243.66</v>
      </c>
      <c r="T143" s="84">
        <v>163.84</v>
      </c>
      <c r="U143" s="80"/>
      <c r="V143" s="86">
        <v>100</v>
      </c>
      <c r="W143" s="79">
        <v>20</v>
      </c>
      <c r="X143" s="80"/>
      <c r="Y143" s="80"/>
      <c r="Z143" s="80"/>
      <c r="AA143" s="79">
        <v>40</v>
      </c>
      <c r="AB143" s="79">
        <v>40</v>
      </c>
      <c r="AC143" s="80"/>
      <c r="AD143" s="80"/>
      <c r="AE143" s="91">
        <v>233.84309999999999</v>
      </c>
      <c r="AF143" s="84">
        <v>198.57849999999999</v>
      </c>
      <c r="AG143" s="81" t="s">
        <v>33</v>
      </c>
      <c r="AH143" s="80"/>
      <c r="AI143" s="81" t="s">
        <v>33</v>
      </c>
      <c r="AJ143" s="84">
        <v>235.67375000000001</v>
      </c>
      <c r="AK143" s="84">
        <v>263.87200000000001</v>
      </c>
      <c r="AL143" s="81" t="s">
        <v>33</v>
      </c>
      <c r="AM143" s="80"/>
      <c r="AN143" s="86">
        <v>230</v>
      </c>
      <c r="AO143" s="80"/>
      <c r="AP143" s="79">
        <v>14</v>
      </c>
      <c r="AQ143" s="80"/>
      <c r="AR143" s="79">
        <v>-50</v>
      </c>
      <c r="AS143" s="79">
        <v>62</v>
      </c>
      <c r="AT143" s="79">
        <v>200</v>
      </c>
      <c r="AU143" s="79">
        <v>4</v>
      </c>
      <c r="AV143" s="80"/>
    </row>
    <row r="144" spans="1:48" s="85" customFormat="1" x14ac:dyDescent="0.2">
      <c r="A144" s="83" t="s">
        <v>47</v>
      </c>
      <c r="B144" s="83" t="s">
        <v>110</v>
      </c>
      <c r="C144" s="83" t="s">
        <v>111</v>
      </c>
      <c r="D144" s="94">
        <v>23167.21</v>
      </c>
      <c r="E144" s="96">
        <v>9748.41</v>
      </c>
      <c r="F144" s="96">
        <v>13418.8</v>
      </c>
      <c r="G144" s="96"/>
      <c r="H144" s="96"/>
      <c r="I144" s="96"/>
      <c r="J144" s="96"/>
      <c r="K144" s="96"/>
      <c r="L144" s="96"/>
      <c r="M144" s="78">
        <v>26873.96</v>
      </c>
      <c r="N144" s="84">
        <v>11308.15</v>
      </c>
      <c r="O144" s="84">
        <v>15565.81</v>
      </c>
      <c r="P144" s="80"/>
      <c r="Q144" s="80"/>
      <c r="R144" s="80"/>
      <c r="S144" s="80"/>
      <c r="T144" s="80"/>
      <c r="U144" s="80"/>
      <c r="V144" s="86">
        <v>2</v>
      </c>
      <c r="W144" s="79">
        <v>2</v>
      </c>
      <c r="X144" s="80"/>
      <c r="Y144" s="80"/>
      <c r="Z144" s="80"/>
      <c r="AA144" s="80"/>
      <c r="AB144" s="80"/>
      <c r="AC144" s="80"/>
      <c r="AD144" s="80"/>
      <c r="AE144" s="91">
        <v>11583.605</v>
      </c>
      <c r="AF144" s="84">
        <v>4874.2049999999999</v>
      </c>
      <c r="AG144" s="81" t="s">
        <v>33</v>
      </c>
      <c r="AH144" s="80"/>
      <c r="AI144" s="80"/>
      <c r="AJ144" s="80"/>
      <c r="AK144" s="80"/>
      <c r="AL144" s="80"/>
      <c r="AM144" s="80"/>
      <c r="AN144" s="86">
        <v>1774</v>
      </c>
      <c r="AO144" s="79">
        <v>1024</v>
      </c>
      <c r="AP144" s="79">
        <v>750</v>
      </c>
      <c r="AQ144" s="80"/>
      <c r="AR144" s="80"/>
      <c r="AS144" s="80"/>
      <c r="AT144" s="80"/>
      <c r="AU144" s="80"/>
      <c r="AV144" s="80"/>
    </row>
    <row r="145" spans="1:48" s="85" customFormat="1" x14ac:dyDescent="0.2">
      <c r="A145" s="83" t="s">
        <v>28</v>
      </c>
      <c r="B145" s="83" t="s">
        <v>241</v>
      </c>
      <c r="C145" s="83" t="s">
        <v>242</v>
      </c>
      <c r="D145" s="94">
        <v>22174.080000000002</v>
      </c>
      <c r="E145" s="96">
        <v>1350.81</v>
      </c>
      <c r="F145" s="96">
        <v>1368.32</v>
      </c>
      <c r="G145" s="96">
        <v>235.14</v>
      </c>
      <c r="H145" s="96"/>
      <c r="I145" s="96">
        <v>191.16</v>
      </c>
      <c r="J145" s="96">
        <v>18936.509999999998</v>
      </c>
      <c r="K145" s="96">
        <v>92.14</v>
      </c>
      <c r="L145" s="96"/>
      <c r="M145" s="78">
        <v>25721.93</v>
      </c>
      <c r="N145" s="84">
        <v>1566.94</v>
      </c>
      <c r="O145" s="84">
        <v>1587.25</v>
      </c>
      <c r="P145" s="84">
        <v>272.76</v>
      </c>
      <c r="Q145" s="80"/>
      <c r="R145" s="84">
        <v>221.75</v>
      </c>
      <c r="S145" s="84">
        <v>21966.35</v>
      </c>
      <c r="T145" s="84">
        <v>106.88</v>
      </c>
      <c r="U145" s="80"/>
      <c r="V145" s="86">
        <v>100</v>
      </c>
      <c r="W145" s="80"/>
      <c r="X145" s="80"/>
      <c r="Y145" s="80"/>
      <c r="Z145" s="80"/>
      <c r="AA145" s="80"/>
      <c r="AB145" s="79">
        <v>100</v>
      </c>
      <c r="AC145" s="80"/>
      <c r="AD145" s="80"/>
      <c r="AE145" s="91">
        <v>221.74080000000001</v>
      </c>
      <c r="AF145" s="81" t="s">
        <v>33</v>
      </c>
      <c r="AG145" s="81" t="s">
        <v>33</v>
      </c>
      <c r="AH145" s="81" t="s">
        <v>33</v>
      </c>
      <c r="AI145" s="80"/>
      <c r="AJ145" s="81" t="s">
        <v>33</v>
      </c>
      <c r="AK145" s="84">
        <v>189.36510000000001</v>
      </c>
      <c r="AL145" s="81" t="s">
        <v>33</v>
      </c>
      <c r="AM145" s="80"/>
      <c r="AN145" s="86">
        <v>134</v>
      </c>
      <c r="AO145" s="79">
        <v>54</v>
      </c>
      <c r="AP145" s="79">
        <v>64</v>
      </c>
      <c r="AQ145" s="79">
        <v>4</v>
      </c>
      <c r="AR145" s="80"/>
      <c r="AS145" s="79">
        <v>6</v>
      </c>
      <c r="AT145" s="79">
        <v>2</v>
      </c>
      <c r="AU145" s="79">
        <v>4</v>
      </c>
      <c r="AV145" s="80"/>
    </row>
    <row r="146" spans="1:48" s="85" customFormat="1" x14ac:dyDescent="0.2">
      <c r="A146" s="83" t="s">
        <v>47</v>
      </c>
      <c r="B146" s="83" t="s">
        <v>48</v>
      </c>
      <c r="C146" s="83" t="s">
        <v>49</v>
      </c>
      <c r="D146" s="94">
        <v>21794.27</v>
      </c>
      <c r="E146" s="96">
        <v>2632.97</v>
      </c>
      <c r="F146" s="96">
        <v>3235.16</v>
      </c>
      <c r="G146" s="96">
        <v>2219.79</v>
      </c>
      <c r="H146" s="96">
        <v>4455.2</v>
      </c>
      <c r="I146" s="96">
        <v>3816.51</v>
      </c>
      <c r="J146" s="96">
        <v>3093.43</v>
      </c>
      <c r="K146" s="96">
        <v>2341.21</v>
      </c>
      <c r="L146" s="96"/>
      <c r="M146" s="78">
        <v>25281.360000000001</v>
      </c>
      <c r="N146" s="84">
        <v>3054.25</v>
      </c>
      <c r="O146" s="84">
        <v>3752.79</v>
      </c>
      <c r="P146" s="84">
        <v>2574.96</v>
      </c>
      <c r="Q146" s="84">
        <v>5168.03</v>
      </c>
      <c r="R146" s="84">
        <v>4427.1499999999996</v>
      </c>
      <c r="S146" s="84">
        <v>3588.38</v>
      </c>
      <c r="T146" s="84">
        <v>2715.8</v>
      </c>
      <c r="U146" s="80"/>
      <c r="V146" s="86">
        <v>67</v>
      </c>
      <c r="W146" s="79">
        <v>9</v>
      </c>
      <c r="X146" s="79">
        <v>9</v>
      </c>
      <c r="Y146" s="79">
        <v>5</v>
      </c>
      <c r="Z146" s="79">
        <v>16</v>
      </c>
      <c r="AA146" s="79">
        <v>11</v>
      </c>
      <c r="AB146" s="79">
        <v>9</v>
      </c>
      <c r="AC146" s="79">
        <v>8</v>
      </c>
      <c r="AD146" s="80"/>
      <c r="AE146" s="91">
        <v>325.28761194029852</v>
      </c>
      <c r="AF146" s="84">
        <v>292.55222222222221</v>
      </c>
      <c r="AG146" s="84">
        <v>359.46222222222224</v>
      </c>
      <c r="AH146" s="84">
        <v>443.95800000000003</v>
      </c>
      <c r="AI146" s="84">
        <v>278.45</v>
      </c>
      <c r="AJ146" s="84">
        <v>346.95545454545453</v>
      </c>
      <c r="AK146" s="84">
        <v>343.71444444444444</v>
      </c>
      <c r="AL146" s="84">
        <v>292.65125</v>
      </c>
      <c r="AM146" s="80"/>
      <c r="AN146" s="86">
        <v>262</v>
      </c>
      <c r="AO146" s="79">
        <v>36</v>
      </c>
      <c r="AP146" s="79">
        <v>50</v>
      </c>
      <c r="AQ146" s="79">
        <v>42</v>
      </c>
      <c r="AR146" s="79">
        <v>26</v>
      </c>
      <c r="AS146" s="79">
        <v>50</v>
      </c>
      <c r="AT146" s="79">
        <v>40</v>
      </c>
      <c r="AU146" s="79">
        <v>18</v>
      </c>
      <c r="AV146" s="80"/>
    </row>
    <row r="147" spans="1:48" s="85" customFormat="1" x14ac:dyDescent="0.2">
      <c r="A147" s="83" t="s">
        <v>38</v>
      </c>
      <c r="B147" s="83" t="s">
        <v>579</v>
      </c>
      <c r="C147" s="83" t="s">
        <v>580</v>
      </c>
      <c r="D147" s="94">
        <v>21766.39</v>
      </c>
      <c r="E147" s="96"/>
      <c r="F147" s="96"/>
      <c r="G147" s="96"/>
      <c r="H147" s="96"/>
      <c r="I147" s="96">
        <v>9980.65</v>
      </c>
      <c r="J147" s="96">
        <v>4912.32</v>
      </c>
      <c r="K147" s="96">
        <v>6873.42</v>
      </c>
      <c r="L147" s="96"/>
      <c r="M147" s="78">
        <v>25249.01</v>
      </c>
      <c r="N147" s="80"/>
      <c r="O147" s="80"/>
      <c r="P147" s="80"/>
      <c r="Q147" s="81"/>
      <c r="R147" s="84">
        <v>11577.55</v>
      </c>
      <c r="S147" s="84">
        <v>5698.29</v>
      </c>
      <c r="T147" s="84">
        <v>7973.17</v>
      </c>
      <c r="U147" s="80"/>
      <c r="V147" s="86">
        <v>59</v>
      </c>
      <c r="W147" s="80"/>
      <c r="X147" s="80"/>
      <c r="Y147" s="80"/>
      <c r="Z147" s="80"/>
      <c r="AA147" s="79">
        <v>24</v>
      </c>
      <c r="AB147" s="79">
        <v>15</v>
      </c>
      <c r="AC147" s="79">
        <v>20</v>
      </c>
      <c r="AD147" s="80"/>
      <c r="AE147" s="91">
        <v>368.92186440677966</v>
      </c>
      <c r="AF147" s="80"/>
      <c r="AG147" s="80"/>
      <c r="AH147" s="80"/>
      <c r="AI147" s="81" t="s">
        <v>33</v>
      </c>
      <c r="AJ147" s="84">
        <v>415.86041666666665</v>
      </c>
      <c r="AK147" s="84">
        <v>327.488</v>
      </c>
      <c r="AL147" s="84">
        <v>343.67099999999999</v>
      </c>
      <c r="AM147" s="80"/>
      <c r="AN147" s="86">
        <v>272</v>
      </c>
      <c r="AO147" s="80"/>
      <c r="AP147" s="80"/>
      <c r="AQ147" s="80"/>
      <c r="AR147" s="80"/>
      <c r="AS147" s="79">
        <v>178</v>
      </c>
      <c r="AT147" s="79">
        <v>16</v>
      </c>
      <c r="AU147" s="79">
        <v>78</v>
      </c>
      <c r="AV147" s="80"/>
    </row>
    <row r="148" spans="1:48" s="85" customFormat="1" x14ac:dyDescent="0.2">
      <c r="A148" s="83" t="s">
        <v>28</v>
      </c>
      <c r="B148" s="83" t="s">
        <v>31</v>
      </c>
      <c r="C148" s="83" t="s">
        <v>32</v>
      </c>
      <c r="D148" s="94">
        <v>21287.41</v>
      </c>
      <c r="E148" s="96">
        <v>2285.44</v>
      </c>
      <c r="F148" s="96">
        <v>379.98</v>
      </c>
      <c r="G148" s="96">
        <v>298.8</v>
      </c>
      <c r="H148" s="96">
        <v>1079.6300000000001</v>
      </c>
      <c r="I148" s="96">
        <v>765.69</v>
      </c>
      <c r="J148" s="96">
        <v>10526.31</v>
      </c>
      <c r="K148" s="96">
        <v>1209.72</v>
      </c>
      <c r="L148" s="96">
        <v>9560</v>
      </c>
      <c r="M148" s="78">
        <v>24693.4</v>
      </c>
      <c r="N148" s="80"/>
      <c r="O148" s="80"/>
      <c r="P148" s="80"/>
      <c r="Q148" s="80"/>
      <c r="R148" s="80"/>
      <c r="S148" s="84">
        <v>12200.52</v>
      </c>
      <c r="T148" s="84">
        <v>1403.28</v>
      </c>
      <c r="U148" s="84">
        <v>11089.6</v>
      </c>
      <c r="V148" s="86">
        <v>100</v>
      </c>
      <c r="W148" s="80"/>
      <c r="X148" s="80"/>
      <c r="Y148" s="80"/>
      <c r="Z148" s="80"/>
      <c r="AA148" s="80"/>
      <c r="AB148" s="79">
        <v>50</v>
      </c>
      <c r="AC148" s="81"/>
      <c r="AD148" s="79">
        <v>50</v>
      </c>
      <c r="AE148" s="91">
        <v>212.8741</v>
      </c>
      <c r="AF148" s="80"/>
      <c r="AG148" s="80"/>
      <c r="AH148" s="80"/>
      <c r="AI148" s="80"/>
      <c r="AJ148" s="80"/>
      <c r="AK148" s="84">
        <v>210.35380000000001</v>
      </c>
      <c r="AL148" s="81" t="s">
        <v>33</v>
      </c>
      <c r="AM148" s="84">
        <v>191.2</v>
      </c>
      <c r="AN148" s="86">
        <v>412</v>
      </c>
      <c r="AO148" s="80"/>
      <c r="AP148" s="80"/>
      <c r="AQ148" s="80"/>
      <c r="AR148" s="80"/>
      <c r="AS148" s="80"/>
      <c r="AT148" s="79">
        <v>160</v>
      </c>
      <c r="AU148" s="79">
        <v>252</v>
      </c>
      <c r="AV148" s="80"/>
    </row>
    <row r="149" spans="1:48" s="85" customFormat="1" x14ac:dyDescent="0.2">
      <c r="A149" s="83" t="s">
        <v>47</v>
      </c>
      <c r="B149" s="83" t="s">
        <v>102</v>
      </c>
      <c r="C149" s="83" t="s">
        <v>103</v>
      </c>
      <c r="D149" s="94">
        <v>20736.650000000001</v>
      </c>
      <c r="E149" s="96">
        <v>4858.21</v>
      </c>
      <c r="F149" s="96">
        <v>2373.0300000000002</v>
      </c>
      <c r="G149" s="96">
        <v>2474.35</v>
      </c>
      <c r="H149" s="96">
        <v>3612.02</v>
      </c>
      <c r="I149" s="96">
        <v>3029.58</v>
      </c>
      <c r="J149" s="96">
        <v>1697</v>
      </c>
      <c r="K149" s="96">
        <v>2692.46</v>
      </c>
      <c r="L149" s="96"/>
      <c r="M149" s="78">
        <v>24054.5</v>
      </c>
      <c r="N149" s="84">
        <v>5635.52</v>
      </c>
      <c r="O149" s="84">
        <v>2752.71</v>
      </c>
      <c r="P149" s="84">
        <v>2870.25</v>
      </c>
      <c r="Q149" s="84">
        <v>4189.9399999999996</v>
      </c>
      <c r="R149" s="84">
        <v>3514.31</v>
      </c>
      <c r="S149" s="84">
        <v>1968.52</v>
      </c>
      <c r="T149" s="84">
        <v>3123.25</v>
      </c>
      <c r="U149" s="80"/>
      <c r="V149" s="86">
        <v>69</v>
      </c>
      <c r="W149" s="79">
        <v>15</v>
      </c>
      <c r="X149" s="79">
        <v>9</v>
      </c>
      <c r="Y149" s="79">
        <v>8</v>
      </c>
      <c r="Z149" s="79">
        <v>12</v>
      </c>
      <c r="AA149" s="79">
        <v>10</v>
      </c>
      <c r="AB149" s="79">
        <v>6</v>
      </c>
      <c r="AC149" s="79">
        <v>9</v>
      </c>
      <c r="AD149" s="80"/>
      <c r="AE149" s="91">
        <v>300.53115942028984</v>
      </c>
      <c r="AF149" s="84">
        <v>323.88066666666668</v>
      </c>
      <c r="AG149" s="84">
        <v>263.67</v>
      </c>
      <c r="AH149" s="84">
        <v>309.29374999999999</v>
      </c>
      <c r="AI149" s="84">
        <v>301.00166666666667</v>
      </c>
      <c r="AJ149" s="84">
        <v>302.95800000000003</v>
      </c>
      <c r="AK149" s="84">
        <v>282.83333333333331</v>
      </c>
      <c r="AL149" s="84">
        <v>299.16222222222223</v>
      </c>
      <c r="AM149" s="80"/>
      <c r="AN149" s="86">
        <v>254</v>
      </c>
      <c r="AO149" s="79">
        <v>72</v>
      </c>
      <c r="AP149" s="79">
        <v>16</v>
      </c>
      <c r="AQ149" s="79">
        <v>38</v>
      </c>
      <c r="AR149" s="79">
        <v>44</v>
      </c>
      <c r="AS149" s="79">
        <v>34</v>
      </c>
      <c r="AT149" s="79">
        <v>16</v>
      </c>
      <c r="AU149" s="79">
        <v>34</v>
      </c>
      <c r="AV149" s="80"/>
    </row>
    <row r="150" spans="1:48" s="85" customFormat="1" x14ac:dyDescent="0.2">
      <c r="A150" s="83" t="s">
        <v>38</v>
      </c>
      <c r="B150" s="83" t="s">
        <v>651</v>
      </c>
      <c r="C150" s="83" t="s">
        <v>652</v>
      </c>
      <c r="D150" s="94">
        <v>20680.05</v>
      </c>
      <c r="E150" s="96">
        <v>6214.79</v>
      </c>
      <c r="F150" s="96">
        <v>2343.48</v>
      </c>
      <c r="G150" s="96">
        <v>150</v>
      </c>
      <c r="H150" s="96">
        <v>263.27999999999997</v>
      </c>
      <c r="I150" s="96">
        <v>12125.98</v>
      </c>
      <c r="J150" s="96">
        <v>-7873.63</v>
      </c>
      <c r="K150" s="96">
        <v>7456.15</v>
      </c>
      <c r="L150" s="96"/>
      <c r="M150" s="78">
        <v>23988.86</v>
      </c>
      <c r="N150" s="84">
        <v>7209.16</v>
      </c>
      <c r="O150" s="84">
        <v>2718.44</v>
      </c>
      <c r="P150" s="84">
        <v>174</v>
      </c>
      <c r="Q150" s="84">
        <v>305.39999999999998</v>
      </c>
      <c r="R150" s="84">
        <v>14066.14</v>
      </c>
      <c r="S150" s="84">
        <v>-9133.41</v>
      </c>
      <c r="T150" s="84">
        <v>8649.1299999999992</v>
      </c>
      <c r="U150" s="80"/>
      <c r="V150" s="88"/>
      <c r="W150" s="80"/>
      <c r="X150" s="80"/>
      <c r="Y150" s="80"/>
      <c r="Z150" s="80"/>
      <c r="AA150" s="80"/>
      <c r="AB150" s="80"/>
      <c r="AC150" s="80"/>
      <c r="AD150" s="80"/>
      <c r="AE150" s="87" t="s">
        <v>33</v>
      </c>
      <c r="AF150" s="81" t="s">
        <v>33</v>
      </c>
      <c r="AG150" s="81" t="s">
        <v>33</v>
      </c>
      <c r="AH150" s="81" t="s">
        <v>33</v>
      </c>
      <c r="AI150" s="81" t="s">
        <v>33</v>
      </c>
      <c r="AJ150" s="81" t="s">
        <v>33</v>
      </c>
      <c r="AK150" s="81" t="s">
        <v>33</v>
      </c>
      <c r="AL150" s="81" t="s">
        <v>33</v>
      </c>
      <c r="AM150" s="80"/>
      <c r="AN150" s="86">
        <v>452</v>
      </c>
      <c r="AO150" s="79">
        <v>150</v>
      </c>
      <c r="AP150" s="79">
        <v>52</v>
      </c>
      <c r="AQ150" s="80"/>
      <c r="AR150" s="80"/>
      <c r="AS150" s="79">
        <v>274</v>
      </c>
      <c r="AT150" s="79">
        <v>-188</v>
      </c>
      <c r="AU150" s="79">
        <v>164</v>
      </c>
      <c r="AV150" s="80"/>
    </row>
    <row r="151" spans="1:48" s="85" customFormat="1" x14ac:dyDescent="0.2">
      <c r="A151" s="83" t="s">
        <v>28</v>
      </c>
      <c r="B151" s="83" t="s">
        <v>239</v>
      </c>
      <c r="C151" s="83" t="s">
        <v>240</v>
      </c>
      <c r="D151" s="94">
        <v>20491.95</v>
      </c>
      <c r="E151" s="96">
        <v>1185.6099999999999</v>
      </c>
      <c r="F151" s="96">
        <v>966.56</v>
      </c>
      <c r="G151" s="96">
        <v>1737.45</v>
      </c>
      <c r="H151" s="96">
        <v>7944.19</v>
      </c>
      <c r="I151" s="96">
        <v>1079.82</v>
      </c>
      <c r="J151" s="96">
        <v>2789.66</v>
      </c>
      <c r="K151" s="96">
        <v>4265.17</v>
      </c>
      <c r="L151" s="96">
        <v>523.49</v>
      </c>
      <c r="M151" s="78">
        <v>23770.67</v>
      </c>
      <c r="N151" s="84">
        <v>1375.31</v>
      </c>
      <c r="O151" s="84">
        <v>1121.21</v>
      </c>
      <c r="P151" s="84">
        <v>2015.45</v>
      </c>
      <c r="Q151" s="84">
        <v>9215.26</v>
      </c>
      <c r="R151" s="84">
        <v>1252.5899999999999</v>
      </c>
      <c r="S151" s="84">
        <v>3236</v>
      </c>
      <c r="T151" s="84">
        <v>4947.6000000000004</v>
      </c>
      <c r="U151" s="84">
        <v>607.25</v>
      </c>
      <c r="V151" s="86">
        <v>35</v>
      </c>
      <c r="W151" s="80"/>
      <c r="X151" s="80"/>
      <c r="Y151" s="80"/>
      <c r="Z151" s="79">
        <v>35</v>
      </c>
      <c r="AA151" s="80"/>
      <c r="AB151" s="80"/>
      <c r="AC151" s="80"/>
      <c r="AD151" s="80"/>
      <c r="AE151" s="91">
        <v>585.48428571428576</v>
      </c>
      <c r="AF151" s="81" t="s">
        <v>33</v>
      </c>
      <c r="AG151" s="81" t="s">
        <v>33</v>
      </c>
      <c r="AH151" s="81" t="s">
        <v>33</v>
      </c>
      <c r="AI151" s="84">
        <v>226.97685714285714</v>
      </c>
      <c r="AJ151" s="81" t="s">
        <v>33</v>
      </c>
      <c r="AK151" s="81" t="s">
        <v>33</v>
      </c>
      <c r="AL151" s="81" t="s">
        <v>33</v>
      </c>
      <c r="AM151" s="81" t="s">
        <v>33</v>
      </c>
      <c r="AN151" s="86">
        <v>578</v>
      </c>
      <c r="AO151" s="79">
        <v>94</v>
      </c>
      <c r="AP151" s="79">
        <v>48</v>
      </c>
      <c r="AQ151" s="79">
        <v>60</v>
      </c>
      <c r="AR151" s="79">
        <v>34</v>
      </c>
      <c r="AS151" s="79">
        <v>22</v>
      </c>
      <c r="AT151" s="79">
        <v>108</v>
      </c>
      <c r="AU151" s="79">
        <v>180</v>
      </c>
      <c r="AV151" s="79">
        <v>32</v>
      </c>
    </row>
    <row r="152" spans="1:48" s="85" customFormat="1" x14ac:dyDescent="0.2">
      <c r="A152" s="83" t="s">
        <v>47</v>
      </c>
      <c r="B152" s="83" t="s">
        <v>170</v>
      </c>
      <c r="C152" s="83" t="s">
        <v>171</v>
      </c>
      <c r="D152" s="94">
        <v>20331.95</v>
      </c>
      <c r="E152" s="96">
        <v>17566.919999999998</v>
      </c>
      <c r="F152" s="96">
        <v>2765.03</v>
      </c>
      <c r="G152" s="96"/>
      <c r="H152" s="96"/>
      <c r="I152" s="96"/>
      <c r="J152" s="96"/>
      <c r="K152" s="96"/>
      <c r="L152" s="96"/>
      <c r="M152" s="78">
        <v>23585.06</v>
      </c>
      <c r="N152" s="84">
        <v>20377.63</v>
      </c>
      <c r="O152" s="84">
        <v>3207.43</v>
      </c>
      <c r="P152" s="80"/>
      <c r="Q152" s="80"/>
      <c r="R152" s="80"/>
      <c r="S152" s="80"/>
      <c r="T152" s="80"/>
      <c r="U152" s="80"/>
      <c r="V152" s="86">
        <v>28</v>
      </c>
      <c r="W152" s="79">
        <v>27</v>
      </c>
      <c r="X152" s="79">
        <v>1</v>
      </c>
      <c r="Y152" s="80"/>
      <c r="Z152" s="80"/>
      <c r="AA152" s="80"/>
      <c r="AB152" s="80"/>
      <c r="AC152" s="80"/>
      <c r="AD152" s="80"/>
      <c r="AE152" s="91">
        <v>726.14107142857142</v>
      </c>
      <c r="AF152" s="84">
        <v>650.62666666666667</v>
      </c>
      <c r="AG152" s="84">
        <v>2765.03</v>
      </c>
      <c r="AH152" s="80"/>
      <c r="AI152" s="80"/>
      <c r="AJ152" s="80"/>
      <c r="AK152" s="80"/>
      <c r="AL152" s="80"/>
      <c r="AM152" s="80"/>
      <c r="AN152" s="86">
        <v>1420.8</v>
      </c>
      <c r="AO152" s="79">
        <v>932.8</v>
      </c>
      <c r="AP152" s="79">
        <v>488</v>
      </c>
      <c r="AQ152" s="80"/>
      <c r="AR152" s="80"/>
      <c r="AS152" s="80"/>
      <c r="AT152" s="80"/>
      <c r="AU152" s="80"/>
      <c r="AV152" s="80"/>
    </row>
    <row r="153" spans="1:48" s="85" customFormat="1" x14ac:dyDescent="0.2">
      <c r="A153" s="83" t="s">
        <v>28</v>
      </c>
      <c r="B153" s="83" t="s">
        <v>253</v>
      </c>
      <c r="C153" s="83" t="s">
        <v>254</v>
      </c>
      <c r="D153" s="94">
        <v>19840.11</v>
      </c>
      <c r="E153" s="96">
        <v>3691.08</v>
      </c>
      <c r="F153" s="96">
        <v>4592.17</v>
      </c>
      <c r="G153" s="96">
        <v>4776.49</v>
      </c>
      <c r="H153" s="96">
        <v>1315.03</v>
      </c>
      <c r="I153" s="96">
        <v>2148.1799999999998</v>
      </c>
      <c r="J153" s="96"/>
      <c r="K153" s="96">
        <v>3317.16</v>
      </c>
      <c r="L153" s="96"/>
      <c r="M153" s="78">
        <v>23014.53</v>
      </c>
      <c r="N153" s="84">
        <v>4281.66</v>
      </c>
      <c r="O153" s="84">
        <v>5326.91</v>
      </c>
      <c r="P153" s="84">
        <v>5540.73</v>
      </c>
      <c r="Q153" s="84">
        <v>1525.43</v>
      </c>
      <c r="R153" s="84">
        <v>2491.89</v>
      </c>
      <c r="S153" s="80"/>
      <c r="T153" s="84">
        <v>3847.91</v>
      </c>
      <c r="U153" s="80"/>
      <c r="V153" s="86">
        <v>47</v>
      </c>
      <c r="W153" s="79">
        <v>11</v>
      </c>
      <c r="X153" s="79">
        <v>12</v>
      </c>
      <c r="Y153" s="79">
        <v>15</v>
      </c>
      <c r="Z153" s="79">
        <v>3</v>
      </c>
      <c r="AA153" s="79">
        <v>1</v>
      </c>
      <c r="AB153" s="80"/>
      <c r="AC153" s="79">
        <v>5</v>
      </c>
      <c r="AD153" s="80"/>
      <c r="AE153" s="91">
        <v>422.13</v>
      </c>
      <c r="AF153" s="84">
        <v>335.55272727272728</v>
      </c>
      <c r="AG153" s="84">
        <v>382.68083333333334</v>
      </c>
      <c r="AH153" s="84">
        <v>318.43266666666665</v>
      </c>
      <c r="AI153" s="84">
        <v>438.34333333333331</v>
      </c>
      <c r="AJ153" s="84">
        <v>2148.1799999999998</v>
      </c>
      <c r="AK153" s="80"/>
      <c r="AL153" s="84">
        <v>663.43200000000002</v>
      </c>
      <c r="AM153" s="80"/>
      <c r="AN153" s="86">
        <v>704</v>
      </c>
      <c r="AO153" s="79">
        <v>290</v>
      </c>
      <c r="AP153" s="79">
        <v>18</v>
      </c>
      <c r="AQ153" s="79">
        <v>112</v>
      </c>
      <c r="AR153" s="79">
        <v>50</v>
      </c>
      <c r="AS153" s="79">
        <v>92</v>
      </c>
      <c r="AT153" s="80"/>
      <c r="AU153" s="79">
        <v>142</v>
      </c>
      <c r="AV153" s="80"/>
    </row>
    <row r="154" spans="1:48" s="85" customFormat="1" x14ac:dyDescent="0.2">
      <c r="A154" s="83" t="s">
        <v>28</v>
      </c>
      <c r="B154" s="83" t="s">
        <v>191</v>
      </c>
      <c r="C154" s="83" t="s">
        <v>192</v>
      </c>
      <c r="D154" s="94">
        <v>18366.509999999998</v>
      </c>
      <c r="E154" s="96">
        <v>2514.84</v>
      </c>
      <c r="F154" s="96">
        <v>6262.57</v>
      </c>
      <c r="G154" s="96">
        <v>1566.08</v>
      </c>
      <c r="H154" s="96">
        <v>2017.18</v>
      </c>
      <c r="I154" s="96">
        <v>1179.02</v>
      </c>
      <c r="J154" s="96">
        <v>2719.79</v>
      </c>
      <c r="K154" s="96">
        <v>833.82</v>
      </c>
      <c r="L154" s="96">
        <v>1273.21</v>
      </c>
      <c r="M154" s="78">
        <v>21305.14</v>
      </c>
      <c r="N154" s="84">
        <v>2917.21</v>
      </c>
      <c r="O154" s="84">
        <v>7264.58</v>
      </c>
      <c r="P154" s="84">
        <v>1816.65</v>
      </c>
      <c r="Q154" s="84">
        <v>2339.9299999999998</v>
      </c>
      <c r="R154" s="84">
        <v>1367.66</v>
      </c>
      <c r="S154" s="84">
        <v>3154.96</v>
      </c>
      <c r="T154" s="84">
        <v>967.23</v>
      </c>
      <c r="U154" s="84">
        <v>1476.92</v>
      </c>
      <c r="V154" s="86">
        <v>60</v>
      </c>
      <c r="W154" s="79">
        <v>9</v>
      </c>
      <c r="X154" s="79">
        <v>22</v>
      </c>
      <c r="Y154" s="79">
        <v>5</v>
      </c>
      <c r="Z154" s="79">
        <v>7</v>
      </c>
      <c r="AA154" s="79">
        <v>4</v>
      </c>
      <c r="AB154" s="79">
        <v>8</v>
      </c>
      <c r="AC154" s="79">
        <v>3</v>
      </c>
      <c r="AD154" s="79">
        <v>2</v>
      </c>
      <c r="AE154" s="91">
        <v>306.10849999999999</v>
      </c>
      <c r="AF154" s="84">
        <v>279.42666666666668</v>
      </c>
      <c r="AG154" s="84">
        <v>284.66227272727275</v>
      </c>
      <c r="AH154" s="84">
        <v>313.21600000000001</v>
      </c>
      <c r="AI154" s="84">
        <v>288.16857142857145</v>
      </c>
      <c r="AJ154" s="84">
        <v>294.755</v>
      </c>
      <c r="AK154" s="84">
        <v>339.97375</v>
      </c>
      <c r="AL154" s="84">
        <v>277.94</v>
      </c>
      <c r="AM154" s="84">
        <v>636.60500000000002</v>
      </c>
      <c r="AN154" s="86">
        <v>136</v>
      </c>
      <c r="AO154" s="80"/>
      <c r="AP154" s="80"/>
      <c r="AQ154" s="80"/>
      <c r="AR154" s="80"/>
      <c r="AS154" s="80"/>
      <c r="AT154" s="79">
        <v>46</v>
      </c>
      <c r="AU154" s="80"/>
      <c r="AV154" s="79">
        <v>90</v>
      </c>
    </row>
    <row r="155" spans="1:48" s="85" customFormat="1" x14ac:dyDescent="0.2">
      <c r="A155" s="83" t="s">
        <v>28</v>
      </c>
      <c r="B155" s="83" t="s">
        <v>297</v>
      </c>
      <c r="C155" s="83" t="s">
        <v>298</v>
      </c>
      <c r="D155" s="94">
        <v>18360.939999999999</v>
      </c>
      <c r="E155" s="96">
        <v>402.64</v>
      </c>
      <c r="F155" s="96">
        <v>68.040000000000006</v>
      </c>
      <c r="G155" s="96">
        <v>568.25</v>
      </c>
      <c r="H155" s="96">
        <v>988.19</v>
      </c>
      <c r="I155" s="96">
        <v>15747.66</v>
      </c>
      <c r="J155" s="96">
        <v>586.16</v>
      </c>
      <c r="K155" s="96"/>
      <c r="L155" s="96"/>
      <c r="M155" s="78">
        <v>21298.7</v>
      </c>
      <c r="N155" s="84">
        <v>467.06</v>
      </c>
      <c r="O155" s="84">
        <v>78.930000000000007</v>
      </c>
      <c r="P155" s="84">
        <v>659.17</v>
      </c>
      <c r="Q155" s="84">
        <v>1146.3</v>
      </c>
      <c r="R155" s="84">
        <v>18267.29</v>
      </c>
      <c r="S155" s="84">
        <v>679.95</v>
      </c>
      <c r="T155" s="80"/>
      <c r="U155" s="80"/>
      <c r="V155" s="86">
        <v>50</v>
      </c>
      <c r="W155" s="80"/>
      <c r="X155" s="80"/>
      <c r="Y155" s="80"/>
      <c r="Z155" s="80"/>
      <c r="AA155" s="79">
        <v>50</v>
      </c>
      <c r="AB155" s="80"/>
      <c r="AC155" s="80"/>
      <c r="AD155" s="80"/>
      <c r="AE155" s="91">
        <v>367.21879999999999</v>
      </c>
      <c r="AF155" s="81" t="s">
        <v>33</v>
      </c>
      <c r="AG155" s="81" t="s">
        <v>33</v>
      </c>
      <c r="AH155" s="81" t="s">
        <v>33</v>
      </c>
      <c r="AI155" s="81" t="s">
        <v>33</v>
      </c>
      <c r="AJ155" s="84">
        <v>314.95319999999998</v>
      </c>
      <c r="AK155" s="81" t="s">
        <v>33</v>
      </c>
      <c r="AL155" s="80"/>
      <c r="AM155" s="80"/>
      <c r="AN155" s="86">
        <v>108</v>
      </c>
      <c r="AO155" s="79">
        <v>16</v>
      </c>
      <c r="AP155" s="79">
        <v>4</v>
      </c>
      <c r="AQ155" s="79">
        <v>10</v>
      </c>
      <c r="AR155" s="79">
        <v>34</v>
      </c>
      <c r="AS155" s="79">
        <v>22</v>
      </c>
      <c r="AT155" s="79">
        <v>22</v>
      </c>
      <c r="AU155" s="80"/>
      <c r="AV155" s="80"/>
    </row>
    <row r="156" spans="1:48" s="85" customFormat="1" x14ac:dyDescent="0.2">
      <c r="A156" s="83" t="s">
        <v>28</v>
      </c>
      <c r="B156" s="83" t="s">
        <v>247</v>
      </c>
      <c r="C156" s="83" t="s">
        <v>248</v>
      </c>
      <c r="D156" s="94">
        <v>18225.23</v>
      </c>
      <c r="E156" s="96"/>
      <c r="F156" s="96"/>
      <c r="G156" s="96"/>
      <c r="H156" s="96"/>
      <c r="I156" s="96">
        <v>13109.49</v>
      </c>
      <c r="J156" s="96">
        <v>5115.74</v>
      </c>
      <c r="K156" s="96"/>
      <c r="L156" s="96"/>
      <c r="M156" s="78">
        <v>21141.27</v>
      </c>
      <c r="N156" s="80"/>
      <c r="O156" s="80"/>
      <c r="P156" s="80"/>
      <c r="Q156" s="80"/>
      <c r="R156" s="84">
        <v>15207.01</v>
      </c>
      <c r="S156" s="84">
        <v>5934.26</v>
      </c>
      <c r="T156" s="80"/>
      <c r="U156" s="80"/>
      <c r="V156" s="86">
        <v>7</v>
      </c>
      <c r="W156" s="80"/>
      <c r="X156" s="80"/>
      <c r="Y156" s="80"/>
      <c r="Z156" s="80"/>
      <c r="AA156" s="79">
        <v>5</v>
      </c>
      <c r="AB156" s="79">
        <v>2</v>
      </c>
      <c r="AC156" s="80"/>
      <c r="AD156" s="80"/>
      <c r="AE156" s="91">
        <v>2603.6042857142857</v>
      </c>
      <c r="AF156" s="80"/>
      <c r="AG156" s="80"/>
      <c r="AH156" s="80"/>
      <c r="AI156" s="80"/>
      <c r="AJ156" s="84">
        <v>2621.8980000000001</v>
      </c>
      <c r="AK156" s="84">
        <v>2557.87</v>
      </c>
      <c r="AL156" s="80"/>
      <c r="AM156" s="80"/>
      <c r="AN156" s="88"/>
      <c r="AO156" s="80"/>
      <c r="AP156" s="80"/>
      <c r="AQ156" s="80"/>
      <c r="AR156" s="80"/>
      <c r="AS156" s="80"/>
      <c r="AT156" s="80"/>
      <c r="AU156" s="80"/>
      <c r="AV156" s="80"/>
    </row>
    <row r="157" spans="1:48" s="85" customFormat="1" x14ac:dyDescent="0.2">
      <c r="A157" s="83" t="s">
        <v>47</v>
      </c>
      <c r="B157" s="83" t="s">
        <v>90</v>
      </c>
      <c r="C157" s="83" t="s">
        <v>91</v>
      </c>
      <c r="D157" s="94">
        <v>17666.560000000001</v>
      </c>
      <c r="E157" s="96">
        <v>354.29</v>
      </c>
      <c r="F157" s="96">
        <v>1891.46</v>
      </c>
      <c r="G157" s="96">
        <v>2662.5</v>
      </c>
      <c r="H157" s="96">
        <v>3832.02</v>
      </c>
      <c r="I157" s="96">
        <v>3780.87</v>
      </c>
      <c r="J157" s="96">
        <v>3799.77</v>
      </c>
      <c r="K157" s="96">
        <v>1345.65</v>
      </c>
      <c r="L157" s="96"/>
      <c r="M157" s="78">
        <v>20493.22</v>
      </c>
      <c r="N157" s="84">
        <v>410.98</v>
      </c>
      <c r="O157" s="84">
        <v>2194.1</v>
      </c>
      <c r="P157" s="84">
        <v>3088.5</v>
      </c>
      <c r="Q157" s="84">
        <v>4445.1400000000003</v>
      </c>
      <c r="R157" s="84">
        <v>4385.8100000000004</v>
      </c>
      <c r="S157" s="84">
        <v>4407.74</v>
      </c>
      <c r="T157" s="84">
        <v>1560.95</v>
      </c>
      <c r="U157" s="80"/>
      <c r="V157" s="86">
        <v>61</v>
      </c>
      <c r="W157" s="79">
        <v>2</v>
      </c>
      <c r="X157" s="79">
        <v>6</v>
      </c>
      <c r="Y157" s="79">
        <v>9</v>
      </c>
      <c r="Z157" s="79">
        <v>13</v>
      </c>
      <c r="AA157" s="79">
        <v>14</v>
      </c>
      <c r="AB157" s="79">
        <v>12</v>
      </c>
      <c r="AC157" s="79">
        <v>5</v>
      </c>
      <c r="AD157" s="80"/>
      <c r="AE157" s="91">
        <v>289.61573770491805</v>
      </c>
      <c r="AF157" s="84">
        <v>177.14500000000001</v>
      </c>
      <c r="AG157" s="84">
        <v>315.24333333333334</v>
      </c>
      <c r="AH157" s="84">
        <v>295.83333333333331</v>
      </c>
      <c r="AI157" s="84">
        <v>294.77076923076925</v>
      </c>
      <c r="AJ157" s="84">
        <v>270.06214285714287</v>
      </c>
      <c r="AK157" s="84">
        <v>316.64749999999998</v>
      </c>
      <c r="AL157" s="84">
        <v>269.13</v>
      </c>
      <c r="AM157" s="80"/>
      <c r="AN157" s="86">
        <v>612</v>
      </c>
      <c r="AO157" s="80"/>
      <c r="AP157" s="79">
        <v>92</v>
      </c>
      <c r="AQ157" s="79">
        <v>126</v>
      </c>
      <c r="AR157" s="79">
        <v>190</v>
      </c>
      <c r="AS157" s="79">
        <v>50</v>
      </c>
      <c r="AT157" s="79">
        <v>148</v>
      </c>
      <c r="AU157" s="79">
        <v>6</v>
      </c>
      <c r="AV157" s="80"/>
    </row>
    <row r="158" spans="1:48" s="85" customFormat="1" x14ac:dyDescent="0.2">
      <c r="A158" s="83" t="s">
        <v>47</v>
      </c>
      <c r="B158" s="83" t="s">
        <v>134</v>
      </c>
      <c r="C158" s="83" t="s">
        <v>135</v>
      </c>
      <c r="D158" s="94">
        <v>17393.48</v>
      </c>
      <c r="E158" s="96"/>
      <c r="F158" s="96">
        <v>17128.52</v>
      </c>
      <c r="G158" s="96"/>
      <c r="H158" s="96">
        <v>214.2</v>
      </c>
      <c r="I158" s="96"/>
      <c r="J158" s="96"/>
      <c r="K158" s="96"/>
      <c r="L158" s="96">
        <v>50.76</v>
      </c>
      <c r="M158" s="78">
        <v>20176.43</v>
      </c>
      <c r="N158" s="80"/>
      <c r="O158" s="84">
        <v>19869.080000000002</v>
      </c>
      <c r="P158" s="80"/>
      <c r="Q158" s="84">
        <v>248.47</v>
      </c>
      <c r="R158" s="80"/>
      <c r="S158" s="80"/>
      <c r="T158" s="80"/>
      <c r="U158" s="84">
        <v>58.88</v>
      </c>
      <c r="V158" s="86">
        <v>50</v>
      </c>
      <c r="W158" s="80"/>
      <c r="X158" s="79">
        <v>50</v>
      </c>
      <c r="Y158" s="80"/>
      <c r="Z158" s="80"/>
      <c r="AA158" s="80"/>
      <c r="AB158" s="80"/>
      <c r="AC158" s="80"/>
      <c r="AD158" s="80"/>
      <c r="AE158" s="91">
        <v>347.86959999999999</v>
      </c>
      <c r="AF158" s="80"/>
      <c r="AG158" s="84">
        <v>342.57040000000001</v>
      </c>
      <c r="AH158" s="80"/>
      <c r="AI158" s="81" t="s">
        <v>33</v>
      </c>
      <c r="AJ158" s="80"/>
      <c r="AK158" s="80"/>
      <c r="AL158" s="80"/>
      <c r="AM158" s="81" t="s">
        <v>33</v>
      </c>
      <c r="AN158" s="86">
        <v>16</v>
      </c>
      <c r="AO158" s="80"/>
      <c r="AP158" s="79">
        <v>10</v>
      </c>
      <c r="AQ158" s="80"/>
      <c r="AR158" s="79">
        <v>4</v>
      </c>
      <c r="AS158" s="80"/>
      <c r="AT158" s="80"/>
      <c r="AU158" s="80"/>
      <c r="AV158" s="79">
        <v>2</v>
      </c>
    </row>
    <row r="159" spans="1:48" s="85" customFormat="1" x14ac:dyDescent="0.2">
      <c r="A159" s="83" t="s">
        <v>47</v>
      </c>
      <c r="B159" s="83" t="s">
        <v>140</v>
      </c>
      <c r="C159" s="83" t="s">
        <v>141</v>
      </c>
      <c r="D159" s="94">
        <v>17225.07</v>
      </c>
      <c r="E159" s="96"/>
      <c r="F159" s="96">
        <v>9500.4500000000007</v>
      </c>
      <c r="G159" s="96"/>
      <c r="H159" s="96"/>
      <c r="I159" s="96">
        <v>1942.28</v>
      </c>
      <c r="J159" s="96">
        <v>5782.34</v>
      </c>
      <c r="K159" s="96"/>
      <c r="L159" s="96"/>
      <c r="M159" s="78">
        <v>19981.07</v>
      </c>
      <c r="N159" s="80"/>
      <c r="O159" s="84">
        <v>11020.52</v>
      </c>
      <c r="P159" s="80"/>
      <c r="Q159" s="80"/>
      <c r="R159" s="84">
        <v>2253.04</v>
      </c>
      <c r="S159" s="84">
        <v>6707.51</v>
      </c>
      <c r="T159" s="80"/>
      <c r="U159" s="80"/>
      <c r="V159" s="86">
        <v>55</v>
      </c>
      <c r="W159" s="80"/>
      <c r="X159" s="79">
        <v>35</v>
      </c>
      <c r="Y159" s="80"/>
      <c r="Z159" s="80"/>
      <c r="AA159" s="80"/>
      <c r="AB159" s="79">
        <v>20</v>
      </c>
      <c r="AC159" s="80"/>
      <c r="AD159" s="80"/>
      <c r="AE159" s="91">
        <v>313.18309090909094</v>
      </c>
      <c r="AF159" s="80"/>
      <c r="AG159" s="84">
        <v>271.44142857142856</v>
      </c>
      <c r="AH159" s="80"/>
      <c r="AI159" s="80"/>
      <c r="AJ159" s="81" t="s">
        <v>33</v>
      </c>
      <c r="AK159" s="84">
        <v>289.11700000000002</v>
      </c>
      <c r="AL159" s="80"/>
      <c r="AM159" s="80"/>
      <c r="AN159" s="86">
        <v>76</v>
      </c>
      <c r="AO159" s="80"/>
      <c r="AP159" s="80"/>
      <c r="AQ159" s="80"/>
      <c r="AR159" s="80"/>
      <c r="AS159" s="79">
        <v>76</v>
      </c>
      <c r="AT159" s="80"/>
      <c r="AU159" s="80"/>
      <c r="AV159" s="80"/>
    </row>
    <row r="160" spans="1:48" s="85" customFormat="1" x14ac:dyDescent="0.2">
      <c r="A160" s="83" t="s">
        <v>28</v>
      </c>
      <c r="B160" s="83" t="s">
        <v>219</v>
      </c>
      <c r="C160" s="83" t="s">
        <v>220</v>
      </c>
      <c r="D160" s="94">
        <v>16596.62</v>
      </c>
      <c r="E160" s="96">
        <v>24820.87</v>
      </c>
      <c r="F160" s="96">
        <v>13752.25</v>
      </c>
      <c r="G160" s="96">
        <v>20205.599999999999</v>
      </c>
      <c r="H160" s="96">
        <v>28157.18</v>
      </c>
      <c r="I160" s="96">
        <v>32472.799999999999</v>
      </c>
      <c r="J160" s="96">
        <v>18158.68</v>
      </c>
      <c r="K160" s="96">
        <v>16784.63</v>
      </c>
      <c r="L160" s="96"/>
      <c r="M160" s="78">
        <v>19252.080000000002</v>
      </c>
      <c r="N160" s="80"/>
      <c r="O160" s="80"/>
      <c r="P160" s="80"/>
      <c r="Q160" s="80"/>
      <c r="R160" s="80"/>
      <c r="S160" s="84">
        <v>19252.080000000002</v>
      </c>
      <c r="T160" s="80"/>
      <c r="U160" s="80"/>
      <c r="V160" s="86">
        <v>65</v>
      </c>
      <c r="W160" s="80"/>
      <c r="X160" s="80"/>
      <c r="Y160" s="80"/>
      <c r="Z160" s="80"/>
      <c r="AA160" s="80"/>
      <c r="AB160" s="79">
        <v>65</v>
      </c>
      <c r="AC160" s="80"/>
      <c r="AD160" s="80"/>
      <c r="AE160" s="91">
        <v>255.33261538461537</v>
      </c>
      <c r="AF160" s="80"/>
      <c r="AG160" s="80"/>
      <c r="AH160" s="80"/>
      <c r="AI160" s="80"/>
      <c r="AJ160" s="80"/>
      <c r="AK160" s="84">
        <v>255.33261538461537</v>
      </c>
      <c r="AL160" s="80"/>
      <c r="AM160" s="80"/>
      <c r="AN160" s="86">
        <v>82</v>
      </c>
      <c r="AO160" s="80"/>
      <c r="AP160" s="80"/>
      <c r="AQ160" s="80"/>
      <c r="AR160" s="80"/>
      <c r="AS160" s="80"/>
      <c r="AT160" s="79">
        <v>82</v>
      </c>
      <c r="AU160" s="80"/>
      <c r="AV160" s="80"/>
    </row>
    <row r="161" spans="1:48" s="85" customFormat="1" x14ac:dyDescent="0.2">
      <c r="A161" s="83" t="s">
        <v>28</v>
      </c>
      <c r="B161" s="83" t="s">
        <v>179</v>
      </c>
      <c r="C161" s="83" t="s">
        <v>180</v>
      </c>
      <c r="D161" s="94">
        <v>15785.49</v>
      </c>
      <c r="E161" s="96">
        <v>199.77</v>
      </c>
      <c r="F161" s="96">
        <v>3329</v>
      </c>
      <c r="G161" s="96">
        <v>1674.05</v>
      </c>
      <c r="H161" s="96">
        <v>2862.81</v>
      </c>
      <c r="I161" s="96">
        <v>2077.1999999999998</v>
      </c>
      <c r="J161" s="96">
        <v>1846.74</v>
      </c>
      <c r="K161" s="96">
        <v>1265.33</v>
      </c>
      <c r="L161" s="96">
        <v>2530.59</v>
      </c>
      <c r="M161" s="78">
        <v>18311.16</v>
      </c>
      <c r="N161" s="84">
        <v>231.73</v>
      </c>
      <c r="O161" s="84">
        <v>3861.64</v>
      </c>
      <c r="P161" s="84">
        <v>1941.9</v>
      </c>
      <c r="Q161" s="84">
        <v>3320.86</v>
      </c>
      <c r="R161" s="84">
        <v>2409.5500000000002</v>
      </c>
      <c r="S161" s="84">
        <v>2142.2199999999998</v>
      </c>
      <c r="T161" s="84">
        <v>1467.78</v>
      </c>
      <c r="U161" s="84">
        <v>2935.48</v>
      </c>
      <c r="V161" s="88"/>
      <c r="W161" s="80"/>
      <c r="X161" s="80"/>
      <c r="Y161" s="80"/>
      <c r="Z161" s="80"/>
      <c r="AA161" s="80"/>
      <c r="AB161" s="80"/>
      <c r="AC161" s="80"/>
      <c r="AD161" s="80"/>
      <c r="AE161" s="87" t="s">
        <v>33</v>
      </c>
      <c r="AF161" s="81" t="s">
        <v>33</v>
      </c>
      <c r="AG161" s="81" t="s">
        <v>33</v>
      </c>
      <c r="AH161" s="81" t="s">
        <v>33</v>
      </c>
      <c r="AI161" s="81" t="s">
        <v>33</v>
      </c>
      <c r="AJ161" s="81" t="s">
        <v>33</v>
      </c>
      <c r="AK161" s="81" t="s">
        <v>33</v>
      </c>
      <c r="AL161" s="81" t="s">
        <v>33</v>
      </c>
      <c r="AM161" s="81" t="s">
        <v>33</v>
      </c>
      <c r="AN161" s="86">
        <v>2036</v>
      </c>
      <c r="AO161" s="79">
        <v>50</v>
      </c>
      <c r="AP161" s="79">
        <v>488</v>
      </c>
      <c r="AQ161" s="79">
        <v>210</v>
      </c>
      <c r="AR161" s="79">
        <v>298</v>
      </c>
      <c r="AS161" s="79">
        <v>236</v>
      </c>
      <c r="AT161" s="79">
        <v>250</v>
      </c>
      <c r="AU161" s="79">
        <v>200</v>
      </c>
      <c r="AV161" s="79">
        <v>304</v>
      </c>
    </row>
    <row r="162" spans="1:48" s="85" customFormat="1" x14ac:dyDescent="0.2">
      <c r="A162" s="83" t="s">
        <v>28</v>
      </c>
      <c r="B162" s="83" t="s">
        <v>233</v>
      </c>
      <c r="C162" s="83" t="s">
        <v>234</v>
      </c>
      <c r="D162" s="94">
        <v>15584.67</v>
      </c>
      <c r="E162" s="96">
        <v>313.35000000000002</v>
      </c>
      <c r="F162" s="96">
        <v>3099.76</v>
      </c>
      <c r="G162" s="96">
        <v>3335.33</v>
      </c>
      <c r="H162" s="96">
        <v>1573.2</v>
      </c>
      <c r="I162" s="96">
        <v>848.5</v>
      </c>
      <c r="J162" s="96">
        <v>3257.89</v>
      </c>
      <c r="K162" s="96">
        <v>3156.64</v>
      </c>
      <c r="L162" s="96"/>
      <c r="M162" s="78">
        <v>18078.21</v>
      </c>
      <c r="N162" s="84">
        <v>363.49</v>
      </c>
      <c r="O162" s="84">
        <v>3595.72</v>
      </c>
      <c r="P162" s="84">
        <v>3868.98</v>
      </c>
      <c r="Q162" s="84">
        <v>1824.91</v>
      </c>
      <c r="R162" s="84">
        <v>984.26</v>
      </c>
      <c r="S162" s="84">
        <v>3779.15</v>
      </c>
      <c r="T162" s="84">
        <v>3661.7</v>
      </c>
      <c r="U162" s="81"/>
      <c r="V162" s="86">
        <v>46</v>
      </c>
      <c r="W162" s="79">
        <v>1</v>
      </c>
      <c r="X162" s="79">
        <v>10</v>
      </c>
      <c r="Y162" s="79">
        <v>10</v>
      </c>
      <c r="Z162" s="79">
        <v>4</v>
      </c>
      <c r="AA162" s="79">
        <v>3</v>
      </c>
      <c r="AB162" s="79">
        <v>9</v>
      </c>
      <c r="AC162" s="79">
        <v>9</v>
      </c>
      <c r="AD162" s="81"/>
      <c r="AE162" s="91">
        <v>338.79717391304348</v>
      </c>
      <c r="AF162" s="84">
        <v>313.35000000000002</v>
      </c>
      <c r="AG162" s="84">
        <v>309.976</v>
      </c>
      <c r="AH162" s="84">
        <v>333.53300000000002</v>
      </c>
      <c r="AI162" s="84">
        <v>393.3</v>
      </c>
      <c r="AJ162" s="84">
        <v>282.83333333333331</v>
      </c>
      <c r="AK162" s="84">
        <v>361.98777777777781</v>
      </c>
      <c r="AL162" s="84">
        <v>350.73777777777781</v>
      </c>
      <c r="AM162" s="81" t="s">
        <v>33</v>
      </c>
      <c r="AN162" s="86">
        <v>880</v>
      </c>
      <c r="AO162" s="79">
        <v>6</v>
      </c>
      <c r="AP162" s="79">
        <v>174</v>
      </c>
      <c r="AQ162" s="79">
        <v>164</v>
      </c>
      <c r="AR162" s="79">
        <v>82</v>
      </c>
      <c r="AS162" s="79">
        <v>40</v>
      </c>
      <c r="AT162" s="79">
        <v>202</v>
      </c>
      <c r="AU162" s="79">
        <v>212</v>
      </c>
      <c r="AV162" s="81"/>
    </row>
    <row r="163" spans="1:48" s="85" customFormat="1" x14ac:dyDescent="0.2">
      <c r="A163" s="83" t="s">
        <v>38</v>
      </c>
      <c r="B163" s="83" t="s">
        <v>363</v>
      </c>
      <c r="C163" s="83" t="s">
        <v>364</v>
      </c>
      <c r="D163" s="94">
        <v>15183</v>
      </c>
      <c r="E163" s="96"/>
      <c r="F163" s="96"/>
      <c r="G163" s="96"/>
      <c r="H163" s="96"/>
      <c r="I163" s="96"/>
      <c r="J163" s="96"/>
      <c r="K163" s="96">
        <v>15183</v>
      </c>
      <c r="L163" s="96"/>
      <c r="M163" s="78">
        <v>17612.28</v>
      </c>
      <c r="N163" s="80"/>
      <c r="O163" s="80"/>
      <c r="P163" s="80"/>
      <c r="Q163" s="80"/>
      <c r="R163" s="80"/>
      <c r="S163" s="80"/>
      <c r="T163" s="84">
        <v>17612.28</v>
      </c>
      <c r="U163" s="80"/>
      <c r="V163" s="86">
        <v>50</v>
      </c>
      <c r="W163" s="80"/>
      <c r="X163" s="80"/>
      <c r="Y163" s="80"/>
      <c r="Z163" s="80"/>
      <c r="AA163" s="80"/>
      <c r="AB163" s="80"/>
      <c r="AC163" s="79">
        <v>50</v>
      </c>
      <c r="AD163" s="80"/>
      <c r="AE163" s="91">
        <v>303.66000000000003</v>
      </c>
      <c r="AF163" s="80"/>
      <c r="AG163" s="80"/>
      <c r="AH163" s="80"/>
      <c r="AI163" s="80"/>
      <c r="AJ163" s="80"/>
      <c r="AK163" s="80"/>
      <c r="AL163" s="84">
        <v>303.66000000000003</v>
      </c>
      <c r="AM163" s="80"/>
      <c r="AN163" s="88"/>
      <c r="AO163" s="80"/>
      <c r="AP163" s="80"/>
      <c r="AQ163" s="80"/>
      <c r="AR163" s="80"/>
      <c r="AS163" s="80"/>
      <c r="AT163" s="80"/>
      <c r="AU163" s="80"/>
      <c r="AV163" s="80"/>
    </row>
    <row r="164" spans="1:48" s="85" customFormat="1" x14ac:dyDescent="0.2">
      <c r="A164" s="83" t="s">
        <v>38</v>
      </c>
      <c r="B164" s="83" t="s">
        <v>369</v>
      </c>
      <c r="C164" s="83" t="s">
        <v>370</v>
      </c>
      <c r="D164" s="94">
        <v>14968.86</v>
      </c>
      <c r="E164" s="96"/>
      <c r="F164" s="96"/>
      <c r="G164" s="96">
        <v>10885.93</v>
      </c>
      <c r="H164" s="96"/>
      <c r="I164" s="96">
        <v>4082.93</v>
      </c>
      <c r="J164" s="96"/>
      <c r="K164" s="96"/>
      <c r="L164" s="96"/>
      <c r="M164" s="78">
        <v>17363.88</v>
      </c>
      <c r="N164" s="80"/>
      <c r="O164" s="80"/>
      <c r="P164" s="84">
        <v>12627.68</v>
      </c>
      <c r="Q164" s="80"/>
      <c r="R164" s="84">
        <v>4736.2</v>
      </c>
      <c r="S164" s="80"/>
      <c r="T164" s="80"/>
      <c r="U164" s="80"/>
      <c r="V164" s="86">
        <v>11</v>
      </c>
      <c r="W164" s="80"/>
      <c r="X164" s="80"/>
      <c r="Y164" s="79">
        <v>10</v>
      </c>
      <c r="Z164" s="80"/>
      <c r="AA164" s="79">
        <v>1</v>
      </c>
      <c r="AB164" s="80"/>
      <c r="AC164" s="80"/>
      <c r="AD164" s="80"/>
      <c r="AE164" s="91">
        <v>1360.8054545454545</v>
      </c>
      <c r="AF164" s="80"/>
      <c r="AG164" s="80"/>
      <c r="AH164" s="84">
        <v>1088.5930000000001</v>
      </c>
      <c r="AI164" s="80"/>
      <c r="AJ164" s="84">
        <v>4082.93</v>
      </c>
      <c r="AK164" s="80"/>
      <c r="AL164" s="80"/>
      <c r="AM164" s="80"/>
      <c r="AN164" s="86">
        <v>190</v>
      </c>
      <c r="AO164" s="80"/>
      <c r="AP164" s="80"/>
      <c r="AQ164" s="79">
        <v>190</v>
      </c>
      <c r="AR164" s="80"/>
      <c r="AS164" s="80"/>
      <c r="AT164" s="80"/>
      <c r="AU164" s="80"/>
      <c r="AV164" s="80"/>
    </row>
    <row r="165" spans="1:48" s="85" customFormat="1" x14ac:dyDescent="0.2">
      <c r="A165" s="83" t="s">
        <v>38</v>
      </c>
      <c r="B165" s="83" t="s">
        <v>659</v>
      </c>
      <c r="C165" s="83" t="s">
        <v>660</v>
      </c>
      <c r="D165" s="94">
        <v>14737.37</v>
      </c>
      <c r="E165" s="96">
        <v>505.49</v>
      </c>
      <c r="F165" s="96">
        <v>42.84</v>
      </c>
      <c r="G165" s="96">
        <v>182.28</v>
      </c>
      <c r="H165" s="96">
        <v>183.26</v>
      </c>
      <c r="I165" s="96"/>
      <c r="J165" s="96"/>
      <c r="K165" s="96"/>
      <c r="L165" s="96">
        <v>13823.5</v>
      </c>
      <c r="M165" s="78">
        <v>17095.34</v>
      </c>
      <c r="N165" s="84">
        <v>586.37</v>
      </c>
      <c r="O165" s="84">
        <v>49.69</v>
      </c>
      <c r="P165" s="84">
        <v>211.44</v>
      </c>
      <c r="Q165" s="84">
        <v>212.58</v>
      </c>
      <c r="R165" s="80"/>
      <c r="S165" s="80"/>
      <c r="T165" s="80"/>
      <c r="U165" s="84">
        <v>16035.26</v>
      </c>
      <c r="V165" s="86">
        <v>50</v>
      </c>
      <c r="W165" s="80"/>
      <c r="X165" s="80"/>
      <c r="Y165" s="80"/>
      <c r="Z165" s="80"/>
      <c r="AA165" s="80"/>
      <c r="AB165" s="80"/>
      <c r="AC165" s="80"/>
      <c r="AD165" s="79">
        <v>50</v>
      </c>
      <c r="AE165" s="91">
        <v>294.74740000000003</v>
      </c>
      <c r="AF165" s="81" t="s">
        <v>33</v>
      </c>
      <c r="AG165" s="81" t="s">
        <v>33</v>
      </c>
      <c r="AH165" s="81" t="s">
        <v>33</v>
      </c>
      <c r="AI165" s="81" t="s">
        <v>33</v>
      </c>
      <c r="AJ165" s="80"/>
      <c r="AK165" s="80"/>
      <c r="AL165" s="80"/>
      <c r="AM165" s="84">
        <v>276.47000000000003</v>
      </c>
      <c r="AN165" s="86">
        <v>182</v>
      </c>
      <c r="AO165" s="79">
        <v>106</v>
      </c>
      <c r="AP165" s="79">
        <v>8</v>
      </c>
      <c r="AQ165" s="79">
        <v>34</v>
      </c>
      <c r="AR165" s="79">
        <v>34</v>
      </c>
      <c r="AS165" s="80"/>
      <c r="AT165" s="80"/>
      <c r="AU165" s="80"/>
      <c r="AV165" s="80"/>
    </row>
    <row r="166" spans="1:48" s="85" customFormat="1" x14ac:dyDescent="0.2">
      <c r="A166" s="83" t="s">
        <v>38</v>
      </c>
      <c r="B166" s="83" t="s">
        <v>665</v>
      </c>
      <c r="C166" s="83" t="s">
        <v>666</v>
      </c>
      <c r="D166" s="94">
        <v>14636</v>
      </c>
      <c r="E166" s="96"/>
      <c r="F166" s="96"/>
      <c r="G166" s="96"/>
      <c r="H166" s="96"/>
      <c r="I166" s="96"/>
      <c r="J166" s="96">
        <v>14636</v>
      </c>
      <c r="K166" s="96"/>
      <c r="L166" s="96"/>
      <c r="M166" s="78">
        <v>16977.759999999998</v>
      </c>
      <c r="N166" s="80"/>
      <c r="O166" s="80"/>
      <c r="P166" s="80"/>
      <c r="Q166" s="80"/>
      <c r="R166" s="80"/>
      <c r="S166" s="84">
        <v>16977.759999999998</v>
      </c>
      <c r="T166" s="80"/>
      <c r="U166" s="80"/>
      <c r="V166" s="86">
        <v>100</v>
      </c>
      <c r="W166" s="80"/>
      <c r="X166" s="80"/>
      <c r="Y166" s="80"/>
      <c r="Z166" s="80"/>
      <c r="AA166" s="80"/>
      <c r="AB166" s="79">
        <v>100</v>
      </c>
      <c r="AC166" s="80"/>
      <c r="AD166" s="80"/>
      <c r="AE166" s="91">
        <v>146.36000000000001</v>
      </c>
      <c r="AF166" s="80"/>
      <c r="AG166" s="80"/>
      <c r="AH166" s="80"/>
      <c r="AI166" s="80"/>
      <c r="AJ166" s="80"/>
      <c r="AK166" s="84">
        <v>146.36000000000001</v>
      </c>
      <c r="AL166" s="80"/>
      <c r="AM166" s="80"/>
      <c r="AN166" s="88"/>
      <c r="AO166" s="80"/>
      <c r="AP166" s="80"/>
      <c r="AQ166" s="80"/>
      <c r="AR166" s="80"/>
      <c r="AS166" s="80"/>
      <c r="AT166" s="80"/>
      <c r="AU166" s="80"/>
      <c r="AV166" s="80"/>
    </row>
    <row r="167" spans="1:48" s="85" customFormat="1" x14ac:dyDescent="0.2">
      <c r="A167" s="83" t="s">
        <v>47</v>
      </c>
      <c r="B167" s="83" t="s">
        <v>98</v>
      </c>
      <c r="C167" s="83" t="s">
        <v>99</v>
      </c>
      <c r="D167" s="94">
        <v>14432.99</v>
      </c>
      <c r="E167" s="96"/>
      <c r="F167" s="96"/>
      <c r="G167" s="96">
        <v>5981</v>
      </c>
      <c r="H167" s="96">
        <v>865.71</v>
      </c>
      <c r="I167" s="96">
        <v>364.38</v>
      </c>
      <c r="J167" s="96">
        <v>6725.7</v>
      </c>
      <c r="K167" s="96">
        <v>241.1</v>
      </c>
      <c r="L167" s="96">
        <v>255.1</v>
      </c>
      <c r="M167" s="78">
        <v>16742.27</v>
      </c>
      <c r="N167" s="80"/>
      <c r="O167" s="80"/>
      <c r="P167" s="84">
        <v>6937.96</v>
      </c>
      <c r="Q167" s="84">
        <v>1004.22</v>
      </c>
      <c r="R167" s="84">
        <v>422.68</v>
      </c>
      <c r="S167" s="84">
        <v>7801.81</v>
      </c>
      <c r="T167" s="84">
        <v>279.68</v>
      </c>
      <c r="U167" s="84">
        <v>295.92</v>
      </c>
      <c r="V167" s="86">
        <v>40</v>
      </c>
      <c r="W167" s="80"/>
      <c r="X167" s="80"/>
      <c r="Y167" s="79">
        <v>20</v>
      </c>
      <c r="Z167" s="81"/>
      <c r="AA167" s="80"/>
      <c r="AB167" s="79">
        <v>20</v>
      </c>
      <c r="AC167" s="80"/>
      <c r="AD167" s="80"/>
      <c r="AE167" s="91">
        <v>360.82474999999999</v>
      </c>
      <c r="AF167" s="80"/>
      <c r="AG167" s="80"/>
      <c r="AH167" s="84">
        <v>299.05</v>
      </c>
      <c r="AI167" s="81" t="s">
        <v>33</v>
      </c>
      <c r="AJ167" s="81" t="s">
        <v>33</v>
      </c>
      <c r="AK167" s="84">
        <v>336.28500000000003</v>
      </c>
      <c r="AL167" s="81" t="s">
        <v>33</v>
      </c>
      <c r="AM167" s="81" t="s">
        <v>33</v>
      </c>
      <c r="AN167" s="86">
        <v>746</v>
      </c>
      <c r="AO167" s="80"/>
      <c r="AP167" s="80"/>
      <c r="AQ167" s="79">
        <v>200</v>
      </c>
      <c r="AR167" s="79">
        <v>60</v>
      </c>
      <c r="AS167" s="79">
        <v>20</v>
      </c>
      <c r="AT167" s="79">
        <v>420</v>
      </c>
      <c r="AU167" s="79">
        <v>18</v>
      </c>
      <c r="AV167" s="79">
        <v>28</v>
      </c>
    </row>
    <row r="168" spans="1:48" s="85" customFormat="1" x14ac:dyDescent="0.2">
      <c r="A168" s="83" t="s">
        <v>38</v>
      </c>
      <c r="B168" s="83" t="s">
        <v>417</v>
      </c>
      <c r="C168" s="83" t="s">
        <v>418</v>
      </c>
      <c r="D168" s="94">
        <v>14154.79</v>
      </c>
      <c r="E168" s="96">
        <v>14017.28</v>
      </c>
      <c r="F168" s="96">
        <v>137.51</v>
      </c>
      <c r="G168" s="96"/>
      <c r="H168" s="96"/>
      <c r="I168" s="96"/>
      <c r="J168" s="96"/>
      <c r="K168" s="96"/>
      <c r="L168" s="96"/>
      <c r="M168" s="78">
        <v>16419.55</v>
      </c>
      <c r="N168" s="84">
        <v>16260.04</v>
      </c>
      <c r="O168" s="84">
        <v>159.51</v>
      </c>
      <c r="P168" s="80"/>
      <c r="Q168" s="80"/>
      <c r="R168" s="80"/>
      <c r="S168" s="80"/>
      <c r="T168" s="80"/>
      <c r="U168" s="80"/>
      <c r="V168" s="86">
        <v>49</v>
      </c>
      <c r="W168" s="79">
        <v>48</v>
      </c>
      <c r="X168" s="79">
        <v>1</v>
      </c>
      <c r="Y168" s="80"/>
      <c r="Z168" s="80"/>
      <c r="AA168" s="80"/>
      <c r="AB168" s="80"/>
      <c r="AC168" s="80"/>
      <c r="AD168" s="80"/>
      <c r="AE168" s="91">
        <v>288.87326530612245</v>
      </c>
      <c r="AF168" s="84">
        <v>292.02666666666664</v>
      </c>
      <c r="AG168" s="84">
        <v>137.51</v>
      </c>
      <c r="AH168" s="80"/>
      <c r="AI168" s="80"/>
      <c r="AJ168" s="80"/>
      <c r="AK168" s="80"/>
      <c r="AL168" s="80"/>
      <c r="AM168" s="80"/>
      <c r="AN168" s="86">
        <v>538</v>
      </c>
      <c r="AO168" s="79">
        <v>536</v>
      </c>
      <c r="AP168" s="79">
        <v>2</v>
      </c>
      <c r="AQ168" s="80"/>
      <c r="AR168" s="80"/>
      <c r="AS168" s="80"/>
      <c r="AT168" s="80"/>
      <c r="AU168" s="80"/>
      <c r="AV168" s="80"/>
    </row>
    <row r="169" spans="1:48" s="85" customFormat="1" x14ac:dyDescent="0.2">
      <c r="A169" s="83" t="s">
        <v>28</v>
      </c>
      <c r="B169" s="83" t="s">
        <v>337</v>
      </c>
      <c r="C169" s="83" t="s">
        <v>338</v>
      </c>
      <c r="D169" s="94">
        <v>13700.67</v>
      </c>
      <c r="E169" s="96">
        <v>263.08</v>
      </c>
      <c r="F169" s="96">
        <v>226.56</v>
      </c>
      <c r="G169" s="96">
        <v>1116.42</v>
      </c>
      <c r="H169" s="96">
        <v>2072.64</v>
      </c>
      <c r="I169" s="96">
        <v>2865.49</v>
      </c>
      <c r="J169" s="96">
        <v>6872.68</v>
      </c>
      <c r="K169" s="96">
        <v>283.8</v>
      </c>
      <c r="L169" s="96"/>
      <c r="M169" s="78">
        <v>15892.78</v>
      </c>
      <c r="N169" s="84">
        <v>305.17</v>
      </c>
      <c r="O169" s="84">
        <v>262.81</v>
      </c>
      <c r="P169" s="84">
        <v>1295.05</v>
      </c>
      <c r="Q169" s="84">
        <v>2404.2600000000002</v>
      </c>
      <c r="R169" s="84">
        <v>3323.97</v>
      </c>
      <c r="S169" s="84">
        <v>7972.31</v>
      </c>
      <c r="T169" s="84">
        <v>329.21</v>
      </c>
      <c r="U169" s="80"/>
      <c r="V169" s="88"/>
      <c r="W169" s="80"/>
      <c r="X169" s="80"/>
      <c r="Y169" s="80"/>
      <c r="Z169" s="80"/>
      <c r="AA169" s="80"/>
      <c r="AB169" s="80"/>
      <c r="AC169" s="80"/>
      <c r="AD169" s="80"/>
      <c r="AE169" s="87" t="s">
        <v>33</v>
      </c>
      <c r="AF169" s="81" t="s">
        <v>33</v>
      </c>
      <c r="AG169" s="81" t="s">
        <v>33</v>
      </c>
      <c r="AH169" s="81" t="s">
        <v>33</v>
      </c>
      <c r="AI169" s="81" t="s">
        <v>33</v>
      </c>
      <c r="AJ169" s="81" t="s">
        <v>33</v>
      </c>
      <c r="AK169" s="81" t="s">
        <v>33</v>
      </c>
      <c r="AL169" s="81" t="s">
        <v>33</v>
      </c>
      <c r="AM169" s="80"/>
      <c r="AN169" s="86">
        <v>376</v>
      </c>
      <c r="AO169" s="79">
        <v>4</v>
      </c>
      <c r="AP169" s="80"/>
      <c r="AQ169" s="79">
        <v>12</v>
      </c>
      <c r="AR169" s="79">
        <v>12</v>
      </c>
      <c r="AS169" s="79">
        <v>100</v>
      </c>
      <c r="AT169" s="79">
        <v>214</v>
      </c>
      <c r="AU169" s="79">
        <v>34</v>
      </c>
      <c r="AV169" s="80"/>
    </row>
    <row r="170" spans="1:48" s="85" customFormat="1" x14ac:dyDescent="0.2">
      <c r="A170" s="83" t="s">
        <v>28</v>
      </c>
      <c r="B170" s="83" t="s">
        <v>281</v>
      </c>
      <c r="C170" s="83" t="s">
        <v>282</v>
      </c>
      <c r="D170" s="94">
        <v>13491.47</v>
      </c>
      <c r="E170" s="96"/>
      <c r="F170" s="96">
        <v>270.39</v>
      </c>
      <c r="G170" s="96">
        <v>884.33</v>
      </c>
      <c r="H170" s="96">
        <v>2001.11</v>
      </c>
      <c r="I170" s="96">
        <v>2025.61</v>
      </c>
      <c r="J170" s="96">
        <v>5986.71</v>
      </c>
      <c r="K170" s="96">
        <v>2323.3200000000002</v>
      </c>
      <c r="L170" s="96"/>
      <c r="M170" s="78">
        <v>15650.1</v>
      </c>
      <c r="N170" s="80"/>
      <c r="O170" s="84">
        <v>313.64999999999998</v>
      </c>
      <c r="P170" s="84">
        <v>1025.82</v>
      </c>
      <c r="Q170" s="84">
        <v>2321.29</v>
      </c>
      <c r="R170" s="84">
        <v>2349.71</v>
      </c>
      <c r="S170" s="84">
        <v>6944.58</v>
      </c>
      <c r="T170" s="84">
        <v>2695.05</v>
      </c>
      <c r="U170" s="80"/>
      <c r="V170" s="86">
        <v>38</v>
      </c>
      <c r="W170" s="80"/>
      <c r="X170" s="80"/>
      <c r="Y170" s="79">
        <v>1</v>
      </c>
      <c r="Z170" s="79">
        <v>6</v>
      </c>
      <c r="AA170" s="79">
        <v>6</v>
      </c>
      <c r="AB170" s="79">
        <v>18</v>
      </c>
      <c r="AC170" s="79">
        <v>7</v>
      </c>
      <c r="AD170" s="80"/>
      <c r="AE170" s="91">
        <v>355.0386842105263</v>
      </c>
      <c r="AF170" s="80"/>
      <c r="AG170" s="81" t="s">
        <v>33</v>
      </c>
      <c r="AH170" s="84">
        <v>884.33</v>
      </c>
      <c r="AI170" s="84">
        <v>333.51833333333332</v>
      </c>
      <c r="AJ170" s="84">
        <v>337.60166666666669</v>
      </c>
      <c r="AK170" s="84">
        <v>332.59500000000003</v>
      </c>
      <c r="AL170" s="84">
        <v>331.90285714285716</v>
      </c>
      <c r="AM170" s="80"/>
      <c r="AN170" s="86">
        <v>16</v>
      </c>
      <c r="AO170" s="80"/>
      <c r="AP170" s="79">
        <v>6</v>
      </c>
      <c r="AQ170" s="79">
        <v>10</v>
      </c>
      <c r="AR170" s="80"/>
      <c r="AS170" s="80"/>
      <c r="AT170" s="80"/>
      <c r="AU170" s="80"/>
      <c r="AV170" s="80"/>
    </row>
    <row r="171" spans="1:48" s="85" customFormat="1" x14ac:dyDescent="0.2">
      <c r="A171" s="83" t="s">
        <v>38</v>
      </c>
      <c r="B171" s="83" t="s">
        <v>571</v>
      </c>
      <c r="C171" s="83" t="s">
        <v>572</v>
      </c>
      <c r="D171" s="94">
        <v>11786.04</v>
      </c>
      <c r="E171" s="96"/>
      <c r="F171" s="96">
        <v>11786.04</v>
      </c>
      <c r="G171" s="96"/>
      <c r="H171" s="96"/>
      <c r="I171" s="96"/>
      <c r="J171" s="96"/>
      <c r="K171" s="96"/>
      <c r="L171" s="96"/>
      <c r="M171" s="78">
        <v>13671.81</v>
      </c>
      <c r="N171" s="80"/>
      <c r="O171" s="84">
        <v>13671.81</v>
      </c>
      <c r="P171" s="80"/>
      <c r="Q171" s="80"/>
      <c r="R171" s="80"/>
      <c r="S171" s="80"/>
      <c r="T171" s="80"/>
      <c r="U171" s="80"/>
      <c r="V171" s="88"/>
      <c r="W171" s="80"/>
      <c r="X171" s="80"/>
      <c r="Y171" s="80"/>
      <c r="Z171" s="80"/>
      <c r="AA171" s="80"/>
      <c r="AB171" s="80"/>
      <c r="AC171" s="80"/>
      <c r="AD171" s="80"/>
      <c r="AE171" s="87" t="s">
        <v>33</v>
      </c>
      <c r="AF171" s="80"/>
      <c r="AG171" s="81" t="s">
        <v>33</v>
      </c>
      <c r="AH171" s="80"/>
      <c r="AI171" s="80"/>
      <c r="AJ171" s="80"/>
      <c r="AK171" s="80"/>
      <c r="AL171" s="80"/>
      <c r="AM171" s="80"/>
      <c r="AN171" s="86">
        <v>3118</v>
      </c>
      <c r="AO171" s="80"/>
      <c r="AP171" s="79">
        <v>3118</v>
      </c>
      <c r="AQ171" s="80"/>
      <c r="AR171" s="80"/>
      <c r="AS171" s="80"/>
      <c r="AT171" s="80"/>
      <c r="AU171" s="80"/>
      <c r="AV171" s="80"/>
    </row>
    <row r="172" spans="1:48" s="85" customFormat="1" x14ac:dyDescent="0.2">
      <c r="A172" s="83" t="s">
        <v>47</v>
      </c>
      <c r="B172" s="83" t="s">
        <v>104</v>
      </c>
      <c r="C172" s="83" t="s">
        <v>105</v>
      </c>
      <c r="D172" s="94">
        <v>11639.65</v>
      </c>
      <c r="E172" s="96">
        <v>79.02</v>
      </c>
      <c r="F172" s="96"/>
      <c r="G172" s="96">
        <v>5066.3999999999996</v>
      </c>
      <c r="H172" s="96">
        <v>285.49</v>
      </c>
      <c r="I172" s="96">
        <v>71.19</v>
      </c>
      <c r="J172" s="96"/>
      <c r="K172" s="96"/>
      <c r="L172" s="96">
        <v>6137.55</v>
      </c>
      <c r="M172" s="78">
        <v>13501.99</v>
      </c>
      <c r="N172" s="84">
        <v>91.66</v>
      </c>
      <c r="O172" s="80"/>
      <c r="P172" s="84">
        <v>5877.02</v>
      </c>
      <c r="Q172" s="84">
        <v>331.17</v>
      </c>
      <c r="R172" s="84">
        <v>82.58</v>
      </c>
      <c r="S172" s="80"/>
      <c r="T172" s="80"/>
      <c r="U172" s="84">
        <v>7119.56</v>
      </c>
      <c r="V172" s="86">
        <v>25</v>
      </c>
      <c r="W172" s="80"/>
      <c r="X172" s="80"/>
      <c r="Y172" s="79">
        <v>10</v>
      </c>
      <c r="Z172" s="80"/>
      <c r="AA172" s="80"/>
      <c r="AB172" s="80"/>
      <c r="AC172" s="80"/>
      <c r="AD172" s="79">
        <v>15</v>
      </c>
      <c r="AE172" s="91">
        <v>465.58600000000001</v>
      </c>
      <c r="AF172" s="81" t="s">
        <v>33</v>
      </c>
      <c r="AG172" s="80"/>
      <c r="AH172" s="84">
        <v>506.64</v>
      </c>
      <c r="AI172" s="81" t="s">
        <v>33</v>
      </c>
      <c r="AJ172" s="81" t="s">
        <v>33</v>
      </c>
      <c r="AK172" s="80"/>
      <c r="AL172" s="80"/>
      <c r="AM172" s="84">
        <v>409.17</v>
      </c>
      <c r="AN172" s="86">
        <v>1266</v>
      </c>
      <c r="AO172" s="79">
        <v>18</v>
      </c>
      <c r="AP172" s="80"/>
      <c r="AQ172" s="79">
        <v>600</v>
      </c>
      <c r="AR172" s="79">
        <v>34</v>
      </c>
      <c r="AS172" s="79">
        <v>14</v>
      </c>
      <c r="AT172" s="80"/>
      <c r="AU172" s="80"/>
      <c r="AV172" s="79">
        <v>600</v>
      </c>
    </row>
    <row r="173" spans="1:48" s="85" customFormat="1" x14ac:dyDescent="0.2">
      <c r="A173" s="83" t="s">
        <v>47</v>
      </c>
      <c r="B173" s="83" t="s">
        <v>138</v>
      </c>
      <c r="C173" s="83" t="s">
        <v>139</v>
      </c>
      <c r="D173" s="94">
        <v>11274.73</v>
      </c>
      <c r="E173" s="96">
        <v>7131.33</v>
      </c>
      <c r="F173" s="96">
        <v>2773.82</v>
      </c>
      <c r="G173" s="96">
        <v>-430.65</v>
      </c>
      <c r="H173" s="96"/>
      <c r="I173" s="96"/>
      <c r="J173" s="96">
        <v>679.13</v>
      </c>
      <c r="K173" s="96">
        <v>1121.0999999999999</v>
      </c>
      <c r="L173" s="96"/>
      <c r="M173" s="78">
        <v>13078.69</v>
      </c>
      <c r="N173" s="84">
        <v>8272.34</v>
      </c>
      <c r="O173" s="84">
        <v>3217.63</v>
      </c>
      <c r="P173" s="84">
        <v>-499.55</v>
      </c>
      <c r="Q173" s="80"/>
      <c r="R173" s="80"/>
      <c r="S173" s="84">
        <v>787.79</v>
      </c>
      <c r="T173" s="84">
        <v>1300.48</v>
      </c>
      <c r="U173" s="80"/>
      <c r="V173" s="86">
        <v>44</v>
      </c>
      <c r="W173" s="79">
        <v>26</v>
      </c>
      <c r="X173" s="79">
        <v>10</v>
      </c>
      <c r="Y173" s="80"/>
      <c r="Z173" s="80"/>
      <c r="AA173" s="80"/>
      <c r="AB173" s="79">
        <v>3</v>
      </c>
      <c r="AC173" s="79">
        <v>5</v>
      </c>
      <c r="AD173" s="80"/>
      <c r="AE173" s="91">
        <v>256.24386363636364</v>
      </c>
      <c r="AF173" s="84">
        <v>274.28192307692308</v>
      </c>
      <c r="AG173" s="84">
        <v>277.38200000000001</v>
      </c>
      <c r="AH173" s="81" t="s">
        <v>33</v>
      </c>
      <c r="AI173" s="80"/>
      <c r="AJ173" s="80"/>
      <c r="AK173" s="84">
        <v>226.37666666666667</v>
      </c>
      <c r="AL173" s="84">
        <v>224.22</v>
      </c>
      <c r="AM173" s="80"/>
      <c r="AN173" s="86">
        <v>74</v>
      </c>
      <c r="AO173" s="79">
        <v>88</v>
      </c>
      <c r="AP173" s="79">
        <v>16</v>
      </c>
      <c r="AQ173" s="79">
        <v>-30</v>
      </c>
      <c r="AR173" s="80"/>
      <c r="AS173" s="80"/>
      <c r="AT173" s="80"/>
      <c r="AU173" s="80"/>
      <c r="AV173" s="80"/>
    </row>
    <row r="174" spans="1:48" s="85" customFormat="1" x14ac:dyDescent="0.2">
      <c r="A174" s="83" t="s">
        <v>38</v>
      </c>
      <c r="B174" s="83" t="s">
        <v>647</v>
      </c>
      <c r="C174" s="83" t="s">
        <v>648</v>
      </c>
      <c r="D174" s="94">
        <v>11063.5</v>
      </c>
      <c r="E174" s="96">
        <v>1413.98</v>
      </c>
      <c r="F174" s="96"/>
      <c r="G174" s="96">
        <v>-2990.22</v>
      </c>
      <c r="H174" s="96"/>
      <c r="I174" s="96">
        <v>1529.54</v>
      </c>
      <c r="J174" s="96">
        <v>8315.19</v>
      </c>
      <c r="K174" s="96">
        <v>1124.9000000000001</v>
      </c>
      <c r="L174" s="96">
        <v>1670.11</v>
      </c>
      <c r="M174" s="78">
        <v>12833.66</v>
      </c>
      <c r="N174" s="84">
        <v>1640.22</v>
      </c>
      <c r="O174" s="80"/>
      <c r="P174" s="84">
        <v>-3468.66</v>
      </c>
      <c r="Q174" s="80"/>
      <c r="R174" s="84">
        <v>1774.27</v>
      </c>
      <c r="S174" s="84">
        <v>9645.6200000000008</v>
      </c>
      <c r="T174" s="84">
        <v>1304.8800000000001</v>
      </c>
      <c r="U174" s="84">
        <v>1937.33</v>
      </c>
      <c r="V174" s="86">
        <v>60</v>
      </c>
      <c r="W174" s="80"/>
      <c r="X174" s="80"/>
      <c r="Y174" s="80"/>
      <c r="Z174" s="80"/>
      <c r="AA174" s="79">
        <v>10</v>
      </c>
      <c r="AB174" s="79">
        <v>50</v>
      </c>
      <c r="AC174" s="80"/>
      <c r="AD174" s="80"/>
      <c r="AE174" s="91">
        <v>184.39166666666668</v>
      </c>
      <c r="AF174" s="81" t="s">
        <v>33</v>
      </c>
      <c r="AG174" s="80"/>
      <c r="AH174" s="81" t="s">
        <v>33</v>
      </c>
      <c r="AI174" s="80"/>
      <c r="AJ174" s="84">
        <v>152.95400000000001</v>
      </c>
      <c r="AK174" s="84">
        <v>166.3038</v>
      </c>
      <c r="AL174" s="81" t="s">
        <v>33</v>
      </c>
      <c r="AM174" s="81" t="s">
        <v>33</v>
      </c>
      <c r="AN174" s="86">
        <v>1694</v>
      </c>
      <c r="AO174" s="79">
        <v>244</v>
      </c>
      <c r="AP174" s="80"/>
      <c r="AQ174" s="79">
        <v>-516</v>
      </c>
      <c r="AR174" s="80"/>
      <c r="AS174" s="79">
        <v>54</v>
      </c>
      <c r="AT174" s="79">
        <v>320</v>
      </c>
      <c r="AU174" s="79">
        <v>976</v>
      </c>
      <c r="AV174" s="79">
        <v>616</v>
      </c>
    </row>
    <row r="175" spans="1:48" s="85" customFormat="1" x14ac:dyDescent="0.2">
      <c r="A175" s="83" t="s">
        <v>28</v>
      </c>
      <c r="B175" s="83" t="s">
        <v>189</v>
      </c>
      <c r="C175" s="83" t="s">
        <v>190</v>
      </c>
      <c r="D175" s="94">
        <v>10671.62</v>
      </c>
      <c r="E175" s="96">
        <v>944.28</v>
      </c>
      <c r="F175" s="96">
        <v>1107.72</v>
      </c>
      <c r="G175" s="96">
        <v>1466.72</v>
      </c>
      <c r="H175" s="96">
        <v>1078.22</v>
      </c>
      <c r="I175" s="96">
        <v>2619.48</v>
      </c>
      <c r="J175" s="96">
        <v>1354.53</v>
      </c>
      <c r="K175" s="96">
        <v>2100.67</v>
      </c>
      <c r="L175" s="96"/>
      <c r="M175" s="78">
        <v>12379.09</v>
      </c>
      <c r="N175" s="84">
        <v>1095.3599999999999</v>
      </c>
      <c r="O175" s="84">
        <v>1284.96</v>
      </c>
      <c r="P175" s="84">
        <v>1701.4</v>
      </c>
      <c r="Q175" s="84">
        <v>1250.74</v>
      </c>
      <c r="R175" s="84">
        <v>3038.6</v>
      </c>
      <c r="S175" s="84">
        <v>1571.25</v>
      </c>
      <c r="T175" s="84">
        <v>2436.7800000000002</v>
      </c>
      <c r="U175" s="80"/>
      <c r="V175" s="86">
        <v>46</v>
      </c>
      <c r="W175" s="79">
        <v>4</v>
      </c>
      <c r="X175" s="79">
        <v>5</v>
      </c>
      <c r="Y175" s="79">
        <v>6</v>
      </c>
      <c r="Z175" s="79">
        <v>5</v>
      </c>
      <c r="AA175" s="79">
        <v>12</v>
      </c>
      <c r="AB175" s="79">
        <v>6</v>
      </c>
      <c r="AC175" s="79">
        <v>8</v>
      </c>
      <c r="AD175" s="80"/>
      <c r="AE175" s="91">
        <v>231.99173913043478</v>
      </c>
      <c r="AF175" s="84">
        <v>236.07</v>
      </c>
      <c r="AG175" s="84">
        <v>221.54400000000001</v>
      </c>
      <c r="AH175" s="84">
        <v>244.45333333333332</v>
      </c>
      <c r="AI175" s="84">
        <v>215.64400000000001</v>
      </c>
      <c r="AJ175" s="84">
        <v>218.29</v>
      </c>
      <c r="AK175" s="84">
        <v>225.755</v>
      </c>
      <c r="AL175" s="84">
        <v>262.58375000000001</v>
      </c>
      <c r="AM175" s="80"/>
      <c r="AN175" s="86">
        <v>64</v>
      </c>
      <c r="AO175" s="79">
        <v>2</v>
      </c>
      <c r="AP175" s="79">
        <v>2</v>
      </c>
      <c r="AQ175" s="79">
        <v>2</v>
      </c>
      <c r="AR175" s="79">
        <v>4</v>
      </c>
      <c r="AS175" s="80"/>
      <c r="AT175" s="80"/>
      <c r="AU175" s="79">
        <v>54</v>
      </c>
      <c r="AV175" s="80"/>
    </row>
    <row r="176" spans="1:48" s="85" customFormat="1" x14ac:dyDescent="0.2">
      <c r="A176" s="83" t="s">
        <v>28</v>
      </c>
      <c r="B176" s="83" t="s">
        <v>255</v>
      </c>
      <c r="C176" s="83" t="s">
        <v>256</v>
      </c>
      <c r="D176" s="94">
        <v>10287.86</v>
      </c>
      <c r="E176" s="96"/>
      <c r="F176" s="96"/>
      <c r="G176" s="96">
        <v>10287.86</v>
      </c>
      <c r="H176" s="96"/>
      <c r="I176" s="96"/>
      <c r="J176" s="96"/>
      <c r="K176" s="96"/>
      <c r="L176" s="96"/>
      <c r="M176" s="78">
        <v>11933.92</v>
      </c>
      <c r="N176" s="80"/>
      <c r="O176" s="80"/>
      <c r="P176" s="84">
        <v>11933.92</v>
      </c>
      <c r="Q176" s="80"/>
      <c r="R176" s="81"/>
      <c r="S176" s="80"/>
      <c r="T176" s="80"/>
      <c r="U176" s="80"/>
      <c r="V176" s="86">
        <v>8</v>
      </c>
      <c r="W176" s="80"/>
      <c r="X176" s="80"/>
      <c r="Y176" s="79">
        <v>8</v>
      </c>
      <c r="Z176" s="80"/>
      <c r="AA176" s="81"/>
      <c r="AB176" s="80"/>
      <c r="AC176" s="80"/>
      <c r="AD176" s="80"/>
      <c r="AE176" s="91">
        <v>1285.9825000000001</v>
      </c>
      <c r="AF176" s="80"/>
      <c r="AG176" s="80"/>
      <c r="AH176" s="84">
        <v>1285.9825000000001</v>
      </c>
      <c r="AI176" s="80"/>
      <c r="AJ176" s="81" t="s">
        <v>33</v>
      </c>
      <c r="AK176" s="80"/>
      <c r="AL176" s="80"/>
      <c r="AM176" s="80"/>
      <c r="AN176" s="86">
        <v>144</v>
      </c>
      <c r="AO176" s="80"/>
      <c r="AP176" s="80"/>
      <c r="AQ176" s="79">
        <v>144</v>
      </c>
      <c r="AR176" s="80"/>
      <c r="AS176" s="81"/>
      <c r="AT176" s="80"/>
      <c r="AU176" s="80"/>
      <c r="AV176" s="80"/>
    </row>
    <row r="177" spans="1:48" s="85" customFormat="1" x14ac:dyDescent="0.2">
      <c r="A177" s="83" t="s">
        <v>38</v>
      </c>
      <c r="B177" s="83" t="s">
        <v>443</v>
      </c>
      <c r="C177" s="83" t="s">
        <v>444</v>
      </c>
      <c r="D177" s="94">
        <v>9823.5499999999993</v>
      </c>
      <c r="E177" s="96">
        <v>7638.61</v>
      </c>
      <c r="F177" s="96">
        <v>855.61</v>
      </c>
      <c r="G177" s="96">
        <v>1329.33</v>
      </c>
      <c r="H177" s="96"/>
      <c r="I177" s="96"/>
      <c r="J177" s="96"/>
      <c r="K177" s="96"/>
      <c r="L177" s="96"/>
      <c r="M177" s="78">
        <v>11395.32</v>
      </c>
      <c r="N177" s="84">
        <v>8860.7900000000009</v>
      </c>
      <c r="O177" s="84">
        <v>992.51</v>
      </c>
      <c r="P177" s="84">
        <v>1542.02</v>
      </c>
      <c r="Q177" s="80"/>
      <c r="R177" s="80"/>
      <c r="S177" s="80"/>
      <c r="T177" s="80"/>
      <c r="U177" s="80"/>
      <c r="V177" s="88"/>
      <c r="W177" s="80"/>
      <c r="X177" s="80"/>
      <c r="Y177" s="80"/>
      <c r="Z177" s="80"/>
      <c r="AA177" s="80"/>
      <c r="AB177" s="80"/>
      <c r="AC177" s="80"/>
      <c r="AD177" s="80"/>
      <c r="AE177" s="87" t="s">
        <v>33</v>
      </c>
      <c r="AF177" s="81" t="s">
        <v>33</v>
      </c>
      <c r="AG177" s="81" t="s">
        <v>33</v>
      </c>
      <c r="AH177" s="81" t="s">
        <v>33</v>
      </c>
      <c r="AI177" s="80"/>
      <c r="AJ177" s="80"/>
      <c r="AK177" s="80"/>
      <c r="AL177" s="80"/>
      <c r="AM177" s="80"/>
      <c r="AN177" s="86">
        <v>198</v>
      </c>
      <c r="AO177" s="79">
        <v>142</v>
      </c>
      <c r="AP177" s="79">
        <v>34</v>
      </c>
      <c r="AQ177" s="79">
        <v>22</v>
      </c>
      <c r="AR177" s="80"/>
      <c r="AS177" s="80"/>
      <c r="AT177" s="80"/>
      <c r="AU177" s="80"/>
      <c r="AV177" s="80"/>
    </row>
    <row r="178" spans="1:48" s="85" customFormat="1" x14ac:dyDescent="0.2">
      <c r="A178" s="83" t="s">
        <v>47</v>
      </c>
      <c r="B178" s="83" t="s">
        <v>122</v>
      </c>
      <c r="C178" s="83" t="s">
        <v>123</v>
      </c>
      <c r="D178" s="94">
        <v>9725.15</v>
      </c>
      <c r="E178" s="96">
        <v>1009.34</v>
      </c>
      <c r="F178" s="96">
        <v>250.45</v>
      </c>
      <c r="G178" s="96">
        <v>2227.83</v>
      </c>
      <c r="H178" s="96">
        <v>1038.21</v>
      </c>
      <c r="I178" s="96">
        <v>1533.21</v>
      </c>
      <c r="J178" s="96">
        <v>1087.5999999999999</v>
      </c>
      <c r="K178" s="96">
        <v>734.45</v>
      </c>
      <c r="L178" s="96">
        <v>1844.06</v>
      </c>
      <c r="M178" s="78">
        <v>11281.16</v>
      </c>
      <c r="N178" s="84">
        <v>1170.83</v>
      </c>
      <c r="O178" s="84">
        <v>290.52</v>
      </c>
      <c r="P178" s="84">
        <v>2584.2800000000002</v>
      </c>
      <c r="Q178" s="84">
        <v>1204.32</v>
      </c>
      <c r="R178" s="84">
        <v>1778.52</v>
      </c>
      <c r="S178" s="84">
        <v>1261.6199999999999</v>
      </c>
      <c r="T178" s="84">
        <v>851.96</v>
      </c>
      <c r="U178" s="84">
        <v>2139.11</v>
      </c>
      <c r="V178" s="86">
        <v>54</v>
      </c>
      <c r="W178" s="79">
        <v>6</v>
      </c>
      <c r="X178" s="79">
        <v>2</v>
      </c>
      <c r="Y178" s="79">
        <v>10</v>
      </c>
      <c r="Z178" s="79">
        <v>5</v>
      </c>
      <c r="AA178" s="79">
        <v>6</v>
      </c>
      <c r="AB178" s="79">
        <v>6</v>
      </c>
      <c r="AC178" s="79">
        <v>6</v>
      </c>
      <c r="AD178" s="79">
        <v>13</v>
      </c>
      <c r="AE178" s="91">
        <v>180.09537037037038</v>
      </c>
      <c r="AF178" s="84">
        <v>168.22333333333333</v>
      </c>
      <c r="AG178" s="84">
        <v>125.22499999999999</v>
      </c>
      <c r="AH178" s="84">
        <v>222.78299999999999</v>
      </c>
      <c r="AI178" s="84">
        <v>207.642</v>
      </c>
      <c r="AJ178" s="84">
        <v>255.535</v>
      </c>
      <c r="AK178" s="84">
        <v>181.26666666666668</v>
      </c>
      <c r="AL178" s="84">
        <v>122.40833333333333</v>
      </c>
      <c r="AM178" s="84">
        <v>141.85076923076923</v>
      </c>
      <c r="AN178" s="86">
        <v>172</v>
      </c>
      <c r="AO178" s="79">
        <v>2</v>
      </c>
      <c r="AP178" s="80"/>
      <c r="AQ178" s="79">
        <v>38</v>
      </c>
      <c r="AR178" s="79">
        <v>18</v>
      </c>
      <c r="AS178" s="79">
        <v>52</v>
      </c>
      <c r="AT178" s="79">
        <v>30</v>
      </c>
      <c r="AU178" s="79">
        <v>18</v>
      </c>
      <c r="AV178" s="79">
        <v>14</v>
      </c>
    </row>
    <row r="179" spans="1:48" s="85" customFormat="1" x14ac:dyDescent="0.2">
      <c r="A179" s="83" t="s">
        <v>38</v>
      </c>
      <c r="B179" s="83" t="s">
        <v>657</v>
      </c>
      <c r="C179" s="83" t="s">
        <v>658</v>
      </c>
      <c r="D179" s="94">
        <v>9685.5499999999993</v>
      </c>
      <c r="E179" s="96"/>
      <c r="F179" s="96"/>
      <c r="G179" s="96"/>
      <c r="H179" s="96"/>
      <c r="I179" s="96"/>
      <c r="J179" s="96">
        <v>3560.21</v>
      </c>
      <c r="K179" s="96">
        <v>6125.34</v>
      </c>
      <c r="L179" s="96"/>
      <c r="M179" s="78">
        <v>11235.23</v>
      </c>
      <c r="N179" s="80"/>
      <c r="O179" s="80"/>
      <c r="P179" s="80"/>
      <c r="Q179" s="80"/>
      <c r="R179" s="80"/>
      <c r="S179" s="84">
        <v>4129.84</v>
      </c>
      <c r="T179" s="84">
        <v>7105.39</v>
      </c>
      <c r="U179" s="80"/>
      <c r="V179" s="86">
        <v>33</v>
      </c>
      <c r="W179" s="80"/>
      <c r="X179" s="80"/>
      <c r="Y179" s="80"/>
      <c r="Z179" s="80"/>
      <c r="AA179" s="80"/>
      <c r="AB179" s="79">
        <v>7</v>
      </c>
      <c r="AC179" s="79">
        <v>26</v>
      </c>
      <c r="AD179" s="80"/>
      <c r="AE179" s="91">
        <v>293.50151515151515</v>
      </c>
      <c r="AF179" s="80"/>
      <c r="AG179" s="80"/>
      <c r="AH179" s="80"/>
      <c r="AI179" s="80"/>
      <c r="AJ179" s="80"/>
      <c r="AK179" s="84">
        <v>508.60142857142858</v>
      </c>
      <c r="AL179" s="84">
        <v>235.59</v>
      </c>
      <c r="AM179" s="80"/>
      <c r="AN179" s="86">
        <v>58</v>
      </c>
      <c r="AO179" s="80"/>
      <c r="AP179" s="80"/>
      <c r="AQ179" s="80"/>
      <c r="AR179" s="80"/>
      <c r="AS179" s="80"/>
      <c r="AT179" s="79">
        <v>48</v>
      </c>
      <c r="AU179" s="79">
        <v>10</v>
      </c>
      <c r="AV179" s="80"/>
    </row>
    <row r="180" spans="1:48" s="85" customFormat="1" x14ac:dyDescent="0.2">
      <c r="A180" s="83" t="s">
        <v>28</v>
      </c>
      <c r="B180" s="83" t="s">
        <v>285</v>
      </c>
      <c r="C180" s="83" t="s">
        <v>286</v>
      </c>
      <c r="D180" s="94">
        <v>9096.19</v>
      </c>
      <c r="E180" s="96">
        <v>5350.63</v>
      </c>
      <c r="F180" s="96">
        <v>324.57</v>
      </c>
      <c r="G180" s="96">
        <v>1346.76</v>
      </c>
      <c r="H180" s="96">
        <v>2074.23</v>
      </c>
      <c r="I180" s="96"/>
      <c r="J180" s="96"/>
      <c r="K180" s="96"/>
      <c r="L180" s="96"/>
      <c r="M180" s="78">
        <v>10551.58</v>
      </c>
      <c r="N180" s="84">
        <v>6206.73</v>
      </c>
      <c r="O180" s="84">
        <v>376.5</v>
      </c>
      <c r="P180" s="84">
        <v>1562.24</v>
      </c>
      <c r="Q180" s="84">
        <v>2406.11</v>
      </c>
      <c r="R180" s="80"/>
      <c r="S180" s="80"/>
      <c r="T180" s="80"/>
      <c r="U180" s="80"/>
      <c r="V180" s="88"/>
      <c r="W180" s="80"/>
      <c r="X180" s="80"/>
      <c r="Y180" s="80"/>
      <c r="Z180" s="80"/>
      <c r="AA180" s="80"/>
      <c r="AB180" s="80"/>
      <c r="AC180" s="80"/>
      <c r="AD180" s="80"/>
      <c r="AE180" s="87" t="s">
        <v>33</v>
      </c>
      <c r="AF180" s="81" t="s">
        <v>33</v>
      </c>
      <c r="AG180" s="81" t="s">
        <v>33</v>
      </c>
      <c r="AH180" s="81" t="s">
        <v>33</v>
      </c>
      <c r="AI180" s="81" t="s">
        <v>33</v>
      </c>
      <c r="AJ180" s="80"/>
      <c r="AK180" s="80"/>
      <c r="AL180" s="80"/>
      <c r="AM180" s="80"/>
      <c r="AN180" s="86">
        <v>224</v>
      </c>
      <c r="AO180" s="79">
        <v>154</v>
      </c>
      <c r="AP180" s="79">
        <v>-6</v>
      </c>
      <c r="AQ180" s="79">
        <v>24</v>
      </c>
      <c r="AR180" s="79">
        <v>52</v>
      </c>
      <c r="AS180" s="80"/>
      <c r="AT180" s="80"/>
      <c r="AU180" s="80"/>
      <c r="AV180" s="80"/>
    </row>
    <row r="181" spans="1:48" s="85" customFormat="1" x14ac:dyDescent="0.2">
      <c r="A181" s="83" t="s">
        <v>28</v>
      </c>
      <c r="B181" s="83" t="s">
        <v>299</v>
      </c>
      <c r="C181" s="83" t="s">
        <v>300</v>
      </c>
      <c r="D181" s="94">
        <v>8491.3799999999992</v>
      </c>
      <c r="E181" s="96">
        <v>680.27</v>
      </c>
      <c r="F181" s="96">
        <v>432.11</v>
      </c>
      <c r="G181" s="96">
        <v>628.45000000000005</v>
      </c>
      <c r="H181" s="96">
        <v>194.15</v>
      </c>
      <c r="I181" s="96">
        <v>1171.33</v>
      </c>
      <c r="J181" s="96">
        <v>1903.43</v>
      </c>
      <c r="K181" s="96">
        <v>3481.64</v>
      </c>
      <c r="L181" s="96"/>
      <c r="M181" s="78">
        <v>9849.99</v>
      </c>
      <c r="N181" s="84">
        <v>789.11</v>
      </c>
      <c r="O181" s="84">
        <v>501.25</v>
      </c>
      <c r="P181" s="84">
        <v>729</v>
      </c>
      <c r="Q181" s="84">
        <v>225.21</v>
      </c>
      <c r="R181" s="84">
        <v>1358.74</v>
      </c>
      <c r="S181" s="84">
        <v>2207.98</v>
      </c>
      <c r="T181" s="84">
        <v>4038.7</v>
      </c>
      <c r="U181" s="80"/>
      <c r="V181" s="88"/>
      <c r="W181" s="80"/>
      <c r="X181" s="80"/>
      <c r="Y181" s="80"/>
      <c r="Z181" s="80"/>
      <c r="AA181" s="80"/>
      <c r="AB181" s="80"/>
      <c r="AC181" s="80"/>
      <c r="AD181" s="80"/>
      <c r="AE181" s="87" t="s">
        <v>33</v>
      </c>
      <c r="AF181" s="81" t="s">
        <v>33</v>
      </c>
      <c r="AG181" s="81" t="s">
        <v>33</v>
      </c>
      <c r="AH181" s="81" t="s">
        <v>33</v>
      </c>
      <c r="AI181" s="81" t="s">
        <v>33</v>
      </c>
      <c r="AJ181" s="81" t="s">
        <v>33</v>
      </c>
      <c r="AK181" s="81" t="s">
        <v>33</v>
      </c>
      <c r="AL181" s="81" t="s">
        <v>33</v>
      </c>
      <c r="AM181" s="80"/>
      <c r="AN181" s="86">
        <v>262</v>
      </c>
      <c r="AO181" s="79">
        <v>20</v>
      </c>
      <c r="AP181" s="79">
        <v>14</v>
      </c>
      <c r="AQ181" s="79">
        <v>20</v>
      </c>
      <c r="AR181" s="79">
        <v>6</v>
      </c>
      <c r="AS181" s="79">
        <v>36</v>
      </c>
      <c r="AT181" s="79">
        <v>58</v>
      </c>
      <c r="AU181" s="79">
        <v>108</v>
      </c>
      <c r="AV181" s="80"/>
    </row>
    <row r="182" spans="1:48" s="85" customFormat="1" x14ac:dyDescent="0.2">
      <c r="A182" s="83" t="s">
        <v>28</v>
      </c>
      <c r="B182" s="83" t="s">
        <v>197</v>
      </c>
      <c r="C182" s="83" t="s">
        <v>198</v>
      </c>
      <c r="D182" s="94">
        <v>7937.88</v>
      </c>
      <c r="E182" s="96">
        <v>351.9</v>
      </c>
      <c r="F182" s="96">
        <v>1824.77</v>
      </c>
      <c r="G182" s="96">
        <v>941.63</v>
      </c>
      <c r="H182" s="96"/>
      <c r="I182" s="96">
        <v>2497.38</v>
      </c>
      <c r="J182" s="96">
        <v>1026.68</v>
      </c>
      <c r="K182" s="96"/>
      <c r="L182" s="96">
        <v>1295.52</v>
      </c>
      <c r="M182" s="78">
        <v>8275.82</v>
      </c>
      <c r="N182" s="84">
        <v>408.2</v>
      </c>
      <c r="O182" s="84">
        <v>1885.46</v>
      </c>
      <c r="P182" s="84">
        <v>991.37</v>
      </c>
      <c r="Q182" s="80"/>
      <c r="R182" s="84">
        <v>2590.37</v>
      </c>
      <c r="S182" s="84">
        <v>1055.52</v>
      </c>
      <c r="T182" s="80"/>
      <c r="U182" s="84">
        <v>1344.9</v>
      </c>
      <c r="V182" s="86">
        <v>12</v>
      </c>
      <c r="W182" s="80"/>
      <c r="X182" s="79">
        <v>2</v>
      </c>
      <c r="Y182" s="79">
        <v>2</v>
      </c>
      <c r="Z182" s="80"/>
      <c r="AA182" s="79">
        <v>4</v>
      </c>
      <c r="AB182" s="79">
        <v>2</v>
      </c>
      <c r="AC182" s="80"/>
      <c r="AD182" s="79">
        <v>2</v>
      </c>
      <c r="AE182" s="91">
        <v>661.49</v>
      </c>
      <c r="AF182" s="81" t="s">
        <v>33</v>
      </c>
      <c r="AG182" s="84">
        <v>912.38499999999999</v>
      </c>
      <c r="AH182" s="84">
        <v>470.815</v>
      </c>
      <c r="AI182" s="80"/>
      <c r="AJ182" s="84">
        <v>624.34500000000003</v>
      </c>
      <c r="AK182" s="84">
        <v>513.34</v>
      </c>
      <c r="AL182" s="80"/>
      <c r="AM182" s="84">
        <v>647.76</v>
      </c>
      <c r="AN182" s="86">
        <v>67</v>
      </c>
      <c r="AO182" s="79">
        <v>8</v>
      </c>
      <c r="AP182" s="79">
        <v>22.8</v>
      </c>
      <c r="AQ182" s="79">
        <v>8</v>
      </c>
      <c r="AR182" s="80"/>
      <c r="AS182" s="79">
        <v>13</v>
      </c>
      <c r="AT182" s="79">
        <v>9</v>
      </c>
      <c r="AU182" s="80"/>
      <c r="AV182" s="79">
        <v>6.2</v>
      </c>
    </row>
    <row r="183" spans="1:48" s="85" customFormat="1" x14ac:dyDescent="0.2">
      <c r="A183" s="83" t="s">
        <v>38</v>
      </c>
      <c r="B183" s="83" t="s">
        <v>569</v>
      </c>
      <c r="C183" s="83" t="s">
        <v>570</v>
      </c>
      <c r="D183" s="94">
        <v>7685.31</v>
      </c>
      <c r="E183" s="96">
        <v>7087.1</v>
      </c>
      <c r="F183" s="96">
        <v>90.72</v>
      </c>
      <c r="G183" s="96">
        <v>155.61000000000001</v>
      </c>
      <c r="H183" s="96">
        <v>286.68</v>
      </c>
      <c r="I183" s="96">
        <v>65.2</v>
      </c>
      <c r="J183" s="96"/>
      <c r="K183" s="96"/>
      <c r="L183" s="96"/>
      <c r="M183" s="78">
        <v>8914.9699999999993</v>
      </c>
      <c r="N183" s="84">
        <v>8221.0400000000009</v>
      </c>
      <c r="O183" s="84">
        <v>105.24</v>
      </c>
      <c r="P183" s="84">
        <v>180.51</v>
      </c>
      <c r="Q183" s="84">
        <v>332.55</v>
      </c>
      <c r="R183" s="84">
        <v>75.63</v>
      </c>
      <c r="S183" s="80"/>
      <c r="T183" s="80"/>
      <c r="U183" s="80"/>
      <c r="V183" s="86">
        <v>50</v>
      </c>
      <c r="W183" s="79">
        <v>50</v>
      </c>
      <c r="X183" s="80"/>
      <c r="Y183" s="80"/>
      <c r="Z183" s="80"/>
      <c r="AA183" s="80"/>
      <c r="AB183" s="80"/>
      <c r="AC183" s="80"/>
      <c r="AD183" s="80"/>
      <c r="AE183" s="91">
        <v>153.7062</v>
      </c>
      <c r="AF183" s="84">
        <v>141.74199999999999</v>
      </c>
      <c r="AG183" s="81" t="s">
        <v>33</v>
      </c>
      <c r="AH183" s="81" t="s">
        <v>33</v>
      </c>
      <c r="AI183" s="81" t="s">
        <v>33</v>
      </c>
      <c r="AJ183" s="81" t="s">
        <v>33</v>
      </c>
      <c r="AK183" s="80"/>
      <c r="AL183" s="80"/>
      <c r="AM183" s="80"/>
      <c r="AN183" s="86">
        <v>108</v>
      </c>
      <c r="AO183" s="79">
        <v>16</v>
      </c>
      <c r="AP183" s="79">
        <v>14</v>
      </c>
      <c r="AQ183" s="79">
        <v>24</v>
      </c>
      <c r="AR183" s="79">
        <v>44</v>
      </c>
      <c r="AS183" s="79">
        <v>10</v>
      </c>
      <c r="AT183" s="80"/>
      <c r="AU183" s="80"/>
      <c r="AV183" s="80"/>
    </row>
    <row r="184" spans="1:48" s="85" customFormat="1" x14ac:dyDescent="0.2">
      <c r="A184" s="83" t="s">
        <v>38</v>
      </c>
      <c r="B184" s="83" t="s">
        <v>407</v>
      </c>
      <c r="C184" s="83" t="s">
        <v>408</v>
      </c>
      <c r="D184" s="94">
        <v>7487.63</v>
      </c>
      <c r="E184" s="96">
        <v>4252.09</v>
      </c>
      <c r="F184" s="96">
        <v>740.21</v>
      </c>
      <c r="G184" s="96">
        <v>-3063.12</v>
      </c>
      <c r="H184" s="96">
        <v>5087.76</v>
      </c>
      <c r="I184" s="96"/>
      <c r="J184" s="96"/>
      <c r="K184" s="96">
        <v>264.08999999999997</v>
      </c>
      <c r="L184" s="96">
        <v>206.6</v>
      </c>
      <c r="M184" s="78">
        <v>8685.65</v>
      </c>
      <c r="N184" s="84">
        <v>4932.42</v>
      </c>
      <c r="O184" s="84">
        <v>858.64</v>
      </c>
      <c r="P184" s="84">
        <v>-3553.21</v>
      </c>
      <c r="Q184" s="84">
        <v>5901.8</v>
      </c>
      <c r="R184" s="80"/>
      <c r="S184" s="80"/>
      <c r="T184" s="84">
        <v>306.33999999999997</v>
      </c>
      <c r="U184" s="84">
        <v>239.66</v>
      </c>
      <c r="V184" s="88"/>
      <c r="W184" s="80"/>
      <c r="X184" s="80"/>
      <c r="Y184" s="80"/>
      <c r="Z184" s="80"/>
      <c r="AA184" s="80"/>
      <c r="AB184" s="80"/>
      <c r="AC184" s="80"/>
      <c r="AD184" s="80"/>
      <c r="AE184" s="87" t="s">
        <v>33</v>
      </c>
      <c r="AF184" s="81" t="s">
        <v>33</v>
      </c>
      <c r="AG184" s="81" t="s">
        <v>33</v>
      </c>
      <c r="AH184" s="81" t="s">
        <v>33</v>
      </c>
      <c r="AI184" s="81" t="s">
        <v>33</v>
      </c>
      <c r="AJ184" s="80"/>
      <c r="AK184" s="80"/>
      <c r="AL184" s="81" t="s">
        <v>33</v>
      </c>
      <c r="AM184" s="81" t="s">
        <v>33</v>
      </c>
      <c r="AN184" s="86">
        <v>130</v>
      </c>
      <c r="AO184" s="79">
        <v>122</v>
      </c>
      <c r="AP184" s="79">
        <v>14</v>
      </c>
      <c r="AQ184" s="79">
        <v>-108</v>
      </c>
      <c r="AR184" s="79">
        <v>96</v>
      </c>
      <c r="AS184" s="80"/>
      <c r="AT184" s="80"/>
      <c r="AU184" s="79">
        <v>2</v>
      </c>
      <c r="AV184" s="79">
        <v>4</v>
      </c>
    </row>
    <row r="185" spans="1:48" s="85" customFormat="1" x14ac:dyDescent="0.2">
      <c r="A185" s="83" t="s">
        <v>38</v>
      </c>
      <c r="B185" s="83" t="s">
        <v>643</v>
      </c>
      <c r="C185" s="83" t="s">
        <v>644</v>
      </c>
      <c r="D185" s="94">
        <v>7226.27</v>
      </c>
      <c r="E185" s="96">
        <v>239.65</v>
      </c>
      <c r="F185" s="96">
        <v>639.89</v>
      </c>
      <c r="G185" s="96">
        <v>387.72</v>
      </c>
      <c r="H185" s="96">
        <v>368.1</v>
      </c>
      <c r="I185" s="96">
        <v>413.91</v>
      </c>
      <c r="J185" s="96">
        <v>4097.6499999999996</v>
      </c>
      <c r="K185" s="96">
        <v>968.23</v>
      </c>
      <c r="L185" s="96">
        <v>111.12</v>
      </c>
      <c r="M185" s="78">
        <v>8382.48</v>
      </c>
      <c r="N185" s="84">
        <v>277.99</v>
      </c>
      <c r="O185" s="84">
        <v>742.27</v>
      </c>
      <c r="P185" s="84">
        <v>449.76</v>
      </c>
      <c r="Q185" s="84">
        <v>427</v>
      </c>
      <c r="R185" s="84">
        <v>480.14</v>
      </c>
      <c r="S185" s="84">
        <v>4753.2700000000004</v>
      </c>
      <c r="T185" s="84">
        <v>1123.1500000000001</v>
      </c>
      <c r="U185" s="84">
        <v>128.9</v>
      </c>
      <c r="V185" s="88"/>
      <c r="W185" s="80"/>
      <c r="X185" s="80"/>
      <c r="Y185" s="80"/>
      <c r="Z185" s="80"/>
      <c r="AA185" s="80"/>
      <c r="AB185" s="80"/>
      <c r="AC185" s="80"/>
      <c r="AD185" s="80"/>
      <c r="AE185" s="87" t="s">
        <v>33</v>
      </c>
      <c r="AF185" s="81" t="s">
        <v>33</v>
      </c>
      <c r="AG185" s="81" t="s">
        <v>33</v>
      </c>
      <c r="AH185" s="81" t="s">
        <v>33</v>
      </c>
      <c r="AI185" s="81" t="s">
        <v>33</v>
      </c>
      <c r="AJ185" s="81" t="s">
        <v>33</v>
      </c>
      <c r="AK185" s="81" t="s">
        <v>33</v>
      </c>
      <c r="AL185" s="81" t="s">
        <v>33</v>
      </c>
      <c r="AM185" s="81" t="s">
        <v>33</v>
      </c>
      <c r="AN185" s="86">
        <v>352</v>
      </c>
      <c r="AO185" s="79">
        <v>6</v>
      </c>
      <c r="AP185" s="79">
        <v>30</v>
      </c>
      <c r="AQ185" s="79">
        <v>14</v>
      </c>
      <c r="AR185" s="79">
        <v>48</v>
      </c>
      <c r="AS185" s="79">
        <v>10</v>
      </c>
      <c r="AT185" s="79">
        <v>186</v>
      </c>
      <c r="AU185" s="79">
        <v>52</v>
      </c>
      <c r="AV185" s="79">
        <v>6</v>
      </c>
    </row>
    <row r="186" spans="1:48" s="85" customFormat="1" x14ac:dyDescent="0.2">
      <c r="A186" s="83" t="s">
        <v>38</v>
      </c>
      <c r="B186" s="83" t="s">
        <v>483</v>
      </c>
      <c r="C186" s="83" t="s">
        <v>484</v>
      </c>
      <c r="D186" s="94">
        <v>6717.6</v>
      </c>
      <c r="E186" s="96"/>
      <c r="F186" s="96">
        <v>6417.6</v>
      </c>
      <c r="G186" s="96"/>
      <c r="H186" s="96"/>
      <c r="I186" s="96">
        <v>300</v>
      </c>
      <c r="J186" s="96"/>
      <c r="K186" s="96"/>
      <c r="L186" s="96"/>
      <c r="M186" s="78">
        <v>7792.42</v>
      </c>
      <c r="N186" s="80"/>
      <c r="O186" s="84">
        <v>7444.42</v>
      </c>
      <c r="P186" s="80"/>
      <c r="Q186" s="80"/>
      <c r="R186" s="84">
        <v>348</v>
      </c>
      <c r="S186" s="80"/>
      <c r="T186" s="80"/>
      <c r="U186" s="80"/>
      <c r="V186" s="86">
        <v>30</v>
      </c>
      <c r="W186" s="80"/>
      <c r="X186" s="79">
        <v>30</v>
      </c>
      <c r="Y186" s="80"/>
      <c r="Z186" s="80"/>
      <c r="AA186" s="80"/>
      <c r="AB186" s="80"/>
      <c r="AC186" s="80"/>
      <c r="AD186" s="80"/>
      <c r="AE186" s="91">
        <v>223.92</v>
      </c>
      <c r="AF186" s="80"/>
      <c r="AG186" s="84">
        <v>213.92</v>
      </c>
      <c r="AH186" s="80"/>
      <c r="AI186" s="80"/>
      <c r="AJ186" s="81" t="s">
        <v>33</v>
      </c>
      <c r="AK186" s="80"/>
      <c r="AL186" s="80"/>
      <c r="AM186" s="80"/>
      <c r="AN186" s="88"/>
      <c r="AO186" s="80"/>
      <c r="AP186" s="80"/>
      <c r="AQ186" s="80"/>
      <c r="AR186" s="80"/>
      <c r="AS186" s="80"/>
      <c r="AT186" s="80"/>
      <c r="AU186" s="80"/>
      <c r="AV186" s="80"/>
    </row>
    <row r="187" spans="1:48" s="85" customFormat="1" x14ac:dyDescent="0.2">
      <c r="A187" s="83" t="s">
        <v>38</v>
      </c>
      <c r="B187" s="83" t="s">
        <v>511</v>
      </c>
      <c r="C187" s="83" t="s">
        <v>512</v>
      </c>
      <c r="D187" s="94">
        <v>6539.61</v>
      </c>
      <c r="E187" s="96"/>
      <c r="F187" s="96"/>
      <c r="G187" s="96">
        <v>197.7</v>
      </c>
      <c r="H187" s="96">
        <v>635.88</v>
      </c>
      <c r="I187" s="96">
        <v>531.70000000000005</v>
      </c>
      <c r="J187" s="96">
        <v>3363.49</v>
      </c>
      <c r="K187" s="96"/>
      <c r="L187" s="96">
        <v>1810.84</v>
      </c>
      <c r="M187" s="78">
        <v>7585.94</v>
      </c>
      <c r="N187" s="80"/>
      <c r="O187" s="80"/>
      <c r="P187" s="84">
        <v>229.33</v>
      </c>
      <c r="Q187" s="84">
        <v>737.62</v>
      </c>
      <c r="R187" s="84">
        <v>616.77</v>
      </c>
      <c r="S187" s="84">
        <v>3901.65</v>
      </c>
      <c r="T187" s="80"/>
      <c r="U187" s="84">
        <v>2100.5700000000002</v>
      </c>
      <c r="V187" s="88"/>
      <c r="W187" s="80"/>
      <c r="X187" s="80"/>
      <c r="Y187" s="80"/>
      <c r="Z187" s="80"/>
      <c r="AA187" s="80"/>
      <c r="AB187" s="80"/>
      <c r="AC187" s="80"/>
      <c r="AD187" s="80"/>
      <c r="AE187" s="87" t="s">
        <v>33</v>
      </c>
      <c r="AF187" s="80"/>
      <c r="AG187" s="80"/>
      <c r="AH187" s="81" t="s">
        <v>33</v>
      </c>
      <c r="AI187" s="81" t="s">
        <v>33</v>
      </c>
      <c r="AJ187" s="81" t="s">
        <v>33</v>
      </c>
      <c r="AK187" s="81" t="s">
        <v>33</v>
      </c>
      <c r="AL187" s="80"/>
      <c r="AM187" s="81" t="s">
        <v>33</v>
      </c>
      <c r="AN187" s="86">
        <v>128</v>
      </c>
      <c r="AO187" s="80"/>
      <c r="AP187" s="80"/>
      <c r="AQ187" s="79">
        <v>4</v>
      </c>
      <c r="AR187" s="79">
        <v>12</v>
      </c>
      <c r="AS187" s="79">
        <v>10</v>
      </c>
      <c r="AT187" s="79">
        <v>68</v>
      </c>
      <c r="AU187" s="80"/>
      <c r="AV187" s="79">
        <v>34</v>
      </c>
    </row>
    <row r="188" spans="1:48" s="85" customFormat="1" x14ac:dyDescent="0.2">
      <c r="A188" s="83" t="s">
        <v>28</v>
      </c>
      <c r="B188" s="83" t="s">
        <v>29</v>
      </c>
      <c r="C188" s="83" t="s">
        <v>30</v>
      </c>
      <c r="D188" s="94">
        <v>6068.51</v>
      </c>
      <c r="E188" s="96">
        <v>5494.98</v>
      </c>
      <c r="F188" s="96">
        <v>3968.31</v>
      </c>
      <c r="G188" s="96">
        <v>3437.3</v>
      </c>
      <c r="H188" s="96">
        <v>5717.04</v>
      </c>
      <c r="I188" s="96">
        <v>3896.3</v>
      </c>
      <c r="J188" s="96">
        <v>4572.24</v>
      </c>
      <c r="K188" s="96">
        <v>4784.7700000000004</v>
      </c>
      <c r="L188" s="96">
        <v>6068.51</v>
      </c>
      <c r="M188" s="78">
        <v>7039.47</v>
      </c>
      <c r="N188" s="80"/>
      <c r="O188" s="80"/>
      <c r="P188" s="80"/>
      <c r="Q188" s="80"/>
      <c r="R188" s="80"/>
      <c r="S188" s="80"/>
      <c r="T188" s="80"/>
      <c r="U188" s="84">
        <v>7039.47</v>
      </c>
      <c r="V188" s="86">
        <v>25</v>
      </c>
      <c r="W188" s="80"/>
      <c r="X188" s="80"/>
      <c r="Y188" s="80"/>
      <c r="Z188" s="80"/>
      <c r="AA188" s="80"/>
      <c r="AB188" s="80"/>
      <c r="AC188" s="80"/>
      <c r="AD188" s="79">
        <v>25</v>
      </c>
      <c r="AE188" s="91">
        <v>242.74039999999999</v>
      </c>
      <c r="AF188" s="80"/>
      <c r="AG188" s="80"/>
      <c r="AH188" s="80"/>
      <c r="AI188" s="80"/>
      <c r="AJ188" s="80"/>
      <c r="AK188" s="80"/>
      <c r="AL188" s="80"/>
      <c r="AM188" s="84">
        <v>242.74039999999999</v>
      </c>
      <c r="AN188" s="86">
        <v>14</v>
      </c>
      <c r="AO188" s="80"/>
      <c r="AP188" s="80"/>
      <c r="AQ188" s="80"/>
      <c r="AR188" s="80"/>
      <c r="AS188" s="80"/>
      <c r="AT188" s="80"/>
      <c r="AU188" s="80"/>
      <c r="AV188" s="79">
        <v>14</v>
      </c>
    </row>
    <row r="189" spans="1:48" s="85" customFormat="1" x14ac:dyDescent="0.2">
      <c r="A189" s="83" t="s">
        <v>38</v>
      </c>
      <c r="B189" s="83" t="s">
        <v>429</v>
      </c>
      <c r="C189" s="83" t="s">
        <v>430</v>
      </c>
      <c r="D189" s="94">
        <v>5752.57</v>
      </c>
      <c r="E189" s="96">
        <v>844.11</v>
      </c>
      <c r="F189" s="96">
        <v>4062.61</v>
      </c>
      <c r="G189" s="96">
        <v>199.98</v>
      </c>
      <c r="H189" s="96"/>
      <c r="I189" s="96">
        <v>201.17</v>
      </c>
      <c r="J189" s="96"/>
      <c r="K189" s="96">
        <v>444.7</v>
      </c>
      <c r="L189" s="96"/>
      <c r="M189" s="78">
        <v>6672.99</v>
      </c>
      <c r="N189" s="84">
        <v>979.17</v>
      </c>
      <c r="O189" s="84">
        <v>4712.63</v>
      </c>
      <c r="P189" s="84">
        <v>231.98</v>
      </c>
      <c r="Q189" s="80"/>
      <c r="R189" s="84">
        <v>233.36</v>
      </c>
      <c r="S189" s="80"/>
      <c r="T189" s="84">
        <v>515.85</v>
      </c>
      <c r="U189" s="80"/>
      <c r="V189" s="86">
        <v>28</v>
      </c>
      <c r="W189" s="79">
        <v>4</v>
      </c>
      <c r="X189" s="79">
        <v>20</v>
      </c>
      <c r="Y189" s="79">
        <v>1</v>
      </c>
      <c r="Z189" s="80"/>
      <c r="AA189" s="79">
        <v>1</v>
      </c>
      <c r="AB189" s="80"/>
      <c r="AC189" s="79">
        <v>2</v>
      </c>
      <c r="AD189" s="80"/>
      <c r="AE189" s="91">
        <v>205.44892857142858</v>
      </c>
      <c r="AF189" s="84">
        <v>211.0275</v>
      </c>
      <c r="AG189" s="84">
        <v>203.13050000000001</v>
      </c>
      <c r="AH189" s="84">
        <v>199.98</v>
      </c>
      <c r="AI189" s="80"/>
      <c r="AJ189" s="84">
        <v>201.17</v>
      </c>
      <c r="AK189" s="80"/>
      <c r="AL189" s="84">
        <v>222.35</v>
      </c>
      <c r="AM189" s="80"/>
      <c r="AN189" s="88"/>
      <c r="AO189" s="80"/>
      <c r="AP189" s="80"/>
      <c r="AQ189" s="80"/>
      <c r="AR189" s="80"/>
      <c r="AS189" s="80"/>
      <c r="AT189" s="80"/>
      <c r="AU189" s="80"/>
      <c r="AV189" s="80"/>
    </row>
    <row r="190" spans="1:48" s="85" customFormat="1" x14ac:dyDescent="0.2">
      <c r="A190" s="83" t="s">
        <v>47</v>
      </c>
      <c r="B190" s="83" t="s">
        <v>52</v>
      </c>
      <c r="C190" s="83" t="s">
        <v>53</v>
      </c>
      <c r="D190" s="94">
        <v>5675.27</v>
      </c>
      <c r="E190" s="96"/>
      <c r="F190" s="96"/>
      <c r="G190" s="96">
        <v>1434.93</v>
      </c>
      <c r="H190" s="96"/>
      <c r="I190" s="96"/>
      <c r="J190" s="96">
        <v>4240.34</v>
      </c>
      <c r="K190" s="96"/>
      <c r="L190" s="96"/>
      <c r="M190" s="78">
        <v>6583.31</v>
      </c>
      <c r="N190" s="80"/>
      <c r="O190" s="80"/>
      <c r="P190" s="84">
        <v>1664.52</v>
      </c>
      <c r="Q190" s="80"/>
      <c r="R190" s="80"/>
      <c r="S190" s="84">
        <v>4918.79</v>
      </c>
      <c r="T190" s="80"/>
      <c r="U190" s="80"/>
      <c r="V190" s="86">
        <v>12</v>
      </c>
      <c r="W190" s="80"/>
      <c r="X190" s="80"/>
      <c r="Y190" s="79">
        <v>3</v>
      </c>
      <c r="Z190" s="80"/>
      <c r="AA190" s="80"/>
      <c r="AB190" s="79">
        <v>9</v>
      </c>
      <c r="AC190" s="80"/>
      <c r="AD190" s="80"/>
      <c r="AE190" s="91">
        <v>472.93916666666667</v>
      </c>
      <c r="AF190" s="80"/>
      <c r="AG190" s="80"/>
      <c r="AH190" s="84">
        <v>478.31</v>
      </c>
      <c r="AI190" s="80"/>
      <c r="AJ190" s="80"/>
      <c r="AK190" s="84">
        <v>471.14888888888891</v>
      </c>
      <c r="AL190" s="80"/>
      <c r="AM190" s="80"/>
      <c r="AN190" s="86">
        <v>114</v>
      </c>
      <c r="AO190" s="80"/>
      <c r="AP190" s="80"/>
      <c r="AQ190" s="79">
        <v>24</v>
      </c>
      <c r="AR190" s="80"/>
      <c r="AS190" s="80"/>
      <c r="AT190" s="79">
        <v>90</v>
      </c>
      <c r="AU190" s="80"/>
      <c r="AV190" s="80"/>
    </row>
    <row r="191" spans="1:48" s="85" customFormat="1" x14ac:dyDescent="0.2">
      <c r="A191" s="83" t="s">
        <v>38</v>
      </c>
      <c r="B191" s="83" t="s">
        <v>419</v>
      </c>
      <c r="C191" s="83" t="s">
        <v>420</v>
      </c>
      <c r="D191" s="94">
        <v>5537.28</v>
      </c>
      <c r="E191" s="96"/>
      <c r="F191" s="96"/>
      <c r="G191" s="96"/>
      <c r="H191" s="96">
        <v>342.58</v>
      </c>
      <c r="I191" s="96">
        <v>5194.7</v>
      </c>
      <c r="J191" s="96"/>
      <c r="K191" s="96"/>
      <c r="L191" s="96"/>
      <c r="M191" s="78">
        <v>5592.09</v>
      </c>
      <c r="N191" s="80"/>
      <c r="O191" s="80"/>
      <c r="P191" s="80"/>
      <c r="Q191" s="84">
        <v>397.39</v>
      </c>
      <c r="R191" s="84">
        <v>5194.7</v>
      </c>
      <c r="S191" s="80"/>
      <c r="T191" s="80"/>
      <c r="U191" s="80"/>
      <c r="V191" s="86">
        <v>2</v>
      </c>
      <c r="W191" s="80"/>
      <c r="X191" s="80"/>
      <c r="Y191" s="80"/>
      <c r="Z191" s="79">
        <v>1</v>
      </c>
      <c r="AA191" s="79">
        <v>1</v>
      </c>
      <c r="AB191" s="80"/>
      <c r="AC191" s="80"/>
      <c r="AD191" s="80"/>
      <c r="AE191" s="91">
        <v>2768.64</v>
      </c>
      <c r="AF191" s="80"/>
      <c r="AG191" s="80"/>
      <c r="AH191" s="80"/>
      <c r="AI191" s="84">
        <v>342.58</v>
      </c>
      <c r="AJ191" s="84">
        <v>5194.7</v>
      </c>
      <c r="AK191" s="80"/>
      <c r="AL191" s="80"/>
      <c r="AM191" s="80"/>
      <c r="AN191" s="86">
        <v>38</v>
      </c>
      <c r="AO191" s="80"/>
      <c r="AP191" s="80"/>
      <c r="AQ191" s="80"/>
      <c r="AR191" s="79">
        <v>38</v>
      </c>
      <c r="AS191" s="80"/>
      <c r="AT191" s="80"/>
      <c r="AU191" s="80"/>
      <c r="AV191" s="80"/>
    </row>
    <row r="192" spans="1:48" s="85" customFormat="1" x14ac:dyDescent="0.2">
      <c r="A192" s="83" t="s">
        <v>38</v>
      </c>
      <c r="B192" s="83" t="s">
        <v>557</v>
      </c>
      <c r="C192" s="83" t="s">
        <v>558</v>
      </c>
      <c r="D192" s="94">
        <v>5532.1</v>
      </c>
      <c r="E192" s="96">
        <v>5532.1</v>
      </c>
      <c r="F192" s="96"/>
      <c r="G192" s="96"/>
      <c r="H192" s="96"/>
      <c r="I192" s="96"/>
      <c r="J192" s="96"/>
      <c r="K192" s="96"/>
      <c r="L192" s="96"/>
      <c r="M192" s="78">
        <v>5755.49</v>
      </c>
      <c r="N192" s="84">
        <v>5755.49</v>
      </c>
      <c r="O192" s="80"/>
      <c r="P192" s="80"/>
      <c r="Q192" s="80"/>
      <c r="R192" s="80"/>
      <c r="S192" s="80"/>
      <c r="T192" s="80"/>
      <c r="U192" s="80"/>
      <c r="V192" s="86">
        <v>2</v>
      </c>
      <c r="W192" s="79">
        <v>2</v>
      </c>
      <c r="X192" s="80"/>
      <c r="Y192" s="80"/>
      <c r="Z192" s="80"/>
      <c r="AA192" s="80"/>
      <c r="AB192" s="80"/>
      <c r="AC192" s="80"/>
      <c r="AD192" s="80"/>
      <c r="AE192" s="91">
        <v>2766.05</v>
      </c>
      <c r="AF192" s="84">
        <v>2766.05</v>
      </c>
      <c r="AG192" s="80"/>
      <c r="AH192" s="80"/>
      <c r="AI192" s="80"/>
      <c r="AJ192" s="80"/>
      <c r="AK192" s="80"/>
      <c r="AL192" s="80"/>
      <c r="AM192" s="80"/>
      <c r="AN192" s="86">
        <v>218.6</v>
      </c>
      <c r="AO192" s="79">
        <v>218.6</v>
      </c>
      <c r="AP192" s="80"/>
      <c r="AQ192" s="80"/>
      <c r="AR192" s="80"/>
      <c r="AS192" s="80"/>
      <c r="AT192" s="80"/>
      <c r="AU192" s="80"/>
      <c r="AV192" s="80"/>
    </row>
    <row r="193" spans="1:48" s="85" customFormat="1" x14ac:dyDescent="0.2">
      <c r="A193" s="83" t="s">
        <v>38</v>
      </c>
      <c r="B193" s="83" t="s">
        <v>505</v>
      </c>
      <c r="C193" s="83" t="s">
        <v>506</v>
      </c>
      <c r="D193" s="94">
        <v>5405.71</v>
      </c>
      <c r="E193" s="96"/>
      <c r="F193" s="96"/>
      <c r="G193" s="96"/>
      <c r="H193" s="96">
        <v>365.86</v>
      </c>
      <c r="I193" s="96">
        <v>3706.23</v>
      </c>
      <c r="J193" s="96">
        <v>1333.62</v>
      </c>
      <c r="K193" s="96"/>
      <c r="L193" s="96"/>
      <c r="M193" s="78">
        <v>6270.63</v>
      </c>
      <c r="N193" s="80"/>
      <c r="O193" s="80"/>
      <c r="P193" s="80"/>
      <c r="Q193" s="84">
        <v>424.4</v>
      </c>
      <c r="R193" s="84">
        <v>4299.2299999999996</v>
      </c>
      <c r="S193" s="84">
        <v>1547</v>
      </c>
      <c r="T193" s="80"/>
      <c r="U193" s="80"/>
      <c r="V193" s="86">
        <v>8</v>
      </c>
      <c r="W193" s="80"/>
      <c r="X193" s="80"/>
      <c r="Y193" s="80"/>
      <c r="Z193" s="79">
        <v>1</v>
      </c>
      <c r="AA193" s="79">
        <v>3</v>
      </c>
      <c r="AB193" s="79">
        <v>4</v>
      </c>
      <c r="AC193" s="80"/>
      <c r="AD193" s="80"/>
      <c r="AE193" s="91">
        <v>675.71375</v>
      </c>
      <c r="AF193" s="80"/>
      <c r="AG193" s="80"/>
      <c r="AH193" s="80"/>
      <c r="AI193" s="84">
        <v>365.86</v>
      </c>
      <c r="AJ193" s="84">
        <v>1235.4100000000001</v>
      </c>
      <c r="AK193" s="84">
        <v>333.40499999999997</v>
      </c>
      <c r="AL193" s="80"/>
      <c r="AM193" s="80"/>
      <c r="AN193" s="86">
        <v>80</v>
      </c>
      <c r="AO193" s="80"/>
      <c r="AP193" s="80"/>
      <c r="AQ193" s="80"/>
      <c r="AR193" s="79">
        <v>14</v>
      </c>
      <c r="AS193" s="79">
        <v>20</v>
      </c>
      <c r="AT193" s="79">
        <v>46</v>
      </c>
      <c r="AU193" s="80"/>
      <c r="AV193" s="80"/>
    </row>
    <row r="194" spans="1:48" s="85" customFormat="1" x14ac:dyDescent="0.2">
      <c r="A194" s="83" t="s">
        <v>47</v>
      </c>
      <c r="B194" s="83" t="s">
        <v>84</v>
      </c>
      <c r="C194" s="83" t="s">
        <v>85</v>
      </c>
      <c r="D194" s="94">
        <v>5258.34</v>
      </c>
      <c r="E194" s="96">
        <v>945.17</v>
      </c>
      <c r="F194" s="96">
        <v>899.03</v>
      </c>
      <c r="G194" s="96">
        <v>411.82</v>
      </c>
      <c r="H194" s="96">
        <v>916.42</v>
      </c>
      <c r="I194" s="96"/>
      <c r="J194" s="96">
        <v>1335.53</v>
      </c>
      <c r="K194" s="96"/>
      <c r="L194" s="96">
        <v>750.37</v>
      </c>
      <c r="M194" s="78">
        <v>6099.66</v>
      </c>
      <c r="N194" s="84">
        <v>1096.3900000000001</v>
      </c>
      <c r="O194" s="84">
        <v>1042.8699999999999</v>
      </c>
      <c r="P194" s="84">
        <v>477.71</v>
      </c>
      <c r="Q194" s="84">
        <v>1063.05</v>
      </c>
      <c r="R194" s="80"/>
      <c r="S194" s="84">
        <v>1549.21</v>
      </c>
      <c r="T194" s="80"/>
      <c r="U194" s="84">
        <v>870.43</v>
      </c>
      <c r="V194" s="86">
        <v>8</v>
      </c>
      <c r="W194" s="79">
        <v>1</v>
      </c>
      <c r="X194" s="79">
        <v>1</v>
      </c>
      <c r="Y194" s="79">
        <v>1</v>
      </c>
      <c r="Z194" s="79">
        <v>1</v>
      </c>
      <c r="AA194" s="80"/>
      <c r="AB194" s="79">
        <v>2</v>
      </c>
      <c r="AC194" s="80"/>
      <c r="AD194" s="79">
        <v>2</v>
      </c>
      <c r="AE194" s="91">
        <v>657.29250000000002</v>
      </c>
      <c r="AF194" s="84">
        <v>945.17</v>
      </c>
      <c r="AG194" s="84">
        <v>899.03</v>
      </c>
      <c r="AH194" s="84">
        <v>411.82</v>
      </c>
      <c r="AI194" s="84">
        <v>916.42</v>
      </c>
      <c r="AJ194" s="80"/>
      <c r="AK194" s="84">
        <v>667.76499999999999</v>
      </c>
      <c r="AL194" s="80"/>
      <c r="AM194" s="84">
        <v>375.185</v>
      </c>
      <c r="AN194" s="86">
        <v>114</v>
      </c>
      <c r="AO194" s="79">
        <v>26</v>
      </c>
      <c r="AP194" s="79">
        <v>24</v>
      </c>
      <c r="AQ194" s="79">
        <v>4</v>
      </c>
      <c r="AR194" s="79">
        <v>24</v>
      </c>
      <c r="AS194" s="80"/>
      <c r="AT194" s="79">
        <v>28</v>
      </c>
      <c r="AU194" s="80"/>
      <c r="AV194" s="79">
        <v>8</v>
      </c>
    </row>
    <row r="195" spans="1:48" s="85" customFormat="1" x14ac:dyDescent="0.2">
      <c r="A195" s="83" t="s">
        <v>47</v>
      </c>
      <c r="B195" s="83" t="s">
        <v>80</v>
      </c>
      <c r="C195" s="83" t="s">
        <v>81</v>
      </c>
      <c r="D195" s="94">
        <v>5176.57</v>
      </c>
      <c r="E195" s="96">
        <v>5176.57</v>
      </c>
      <c r="F195" s="96"/>
      <c r="G195" s="96"/>
      <c r="H195" s="96"/>
      <c r="I195" s="96"/>
      <c r="J195" s="96"/>
      <c r="K195" s="96"/>
      <c r="L195" s="96"/>
      <c r="M195" s="78">
        <v>6004.82</v>
      </c>
      <c r="N195" s="84">
        <v>6004.82</v>
      </c>
      <c r="O195" s="80"/>
      <c r="P195" s="80"/>
      <c r="Q195" s="80"/>
      <c r="R195" s="80"/>
      <c r="S195" s="80"/>
      <c r="T195" s="80"/>
      <c r="U195" s="80"/>
      <c r="V195" s="86">
        <v>11</v>
      </c>
      <c r="W195" s="79">
        <v>11</v>
      </c>
      <c r="X195" s="80"/>
      <c r="Y195" s="80"/>
      <c r="Z195" s="80"/>
      <c r="AA195" s="80"/>
      <c r="AB195" s="80"/>
      <c r="AC195" s="80"/>
      <c r="AD195" s="80"/>
      <c r="AE195" s="91">
        <v>470.59727272727275</v>
      </c>
      <c r="AF195" s="84">
        <v>470.59727272727275</v>
      </c>
      <c r="AG195" s="80"/>
      <c r="AH195" s="80"/>
      <c r="AI195" s="80"/>
      <c r="AJ195" s="80"/>
      <c r="AK195" s="80"/>
      <c r="AL195" s="80"/>
      <c r="AM195" s="80"/>
      <c r="AN195" s="86">
        <v>383.2</v>
      </c>
      <c r="AO195" s="79">
        <v>383.2</v>
      </c>
      <c r="AP195" s="80"/>
      <c r="AQ195" s="80"/>
      <c r="AR195" s="80"/>
      <c r="AS195" s="80"/>
      <c r="AT195" s="80"/>
      <c r="AU195" s="80"/>
      <c r="AV195" s="80"/>
    </row>
    <row r="196" spans="1:48" s="85" customFormat="1" x14ac:dyDescent="0.2">
      <c r="A196" s="83" t="s">
        <v>28</v>
      </c>
      <c r="B196" s="83" t="s">
        <v>201</v>
      </c>
      <c r="C196" s="83" t="s">
        <v>202</v>
      </c>
      <c r="D196" s="94">
        <v>4468.84</v>
      </c>
      <c r="E196" s="96"/>
      <c r="F196" s="96"/>
      <c r="G196" s="96"/>
      <c r="H196" s="96"/>
      <c r="I196" s="96"/>
      <c r="J196" s="96">
        <v>4468.84</v>
      </c>
      <c r="K196" s="96"/>
      <c r="L196" s="96"/>
      <c r="M196" s="78">
        <v>5183.8500000000004</v>
      </c>
      <c r="N196" s="80"/>
      <c r="O196" s="80"/>
      <c r="P196" s="80"/>
      <c r="Q196" s="80"/>
      <c r="R196" s="80"/>
      <c r="S196" s="84">
        <v>5183.8500000000004</v>
      </c>
      <c r="T196" s="80"/>
      <c r="U196" s="80"/>
      <c r="V196" s="86">
        <v>2</v>
      </c>
      <c r="W196" s="80"/>
      <c r="X196" s="80"/>
      <c r="Y196" s="80"/>
      <c r="Z196" s="80"/>
      <c r="AA196" s="80"/>
      <c r="AB196" s="79">
        <v>2</v>
      </c>
      <c r="AC196" s="80"/>
      <c r="AD196" s="80"/>
      <c r="AE196" s="91">
        <v>2234.42</v>
      </c>
      <c r="AF196" s="80"/>
      <c r="AG196" s="80"/>
      <c r="AH196" s="80"/>
      <c r="AI196" s="80"/>
      <c r="AJ196" s="80"/>
      <c r="AK196" s="84">
        <v>2234.42</v>
      </c>
      <c r="AL196" s="80"/>
      <c r="AM196" s="80"/>
      <c r="AN196" s="88"/>
      <c r="AO196" s="80"/>
      <c r="AP196" s="80"/>
      <c r="AQ196" s="80"/>
      <c r="AR196" s="80"/>
      <c r="AS196" s="80"/>
      <c r="AT196" s="80"/>
      <c r="AU196" s="80"/>
      <c r="AV196" s="80"/>
    </row>
    <row r="197" spans="1:48" s="85" customFormat="1" x14ac:dyDescent="0.2">
      <c r="A197" s="83" t="s">
        <v>38</v>
      </c>
      <c r="B197" s="83" t="s">
        <v>669</v>
      </c>
      <c r="C197" s="83" t="s">
        <v>670</v>
      </c>
      <c r="D197" s="94">
        <v>4250.66</v>
      </c>
      <c r="E197" s="96">
        <v>4250.66</v>
      </c>
      <c r="F197" s="96"/>
      <c r="G197" s="96"/>
      <c r="H197" s="96"/>
      <c r="I197" s="96"/>
      <c r="J197" s="96"/>
      <c r="K197" s="96"/>
      <c r="L197" s="96"/>
      <c r="M197" s="78">
        <v>4930.76</v>
      </c>
      <c r="N197" s="84">
        <v>4930.76</v>
      </c>
      <c r="O197" s="80"/>
      <c r="P197" s="80"/>
      <c r="Q197" s="80"/>
      <c r="R197" s="80"/>
      <c r="S197" s="80"/>
      <c r="T197" s="80"/>
      <c r="U197" s="80"/>
      <c r="V197" s="86">
        <v>16</v>
      </c>
      <c r="W197" s="79">
        <v>16</v>
      </c>
      <c r="X197" s="80"/>
      <c r="Y197" s="80"/>
      <c r="Z197" s="80"/>
      <c r="AA197" s="80"/>
      <c r="AB197" s="80"/>
      <c r="AC197" s="80"/>
      <c r="AD197" s="80"/>
      <c r="AE197" s="91">
        <v>265.66624999999999</v>
      </c>
      <c r="AF197" s="84">
        <v>265.66624999999999</v>
      </c>
      <c r="AG197" s="80"/>
      <c r="AH197" s="80"/>
      <c r="AI197" s="80"/>
      <c r="AJ197" s="80"/>
      <c r="AK197" s="80"/>
      <c r="AL197" s="80"/>
      <c r="AM197" s="80"/>
      <c r="AN197" s="86">
        <v>338</v>
      </c>
      <c r="AO197" s="79">
        <v>338</v>
      </c>
      <c r="AP197" s="80"/>
      <c r="AQ197" s="80"/>
      <c r="AR197" s="80"/>
      <c r="AS197" s="80"/>
      <c r="AT197" s="80"/>
      <c r="AU197" s="80"/>
      <c r="AV197" s="80"/>
    </row>
    <row r="198" spans="1:48" s="85" customFormat="1" x14ac:dyDescent="0.2">
      <c r="A198" s="83" t="s">
        <v>38</v>
      </c>
      <c r="B198" s="83" t="s">
        <v>501</v>
      </c>
      <c r="C198" s="83" t="s">
        <v>502</v>
      </c>
      <c r="D198" s="94">
        <v>3957</v>
      </c>
      <c r="E198" s="96">
        <v>344.52</v>
      </c>
      <c r="F198" s="96">
        <v>424.2</v>
      </c>
      <c r="G198" s="96">
        <v>709.1</v>
      </c>
      <c r="H198" s="96">
        <v>65.16</v>
      </c>
      <c r="I198" s="96">
        <v>956.32</v>
      </c>
      <c r="J198" s="96">
        <v>569.88</v>
      </c>
      <c r="K198" s="96">
        <v>887.82</v>
      </c>
      <c r="L198" s="96"/>
      <c r="M198" s="78">
        <v>4590.12</v>
      </c>
      <c r="N198" s="84">
        <v>399.64</v>
      </c>
      <c r="O198" s="84">
        <v>492.07</v>
      </c>
      <c r="P198" s="84">
        <v>822.56</v>
      </c>
      <c r="Q198" s="84">
        <v>75.59</v>
      </c>
      <c r="R198" s="84">
        <v>1109.33</v>
      </c>
      <c r="S198" s="84">
        <v>661.06</v>
      </c>
      <c r="T198" s="84">
        <v>1029.8699999999999</v>
      </c>
      <c r="U198" s="80"/>
      <c r="V198" s="88"/>
      <c r="W198" s="80"/>
      <c r="X198" s="80"/>
      <c r="Y198" s="80"/>
      <c r="Z198" s="80"/>
      <c r="AA198" s="80"/>
      <c r="AB198" s="80"/>
      <c r="AC198" s="80"/>
      <c r="AD198" s="80"/>
      <c r="AE198" s="87" t="s">
        <v>33</v>
      </c>
      <c r="AF198" s="81" t="s">
        <v>33</v>
      </c>
      <c r="AG198" s="81" t="s">
        <v>33</v>
      </c>
      <c r="AH198" s="81" t="s">
        <v>33</v>
      </c>
      <c r="AI198" s="81" t="s">
        <v>33</v>
      </c>
      <c r="AJ198" s="81" t="s">
        <v>33</v>
      </c>
      <c r="AK198" s="81" t="s">
        <v>33</v>
      </c>
      <c r="AL198" s="81" t="s">
        <v>33</v>
      </c>
      <c r="AM198" s="80"/>
      <c r="AN198" s="86">
        <v>778</v>
      </c>
      <c r="AO198" s="79">
        <v>116</v>
      </c>
      <c r="AP198" s="79">
        <v>84</v>
      </c>
      <c r="AQ198" s="79">
        <v>134</v>
      </c>
      <c r="AR198" s="79">
        <v>12</v>
      </c>
      <c r="AS198" s="79">
        <v>184</v>
      </c>
      <c r="AT198" s="79">
        <v>110</v>
      </c>
      <c r="AU198" s="79">
        <v>138</v>
      </c>
      <c r="AV198" s="80"/>
    </row>
    <row r="199" spans="1:48" s="85" customFormat="1" x14ac:dyDescent="0.2">
      <c r="A199" s="83" t="s">
        <v>38</v>
      </c>
      <c r="B199" s="83" t="s">
        <v>467</v>
      </c>
      <c r="C199" s="83" t="s">
        <v>468</v>
      </c>
      <c r="D199" s="94">
        <v>3860.83</v>
      </c>
      <c r="E199" s="96"/>
      <c r="F199" s="96">
        <v>387.96</v>
      </c>
      <c r="G199" s="96">
        <v>919.9</v>
      </c>
      <c r="H199" s="96">
        <v>1207.03</v>
      </c>
      <c r="I199" s="96">
        <v>1208.76</v>
      </c>
      <c r="J199" s="96">
        <v>137.18</v>
      </c>
      <c r="K199" s="96"/>
      <c r="L199" s="96"/>
      <c r="M199" s="78">
        <v>4478.55</v>
      </c>
      <c r="N199" s="80"/>
      <c r="O199" s="84">
        <v>450.03</v>
      </c>
      <c r="P199" s="84">
        <v>1067.08</v>
      </c>
      <c r="Q199" s="84">
        <v>1400.15</v>
      </c>
      <c r="R199" s="84">
        <v>1402.16</v>
      </c>
      <c r="S199" s="84">
        <v>159.13</v>
      </c>
      <c r="T199" s="80"/>
      <c r="U199" s="80"/>
      <c r="V199" s="88"/>
      <c r="W199" s="80"/>
      <c r="X199" s="80"/>
      <c r="Y199" s="80"/>
      <c r="Z199" s="80"/>
      <c r="AA199" s="80"/>
      <c r="AB199" s="80"/>
      <c r="AC199" s="80"/>
      <c r="AD199" s="80"/>
      <c r="AE199" s="87" t="s">
        <v>33</v>
      </c>
      <c r="AF199" s="80"/>
      <c r="AG199" s="81" t="s">
        <v>33</v>
      </c>
      <c r="AH199" s="81" t="s">
        <v>33</v>
      </c>
      <c r="AI199" s="81" t="s">
        <v>33</v>
      </c>
      <c r="AJ199" s="81" t="s">
        <v>33</v>
      </c>
      <c r="AK199" s="81" t="s">
        <v>33</v>
      </c>
      <c r="AL199" s="80"/>
      <c r="AM199" s="80"/>
      <c r="AN199" s="86">
        <v>78</v>
      </c>
      <c r="AO199" s="80"/>
      <c r="AP199" s="79">
        <v>4</v>
      </c>
      <c r="AQ199" s="79">
        <v>10</v>
      </c>
      <c r="AR199" s="79">
        <v>26</v>
      </c>
      <c r="AS199" s="79">
        <v>34</v>
      </c>
      <c r="AT199" s="79">
        <v>4</v>
      </c>
      <c r="AU199" s="80"/>
      <c r="AV199" s="80"/>
    </row>
    <row r="200" spans="1:48" s="85" customFormat="1" x14ac:dyDescent="0.2">
      <c r="A200" s="83" t="s">
        <v>47</v>
      </c>
      <c r="B200" s="83" t="s">
        <v>100</v>
      </c>
      <c r="C200" s="83" t="s">
        <v>101</v>
      </c>
      <c r="D200" s="94">
        <v>3833.45</v>
      </c>
      <c r="E200" s="96"/>
      <c r="F200" s="96">
        <v>390.62</v>
      </c>
      <c r="G200" s="96">
        <v>1851.59</v>
      </c>
      <c r="H200" s="96"/>
      <c r="I200" s="96">
        <v>1591.24</v>
      </c>
      <c r="J200" s="96"/>
      <c r="K200" s="96"/>
      <c r="L200" s="96"/>
      <c r="M200" s="78">
        <v>4446.8</v>
      </c>
      <c r="N200" s="80"/>
      <c r="O200" s="84">
        <v>453.12</v>
      </c>
      <c r="P200" s="84">
        <v>2147.84</v>
      </c>
      <c r="Q200" s="80"/>
      <c r="R200" s="84">
        <v>1845.84</v>
      </c>
      <c r="S200" s="80"/>
      <c r="T200" s="80"/>
      <c r="U200" s="80"/>
      <c r="V200" s="88"/>
      <c r="W200" s="80"/>
      <c r="X200" s="80"/>
      <c r="Y200" s="80"/>
      <c r="Z200" s="80"/>
      <c r="AA200" s="80"/>
      <c r="AB200" s="80"/>
      <c r="AC200" s="80"/>
      <c r="AD200" s="80"/>
      <c r="AE200" s="87" t="s">
        <v>33</v>
      </c>
      <c r="AF200" s="80"/>
      <c r="AG200" s="81" t="s">
        <v>33</v>
      </c>
      <c r="AH200" s="81" t="s">
        <v>33</v>
      </c>
      <c r="AI200" s="80"/>
      <c r="AJ200" s="81" t="s">
        <v>33</v>
      </c>
      <c r="AK200" s="80"/>
      <c r="AL200" s="80"/>
      <c r="AM200" s="80"/>
      <c r="AN200" s="86">
        <v>280</v>
      </c>
      <c r="AO200" s="80"/>
      <c r="AP200" s="80"/>
      <c r="AQ200" s="79">
        <v>208</v>
      </c>
      <c r="AR200" s="80"/>
      <c r="AS200" s="79">
        <v>72</v>
      </c>
      <c r="AT200" s="80"/>
      <c r="AU200" s="80"/>
      <c r="AV200" s="80"/>
    </row>
    <row r="201" spans="1:48" s="85" customFormat="1" x14ac:dyDescent="0.2">
      <c r="A201" s="83" t="s">
        <v>38</v>
      </c>
      <c r="B201" s="83" t="s">
        <v>689</v>
      </c>
      <c r="C201" s="83" t="s">
        <v>690</v>
      </c>
      <c r="D201" s="94">
        <v>3732.54</v>
      </c>
      <c r="E201" s="96">
        <v>3840.81</v>
      </c>
      <c r="F201" s="96"/>
      <c r="G201" s="96">
        <v>3024.45</v>
      </c>
      <c r="H201" s="96">
        <v>218</v>
      </c>
      <c r="I201" s="96">
        <v>2087.88</v>
      </c>
      <c r="J201" s="96"/>
      <c r="K201" s="96"/>
      <c r="L201" s="96">
        <v>-5438.6</v>
      </c>
      <c r="M201" s="78">
        <v>4329.74</v>
      </c>
      <c r="N201" s="84">
        <v>4455.34</v>
      </c>
      <c r="O201" s="80"/>
      <c r="P201" s="84">
        <v>3508.36</v>
      </c>
      <c r="Q201" s="84">
        <v>252.88</v>
      </c>
      <c r="R201" s="84">
        <v>2421.94</v>
      </c>
      <c r="S201" s="81"/>
      <c r="T201" s="80"/>
      <c r="U201" s="84">
        <v>-6308.78</v>
      </c>
      <c r="V201" s="88"/>
      <c r="W201" s="80"/>
      <c r="X201" s="80"/>
      <c r="Y201" s="80"/>
      <c r="Z201" s="80"/>
      <c r="AA201" s="80"/>
      <c r="AB201" s="80"/>
      <c r="AC201" s="80"/>
      <c r="AD201" s="80"/>
      <c r="AE201" s="87" t="s">
        <v>33</v>
      </c>
      <c r="AF201" s="81" t="s">
        <v>33</v>
      </c>
      <c r="AG201" s="80"/>
      <c r="AH201" s="81" t="s">
        <v>33</v>
      </c>
      <c r="AI201" s="81" t="s">
        <v>33</v>
      </c>
      <c r="AJ201" s="81" t="s">
        <v>33</v>
      </c>
      <c r="AK201" s="81" t="s">
        <v>33</v>
      </c>
      <c r="AL201" s="80"/>
      <c r="AM201" s="81" t="s">
        <v>33</v>
      </c>
      <c r="AN201" s="86">
        <v>130</v>
      </c>
      <c r="AO201" s="79">
        <v>106</v>
      </c>
      <c r="AP201" s="80"/>
      <c r="AQ201" s="79">
        <v>110</v>
      </c>
      <c r="AR201" s="79">
        <v>8</v>
      </c>
      <c r="AS201" s="79">
        <v>72</v>
      </c>
      <c r="AT201" s="81"/>
      <c r="AU201" s="80"/>
      <c r="AV201" s="79">
        <v>-166</v>
      </c>
    </row>
    <row r="202" spans="1:48" s="85" customFormat="1" x14ac:dyDescent="0.2">
      <c r="A202" s="83" t="s">
        <v>38</v>
      </c>
      <c r="B202" s="83" t="s">
        <v>705</v>
      </c>
      <c r="C202" s="83" t="s">
        <v>706</v>
      </c>
      <c r="D202" s="94">
        <v>3609.17</v>
      </c>
      <c r="E202" s="96"/>
      <c r="F202" s="96"/>
      <c r="G202" s="96"/>
      <c r="H202" s="96"/>
      <c r="I202" s="96">
        <v>3141.5</v>
      </c>
      <c r="J202" s="96">
        <v>200.13</v>
      </c>
      <c r="K202" s="96">
        <v>267.54000000000002</v>
      </c>
      <c r="L202" s="96"/>
      <c r="M202" s="78">
        <v>4186.6400000000003</v>
      </c>
      <c r="N202" s="80"/>
      <c r="O202" s="80"/>
      <c r="P202" s="80"/>
      <c r="Q202" s="80"/>
      <c r="R202" s="84">
        <v>3644.14</v>
      </c>
      <c r="S202" s="84">
        <v>232.15</v>
      </c>
      <c r="T202" s="84">
        <v>310.35000000000002</v>
      </c>
      <c r="U202" s="80"/>
      <c r="V202" s="86">
        <v>5</v>
      </c>
      <c r="W202" s="80"/>
      <c r="X202" s="80"/>
      <c r="Y202" s="80"/>
      <c r="Z202" s="80"/>
      <c r="AA202" s="79">
        <v>3</v>
      </c>
      <c r="AB202" s="79">
        <v>1</v>
      </c>
      <c r="AC202" s="79">
        <v>1</v>
      </c>
      <c r="AD202" s="80"/>
      <c r="AE202" s="91">
        <v>721.83399999999995</v>
      </c>
      <c r="AF202" s="80"/>
      <c r="AG202" s="80"/>
      <c r="AH202" s="80"/>
      <c r="AI202" s="80"/>
      <c r="AJ202" s="84">
        <v>1047.1666666666667</v>
      </c>
      <c r="AK202" s="84">
        <v>200.13</v>
      </c>
      <c r="AL202" s="84">
        <v>267.54000000000002</v>
      </c>
      <c r="AM202" s="80"/>
      <c r="AN202" s="86">
        <v>64</v>
      </c>
      <c r="AO202" s="80"/>
      <c r="AP202" s="80"/>
      <c r="AQ202" s="80"/>
      <c r="AR202" s="80"/>
      <c r="AS202" s="79">
        <v>64</v>
      </c>
      <c r="AT202" s="80"/>
      <c r="AU202" s="80"/>
      <c r="AV202" s="80"/>
    </row>
    <row r="203" spans="1:48" s="85" customFormat="1" x14ac:dyDescent="0.2">
      <c r="A203" s="83" t="s">
        <v>38</v>
      </c>
      <c r="B203" s="83" t="s">
        <v>601</v>
      </c>
      <c r="C203" s="83" t="s">
        <v>602</v>
      </c>
      <c r="D203" s="94">
        <v>3498.56</v>
      </c>
      <c r="E203" s="96"/>
      <c r="F203" s="96"/>
      <c r="G203" s="96"/>
      <c r="H203" s="96">
        <v>3498.56</v>
      </c>
      <c r="I203" s="96"/>
      <c r="J203" s="96"/>
      <c r="K203" s="96"/>
      <c r="L203" s="96"/>
      <c r="M203" s="78">
        <v>4058.33</v>
      </c>
      <c r="N203" s="80"/>
      <c r="O203" s="80"/>
      <c r="P203" s="80"/>
      <c r="Q203" s="84">
        <v>4058.33</v>
      </c>
      <c r="R203" s="80"/>
      <c r="S203" s="80"/>
      <c r="T203" s="80"/>
      <c r="U203" s="80"/>
      <c r="V203" s="86">
        <v>19</v>
      </c>
      <c r="W203" s="80"/>
      <c r="X203" s="80"/>
      <c r="Y203" s="80"/>
      <c r="Z203" s="79">
        <v>19</v>
      </c>
      <c r="AA203" s="80"/>
      <c r="AB203" s="80"/>
      <c r="AC203" s="80"/>
      <c r="AD203" s="80"/>
      <c r="AE203" s="91">
        <v>184.13473684210527</v>
      </c>
      <c r="AF203" s="80"/>
      <c r="AG203" s="80"/>
      <c r="AH203" s="80"/>
      <c r="AI203" s="84">
        <v>184.13473684210527</v>
      </c>
      <c r="AJ203" s="80"/>
      <c r="AK203" s="80"/>
      <c r="AL203" s="80"/>
      <c r="AM203" s="80"/>
      <c r="AN203" s="86">
        <v>38</v>
      </c>
      <c r="AO203" s="80"/>
      <c r="AP203" s="80"/>
      <c r="AQ203" s="80"/>
      <c r="AR203" s="79">
        <v>38</v>
      </c>
      <c r="AS203" s="80"/>
      <c r="AT203" s="80"/>
      <c r="AU203" s="80"/>
      <c r="AV203" s="80"/>
    </row>
    <row r="204" spans="1:48" s="85" customFormat="1" x14ac:dyDescent="0.2">
      <c r="A204" s="83" t="s">
        <v>28</v>
      </c>
      <c r="B204" s="83" t="s">
        <v>277</v>
      </c>
      <c r="C204" s="83" t="s">
        <v>278</v>
      </c>
      <c r="D204" s="94">
        <v>3455.96</v>
      </c>
      <c r="E204" s="96"/>
      <c r="F204" s="96"/>
      <c r="G204" s="96"/>
      <c r="H204" s="96"/>
      <c r="I204" s="96">
        <v>229.61</v>
      </c>
      <c r="J204" s="96">
        <v>1863.61</v>
      </c>
      <c r="K204" s="96">
        <v>3455.96</v>
      </c>
      <c r="L204" s="96"/>
      <c r="M204" s="78">
        <v>4008.91</v>
      </c>
      <c r="N204" s="80"/>
      <c r="O204" s="80"/>
      <c r="P204" s="80"/>
      <c r="Q204" s="80"/>
      <c r="R204" s="80"/>
      <c r="S204" s="80"/>
      <c r="T204" s="84">
        <v>4008.91</v>
      </c>
      <c r="U204" s="80"/>
      <c r="V204" s="86">
        <v>15</v>
      </c>
      <c r="W204" s="80"/>
      <c r="X204" s="80"/>
      <c r="Y204" s="80"/>
      <c r="Z204" s="80"/>
      <c r="AA204" s="80"/>
      <c r="AB204" s="80"/>
      <c r="AC204" s="79">
        <v>15</v>
      </c>
      <c r="AD204" s="80"/>
      <c r="AE204" s="91">
        <v>230.39733333333334</v>
      </c>
      <c r="AF204" s="80"/>
      <c r="AG204" s="80"/>
      <c r="AH204" s="80"/>
      <c r="AI204" s="80"/>
      <c r="AJ204" s="80"/>
      <c r="AK204" s="80"/>
      <c r="AL204" s="84">
        <v>230.39733333333334</v>
      </c>
      <c r="AM204" s="80"/>
      <c r="AN204" s="88"/>
      <c r="AO204" s="80"/>
      <c r="AP204" s="80"/>
      <c r="AQ204" s="80"/>
      <c r="AR204" s="80"/>
      <c r="AS204" s="80"/>
      <c r="AT204" s="80"/>
      <c r="AU204" s="80"/>
      <c r="AV204" s="80"/>
    </row>
    <row r="205" spans="1:48" s="85" customFormat="1" x14ac:dyDescent="0.2">
      <c r="A205" s="83" t="s">
        <v>47</v>
      </c>
      <c r="B205" s="83" t="s">
        <v>68</v>
      </c>
      <c r="C205" s="83" t="s">
        <v>69</v>
      </c>
      <c r="D205" s="94">
        <v>3362.42</v>
      </c>
      <c r="E205" s="96">
        <v>1937.5</v>
      </c>
      <c r="F205" s="96"/>
      <c r="G205" s="96"/>
      <c r="H205" s="96"/>
      <c r="I205" s="96"/>
      <c r="J205" s="96">
        <v>1424.92</v>
      </c>
      <c r="K205" s="96"/>
      <c r="L205" s="96"/>
      <c r="M205" s="78">
        <v>3900.41</v>
      </c>
      <c r="N205" s="84">
        <v>2247.5</v>
      </c>
      <c r="O205" s="80"/>
      <c r="P205" s="80"/>
      <c r="Q205" s="80"/>
      <c r="R205" s="80"/>
      <c r="S205" s="84">
        <v>1652.91</v>
      </c>
      <c r="T205" s="80"/>
      <c r="U205" s="80"/>
      <c r="V205" s="88"/>
      <c r="W205" s="80"/>
      <c r="X205" s="80"/>
      <c r="Y205" s="80"/>
      <c r="Z205" s="80"/>
      <c r="AA205" s="80"/>
      <c r="AB205" s="80"/>
      <c r="AC205" s="80"/>
      <c r="AD205" s="80"/>
      <c r="AE205" s="87" t="s">
        <v>33</v>
      </c>
      <c r="AF205" s="81" t="s">
        <v>33</v>
      </c>
      <c r="AG205" s="80"/>
      <c r="AH205" s="80"/>
      <c r="AI205" s="80"/>
      <c r="AJ205" s="80"/>
      <c r="AK205" s="81" t="s">
        <v>33</v>
      </c>
      <c r="AL205" s="80"/>
      <c r="AM205" s="80"/>
      <c r="AN205" s="86">
        <v>78</v>
      </c>
      <c r="AO205" s="79">
        <v>50</v>
      </c>
      <c r="AP205" s="80"/>
      <c r="AQ205" s="80"/>
      <c r="AR205" s="80"/>
      <c r="AS205" s="80"/>
      <c r="AT205" s="79">
        <v>28</v>
      </c>
      <c r="AU205" s="80"/>
      <c r="AV205" s="80"/>
    </row>
    <row r="206" spans="1:48" s="85" customFormat="1" x14ac:dyDescent="0.2">
      <c r="A206" s="83" t="s">
        <v>28</v>
      </c>
      <c r="B206" s="83" t="s">
        <v>223</v>
      </c>
      <c r="C206" s="83" t="s">
        <v>224</v>
      </c>
      <c r="D206" s="94">
        <v>3152.3</v>
      </c>
      <c r="E206" s="96">
        <v>1635.83</v>
      </c>
      <c r="F206" s="96">
        <v>348.44</v>
      </c>
      <c r="G206" s="96">
        <v>95.75</v>
      </c>
      <c r="H206" s="96">
        <v>388.86</v>
      </c>
      <c r="I206" s="96">
        <v>284.55</v>
      </c>
      <c r="J206" s="96"/>
      <c r="K206" s="96">
        <v>398.87</v>
      </c>
      <c r="L206" s="96"/>
      <c r="M206" s="78">
        <v>3656.67</v>
      </c>
      <c r="N206" s="84">
        <v>1897.56</v>
      </c>
      <c r="O206" s="84">
        <v>404.19</v>
      </c>
      <c r="P206" s="84">
        <v>111.07</v>
      </c>
      <c r="Q206" s="84">
        <v>451.08</v>
      </c>
      <c r="R206" s="84">
        <v>330.08</v>
      </c>
      <c r="S206" s="80"/>
      <c r="T206" s="84">
        <v>462.69</v>
      </c>
      <c r="U206" s="80"/>
      <c r="V206" s="88"/>
      <c r="W206" s="80"/>
      <c r="X206" s="80"/>
      <c r="Y206" s="80"/>
      <c r="Z206" s="80"/>
      <c r="AA206" s="80"/>
      <c r="AB206" s="80"/>
      <c r="AC206" s="80"/>
      <c r="AD206" s="80"/>
      <c r="AE206" s="87" t="s">
        <v>33</v>
      </c>
      <c r="AF206" s="81" t="s">
        <v>33</v>
      </c>
      <c r="AG206" s="81" t="s">
        <v>33</v>
      </c>
      <c r="AH206" s="81" t="s">
        <v>33</v>
      </c>
      <c r="AI206" s="81" t="s">
        <v>33</v>
      </c>
      <c r="AJ206" s="81" t="s">
        <v>33</v>
      </c>
      <c r="AK206" s="80"/>
      <c r="AL206" s="81" t="s">
        <v>33</v>
      </c>
      <c r="AM206" s="80"/>
      <c r="AN206" s="86">
        <v>242</v>
      </c>
      <c r="AO206" s="79">
        <v>176</v>
      </c>
      <c r="AP206" s="79">
        <v>34</v>
      </c>
      <c r="AQ206" s="79">
        <v>4</v>
      </c>
      <c r="AR206" s="79">
        <v>4</v>
      </c>
      <c r="AS206" s="79">
        <v>18</v>
      </c>
      <c r="AT206" s="80"/>
      <c r="AU206" s="79">
        <v>6</v>
      </c>
      <c r="AV206" s="80"/>
    </row>
    <row r="207" spans="1:48" s="85" customFormat="1" x14ac:dyDescent="0.2">
      <c r="A207" s="83" t="s">
        <v>38</v>
      </c>
      <c r="B207" s="83" t="s">
        <v>617</v>
      </c>
      <c r="C207" s="83" t="s">
        <v>618</v>
      </c>
      <c r="D207" s="94">
        <v>2967.26</v>
      </c>
      <c r="E207" s="96">
        <v>607.37</v>
      </c>
      <c r="F207" s="96">
        <v>201.22</v>
      </c>
      <c r="G207" s="96"/>
      <c r="H207" s="96">
        <v>1799.66</v>
      </c>
      <c r="I207" s="96"/>
      <c r="J207" s="96"/>
      <c r="K207" s="96">
        <v>359.01</v>
      </c>
      <c r="L207" s="96"/>
      <c r="M207" s="78">
        <v>3442.03</v>
      </c>
      <c r="N207" s="84">
        <v>704.55</v>
      </c>
      <c r="O207" s="84">
        <v>233.42</v>
      </c>
      <c r="P207" s="80"/>
      <c r="Q207" s="84">
        <v>2087.61</v>
      </c>
      <c r="R207" s="80"/>
      <c r="S207" s="80"/>
      <c r="T207" s="84">
        <v>416.45</v>
      </c>
      <c r="U207" s="80"/>
      <c r="V207" s="86">
        <v>11</v>
      </c>
      <c r="W207" s="79">
        <v>2</v>
      </c>
      <c r="X207" s="79">
        <v>1</v>
      </c>
      <c r="Y207" s="80"/>
      <c r="Z207" s="79">
        <v>7</v>
      </c>
      <c r="AA207" s="80"/>
      <c r="AB207" s="80"/>
      <c r="AC207" s="79">
        <v>1</v>
      </c>
      <c r="AD207" s="80"/>
      <c r="AE207" s="91">
        <v>269.75090909090909</v>
      </c>
      <c r="AF207" s="84">
        <v>303.685</v>
      </c>
      <c r="AG207" s="84">
        <v>201.22</v>
      </c>
      <c r="AH207" s="80"/>
      <c r="AI207" s="84">
        <v>257.09428571428572</v>
      </c>
      <c r="AJ207" s="80"/>
      <c r="AK207" s="80"/>
      <c r="AL207" s="84">
        <v>359.01</v>
      </c>
      <c r="AM207" s="80"/>
      <c r="AN207" s="86">
        <v>24</v>
      </c>
      <c r="AO207" s="80"/>
      <c r="AP207" s="80"/>
      <c r="AQ207" s="80"/>
      <c r="AR207" s="79">
        <v>14</v>
      </c>
      <c r="AS207" s="80"/>
      <c r="AT207" s="80"/>
      <c r="AU207" s="79">
        <v>10</v>
      </c>
      <c r="AV207" s="80"/>
    </row>
    <row r="208" spans="1:48" s="85" customFormat="1" x14ac:dyDescent="0.2">
      <c r="A208" s="83" t="s">
        <v>38</v>
      </c>
      <c r="B208" s="83" t="s">
        <v>471</v>
      </c>
      <c r="C208" s="83" t="s">
        <v>472</v>
      </c>
      <c r="D208" s="94">
        <v>2953</v>
      </c>
      <c r="E208" s="96"/>
      <c r="F208" s="96"/>
      <c r="G208" s="96">
        <v>1867.02</v>
      </c>
      <c r="H208" s="96"/>
      <c r="I208" s="96">
        <v>1035.3</v>
      </c>
      <c r="J208" s="96">
        <v>50.68</v>
      </c>
      <c r="K208" s="96"/>
      <c r="L208" s="96"/>
      <c r="M208" s="78">
        <v>3425.48</v>
      </c>
      <c r="N208" s="80"/>
      <c r="O208" s="80"/>
      <c r="P208" s="84">
        <v>2165.7399999999998</v>
      </c>
      <c r="Q208" s="80"/>
      <c r="R208" s="84">
        <v>1200.95</v>
      </c>
      <c r="S208" s="84">
        <v>58.79</v>
      </c>
      <c r="T208" s="80"/>
      <c r="U208" s="80"/>
      <c r="V208" s="88"/>
      <c r="W208" s="80"/>
      <c r="X208" s="80"/>
      <c r="Y208" s="80"/>
      <c r="Z208" s="80"/>
      <c r="AA208" s="80"/>
      <c r="AB208" s="80"/>
      <c r="AC208" s="80"/>
      <c r="AD208" s="80"/>
      <c r="AE208" s="87" t="s">
        <v>33</v>
      </c>
      <c r="AF208" s="80"/>
      <c r="AG208" s="80"/>
      <c r="AH208" s="81" t="s">
        <v>33</v>
      </c>
      <c r="AI208" s="80"/>
      <c r="AJ208" s="81" t="s">
        <v>33</v>
      </c>
      <c r="AK208" s="81" t="s">
        <v>33</v>
      </c>
      <c r="AL208" s="80"/>
      <c r="AM208" s="80"/>
      <c r="AN208" s="86">
        <v>96</v>
      </c>
      <c r="AO208" s="80"/>
      <c r="AP208" s="80"/>
      <c r="AQ208" s="79">
        <v>74</v>
      </c>
      <c r="AR208" s="80"/>
      <c r="AS208" s="79">
        <v>20</v>
      </c>
      <c r="AT208" s="79">
        <v>2</v>
      </c>
      <c r="AU208" s="80"/>
      <c r="AV208" s="80"/>
    </row>
    <row r="209" spans="1:48" s="85" customFormat="1" x14ac:dyDescent="0.2">
      <c r="A209" s="83" t="s">
        <v>47</v>
      </c>
      <c r="B209" s="83" t="s">
        <v>162</v>
      </c>
      <c r="C209" s="83" t="s">
        <v>163</v>
      </c>
      <c r="D209" s="94">
        <v>2849.18</v>
      </c>
      <c r="E209" s="96"/>
      <c r="F209" s="96"/>
      <c r="G209" s="96"/>
      <c r="H209" s="96"/>
      <c r="I209" s="96"/>
      <c r="J209" s="96">
        <v>2849.18</v>
      </c>
      <c r="K209" s="96"/>
      <c r="L209" s="96"/>
      <c r="M209" s="78">
        <v>3305.05</v>
      </c>
      <c r="N209" s="80"/>
      <c r="O209" s="80"/>
      <c r="P209" s="80"/>
      <c r="Q209" s="80"/>
      <c r="R209" s="80"/>
      <c r="S209" s="84">
        <v>3305.05</v>
      </c>
      <c r="T209" s="80"/>
      <c r="U209" s="80"/>
      <c r="V209" s="86">
        <v>5</v>
      </c>
      <c r="W209" s="80"/>
      <c r="X209" s="80"/>
      <c r="Y209" s="80"/>
      <c r="Z209" s="80"/>
      <c r="AA209" s="80"/>
      <c r="AB209" s="79">
        <v>5</v>
      </c>
      <c r="AC209" s="80"/>
      <c r="AD209" s="80"/>
      <c r="AE209" s="91">
        <v>569.83600000000001</v>
      </c>
      <c r="AF209" s="80"/>
      <c r="AG209" s="80"/>
      <c r="AH209" s="80"/>
      <c r="AI209" s="80"/>
      <c r="AJ209" s="80"/>
      <c r="AK209" s="84">
        <v>569.83600000000001</v>
      </c>
      <c r="AL209" s="80"/>
      <c r="AM209" s="80"/>
      <c r="AN209" s="86">
        <v>76</v>
      </c>
      <c r="AO209" s="80"/>
      <c r="AP209" s="80"/>
      <c r="AQ209" s="80"/>
      <c r="AR209" s="80"/>
      <c r="AS209" s="80"/>
      <c r="AT209" s="79">
        <v>76</v>
      </c>
      <c r="AU209" s="80"/>
      <c r="AV209" s="80"/>
    </row>
    <row r="210" spans="1:48" s="85" customFormat="1" x14ac:dyDescent="0.2">
      <c r="A210" s="83" t="s">
        <v>28</v>
      </c>
      <c r="B210" s="83" t="s">
        <v>341</v>
      </c>
      <c r="C210" s="83" t="s">
        <v>342</v>
      </c>
      <c r="D210" s="94">
        <v>2486.8000000000002</v>
      </c>
      <c r="E210" s="96">
        <v>140.52000000000001</v>
      </c>
      <c r="F210" s="96">
        <v>144.16</v>
      </c>
      <c r="G210" s="96">
        <v>1396.96</v>
      </c>
      <c r="H210" s="96"/>
      <c r="I210" s="96">
        <v>369.73</v>
      </c>
      <c r="J210" s="96">
        <v>103.29</v>
      </c>
      <c r="K210" s="96">
        <v>332.14</v>
      </c>
      <c r="L210" s="96"/>
      <c r="M210" s="78">
        <v>2884.68</v>
      </c>
      <c r="N210" s="84">
        <v>163</v>
      </c>
      <c r="O210" s="84">
        <v>167.23</v>
      </c>
      <c r="P210" s="84">
        <v>1620.47</v>
      </c>
      <c r="Q210" s="80"/>
      <c r="R210" s="84">
        <v>428.88</v>
      </c>
      <c r="S210" s="84">
        <v>119.82</v>
      </c>
      <c r="T210" s="84">
        <v>385.28</v>
      </c>
      <c r="U210" s="80"/>
      <c r="V210" s="88"/>
      <c r="W210" s="80"/>
      <c r="X210" s="80"/>
      <c r="Y210" s="80"/>
      <c r="Z210" s="80"/>
      <c r="AA210" s="80"/>
      <c r="AB210" s="80"/>
      <c r="AC210" s="80"/>
      <c r="AD210" s="80"/>
      <c r="AE210" s="87" t="s">
        <v>33</v>
      </c>
      <c r="AF210" s="81" t="s">
        <v>33</v>
      </c>
      <c r="AG210" s="81" t="s">
        <v>33</v>
      </c>
      <c r="AH210" s="81" t="s">
        <v>33</v>
      </c>
      <c r="AI210" s="80"/>
      <c r="AJ210" s="81" t="s">
        <v>33</v>
      </c>
      <c r="AK210" s="81" t="s">
        <v>33</v>
      </c>
      <c r="AL210" s="81" t="s">
        <v>33</v>
      </c>
      <c r="AM210" s="80"/>
      <c r="AN210" s="86">
        <v>408</v>
      </c>
      <c r="AO210" s="79">
        <v>10</v>
      </c>
      <c r="AP210" s="79">
        <v>20</v>
      </c>
      <c r="AQ210" s="79">
        <v>256</v>
      </c>
      <c r="AR210" s="80"/>
      <c r="AS210" s="79">
        <v>44</v>
      </c>
      <c r="AT210" s="79">
        <v>10</v>
      </c>
      <c r="AU210" s="79">
        <v>68</v>
      </c>
      <c r="AV210" s="80"/>
    </row>
    <row r="211" spans="1:48" s="85" customFormat="1" x14ac:dyDescent="0.2">
      <c r="A211" s="83" t="s">
        <v>38</v>
      </c>
      <c r="B211" s="83" t="s">
        <v>475</v>
      </c>
      <c r="C211" s="83" t="s">
        <v>476</v>
      </c>
      <c r="D211" s="94">
        <v>2455.63</v>
      </c>
      <c r="E211" s="96"/>
      <c r="F211" s="96"/>
      <c r="G211" s="96"/>
      <c r="H211" s="96"/>
      <c r="I211" s="96">
        <v>3833.27</v>
      </c>
      <c r="J211" s="96"/>
      <c r="K211" s="96">
        <v>-1377.64</v>
      </c>
      <c r="L211" s="96"/>
      <c r="M211" s="78">
        <v>2608.87</v>
      </c>
      <c r="N211" s="80"/>
      <c r="O211" s="80"/>
      <c r="P211" s="80"/>
      <c r="Q211" s="80"/>
      <c r="R211" s="84">
        <v>3986.51</v>
      </c>
      <c r="S211" s="80"/>
      <c r="T211" s="84">
        <v>-1377.64</v>
      </c>
      <c r="U211" s="80"/>
      <c r="V211" s="86">
        <v>4</v>
      </c>
      <c r="W211" s="80"/>
      <c r="X211" s="80"/>
      <c r="Y211" s="80"/>
      <c r="Z211" s="80"/>
      <c r="AA211" s="79">
        <v>4</v>
      </c>
      <c r="AB211" s="80"/>
      <c r="AC211" s="80"/>
      <c r="AD211" s="80"/>
      <c r="AE211" s="91">
        <v>613.90750000000003</v>
      </c>
      <c r="AF211" s="80"/>
      <c r="AG211" s="80"/>
      <c r="AH211" s="80"/>
      <c r="AI211" s="80"/>
      <c r="AJ211" s="84">
        <v>958.3175</v>
      </c>
      <c r="AK211" s="80"/>
      <c r="AL211" s="81" t="s">
        <v>33</v>
      </c>
      <c r="AM211" s="80"/>
      <c r="AN211" s="86">
        <v>57</v>
      </c>
      <c r="AO211" s="80"/>
      <c r="AP211" s="80"/>
      <c r="AQ211" s="80"/>
      <c r="AR211" s="80"/>
      <c r="AS211" s="79">
        <v>68</v>
      </c>
      <c r="AT211" s="80"/>
      <c r="AU211" s="79">
        <v>-11</v>
      </c>
      <c r="AV211" s="80"/>
    </row>
    <row r="212" spans="1:48" s="85" customFormat="1" x14ac:dyDescent="0.2">
      <c r="A212" s="83" t="s">
        <v>38</v>
      </c>
      <c r="B212" s="83" t="s">
        <v>469</v>
      </c>
      <c r="C212" s="83" t="s">
        <v>470</v>
      </c>
      <c r="D212" s="94">
        <v>2410.48</v>
      </c>
      <c r="E212" s="96"/>
      <c r="F212" s="96"/>
      <c r="G212" s="96"/>
      <c r="H212" s="96"/>
      <c r="I212" s="96">
        <v>262.95</v>
      </c>
      <c r="J212" s="96">
        <v>2147.5300000000002</v>
      </c>
      <c r="K212" s="96"/>
      <c r="L212" s="96"/>
      <c r="M212" s="78">
        <v>2796.15</v>
      </c>
      <c r="N212" s="80"/>
      <c r="O212" s="80"/>
      <c r="P212" s="80"/>
      <c r="Q212" s="80"/>
      <c r="R212" s="84">
        <v>305.02</v>
      </c>
      <c r="S212" s="84">
        <v>2491.13</v>
      </c>
      <c r="T212" s="80"/>
      <c r="U212" s="80"/>
      <c r="V212" s="86">
        <v>8</v>
      </c>
      <c r="W212" s="80"/>
      <c r="X212" s="80"/>
      <c r="Y212" s="80"/>
      <c r="Z212" s="80"/>
      <c r="AA212" s="79">
        <v>1</v>
      </c>
      <c r="AB212" s="79">
        <v>7</v>
      </c>
      <c r="AC212" s="80"/>
      <c r="AD212" s="80"/>
      <c r="AE212" s="91">
        <v>301.31</v>
      </c>
      <c r="AF212" s="80"/>
      <c r="AG212" s="80"/>
      <c r="AH212" s="80"/>
      <c r="AI212" s="80"/>
      <c r="AJ212" s="84">
        <v>262.95</v>
      </c>
      <c r="AK212" s="84">
        <v>306.79000000000002</v>
      </c>
      <c r="AL212" s="80"/>
      <c r="AM212" s="80"/>
      <c r="AN212" s="86">
        <v>54</v>
      </c>
      <c r="AO212" s="80"/>
      <c r="AP212" s="80"/>
      <c r="AQ212" s="80"/>
      <c r="AR212" s="80"/>
      <c r="AS212" s="79">
        <v>2</v>
      </c>
      <c r="AT212" s="79">
        <v>52</v>
      </c>
      <c r="AU212" s="80"/>
      <c r="AV212" s="80"/>
    </row>
    <row r="213" spans="1:48" s="85" customFormat="1" x14ac:dyDescent="0.2">
      <c r="A213" s="83" t="s">
        <v>47</v>
      </c>
      <c r="B213" s="83" t="s">
        <v>88</v>
      </c>
      <c r="C213" s="83" t="s">
        <v>89</v>
      </c>
      <c r="D213" s="94">
        <v>1837.62</v>
      </c>
      <c r="E213" s="96"/>
      <c r="F213" s="96"/>
      <c r="G213" s="96"/>
      <c r="H213" s="96"/>
      <c r="I213" s="96"/>
      <c r="J213" s="96">
        <v>1837.62</v>
      </c>
      <c r="K213" s="96"/>
      <c r="L213" s="96"/>
      <c r="M213" s="78">
        <v>2131.64</v>
      </c>
      <c r="N213" s="80"/>
      <c r="O213" s="80"/>
      <c r="P213" s="80"/>
      <c r="Q213" s="80"/>
      <c r="R213" s="80"/>
      <c r="S213" s="84">
        <v>2131.64</v>
      </c>
      <c r="T213" s="80"/>
      <c r="U213" s="80"/>
      <c r="V213" s="86">
        <v>2</v>
      </c>
      <c r="W213" s="80"/>
      <c r="X213" s="80"/>
      <c r="Y213" s="80"/>
      <c r="Z213" s="80"/>
      <c r="AA213" s="80"/>
      <c r="AB213" s="79">
        <v>2</v>
      </c>
      <c r="AC213" s="80"/>
      <c r="AD213" s="80"/>
      <c r="AE213" s="91">
        <v>918.81</v>
      </c>
      <c r="AF213" s="80"/>
      <c r="AG213" s="80"/>
      <c r="AH213" s="80"/>
      <c r="AI213" s="80"/>
      <c r="AJ213" s="80"/>
      <c r="AK213" s="84">
        <v>918.81</v>
      </c>
      <c r="AL213" s="80"/>
      <c r="AM213" s="80"/>
      <c r="AN213" s="86">
        <v>52</v>
      </c>
      <c r="AO213" s="80"/>
      <c r="AP213" s="80"/>
      <c r="AQ213" s="80"/>
      <c r="AR213" s="80"/>
      <c r="AS213" s="80"/>
      <c r="AT213" s="79">
        <v>52</v>
      </c>
      <c r="AU213" s="80"/>
      <c r="AV213" s="80"/>
    </row>
    <row r="214" spans="1:48" s="85" customFormat="1" x14ac:dyDescent="0.2">
      <c r="A214" s="83" t="s">
        <v>38</v>
      </c>
      <c r="B214" s="83" t="s">
        <v>489</v>
      </c>
      <c r="C214" s="83" t="s">
        <v>490</v>
      </c>
      <c r="D214" s="94">
        <v>1591.62</v>
      </c>
      <c r="E214" s="96">
        <v>80.010000000000005</v>
      </c>
      <c r="F214" s="96">
        <v>152.16</v>
      </c>
      <c r="G214" s="96"/>
      <c r="H214" s="96"/>
      <c r="I214" s="96">
        <v>576.29999999999995</v>
      </c>
      <c r="J214" s="96">
        <v>783.15</v>
      </c>
      <c r="K214" s="96"/>
      <c r="L214" s="96"/>
      <c r="M214" s="78">
        <v>1846.28</v>
      </c>
      <c r="N214" s="84">
        <v>92.81</v>
      </c>
      <c r="O214" s="84">
        <v>176.51</v>
      </c>
      <c r="P214" s="80"/>
      <c r="Q214" s="80"/>
      <c r="R214" s="84">
        <v>668.51</v>
      </c>
      <c r="S214" s="84">
        <v>908.45</v>
      </c>
      <c r="T214" s="80"/>
      <c r="U214" s="80"/>
      <c r="V214" s="88"/>
      <c r="W214" s="80"/>
      <c r="X214" s="80"/>
      <c r="Y214" s="80"/>
      <c r="Z214" s="80"/>
      <c r="AA214" s="80"/>
      <c r="AB214" s="80"/>
      <c r="AC214" s="80"/>
      <c r="AD214" s="80"/>
      <c r="AE214" s="87" t="s">
        <v>33</v>
      </c>
      <c r="AF214" s="81" t="s">
        <v>33</v>
      </c>
      <c r="AG214" s="81" t="s">
        <v>33</v>
      </c>
      <c r="AH214" s="80"/>
      <c r="AI214" s="80"/>
      <c r="AJ214" s="81" t="s">
        <v>33</v>
      </c>
      <c r="AK214" s="81" t="s">
        <v>33</v>
      </c>
      <c r="AL214" s="80"/>
      <c r="AM214" s="80"/>
      <c r="AN214" s="86">
        <v>564</v>
      </c>
      <c r="AO214" s="79">
        <v>42</v>
      </c>
      <c r="AP214" s="79">
        <v>18</v>
      </c>
      <c r="AQ214" s="80"/>
      <c r="AR214" s="80"/>
      <c r="AS214" s="79">
        <v>196</v>
      </c>
      <c r="AT214" s="79">
        <v>308</v>
      </c>
      <c r="AU214" s="80"/>
      <c r="AV214" s="80"/>
    </row>
    <row r="215" spans="1:48" s="85" customFormat="1" x14ac:dyDescent="0.2">
      <c r="A215" s="83" t="s">
        <v>38</v>
      </c>
      <c r="B215" s="83" t="s">
        <v>563</v>
      </c>
      <c r="C215" s="83" t="s">
        <v>564</v>
      </c>
      <c r="D215" s="94">
        <v>1305.3399999999999</v>
      </c>
      <c r="E215" s="96">
        <v>920.95</v>
      </c>
      <c r="F215" s="96"/>
      <c r="G215" s="96"/>
      <c r="H215" s="96">
        <v>361.48</v>
      </c>
      <c r="I215" s="96">
        <v>113.28</v>
      </c>
      <c r="J215" s="96"/>
      <c r="K215" s="96">
        <v>-90.37</v>
      </c>
      <c r="L215" s="96"/>
      <c r="M215" s="78">
        <v>1403.66</v>
      </c>
      <c r="N215" s="84">
        <v>957.77</v>
      </c>
      <c r="O215" s="80"/>
      <c r="P215" s="80"/>
      <c r="Q215" s="84">
        <v>419.32</v>
      </c>
      <c r="R215" s="84">
        <v>131.4</v>
      </c>
      <c r="S215" s="80"/>
      <c r="T215" s="84">
        <v>-104.83</v>
      </c>
      <c r="U215" s="80"/>
      <c r="V215" s="86">
        <v>2</v>
      </c>
      <c r="W215" s="79">
        <v>2</v>
      </c>
      <c r="X215" s="80"/>
      <c r="Y215" s="80"/>
      <c r="Z215" s="80"/>
      <c r="AA215" s="80"/>
      <c r="AB215" s="80"/>
      <c r="AC215" s="80"/>
      <c r="AD215" s="80"/>
      <c r="AE215" s="91">
        <v>652.66999999999996</v>
      </c>
      <c r="AF215" s="84">
        <v>460.47500000000002</v>
      </c>
      <c r="AG215" s="80"/>
      <c r="AH215" s="80"/>
      <c r="AI215" s="81" t="s">
        <v>33</v>
      </c>
      <c r="AJ215" s="81" t="s">
        <v>33</v>
      </c>
      <c r="AK215" s="80"/>
      <c r="AL215" s="81" t="s">
        <v>33</v>
      </c>
      <c r="AM215" s="80"/>
      <c r="AN215" s="86">
        <v>10</v>
      </c>
      <c r="AO215" s="79">
        <v>4</v>
      </c>
      <c r="AP215" s="80"/>
      <c r="AQ215" s="80"/>
      <c r="AR215" s="79">
        <v>8</v>
      </c>
      <c r="AS215" s="80"/>
      <c r="AT215" s="80"/>
      <c r="AU215" s="79">
        <v>-2</v>
      </c>
      <c r="AV215" s="80"/>
    </row>
    <row r="216" spans="1:48" s="85" customFormat="1" x14ac:dyDescent="0.2">
      <c r="A216" s="83" t="s">
        <v>38</v>
      </c>
      <c r="B216" s="83" t="s">
        <v>439</v>
      </c>
      <c r="C216" s="83" t="s">
        <v>440</v>
      </c>
      <c r="D216" s="94">
        <v>1155.27</v>
      </c>
      <c r="E216" s="96"/>
      <c r="F216" s="96"/>
      <c r="G216" s="96"/>
      <c r="H216" s="96"/>
      <c r="I216" s="96">
        <v>236.58</v>
      </c>
      <c r="J216" s="96">
        <v>142.19</v>
      </c>
      <c r="K216" s="96">
        <v>776.5</v>
      </c>
      <c r="L216" s="96"/>
      <c r="M216" s="78">
        <v>1340.11</v>
      </c>
      <c r="N216" s="80"/>
      <c r="O216" s="80"/>
      <c r="P216" s="80"/>
      <c r="Q216" s="80"/>
      <c r="R216" s="84">
        <v>274.43</v>
      </c>
      <c r="S216" s="84">
        <v>164.94</v>
      </c>
      <c r="T216" s="84">
        <v>900.74</v>
      </c>
      <c r="U216" s="80"/>
      <c r="V216" s="88"/>
      <c r="W216" s="80"/>
      <c r="X216" s="80"/>
      <c r="Y216" s="80"/>
      <c r="Z216" s="80"/>
      <c r="AA216" s="80"/>
      <c r="AB216" s="80"/>
      <c r="AC216" s="80"/>
      <c r="AD216" s="80"/>
      <c r="AE216" s="87" t="s">
        <v>33</v>
      </c>
      <c r="AF216" s="80"/>
      <c r="AG216" s="80"/>
      <c r="AH216" s="80"/>
      <c r="AI216" s="80"/>
      <c r="AJ216" s="81" t="s">
        <v>33</v>
      </c>
      <c r="AK216" s="81" t="s">
        <v>33</v>
      </c>
      <c r="AL216" s="81" t="s">
        <v>33</v>
      </c>
      <c r="AM216" s="80"/>
      <c r="AN216" s="86">
        <v>32</v>
      </c>
      <c r="AO216" s="80"/>
      <c r="AP216" s="80"/>
      <c r="AQ216" s="80"/>
      <c r="AR216" s="80"/>
      <c r="AS216" s="79">
        <v>10</v>
      </c>
      <c r="AT216" s="79">
        <v>6</v>
      </c>
      <c r="AU216" s="79">
        <v>16</v>
      </c>
      <c r="AV216" s="80"/>
    </row>
    <row r="217" spans="1:48" s="85" customFormat="1" x14ac:dyDescent="0.2">
      <c r="A217" s="83" t="s">
        <v>47</v>
      </c>
      <c r="B217" s="83" t="s">
        <v>108</v>
      </c>
      <c r="C217" s="83" t="s">
        <v>109</v>
      </c>
      <c r="D217" s="94">
        <v>1038.0899999999999</v>
      </c>
      <c r="E217" s="96">
        <v>676.26</v>
      </c>
      <c r="F217" s="96"/>
      <c r="G217" s="96">
        <v>256.19</v>
      </c>
      <c r="H217" s="96">
        <v>90.52</v>
      </c>
      <c r="I217" s="96">
        <v>15.12</v>
      </c>
      <c r="J217" s="96"/>
      <c r="K217" s="96"/>
      <c r="L217" s="96"/>
      <c r="M217" s="78">
        <v>1204.18</v>
      </c>
      <c r="N217" s="84">
        <v>784.46</v>
      </c>
      <c r="O217" s="80"/>
      <c r="P217" s="84">
        <v>297.18</v>
      </c>
      <c r="Q217" s="84">
        <v>105</v>
      </c>
      <c r="R217" s="84">
        <v>17.54</v>
      </c>
      <c r="S217" s="80"/>
      <c r="T217" s="80"/>
      <c r="U217" s="80"/>
      <c r="V217" s="88"/>
      <c r="W217" s="80"/>
      <c r="X217" s="80"/>
      <c r="Y217" s="80"/>
      <c r="Z217" s="80"/>
      <c r="AA217" s="80"/>
      <c r="AB217" s="80"/>
      <c r="AC217" s="80"/>
      <c r="AD217" s="80"/>
      <c r="AE217" s="87" t="s">
        <v>33</v>
      </c>
      <c r="AF217" s="81" t="s">
        <v>33</v>
      </c>
      <c r="AG217" s="80"/>
      <c r="AH217" s="81" t="s">
        <v>33</v>
      </c>
      <c r="AI217" s="81" t="s">
        <v>33</v>
      </c>
      <c r="AJ217" s="81" t="s">
        <v>33</v>
      </c>
      <c r="AK217" s="80"/>
      <c r="AL217" s="80"/>
      <c r="AM217" s="80"/>
      <c r="AN217" s="86">
        <v>104</v>
      </c>
      <c r="AO217" s="79">
        <v>56</v>
      </c>
      <c r="AP217" s="80"/>
      <c r="AQ217" s="79">
        <v>34</v>
      </c>
      <c r="AR217" s="79">
        <v>12</v>
      </c>
      <c r="AS217" s="79">
        <v>2</v>
      </c>
      <c r="AT217" s="80"/>
      <c r="AU217" s="80"/>
      <c r="AV217" s="80"/>
    </row>
    <row r="218" spans="1:48" s="85" customFormat="1" x14ac:dyDescent="0.2">
      <c r="A218" s="83" t="s">
        <v>28</v>
      </c>
      <c r="B218" s="83" t="s">
        <v>257</v>
      </c>
      <c r="C218" s="83" t="s">
        <v>258</v>
      </c>
      <c r="D218" s="94">
        <v>624.96</v>
      </c>
      <c r="E218" s="96"/>
      <c r="F218" s="96"/>
      <c r="G218" s="96"/>
      <c r="H218" s="96"/>
      <c r="I218" s="96"/>
      <c r="J218" s="96">
        <v>322.89</v>
      </c>
      <c r="K218" s="96">
        <v>302.07</v>
      </c>
      <c r="L218" s="96"/>
      <c r="M218" s="78">
        <v>724.95</v>
      </c>
      <c r="N218" s="80"/>
      <c r="O218" s="80"/>
      <c r="P218" s="80"/>
      <c r="Q218" s="80"/>
      <c r="R218" s="80"/>
      <c r="S218" s="84">
        <v>374.55</v>
      </c>
      <c r="T218" s="84">
        <v>350.4</v>
      </c>
      <c r="U218" s="80"/>
      <c r="V218" s="86">
        <v>3</v>
      </c>
      <c r="W218" s="80"/>
      <c r="X218" s="80"/>
      <c r="Y218" s="80"/>
      <c r="Z218" s="80"/>
      <c r="AA218" s="80"/>
      <c r="AB218" s="79">
        <v>1</v>
      </c>
      <c r="AC218" s="79">
        <v>2</v>
      </c>
      <c r="AD218" s="80"/>
      <c r="AE218" s="91">
        <v>208.32</v>
      </c>
      <c r="AF218" s="80"/>
      <c r="AG218" s="80"/>
      <c r="AH218" s="80"/>
      <c r="AI218" s="80"/>
      <c r="AJ218" s="80"/>
      <c r="AK218" s="84">
        <v>322.89</v>
      </c>
      <c r="AL218" s="84">
        <v>151.035</v>
      </c>
      <c r="AM218" s="80"/>
      <c r="AN218" s="86">
        <v>16</v>
      </c>
      <c r="AO218" s="80"/>
      <c r="AP218" s="80"/>
      <c r="AQ218" s="80"/>
      <c r="AR218" s="80"/>
      <c r="AS218" s="80"/>
      <c r="AT218" s="79">
        <v>16</v>
      </c>
      <c r="AU218" s="80"/>
      <c r="AV218" s="80"/>
    </row>
    <row r="219" spans="1:48" s="85" customFormat="1" x14ac:dyDescent="0.2">
      <c r="A219" s="83" t="s">
        <v>47</v>
      </c>
      <c r="B219" s="83" t="s">
        <v>158</v>
      </c>
      <c r="C219" s="83" t="s">
        <v>159</v>
      </c>
      <c r="D219" s="94">
        <v>389.84</v>
      </c>
      <c r="E219" s="96">
        <v>389.84</v>
      </c>
      <c r="F219" s="96"/>
      <c r="G219" s="96"/>
      <c r="H219" s="96"/>
      <c r="I219" s="96"/>
      <c r="J219" s="96"/>
      <c r="K219" s="96"/>
      <c r="L219" s="96"/>
      <c r="M219" s="78">
        <v>452.21</v>
      </c>
      <c r="N219" s="84">
        <v>452.21</v>
      </c>
      <c r="O219" s="80"/>
      <c r="P219" s="80"/>
      <c r="Q219" s="80"/>
      <c r="R219" s="80"/>
      <c r="S219" s="80"/>
      <c r="T219" s="80"/>
      <c r="U219" s="80"/>
      <c r="V219" s="86">
        <v>2</v>
      </c>
      <c r="W219" s="79">
        <v>2</v>
      </c>
      <c r="X219" s="80"/>
      <c r="Y219" s="80"/>
      <c r="Z219" s="80"/>
      <c r="AA219" s="80"/>
      <c r="AB219" s="80"/>
      <c r="AC219" s="80"/>
      <c r="AD219" s="80"/>
      <c r="AE219" s="91">
        <v>194.92</v>
      </c>
      <c r="AF219" s="84">
        <v>194.92</v>
      </c>
      <c r="AG219" s="80"/>
      <c r="AH219" s="80"/>
      <c r="AI219" s="80"/>
      <c r="AJ219" s="80"/>
      <c r="AK219" s="80"/>
      <c r="AL219" s="80"/>
      <c r="AM219" s="80"/>
      <c r="AN219" s="88"/>
      <c r="AO219" s="80"/>
      <c r="AP219" s="80"/>
      <c r="AQ219" s="80"/>
      <c r="AR219" s="80"/>
      <c r="AS219" s="80"/>
      <c r="AT219" s="80"/>
      <c r="AU219" s="80"/>
      <c r="AV219" s="80"/>
    </row>
    <row r="220" spans="1:48" s="85" customFormat="1" x14ac:dyDescent="0.2">
      <c r="A220" s="83" t="s">
        <v>38</v>
      </c>
      <c r="B220" s="83" t="s">
        <v>377</v>
      </c>
      <c r="C220" s="83" t="s">
        <v>378</v>
      </c>
      <c r="D220" s="94">
        <v>115.14</v>
      </c>
      <c r="E220" s="96"/>
      <c r="F220" s="96"/>
      <c r="G220" s="96"/>
      <c r="H220" s="96"/>
      <c r="I220" s="96"/>
      <c r="J220" s="96">
        <v>115.14</v>
      </c>
      <c r="K220" s="96"/>
      <c r="L220" s="96"/>
      <c r="M220" s="78">
        <v>133.56</v>
      </c>
      <c r="N220" s="80"/>
      <c r="O220" s="80"/>
      <c r="P220" s="80"/>
      <c r="Q220" s="80"/>
      <c r="R220" s="80"/>
      <c r="S220" s="84">
        <v>133.56</v>
      </c>
      <c r="T220" s="80"/>
      <c r="U220" s="80"/>
      <c r="V220" s="88"/>
      <c r="W220" s="80"/>
      <c r="X220" s="80"/>
      <c r="Y220" s="80"/>
      <c r="Z220" s="80"/>
      <c r="AA220" s="80"/>
      <c r="AB220" s="80"/>
      <c r="AC220" s="80"/>
      <c r="AD220" s="80"/>
      <c r="AE220" s="87" t="s">
        <v>33</v>
      </c>
      <c r="AF220" s="80"/>
      <c r="AG220" s="80"/>
      <c r="AH220" s="80"/>
      <c r="AI220" s="80"/>
      <c r="AJ220" s="80"/>
      <c r="AK220" s="81" t="s">
        <v>33</v>
      </c>
      <c r="AL220" s="80"/>
      <c r="AM220" s="80"/>
      <c r="AN220" s="86">
        <v>2</v>
      </c>
      <c r="AO220" s="80"/>
      <c r="AP220" s="80"/>
      <c r="AQ220" s="80"/>
      <c r="AR220" s="80"/>
      <c r="AS220" s="80"/>
      <c r="AT220" s="79">
        <v>2</v>
      </c>
      <c r="AU220" s="80"/>
      <c r="AV220" s="80"/>
    </row>
    <row r="221" spans="1:48" s="85" customFormat="1" x14ac:dyDescent="0.2">
      <c r="A221" s="83" t="s">
        <v>47</v>
      </c>
      <c r="B221" s="83" t="s">
        <v>160</v>
      </c>
      <c r="C221" s="83" t="s">
        <v>161</v>
      </c>
      <c r="D221" s="94">
        <v>50.33</v>
      </c>
      <c r="E221" s="96">
        <v>50.33</v>
      </c>
      <c r="F221" s="96"/>
      <c r="G221" s="96"/>
      <c r="H221" s="96"/>
      <c r="I221" s="96"/>
      <c r="J221" s="96"/>
      <c r="K221" s="96"/>
      <c r="L221" s="96"/>
      <c r="M221" s="78">
        <v>58.38</v>
      </c>
      <c r="N221" s="84">
        <v>58.38</v>
      </c>
      <c r="O221" s="80"/>
      <c r="P221" s="80"/>
      <c r="Q221" s="80"/>
      <c r="R221" s="80"/>
      <c r="S221" s="80"/>
      <c r="T221" s="80"/>
      <c r="U221" s="80"/>
      <c r="V221" s="88"/>
      <c r="W221" s="80"/>
      <c r="X221" s="80"/>
      <c r="Y221" s="80"/>
      <c r="Z221" s="80"/>
      <c r="AA221" s="80"/>
      <c r="AB221" s="80"/>
      <c r="AC221" s="80"/>
      <c r="AD221" s="80"/>
      <c r="AE221" s="87" t="s">
        <v>33</v>
      </c>
      <c r="AF221" s="81" t="s">
        <v>33</v>
      </c>
      <c r="AG221" s="80"/>
      <c r="AH221" s="80"/>
      <c r="AI221" s="80"/>
      <c r="AJ221" s="80"/>
      <c r="AK221" s="80"/>
      <c r="AL221" s="80"/>
      <c r="AM221" s="80"/>
      <c r="AN221" s="86">
        <v>2</v>
      </c>
      <c r="AO221" s="79">
        <v>2</v>
      </c>
      <c r="AP221" s="80"/>
      <c r="AQ221" s="80"/>
      <c r="AR221" s="80"/>
      <c r="AS221" s="80"/>
      <c r="AT221" s="80"/>
      <c r="AU221" s="80"/>
      <c r="AV221" s="80"/>
    </row>
    <row r="222" spans="1:48" s="85" customFormat="1" x14ac:dyDescent="0.2">
      <c r="A222" s="83" t="s">
        <v>38</v>
      </c>
      <c r="B222" s="83" t="s">
        <v>447</v>
      </c>
      <c r="C222" s="83" t="s">
        <v>448</v>
      </c>
      <c r="D222" s="94">
        <v>-9254.99</v>
      </c>
      <c r="E222" s="96">
        <v>-9254.99</v>
      </c>
      <c r="F222" s="96"/>
      <c r="G222" s="96"/>
      <c r="H222" s="96"/>
      <c r="I222" s="96"/>
      <c r="J222" s="96"/>
      <c r="K222" s="96"/>
      <c r="L222" s="96"/>
      <c r="M222" s="78">
        <v>-9254.99</v>
      </c>
      <c r="N222" s="84">
        <v>-9254.99</v>
      </c>
      <c r="O222" s="80"/>
      <c r="P222" s="80"/>
      <c r="Q222" s="80"/>
      <c r="R222" s="80"/>
      <c r="S222" s="80"/>
      <c r="T222" s="80"/>
      <c r="U222" s="80"/>
      <c r="V222" s="86">
        <v>-1</v>
      </c>
      <c r="W222" s="79">
        <v>-1</v>
      </c>
      <c r="X222" s="80"/>
      <c r="Y222" s="80"/>
      <c r="Z222" s="80"/>
      <c r="AA222" s="80"/>
      <c r="AB222" s="80"/>
      <c r="AC222" s="80"/>
      <c r="AD222" s="80"/>
      <c r="AE222" s="91">
        <v>9254.99</v>
      </c>
      <c r="AF222" s="84">
        <v>9254.99</v>
      </c>
      <c r="AG222" s="80"/>
      <c r="AH222" s="80"/>
      <c r="AI222" s="80"/>
      <c r="AJ222" s="80"/>
      <c r="AK222" s="80"/>
      <c r="AL222" s="80"/>
      <c r="AM222" s="80"/>
      <c r="AN222" s="88"/>
      <c r="AO222" s="80"/>
      <c r="AP222" s="80"/>
      <c r="AQ222" s="80"/>
      <c r="AR222" s="80"/>
      <c r="AS222" s="80"/>
      <c r="AT222" s="80"/>
      <c r="AU222" s="80"/>
      <c r="AV222" s="80"/>
    </row>
    <row r="223" spans="1:48" s="85" customFormat="1" x14ac:dyDescent="0.2">
      <c r="A223" s="83" t="s">
        <v>38</v>
      </c>
      <c r="B223" s="83" t="s">
        <v>521</v>
      </c>
      <c r="C223" s="83" t="s">
        <v>522</v>
      </c>
      <c r="D223" s="94">
        <v>-9414.15</v>
      </c>
      <c r="E223" s="96">
        <v>2852.23</v>
      </c>
      <c r="F223" s="96"/>
      <c r="G223" s="96"/>
      <c r="H223" s="96"/>
      <c r="I223" s="96">
        <v>-12266.38</v>
      </c>
      <c r="J223" s="96"/>
      <c r="K223" s="96"/>
      <c r="L223" s="96"/>
      <c r="M223" s="78">
        <v>-10920.41</v>
      </c>
      <c r="N223" s="84">
        <v>3308.59</v>
      </c>
      <c r="O223" s="80"/>
      <c r="P223" s="80"/>
      <c r="Q223" s="80"/>
      <c r="R223" s="84">
        <v>-14229</v>
      </c>
      <c r="S223" s="80"/>
      <c r="T223" s="80"/>
      <c r="U223" s="80"/>
      <c r="V223" s="86">
        <v>13</v>
      </c>
      <c r="W223" s="79">
        <v>13</v>
      </c>
      <c r="X223" s="80"/>
      <c r="Y223" s="80"/>
      <c r="Z223" s="80"/>
      <c r="AA223" s="80"/>
      <c r="AB223" s="80"/>
      <c r="AC223" s="80"/>
      <c r="AD223" s="80"/>
      <c r="AE223" s="91">
        <v>-724.1653846153846</v>
      </c>
      <c r="AF223" s="84">
        <v>219.40230769230769</v>
      </c>
      <c r="AG223" s="80"/>
      <c r="AH223" s="80"/>
      <c r="AI223" s="80"/>
      <c r="AJ223" s="81" t="s">
        <v>33</v>
      </c>
      <c r="AK223" s="80"/>
      <c r="AL223" s="80"/>
      <c r="AM223" s="80"/>
      <c r="AN223" s="86">
        <v>-308</v>
      </c>
      <c r="AO223" s="80"/>
      <c r="AP223" s="80"/>
      <c r="AQ223" s="80"/>
      <c r="AR223" s="80"/>
      <c r="AS223" s="79">
        <v>-308</v>
      </c>
      <c r="AT223" s="80"/>
      <c r="AU223" s="80"/>
      <c r="AV223" s="80"/>
    </row>
    <row r="224" spans="1:48" s="85" customFormat="1" x14ac:dyDescent="0.2">
      <c r="A224" s="83" t="s">
        <v>38</v>
      </c>
      <c r="B224" s="83" t="s">
        <v>485</v>
      </c>
      <c r="C224" s="83" t="s">
        <v>486</v>
      </c>
      <c r="D224" s="94">
        <v>-57774.18</v>
      </c>
      <c r="E224" s="96"/>
      <c r="F224" s="96"/>
      <c r="G224" s="96"/>
      <c r="H224" s="96"/>
      <c r="I224" s="96"/>
      <c r="J224" s="96">
        <v>48543.8</v>
      </c>
      <c r="K224" s="96">
        <v>-106317.98</v>
      </c>
      <c r="L224" s="96"/>
      <c r="M224" s="78">
        <v>-67018.039999999994</v>
      </c>
      <c r="N224" s="80"/>
      <c r="O224" s="80"/>
      <c r="P224" s="80"/>
      <c r="Q224" s="80"/>
      <c r="R224" s="80"/>
      <c r="S224" s="84">
        <v>56310.81</v>
      </c>
      <c r="T224" s="84">
        <v>-123328.85</v>
      </c>
      <c r="U224" s="80"/>
      <c r="V224" s="87"/>
      <c r="W224" s="80"/>
      <c r="X224" s="80"/>
      <c r="Y224" s="80"/>
      <c r="Z224" s="80"/>
      <c r="AA224" s="80"/>
      <c r="AB224" s="79">
        <v>249</v>
      </c>
      <c r="AC224" s="79">
        <v>-249</v>
      </c>
      <c r="AD224" s="80"/>
      <c r="AE224" s="87" t="s">
        <v>33</v>
      </c>
      <c r="AF224" s="80"/>
      <c r="AG224" s="80"/>
      <c r="AH224" s="80"/>
      <c r="AI224" s="80"/>
      <c r="AJ224" s="80"/>
      <c r="AK224" s="84">
        <v>194.95502008032128</v>
      </c>
      <c r="AL224" s="84">
        <v>426.97983935742974</v>
      </c>
      <c r="AM224" s="80"/>
      <c r="AN224" s="86">
        <v>-1210</v>
      </c>
      <c r="AO224" s="80"/>
      <c r="AP224" s="80"/>
      <c r="AQ224" s="80"/>
      <c r="AR224" s="80"/>
      <c r="AS224" s="80"/>
      <c r="AT224" s="79">
        <v>8</v>
      </c>
      <c r="AU224" s="79">
        <v>-1218</v>
      </c>
      <c r="AV224" s="80"/>
    </row>
    <row r="225" spans="1:48" s="85" customFormat="1" x14ac:dyDescent="0.2">
      <c r="A225" s="83" t="s">
        <v>28</v>
      </c>
      <c r="B225" s="83" t="s">
        <v>305</v>
      </c>
      <c r="C225" s="83" t="s">
        <v>306</v>
      </c>
      <c r="D225" s="104">
        <v>-1441891.92</v>
      </c>
      <c r="E225" s="105"/>
      <c r="F225" s="105"/>
      <c r="G225" s="105"/>
      <c r="H225" s="105"/>
      <c r="I225" s="105"/>
      <c r="J225" s="105">
        <v>-1420011.73</v>
      </c>
      <c r="K225" s="105">
        <v>-21880.19</v>
      </c>
      <c r="L225" s="105"/>
      <c r="M225" s="106">
        <v>-1672594.63</v>
      </c>
      <c r="N225" s="92"/>
      <c r="O225" s="92"/>
      <c r="P225" s="92"/>
      <c r="Q225" s="92"/>
      <c r="R225" s="92"/>
      <c r="S225" s="93">
        <v>-1647213.61</v>
      </c>
      <c r="T225" s="93">
        <v>-25381.02</v>
      </c>
      <c r="U225" s="92"/>
      <c r="V225" s="107">
        <v>-18659</v>
      </c>
      <c r="W225" s="92"/>
      <c r="X225" s="92"/>
      <c r="Y225" s="92"/>
      <c r="Z225" s="92"/>
      <c r="AA225" s="92"/>
      <c r="AB225" s="108">
        <v>-18425</v>
      </c>
      <c r="AC225" s="108">
        <v>-234</v>
      </c>
      <c r="AD225" s="92"/>
      <c r="AE225" s="109">
        <v>77.275948335923687</v>
      </c>
      <c r="AF225" s="92"/>
      <c r="AG225" s="92"/>
      <c r="AH225" s="92"/>
      <c r="AI225" s="92"/>
      <c r="AJ225" s="92"/>
      <c r="AK225" s="93">
        <v>77.069836092265945</v>
      </c>
      <c r="AL225" s="93">
        <v>93.505085470085476</v>
      </c>
      <c r="AM225" s="92"/>
      <c r="AN225" s="110"/>
      <c r="AO225" s="92"/>
      <c r="AP225" s="92"/>
      <c r="AQ225" s="92"/>
      <c r="AR225" s="92"/>
      <c r="AS225" s="92"/>
      <c r="AT225" s="92"/>
      <c r="AU225" s="92"/>
      <c r="AV225" s="92"/>
    </row>
    <row r="226" spans="1:48" x14ac:dyDescent="0.2">
      <c r="D226" s="113">
        <f t="shared" ref="D226:V226" si="0">SUM(D2:D225)</f>
        <v>58598089.180000015</v>
      </c>
      <c r="E226" s="111">
        <f t="shared" si="0"/>
        <v>8378258.5300000105</v>
      </c>
      <c r="F226" s="111">
        <f t="shared" si="0"/>
        <v>7447052.1600000057</v>
      </c>
      <c r="G226" s="111">
        <f t="shared" si="0"/>
        <v>7250321.2599999998</v>
      </c>
      <c r="H226" s="111">
        <f t="shared" si="0"/>
        <v>10071438.929999987</v>
      </c>
      <c r="I226" s="111">
        <f t="shared" si="0"/>
        <v>9626552.1300000008</v>
      </c>
      <c r="J226" s="111">
        <f t="shared" si="0"/>
        <v>3610792.1500000018</v>
      </c>
      <c r="K226" s="111">
        <f t="shared" si="0"/>
        <v>9077031.5300000105</v>
      </c>
      <c r="L226" s="111">
        <f t="shared" si="0"/>
        <v>3684071.5100000007</v>
      </c>
      <c r="M226" s="112">
        <f t="shared" si="0"/>
        <v>67704579.929999977</v>
      </c>
      <c r="N226" s="112">
        <f t="shared" si="0"/>
        <v>9470787.5200000014</v>
      </c>
      <c r="O226" s="112">
        <f t="shared" si="0"/>
        <v>8484033.5399999991</v>
      </c>
      <c r="P226" s="112">
        <f t="shared" si="0"/>
        <v>8323700.2199999969</v>
      </c>
      <c r="Q226" s="112">
        <f t="shared" si="0"/>
        <v>11413777.420000006</v>
      </c>
      <c r="R226" s="112">
        <f t="shared" si="0"/>
        <v>11105517.890000002</v>
      </c>
      <c r="S226" s="112">
        <f t="shared" si="0"/>
        <v>4027132.6299999943</v>
      </c>
      <c r="T226" s="112">
        <f t="shared" si="0"/>
        <v>10614258.999999996</v>
      </c>
      <c r="U226" s="112">
        <f t="shared" si="0"/>
        <v>4265371.7100000009</v>
      </c>
      <c r="V226" s="114">
        <f t="shared" si="0"/>
        <v>260948</v>
      </c>
      <c r="W226" s="112">
        <f>SUM(W2:W225)</f>
        <v>27345</v>
      </c>
      <c r="X226" s="112">
        <f t="shared" ref="X226:AV226" si="1">SUM(X2:X225)</f>
        <v>26830</v>
      </c>
      <c r="Y226" s="112">
        <f t="shared" si="1"/>
        <v>27237</v>
      </c>
      <c r="Z226" s="112">
        <f t="shared" si="1"/>
        <v>24466</v>
      </c>
      <c r="AA226" s="112">
        <f t="shared" si="1"/>
        <v>60871</v>
      </c>
      <c r="AB226" s="112">
        <f t="shared" si="1"/>
        <v>17244</v>
      </c>
      <c r="AC226" s="112">
        <f t="shared" si="1"/>
        <v>54553</v>
      </c>
      <c r="AD226" s="112">
        <f t="shared" si="1"/>
        <v>22402</v>
      </c>
      <c r="AE226" s="114">
        <f t="shared" si="1"/>
        <v>188036.60725857827</v>
      </c>
      <c r="AF226" s="112">
        <f t="shared" si="1"/>
        <v>111721.7664110318</v>
      </c>
      <c r="AG226" s="112">
        <f t="shared" si="1"/>
        <v>113543.66815230197</v>
      </c>
      <c r="AH226" s="112">
        <f t="shared" si="1"/>
        <v>115579.88472525442</v>
      </c>
      <c r="AI226" s="112">
        <f t="shared" si="1"/>
        <v>102394.59172420534</v>
      </c>
      <c r="AJ226" s="112">
        <f t="shared" si="1"/>
        <v>120180.41763680734</v>
      </c>
      <c r="AK226" s="112">
        <f t="shared" si="1"/>
        <v>146956.07183068979</v>
      </c>
      <c r="AL226" s="112">
        <f t="shared" si="1"/>
        <v>41633.972302472437</v>
      </c>
      <c r="AM226" s="112">
        <f t="shared" si="1"/>
        <v>53653.215076537868</v>
      </c>
      <c r="AN226" s="114">
        <f t="shared" si="1"/>
        <v>3547009.6000000006</v>
      </c>
      <c r="AO226" s="112">
        <f t="shared" si="1"/>
        <v>293505.49999999994</v>
      </c>
      <c r="AP226" s="112">
        <f t="shared" si="1"/>
        <v>264712.8</v>
      </c>
      <c r="AQ226" s="112">
        <f t="shared" si="1"/>
        <v>309153.70000000007</v>
      </c>
      <c r="AR226" s="112">
        <f t="shared" si="1"/>
        <v>1695275.8000000003</v>
      </c>
      <c r="AS226" s="112">
        <f t="shared" si="1"/>
        <v>460980.1</v>
      </c>
      <c r="AT226" s="112">
        <f t="shared" si="1"/>
        <v>-709632.39999999991</v>
      </c>
      <c r="AU226" s="112">
        <f t="shared" si="1"/>
        <v>910595.90000000014</v>
      </c>
      <c r="AV226" s="112">
        <f t="shared" si="1"/>
        <v>322418.2</v>
      </c>
    </row>
    <row r="227" spans="1:48" x14ac:dyDescent="0.2">
      <c r="D227" s="89"/>
      <c r="M227" s="65"/>
      <c r="V227" s="89"/>
      <c r="AE227" s="89"/>
      <c r="AN227" s="89"/>
    </row>
    <row r="228" spans="1:48" x14ac:dyDescent="0.2">
      <c r="D228" s="120"/>
      <c r="E228" s="121"/>
      <c r="F228" s="121"/>
      <c r="G228" s="121"/>
      <c r="M228" s="65"/>
      <c r="V228" s="89"/>
      <c r="AE228" s="117">
        <f>AVERAGE(AE25:AE195)</f>
        <v>1063.7033340592679</v>
      </c>
      <c r="AN228" s="118">
        <f>SUM(AN25:AN221)</f>
        <v>835580.20000000007</v>
      </c>
    </row>
    <row r="229" spans="1:48" x14ac:dyDescent="0.2">
      <c r="D229" s="122"/>
      <c r="E229" s="123"/>
      <c r="F229" s="124"/>
      <c r="G229" s="119"/>
      <c r="M229" s="65"/>
      <c r="V229" s="89"/>
      <c r="AE229" s="89"/>
      <c r="AN229" s="116"/>
    </row>
    <row r="230" spans="1:48" x14ac:dyDescent="0.2">
      <c r="D230" s="89"/>
      <c r="M230" s="65"/>
      <c r="V230" s="89"/>
      <c r="AE230" s="89"/>
      <c r="AN230" s="89"/>
    </row>
    <row r="231" spans="1:48" x14ac:dyDescent="0.2">
      <c r="D231" s="89"/>
      <c r="M231" s="65"/>
      <c r="V231" s="89"/>
      <c r="AE231" s="89"/>
      <c r="AN231" s="89"/>
    </row>
    <row r="232" spans="1:48" x14ac:dyDescent="0.2">
      <c r="D232" s="89"/>
      <c r="M232" s="65"/>
      <c r="V232" s="89"/>
      <c r="AE232" s="89"/>
      <c r="AN232" s="89"/>
    </row>
    <row r="233" spans="1:48" x14ac:dyDescent="0.2">
      <c r="D233" s="89"/>
      <c r="M233" s="65"/>
      <c r="V233" s="89"/>
      <c r="AE233" s="89"/>
      <c r="AN233" s="89"/>
    </row>
    <row r="234" spans="1:48" x14ac:dyDescent="0.2">
      <c r="D234" s="89"/>
      <c r="M234" s="65"/>
      <c r="V234" s="89"/>
      <c r="AE234" s="89"/>
      <c r="AN234" s="89"/>
    </row>
    <row r="235" spans="1:48" x14ac:dyDescent="0.2">
      <c r="D235" s="89"/>
      <c r="M235" s="65"/>
      <c r="V235" s="89"/>
      <c r="AE235" s="89"/>
      <c r="AN235" s="89"/>
    </row>
    <row r="236" spans="1:48" x14ac:dyDescent="0.2">
      <c r="D236" s="89"/>
      <c r="M236" s="65"/>
      <c r="V236" s="89"/>
      <c r="AE236" s="89"/>
      <c r="AN236" s="89"/>
    </row>
    <row r="237" spans="1:48" x14ac:dyDescent="0.2">
      <c r="D237" s="89"/>
      <c r="M237" s="65"/>
      <c r="V237" s="89"/>
      <c r="AE237" s="89"/>
      <c r="AN237" s="89"/>
    </row>
    <row r="238" spans="1:48" x14ac:dyDescent="0.2">
      <c r="D238" s="89"/>
      <c r="M238" s="65"/>
      <c r="V238" s="89"/>
      <c r="AE238" s="89"/>
      <c r="AN238" s="89"/>
    </row>
    <row r="239" spans="1:48" x14ac:dyDescent="0.2">
      <c r="D239" s="89"/>
      <c r="M239" s="65"/>
      <c r="V239" s="89"/>
      <c r="AE239" s="89"/>
      <c r="AN239" s="89"/>
    </row>
    <row r="240" spans="1:48" x14ac:dyDescent="0.2">
      <c r="D240" s="89"/>
      <c r="M240" s="65"/>
      <c r="V240" s="89"/>
      <c r="AE240" s="89"/>
      <c r="AN240" s="89"/>
    </row>
    <row r="241" spans="4:40" x14ac:dyDescent="0.2">
      <c r="D241" s="89"/>
      <c r="M241" s="65"/>
      <c r="V241" s="89"/>
      <c r="AE241" s="89"/>
      <c r="AN241" s="89"/>
    </row>
    <row r="242" spans="4:40" x14ac:dyDescent="0.2">
      <c r="D242" s="89"/>
      <c r="M242" s="65"/>
      <c r="V242" s="89"/>
      <c r="AE242" s="89"/>
      <c r="AN242" s="89"/>
    </row>
    <row r="243" spans="4:40" x14ac:dyDescent="0.2">
      <c r="D243" s="89"/>
      <c r="M243" s="65"/>
      <c r="V243" s="89"/>
      <c r="AE243" s="89"/>
      <c r="AN243" s="89"/>
    </row>
    <row r="244" spans="4:40" x14ac:dyDescent="0.2">
      <c r="D244" s="89"/>
      <c r="M244" s="65"/>
      <c r="V244" s="89"/>
      <c r="AE244" s="89"/>
      <c r="AN244" s="89"/>
    </row>
    <row r="245" spans="4:40" x14ac:dyDescent="0.2">
      <c r="D245" s="89"/>
      <c r="M245" s="65"/>
      <c r="V245" s="89"/>
      <c r="AE245" s="89"/>
      <c r="AN245" s="89"/>
    </row>
    <row r="246" spans="4:40" x14ac:dyDescent="0.2">
      <c r="D246" s="89"/>
      <c r="M246" s="65"/>
      <c r="V246" s="89"/>
      <c r="AE246" s="89"/>
      <c r="AN246" s="89"/>
    </row>
    <row r="247" spans="4:40" x14ac:dyDescent="0.2">
      <c r="D247" s="89"/>
      <c r="M247" s="65"/>
      <c r="V247" s="89"/>
      <c r="AE247" s="89"/>
      <c r="AN247" s="89"/>
    </row>
    <row r="248" spans="4:40" x14ac:dyDescent="0.2">
      <c r="D248" s="89"/>
      <c r="M248" s="65"/>
      <c r="V248" s="89"/>
      <c r="AE248" s="89"/>
      <c r="AN248" s="89"/>
    </row>
    <row r="249" spans="4:40" x14ac:dyDescent="0.2">
      <c r="D249" s="89"/>
      <c r="M249" s="65"/>
      <c r="V249" s="89"/>
      <c r="AE249" s="89"/>
      <c r="AN249" s="89"/>
    </row>
    <row r="250" spans="4:40" x14ac:dyDescent="0.2">
      <c r="D250" s="89"/>
      <c r="M250" s="65"/>
      <c r="V250" s="89"/>
      <c r="AE250" s="89"/>
      <c r="AN250" s="89"/>
    </row>
    <row r="251" spans="4:40" x14ac:dyDescent="0.2">
      <c r="D251" s="89"/>
      <c r="M251" s="65"/>
      <c r="V251" s="89"/>
      <c r="AE251" s="89"/>
      <c r="AN251" s="89"/>
    </row>
    <row r="252" spans="4:40" x14ac:dyDescent="0.2">
      <c r="D252" s="89"/>
      <c r="M252" s="65"/>
      <c r="V252" s="89"/>
      <c r="AE252" s="89"/>
      <c r="AN252" s="89"/>
    </row>
    <row r="253" spans="4:40" x14ac:dyDescent="0.2">
      <c r="D253" s="89"/>
      <c r="M253" s="65"/>
      <c r="V253" s="89"/>
      <c r="AE253" s="89"/>
      <c r="AN253" s="89"/>
    </row>
    <row r="254" spans="4:40" x14ac:dyDescent="0.2">
      <c r="D254" s="89"/>
      <c r="M254" s="65"/>
      <c r="V254" s="89"/>
      <c r="AE254" s="89"/>
      <c r="AN254" s="89"/>
    </row>
    <row r="255" spans="4:40" x14ac:dyDescent="0.2">
      <c r="D255" s="89"/>
      <c r="M255" s="65"/>
      <c r="V255" s="89"/>
      <c r="AE255" s="89"/>
      <c r="AN255" s="89"/>
    </row>
    <row r="256" spans="4:40" x14ac:dyDescent="0.2">
      <c r="D256" s="89"/>
      <c r="M256" s="65"/>
      <c r="V256" s="89"/>
      <c r="AE256" s="89"/>
      <c r="AN256" s="89"/>
    </row>
    <row r="257" spans="4:40" x14ac:dyDescent="0.2">
      <c r="D257" s="89"/>
      <c r="M257" s="65"/>
      <c r="V257" s="89"/>
      <c r="AE257" s="89"/>
      <c r="AN257" s="89"/>
    </row>
    <row r="258" spans="4:40" x14ac:dyDescent="0.2">
      <c r="D258" s="89"/>
      <c r="M258" s="65"/>
      <c r="V258" s="89"/>
      <c r="AE258" s="89"/>
      <c r="AN258" s="89"/>
    </row>
    <row r="259" spans="4:40" x14ac:dyDescent="0.2">
      <c r="D259" s="89"/>
      <c r="M259" s="65"/>
      <c r="V259" s="89"/>
      <c r="AE259" s="89"/>
      <c r="AN259" s="89"/>
    </row>
    <row r="260" spans="4:40" x14ac:dyDescent="0.2">
      <c r="D260" s="89"/>
      <c r="M260" s="65"/>
      <c r="V260" s="89"/>
      <c r="AE260" s="89"/>
      <c r="AN260" s="89"/>
    </row>
    <row r="261" spans="4:40" x14ac:dyDescent="0.2">
      <c r="D261" s="89"/>
      <c r="M261" s="65"/>
      <c r="V261" s="89"/>
      <c r="AE261" s="89"/>
      <c r="AN261" s="89"/>
    </row>
    <row r="262" spans="4:40" x14ac:dyDescent="0.2">
      <c r="D262" s="89"/>
      <c r="M262" s="65"/>
      <c r="V262" s="89"/>
      <c r="AE262" s="89"/>
      <c r="AN262" s="89"/>
    </row>
    <row r="263" spans="4:40" x14ac:dyDescent="0.2">
      <c r="D263" s="89"/>
      <c r="M263" s="65"/>
      <c r="V263" s="89"/>
      <c r="AE263" s="89"/>
      <c r="AN263" s="89"/>
    </row>
    <row r="264" spans="4:40" x14ac:dyDescent="0.2">
      <c r="D264" s="89"/>
      <c r="M264" s="65"/>
      <c r="V264" s="89"/>
      <c r="AE264" s="89"/>
      <c r="AN264" s="89"/>
    </row>
    <row r="265" spans="4:40" x14ac:dyDescent="0.2">
      <c r="D265" s="89"/>
      <c r="M265" s="65"/>
      <c r="V265" s="89"/>
      <c r="AE265" s="89"/>
      <c r="AN265" s="89"/>
    </row>
    <row r="266" spans="4:40" x14ac:dyDescent="0.2">
      <c r="D266" s="89"/>
      <c r="M266" s="65"/>
      <c r="V266" s="89"/>
      <c r="AE266" s="89"/>
      <c r="AN266" s="89"/>
    </row>
    <row r="267" spans="4:40" x14ac:dyDescent="0.2">
      <c r="D267" s="89"/>
      <c r="M267" s="65"/>
      <c r="V267" s="89"/>
      <c r="AE267" s="89"/>
      <c r="AN267" s="89"/>
    </row>
    <row r="268" spans="4:40" x14ac:dyDescent="0.2">
      <c r="D268" s="89"/>
      <c r="M268" s="65"/>
      <c r="V268" s="89"/>
      <c r="AE268" s="89"/>
      <c r="AN268" s="89"/>
    </row>
    <row r="269" spans="4:40" x14ac:dyDescent="0.2">
      <c r="D269" s="89"/>
      <c r="M269" s="65"/>
      <c r="V269" s="89"/>
      <c r="AE269" s="89"/>
      <c r="AN269" s="89"/>
    </row>
    <row r="270" spans="4:40" x14ac:dyDescent="0.2">
      <c r="D270" s="89"/>
      <c r="M270" s="65"/>
      <c r="V270" s="89"/>
      <c r="AE270" s="89"/>
      <c r="AN270" s="89"/>
    </row>
    <row r="271" spans="4:40" x14ac:dyDescent="0.2">
      <c r="D271" s="89"/>
      <c r="M271" s="65"/>
      <c r="V271" s="89"/>
      <c r="AE271" s="89"/>
      <c r="AN271" s="89"/>
    </row>
    <row r="272" spans="4:40" x14ac:dyDescent="0.2">
      <c r="D272" s="89"/>
      <c r="M272" s="65"/>
      <c r="V272" s="89"/>
      <c r="AE272" s="89"/>
      <c r="AN272" s="89"/>
    </row>
    <row r="273" spans="4:40" x14ac:dyDescent="0.2">
      <c r="D273" s="89"/>
      <c r="M273" s="65"/>
      <c r="V273" s="89"/>
      <c r="AE273" s="89"/>
      <c r="AN273" s="89"/>
    </row>
    <row r="274" spans="4:40" x14ac:dyDescent="0.2">
      <c r="D274" s="89"/>
      <c r="M274" s="65"/>
      <c r="V274" s="89"/>
      <c r="AE274" s="89"/>
      <c r="AN274" s="89"/>
    </row>
    <row r="275" spans="4:40" x14ac:dyDescent="0.2">
      <c r="D275" s="89"/>
      <c r="M275" s="65"/>
      <c r="V275" s="89"/>
      <c r="AE275" s="89"/>
      <c r="AN275" s="89"/>
    </row>
    <row r="276" spans="4:40" x14ac:dyDescent="0.2">
      <c r="D276" s="89"/>
      <c r="M276" s="65"/>
      <c r="V276" s="89"/>
      <c r="AE276" s="89"/>
      <c r="AN276" s="89"/>
    </row>
    <row r="277" spans="4:40" x14ac:dyDescent="0.2">
      <c r="D277" s="89"/>
      <c r="M277" s="65"/>
      <c r="V277" s="89"/>
      <c r="AE277" s="89"/>
      <c r="AN277" s="89"/>
    </row>
    <row r="278" spans="4:40" x14ac:dyDescent="0.2">
      <c r="D278" s="89"/>
      <c r="M278" s="65"/>
      <c r="V278" s="89"/>
      <c r="AE278" s="89"/>
      <c r="AN278" s="89"/>
    </row>
    <row r="279" spans="4:40" x14ac:dyDescent="0.2">
      <c r="D279" s="89"/>
      <c r="M279" s="65"/>
      <c r="V279" s="89"/>
      <c r="AE279" s="89"/>
      <c r="AN279" s="89"/>
    </row>
    <row r="280" spans="4:40" x14ac:dyDescent="0.2">
      <c r="D280" s="89"/>
      <c r="M280" s="65"/>
      <c r="V280" s="89"/>
      <c r="AE280" s="89"/>
      <c r="AN280" s="89"/>
    </row>
    <row r="281" spans="4:40" x14ac:dyDescent="0.2">
      <c r="D281" s="89"/>
      <c r="M281" s="65"/>
      <c r="V281" s="89"/>
      <c r="AE281" s="89"/>
      <c r="AN281" s="89"/>
    </row>
    <row r="282" spans="4:40" x14ac:dyDescent="0.2">
      <c r="D282" s="89"/>
      <c r="M282" s="65"/>
      <c r="V282" s="89"/>
      <c r="AE282" s="89"/>
      <c r="AN282" s="89"/>
    </row>
    <row r="283" spans="4:40" x14ac:dyDescent="0.2">
      <c r="D283" s="89"/>
      <c r="M283" s="65"/>
      <c r="V283" s="89"/>
      <c r="AE283" s="89"/>
      <c r="AN283" s="89"/>
    </row>
    <row r="284" spans="4:40" x14ac:dyDescent="0.2">
      <c r="D284" s="89"/>
      <c r="M284" s="65"/>
      <c r="V284" s="89"/>
      <c r="AE284" s="89"/>
      <c r="AN284" s="89"/>
    </row>
    <row r="285" spans="4:40" x14ac:dyDescent="0.2">
      <c r="D285" s="89"/>
      <c r="M285" s="65"/>
      <c r="V285" s="89"/>
      <c r="AE285" s="89"/>
      <c r="AN285" s="89"/>
    </row>
    <row r="286" spans="4:40" x14ac:dyDescent="0.2">
      <c r="D286" s="89"/>
      <c r="M286" s="65"/>
      <c r="V286" s="89"/>
      <c r="AE286" s="89"/>
      <c r="AN286" s="89"/>
    </row>
    <row r="287" spans="4:40" x14ac:dyDescent="0.2">
      <c r="D287" s="89"/>
      <c r="M287" s="65"/>
      <c r="V287" s="89"/>
      <c r="AE287" s="89"/>
      <c r="AN287" s="89"/>
    </row>
    <row r="288" spans="4:40" x14ac:dyDescent="0.2">
      <c r="D288" s="89"/>
      <c r="M288" s="65"/>
      <c r="V288" s="89"/>
      <c r="AE288" s="89"/>
      <c r="AN288" s="89"/>
    </row>
    <row r="289" spans="4:40" x14ac:dyDescent="0.2">
      <c r="D289" s="89"/>
      <c r="M289" s="65"/>
      <c r="V289" s="89"/>
      <c r="AE289" s="89"/>
      <c r="AN289" s="89"/>
    </row>
    <row r="290" spans="4:40" x14ac:dyDescent="0.2">
      <c r="D290" s="89"/>
      <c r="M290" s="65"/>
      <c r="V290" s="89"/>
      <c r="AE290" s="89"/>
      <c r="AN290" s="89"/>
    </row>
    <row r="291" spans="4:40" x14ac:dyDescent="0.2">
      <c r="D291" s="89"/>
      <c r="M291" s="65"/>
      <c r="V291" s="89"/>
      <c r="AE291" s="89"/>
      <c r="AN291" s="89"/>
    </row>
    <row r="292" spans="4:40" x14ac:dyDescent="0.2">
      <c r="D292" s="89"/>
      <c r="M292" s="65"/>
      <c r="V292" s="89"/>
      <c r="AE292" s="89"/>
      <c r="AN292" s="89"/>
    </row>
    <row r="293" spans="4:40" x14ac:dyDescent="0.2">
      <c r="D293" s="89"/>
      <c r="M293" s="65"/>
      <c r="V293" s="89"/>
      <c r="AE293" s="89"/>
      <c r="AN293" s="89"/>
    </row>
    <row r="294" spans="4:40" x14ac:dyDescent="0.2">
      <c r="D294" s="89"/>
      <c r="M294" s="65"/>
      <c r="V294" s="89"/>
      <c r="AE294" s="89"/>
      <c r="AN294" s="89"/>
    </row>
    <row r="295" spans="4:40" x14ac:dyDescent="0.2">
      <c r="D295" s="89"/>
      <c r="M295" s="65"/>
      <c r="V295" s="89"/>
      <c r="AE295" s="89"/>
      <c r="AN295" s="89"/>
    </row>
    <row r="296" spans="4:40" x14ac:dyDescent="0.2">
      <c r="D296" s="89"/>
      <c r="M296" s="65"/>
      <c r="V296" s="89"/>
      <c r="AE296" s="89"/>
      <c r="AN296" s="89"/>
    </row>
    <row r="297" spans="4:40" x14ac:dyDescent="0.2">
      <c r="D297" s="89"/>
      <c r="M297" s="65"/>
      <c r="V297" s="89"/>
      <c r="AE297" s="89"/>
      <c r="AN297" s="89"/>
    </row>
    <row r="298" spans="4:40" x14ac:dyDescent="0.2">
      <c r="D298" s="89"/>
      <c r="M298" s="65"/>
      <c r="V298" s="89"/>
      <c r="AE298" s="89"/>
      <c r="AN298" s="89"/>
    </row>
    <row r="299" spans="4:40" x14ac:dyDescent="0.2">
      <c r="D299" s="89"/>
      <c r="M299" s="65"/>
      <c r="V299" s="89"/>
      <c r="AE299" s="89"/>
      <c r="AN299" s="89"/>
    </row>
    <row r="300" spans="4:40" x14ac:dyDescent="0.2">
      <c r="D300" s="89"/>
      <c r="M300" s="65"/>
      <c r="V300" s="89"/>
      <c r="AE300" s="89"/>
      <c r="AN300" s="89"/>
    </row>
    <row r="301" spans="4:40" x14ac:dyDescent="0.2">
      <c r="D301" s="89"/>
      <c r="M301" s="65"/>
      <c r="V301" s="89"/>
      <c r="AE301" s="89"/>
      <c r="AN301" s="89"/>
    </row>
    <row r="302" spans="4:40" x14ac:dyDescent="0.2">
      <c r="D302" s="89"/>
      <c r="M302" s="65"/>
      <c r="V302" s="89"/>
      <c r="AE302" s="89"/>
      <c r="AN302" s="89"/>
    </row>
    <row r="303" spans="4:40" x14ac:dyDescent="0.2">
      <c r="D303" s="89"/>
      <c r="M303" s="65"/>
      <c r="V303" s="89"/>
      <c r="AE303" s="89"/>
      <c r="AN303" s="89"/>
    </row>
    <row r="304" spans="4:40" x14ac:dyDescent="0.2">
      <c r="D304" s="89"/>
      <c r="M304" s="65"/>
      <c r="V304" s="89"/>
      <c r="AE304" s="89"/>
      <c r="AN304" s="89"/>
    </row>
    <row r="305" spans="4:40" x14ac:dyDescent="0.2">
      <c r="D305" s="89"/>
      <c r="M305" s="65"/>
      <c r="V305" s="89"/>
      <c r="AE305" s="89"/>
      <c r="AN305" s="89"/>
    </row>
    <row r="306" spans="4:40" x14ac:dyDescent="0.2">
      <c r="D306" s="89"/>
      <c r="M306" s="65"/>
      <c r="V306" s="89"/>
      <c r="AE306" s="89"/>
      <c r="AN306" s="89"/>
    </row>
    <row r="307" spans="4:40" x14ac:dyDescent="0.2">
      <c r="D307" s="89"/>
      <c r="M307" s="65"/>
      <c r="V307" s="89"/>
      <c r="AE307" s="89"/>
      <c r="AN307" s="89"/>
    </row>
    <row r="308" spans="4:40" x14ac:dyDescent="0.2">
      <c r="D308" s="89"/>
      <c r="M308" s="65"/>
      <c r="V308" s="89"/>
      <c r="AE308" s="89"/>
      <c r="AN308" s="89"/>
    </row>
    <row r="309" spans="4:40" x14ac:dyDescent="0.2">
      <c r="D309" s="89"/>
      <c r="M309" s="65"/>
      <c r="V309" s="89"/>
      <c r="AE309" s="89"/>
      <c r="AN309" s="89"/>
    </row>
    <row r="310" spans="4:40" x14ac:dyDescent="0.2">
      <c r="D310" s="89"/>
      <c r="M310" s="65"/>
      <c r="V310" s="89"/>
      <c r="AE310" s="89"/>
      <c r="AN310" s="89"/>
    </row>
    <row r="311" spans="4:40" x14ac:dyDescent="0.2">
      <c r="D311" s="89"/>
      <c r="M311" s="65"/>
      <c r="V311" s="89"/>
      <c r="AE311" s="89"/>
      <c r="AN311" s="89"/>
    </row>
    <row r="312" spans="4:40" x14ac:dyDescent="0.2">
      <c r="D312" s="89"/>
      <c r="M312" s="65"/>
      <c r="V312" s="89"/>
      <c r="AE312" s="89"/>
      <c r="AN312" s="89"/>
    </row>
    <row r="313" spans="4:40" x14ac:dyDescent="0.2">
      <c r="D313" s="89"/>
      <c r="M313" s="65"/>
      <c r="V313" s="89"/>
      <c r="AE313" s="89"/>
      <c r="AN313" s="89"/>
    </row>
    <row r="314" spans="4:40" x14ac:dyDescent="0.2">
      <c r="D314" s="89"/>
      <c r="M314" s="65"/>
      <c r="V314" s="89"/>
      <c r="AE314" s="89"/>
      <c r="AN314" s="89"/>
    </row>
    <row r="315" spans="4:40" x14ac:dyDescent="0.2">
      <c r="D315" s="89"/>
      <c r="M315" s="65"/>
      <c r="V315" s="89"/>
      <c r="AE315" s="89"/>
      <c r="AN315" s="89"/>
    </row>
    <row r="316" spans="4:40" x14ac:dyDescent="0.2">
      <c r="D316" s="89"/>
      <c r="M316" s="65"/>
      <c r="V316" s="89"/>
      <c r="AE316" s="89"/>
      <c r="AN316" s="89"/>
    </row>
    <row r="317" spans="4:40" x14ac:dyDescent="0.2">
      <c r="D317" s="89"/>
      <c r="M317" s="65"/>
      <c r="V317" s="89"/>
      <c r="AE317" s="89"/>
      <c r="AN317" s="89"/>
    </row>
    <row r="318" spans="4:40" x14ac:dyDescent="0.2">
      <c r="D318" s="89"/>
      <c r="M318" s="65"/>
      <c r="V318" s="89"/>
      <c r="AE318" s="89"/>
      <c r="AN318" s="89"/>
    </row>
    <row r="319" spans="4:40" x14ac:dyDescent="0.2">
      <c r="D319" s="89"/>
      <c r="M319" s="65"/>
      <c r="V319" s="89"/>
      <c r="AE319" s="89"/>
      <c r="AN319" s="89"/>
    </row>
    <row r="320" spans="4:40" x14ac:dyDescent="0.2">
      <c r="D320" s="89"/>
      <c r="M320" s="65"/>
      <c r="V320" s="89"/>
      <c r="AE320" s="89"/>
      <c r="AN320" s="89"/>
    </row>
    <row r="321" spans="4:40" x14ac:dyDescent="0.2">
      <c r="D321" s="89"/>
      <c r="M321" s="65"/>
      <c r="V321" s="89"/>
      <c r="AE321" s="89"/>
      <c r="AN321" s="89"/>
    </row>
    <row r="322" spans="4:40" x14ac:dyDescent="0.2">
      <c r="D322" s="89"/>
      <c r="M322" s="65"/>
      <c r="V322" s="89"/>
      <c r="AE322" s="89"/>
      <c r="AN322" s="89"/>
    </row>
    <row r="323" spans="4:40" x14ac:dyDescent="0.2">
      <c r="D323" s="89"/>
      <c r="M323" s="65"/>
      <c r="V323" s="89"/>
      <c r="AE323" s="89"/>
      <c r="AN323" s="89"/>
    </row>
    <row r="324" spans="4:40" x14ac:dyDescent="0.2">
      <c r="D324" s="89"/>
      <c r="M324" s="65"/>
      <c r="V324" s="89"/>
      <c r="AE324" s="89"/>
      <c r="AN324" s="89"/>
    </row>
    <row r="325" spans="4:40" x14ac:dyDescent="0.2">
      <c r="D325" s="89"/>
      <c r="M325" s="65"/>
      <c r="V325" s="89"/>
      <c r="AE325" s="89"/>
      <c r="AN325" s="89"/>
    </row>
    <row r="326" spans="4:40" x14ac:dyDescent="0.2">
      <c r="D326" s="89"/>
      <c r="M326" s="65"/>
      <c r="V326" s="89"/>
      <c r="AE326" s="89"/>
      <c r="AN326" s="89"/>
    </row>
    <row r="327" spans="4:40" x14ac:dyDescent="0.2">
      <c r="D327" s="89"/>
      <c r="M327" s="65"/>
      <c r="V327" s="89"/>
      <c r="AE327" s="89"/>
      <c r="AN327" s="89"/>
    </row>
    <row r="328" spans="4:40" x14ac:dyDescent="0.2">
      <c r="D328" s="89"/>
      <c r="M328" s="65"/>
      <c r="V328" s="89"/>
      <c r="AE328" s="89"/>
      <c r="AN328" s="89"/>
    </row>
    <row r="329" spans="4:40" x14ac:dyDescent="0.2">
      <c r="D329" s="89"/>
      <c r="M329" s="65"/>
      <c r="V329" s="89"/>
      <c r="AE329" s="89"/>
      <c r="AN329" s="89"/>
    </row>
    <row r="330" spans="4:40" x14ac:dyDescent="0.2">
      <c r="D330" s="89"/>
      <c r="M330" s="65"/>
      <c r="V330" s="89"/>
      <c r="AE330" s="89"/>
      <c r="AN330" s="89"/>
    </row>
    <row r="331" spans="4:40" x14ac:dyDescent="0.2">
      <c r="D331" s="89"/>
      <c r="M331" s="65"/>
      <c r="V331" s="89"/>
      <c r="AE331" s="89"/>
      <c r="AN331" s="89"/>
    </row>
    <row r="332" spans="4:40" x14ac:dyDescent="0.2">
      <c r="D332" s="89"/>
      <c r="M332" s="65"/>
      <c r="V332" s="89"/>
      <c r="AE332" s="89"/>
      <c r="AN332" s="89"/>
    </row>
    <row r="333" spans="4:40" x14ac:dyDescent="0.2">
      <c r="D333" s="89"/>
      <c r="M333" s="65"/>
      <c r="V333" s="89"/>
      <c r="AE333" s="89"/>
      <c r="AN333" s="89"/>
    </row>
    <row r="334" spans="4:40" x14ac:dyDescent="0.2">
      <c r="D334" s="89"/>
      <c r="M334" s="65"/>
      <c r="V334" s="89"/>
      <c r="AE334" s="89"/>
      <c r="AN334" s="89"/>
    </row>
    <row r="335" spans="4:40" x14ac:dyDescent="0.2">
      <c r="D335" s="89"/>
      <c r="M335" s="65"/>
      <c r="V335" s="89"/>
      <c r="AE335" s="89"/>
      <c r="AN335" s="89"/>
    </row>
    <row r="336" spans="4:40" x14ac:dyDescent="0.2">
      <c r="D336" s="89"/>
      <c r="M336" s="65"/>
      <c r="V336" s="89"/>
      <c r="AE336" s="89"/>
      <c r="AN336" s="89"/>
    </row>
    <row r="337" spans="4:40" x14ac:dyDescent="0.2">
      <c r="D337" s="89"/>
      <c r="M337" s="65"/>
      <c r="V337" s="89"/>
      <c r="AE337" s="89"/>
      <c r="AN337" s="89"/>
    </row>
    <row r="338" spans="4:40" x14ac:dyDescent="0.2">
      <c r="D338" s="89"/>
      <c r="M338" s="65"/>
      <c r="V338" s="89"/>
      <c r="AE338" s="89"/>
      <c r="AN338" s="89"/>
    </row>
    <row r="339" spans="4:40" x14ac:dyDescent="0.2">
      <c r="D339" s="89"/>
      <c r="M339" s="65"/>
      <c r="V339" s="89"/>
      <c r="AE339" s="89"/>
      <c r="AN339" s="89"/>
    </row>
    <row r="340" spans="4:40" x14ac:dyDescent="0.2">
      <c r="D340" s="89"/>
      <c r="M340" s="65"/>
      <c r="V340" s="89"/>
      <c r="AE340" s="89"/>
      <c r="AN340" s="89"/>
    </row>
    <row r="341" spans="4:40" x14ac:dyDescent="0.2">
      <c r="D341" s="89"/>
      <c r="M341" s="65"/>
      <c r="V341" s="89"/>
      <c r="AE341" s="89"/>
      <c r="AN341" s="89"/>
    </row>
    <row r="342" spans="4:40" x14ac:dyDescent="0.2">
      <c r="D342" s="89"/>
      <c r="M342" s="65"/>
      <c r="V342" s="89"/>
      <c r="AE342" s="89"/>
      <c r="AN342" s="89"/>
    </row>
    <row r="343" spans="4:40" x14ac:dyDescent="0.2">
      <c r="D343" s="89"/>
      <c r="M343" s="65"/>
      <c r="V343" s="89"/>
      <c r="AE343" s="89"/>
      <c r="AN343" s="89"/>
    </row>
    <row r="344" spans="4:40" x14ac:dyDescent="0.2">
      <c r="D344" s="89"/>
      <c r="M344" s="65"/>
      <c r="V344" s="89"/>
      <c r="AE344" s="89"/>
      <c r="AN344" s="89"/>
    </row>
    <row r="345" spans="4:40" x14ac:dyDescent="0.2">
      <c r="D345" s="89"/>
      <c r="M345" s="65"/>
      <c r="V345" s="89"/>
      <c r="AE345" s="89"/>
      <c r="AN345" s="89"/>
    </row>
    <row r="346" spans="4:40" x14ac:dyDescent="0.2">
      <c r="D346" s="89"/>
      <c r="M346" s="65"/>
      <c r="V346" s="89"/>
      <c r="AE346" s="89"/>
      <c r="AN346" s="89"/>
    </row>
    <row r="347" spans="4:40" x14ac:dyDescent="0.2">
      <c r="D347" s="89"/>
      <c r="M347" s="65"/>
      <c r="V347" s="89"/>
      <c r="AE347" s="89"/>
      <c r="AN347" s="89"/>
    </row>
    <row r="348" spans="4:40" x14ac:dyDescent="0.2">
      <c r="D348" s="89"/>
      <c r="M348" s="65"/>
      <c r="V348" s="89"/>
      <c r="AE348" s="89"/>
      <c r="AN348" s="89"/>
    </row>
    <row r="349" spans="4:40" x14ac:dyDescent="0.2">
      <c r="D349" s="89"/>
      <c r="M349" s="65"/>
      <c r="V349" s="89"/>
      <c r="AE349" s="89"/>
      <c r="AN349" s="89"/>
    </row>
    <row r="350" spans="4:40" x14ac:dyDescent="0.2">
      <c r="D350" s="89"/>
      <c r="M350" s="65"/>
      <c r="V350" s="89"/>
      <c r="AE350" s="89"/>
      <c r="AN350" s="89"/>
    </row>
    <row r="351" spans="4:40" x14ac:dyDescent="0.2">
      <c r="D351" s="89"/>
      <c r="M351" s="65"/>
      <c r="V351" s="89"/>
      <c r="AE351" s="89"/>
      <c r="AN351" s="89"/>
    </row>
    <row r="352" spans="4:40" x14ac:dyDescent="0.2">
      <c r="D352" s="89"/>
      <c r="M352" s="65"/>
      <c r="V352" s="89"/>
      <c r="AE352" s="89"/>
      <c r="AN352" s="89"/>
    </row>
    <row r="353" spans="4:40" x14ac:dyDescent="0.2">
      <c r="D353" s="89"/>
      <c r="M353" s="65"/>
      <c r="V353" s="89"/>
      <c r="AE353" s="89"/>
      <c r="AN353" s="89"/>
    </row>
    <row r="354" spans="4:40" x14ac:dyDescent="0.2">
      <c r="D354" s="89"/>
      <c r="M354" s="65"/>
      <c r="V354" s="89"/>
      <c r="AE354" s="89"/>
      <c r="AN354" s="89"/>
    </row>
    <row r="355" spans="4:40" x14ac:dyDescent="0.2">
      <c r="D355" s="89"/>
      <c r="M355" s="65"/>
      <c r="V355" s="89"/>
      <c r="AE355" s="89"/>
      <c r="AN355" s="89"/>
    </row>
    <row r="356" spans="4:40" x14ac:dyDescent="0.2">
      <c r="D356" s="89"/>
      <c r="M356" s="65"/>
      <c r="V356" s="89"/>
      <c r="AE356" s="89"/>
      <c r="AN356" s="89"/>
    </row>
    <row r="357" spans="4:40" x14ac:dyDescent="0.2">
      <c r="D357" s="89"/>
      <c r="M357" s="65"/>
      <c r="V357" s="89"/>
      <c r="AE357" s="89"/>
      <c r="AN357" s="89"/>
    </row>
    <row r="358" spans="4:40" x14ac:dyDescent="0.2">
      <c r="D358" s="89"/>
      <c r="M358" s="65"/>
      <c r="V358" s="89"/>
      <c r="AE358" s="89"/>
      <c r="AN358" s="89"/>
    </row>
    <row r="359" spans="4:40" x14ac:dyDescent="0.2">
      <c r="D359" s="89"/>
      <c r="M359" s="65"/>
      <c r="V359" s="89"/>
      <c r="AE359" s="89"/>
      <c r="AN359" s="89"/>
    </row>
    <row r="360" spans="4:40" x14ac:dyDescent="0.2">
      <c r="D360" s="89"/>
      <c r="M360" s="65"/>
      <c r="V360" s="89"/>
      <c r="AE360" s="89"/>
      <c r="AN360" s="89"/>
    </row>
    <row r="361" spans="4:40" x14ac:dyDescent="0.2">
      <c r="D361" s="89"/>
      <c r="M361" s="65"/>
      <c r="V361" s="89"/>
      <c r="AE361" s="89"/>
      <c r="AN361" s="89"/>
    </row>
    <row r="362" spans="4:40" x14ac:dyDescent="0.2">
      <c r="D362" s="89"/>
      <c r="M362" s="65"/>
      <c r="V362" s="89"/>
      <c r="AE362" s="89"/>
      <c r="AN362" s="89"/>
    </row>
    <row r="363" spans="4:40" x14ac:dyDescent="0.2">
      <c r="D363" s="89"/>
      <c r="M363" s="65"/>
      <c r="V363" s="89"/>
      <c r="AE363" s="89"/>
      <c r="AN363" s="89"/>
    </row>
    <row r="364" spans="4:40" x14ac:dyDescent="0.2">
      <c r="D364" s="89"/>
      <c r="M364" s="65"/>
      <c r="V364" s="89"/>
      <c r="AE364" s="89"/>
      <c r="AN364" s="89"/>
    </row>
    <row r="365" spans="4:40" x14ac:dyDescent="0.2">
      <c r="D365" s="89"/>
      <c r="M365" s="65"/>
      <c r="V365" s="89"/>
      <c r="AE365" s="89"/>
      <c r="AN365" s="89"/>
    </row>
    <row r="366" spans="4:40" x14ac:dyDescent="0.2">
      <c r="D366" s="89"/>
      <c r="M366" s="65"/>
      <c r="V366" s="89"/>
      <c r="AE366" s="89"/>
      <c r="AN366" s="89"/>
    </row>
    <row r="367" spans="4:40" x14ac:dyDescent="0.2">
      <c r="D367" s="89"/>
      <c r="M367" s="65"/>
      <c r="V367" s="89"/>
      <c r="AE367" s="89"/>
      <c r="AN367" s="89"/>
    </row>
    <row r="368" spans="4:40" x14ac:dyDescent="0.2">
      <c r="D368" s="89"/>
      <c r="M368" s="65"/>
      <c r="V368" s="89"/>
      <c r="AE368" s="89"/>
      <c r="AN368" s="89"/>
    </row>
    <row r="369" spans="4:40" x14ac:dyDescent="0.2">
      <c r="D369" s="89"/>
      <c r="M369" s="65"/>
      <c r="V369" s="89"/>
      <c r="AE369" s="89"/>
      <c r="AN369" s="89"/>
    </row>
    <row r="370" spans="4:40" x14ac:dyDescent="0.2">
      <c r="D370" s="89"/>
      <c r="M370" s="65"/>
      <c r="V370" s="89"/>
      <c r="AE370" s="89"/>
      <c r="AN370" s="89"/>
    </row>
    <row r="371" spans="4:40" x14ac:dyDescent="0.2">
      <c r="D371" s="89"/>
      <c r="M371" s="65"/>
      <c r="V371" s="89"/>
      <c r="AE371" s="89"/>
      <c r="AN371" s="89"/>
    </row>
    <row r="372" spans="4:40" x14ac:dyDescent="0.2">
      <c r="D372" s="89"/>
      <c r="M372" s="65"/>
      <c r="V372" s="89"/>
      <c r="AE372" s="89"/>
      <c r="AN372" s="89"/>
    </row>
    <row r="373" spans="4:40" x14ac:dyDescent="0.2">
      <c r="D373" s="89"/>
      <c r="M373" s="65"/>
      <c r="V373" s="89"/>
      <c r="AE373" s="89"/>
      <c r="AN373" s="89"/>
    </row>
    <row r="374" spans="4:40" x14ac:dyDescent="0.2">
      <c r="D374" s="89"/>
      <c r="M374" s="65"/>
      <c r="V374" s="89"/>
      <c r="AE374" s="89"/>
      <c r="AN374" s="89"/>
    </row>
    <row r="375" spans="4:40" x14ac:dyDescent="0.2">
      <c r="D375" s="89"/>
      <c r="M375" s="65"/>
      <c r="V375" s="89"/>
      <c r="AE375" s="89"/>
      <c r="AN375" s="89"/>
    </row>
    <row r="376" spans="4:40" x14ac:dyDescent="0.2">
      <c r="D376" s="89"/>
      <c r="M376" s="65"/>
      <c r="V376" s="89"/>
      <c r="AE376" s="89"/>
      <c r="AN376" s="89"/>
    </row>
    <row r="377" spans="4:40" x14ac:dyDescent="0.2">
      <c r="D377" s="89"/>
      <c r="M377" s="65"/>
      <c r="V377" s="89"/>
      <c r="AE377" s="89"/>
      <c r="AN377" s="89"/>
    </row>
    <row r="378" spans="4:40" x14ac:dyDescent="0.2">
      <c r="D378" s="89"/>
      <c r="M378" s="65"/>
      <c r="V378" s="89"/>
      <c r="AE378" s="89"/>
      <c r="AN378" s="89"/>
    </row>
    <row r="379" spans="4:40" x14ac:dyDescent="0.2">
      <c r="D379" s="89"/>
      <c r="M379" s="65"/>
      <c r="V379" s="89"/>
      <c r="AE379" s="89"/>
      <c r="AN379" s="89"/>
    </row>
    <row r="380" spans="4:40" x14ac:dyDescent="0.2">
      <c r="D380" s="89"/>
      <c r="M380" s="65"/>
      <c r="V380" s="89"/>
      <c r="AE380" s="89"/>
      <c r="AN380" s="89"/>
    </row>
    <row r="381" spans="4:40" x14ac:dyDescent="0.2">
      <c r="D381" s="89"/>
      <c r="M381" s="65"/>
      <c r="V381" s="89"/>
      <c r="AE381" s="89"/>
      <c r="AN381" s="89"/>
    </row>
    <row r="382" spans="4:40" x14ac:dyDescent="0.2">
      <c r="D382" s="89"/>
      <c r="M382" s="65"/>
      <c r="V382" s="89"/>
      <c r="AE382" s="89"/>
      <c r="AN382" s="89"/>
    </row>
    <row r="383" spans="4:40" x14ac:dyDescent="0.2">
      <c r="D383" s="89"/>
      <c r="M383" s="65"/>
      <c r="V383" s="89"/>
      <c r="AE383" s="89"/>
      <c r="AN383" s="89"/>
    </row>
    <row r="384" spans="4:40" x14ac:dyDescent="0.2">
      <c r="D384" s="89"/>
      <c r="M384" s="65"/>
      <c r="V384" s="89"/>
      <c r="AE384" s="89"/>
      <c r="AN384" s="89"/>
    </row>
    <row r="385" spans="4:40" x14ac:dyDescent="0.2">
      <c r="D385" s="89"/>
      <c r="M385" s="65"/>
      <c r="V385" s="89"/>
      <c r="AE385" s="89"/>
      <c r="AN385" s="89"/>
    </row>
    <row r="386" spans="4:40" x14ac:dyDescent="0.2">
      <c r="D386" s="89"/>
      <c r="M386" s="65"/>
      <c r="V386" s="89"/>
      <c r="AE386" s="89"/>
      <c r="AN386" s="89"/>
    </row>
    <row r="387" spans="4:40" x14ac:dyDescent="0.2">
      <c r="D387" s="89"/>
      <c r="M387" s="65"/>
      <c r="V387" s="89"/>
      <c r="AE387" s="89"/>
      <c r="AN387" s="89"/>
    </row>
    <row r="388" spans="4:40" x14ac:dyDescent="0.2">
      <c r="D388" s="89"/>
      <c r="M388" s="65"/>
      <c r="V388" s="89"/>
      <c r="AE388" s="89"/>
      <c r="AN388" s="89"/>
    </row>
    <row r="389" spans="4:40" x14ac:dyDescent="0.2">
      <c r="D389" s="89"/>
      <c r="M389" s="65"/>
      <c r="V389" s="89"/>
      <c r="AE389" s="89"/>
      <c r="AN389" s="89"/>
    </row>
    <row r="390" spans="4:40" x14ac:dyDescent="0.2">
      <c r="D390" s="89"/>
      <c r="M390" s="65"/>
      <c r="V390" s="89"/>
      <c r="AE390" s="89"/>
      <c r="AN390" s="89"/>
    </row>
    <row r="391" spans="4:40" x14ac:dyDescent="0.2">
      <c r="D391" s="89"/>
      <c r="M391" s="65"/>
      <c r="V391" s="89"/>
      <c r="AE391" s="89"/>
      <c r="AN391" s="89"/>
    </row>
    <row r="392" spans="4:40" x14ac:dyDescent="0.2">
      <c r="D392" s="89"/>
      <c r="M392" s="65"/>
      <c r="V392" s="89"/>
      <c r="AE392" s="89"/>
      <c r="AN392" s="89"/>
    </row>
    <row r="393" spans="4:40" x14ac:dyDescent="0.2">
      <c r="D393" s="89"/>
      <c r="M393" s="65"/>
      <c r="V393" s="89"/>
      <c r="AE393" s="89"/>
      <c r="AN393" s="89"/>
    </row>
    <row r="394" spans="4:40" x14ac:dyDescent="0.2">
      <c r="D394" s="89"/>
      <c r="M394" s="65"/>
      <c r="V394" s="89"/>
      <c r="AE394" s="89"/>
      <c r="AN394" s="89"/>
    </row>
    <row r="395" spans="4:40" x14ac:dyDescent="0.2">
      <c r="D395" s="89"/>
      <c r="M395" s="65"/>
      <c r="V395" s="89"/>
      <c r="AE395" s="89"/>
      <c r="AN395" s="89"/>
    </row>
    <row r="396" spans="4:40" x14ac:dyDescent="0.2">
      <c r="D396" s="89"/>
      <c r="M396" s="65"/>
      <c r="V396" s="89"/>
      <c r="AE396" s="89"/>
      <c r="AN396" s="89"/>
    </row>
    <row r="397" spans="4:40" x14ac:dyDescent="0.2">
      <c r="D397" s="89"/>
      <c r="M397" s="65"/>
      <c r="V397" s="89"/>
      <c r="AE397" s="89"/>
      <c r="AN397" s="89"/>
    </row>
    <row r="398" spans="4:40" x14ac:dyDescent="0.2">
      <c r="D398" s="89"/>
      <c r="M398" s="65"/>
      <c r="V398" s="89"/>
      <c r="AE398" s="89"/>
      <c r="AN398" s="89"/>
    </row>
    <row r="399" spans="4:40" x14ac:dyDescent="0.2">
      <c r="D399" s="89"/>
      <c r="M399" s="65"/>
      <c r="V399" s="89"/>
      <c r="AE399" s="89"/>
      <c r="AN399" s="89"/>
    </row>
    <row r="400" spans="4:40" x14ac:dyDescent="0.2">
      <c r="D400" s="89"/>
      <c r="M400" s="65"/>
      <c r="V400" s="89"/>
      <c r="AE400" s="89"/>
      <c r="AN400" s="89"/>
    </row>
    <row r="401" spans="4:40" x14ac:dyDescent="0.2">
      <c r="D401" s="89"/>
      <c r="M401" s="65"/>
      <c r="V401" s="89"/>
      <c r="AE401" s="89"/>
      <c r="AN401" s="89"/>
    </row>
    <row r="402" spans="4:40" x14ac:dyDescent="0.2">
      <c r="D402" s="89"/>
      <c r="M402" s="65"/>
      <c r="V402" s="89"/>
      <c r="AE402" s="89"/>
      <c r="AN402" s="89"/>
    </row>
    <row r="403" spans="4:40" x14ac:dyDescent="0.2">
      <c r="D403" s="89"/>
      <c r="M403" s="65"/>
      <c r="V403" s="89"/>
      <c r="AE403" s="89"/>
      <c r="AN403" s="89"/>
    </row>
    <row r="404" spans="4:40" x14ac:dyDescent="0.2">
      <c r="D404" s="89"/>
      <c r="M404" s="65"/>
      <c r="V404" s="89"/>
      <c r="AE404" s="89"/>
      <c r="AN404" s="89"/>
    </row>
    <row r="405" spans="4:40" x14ac:dyDescent="0.2">
      <c r="D405" s="89"/>
      <c r="M405" s="65"/>
      <c r="V405" s="89"/>
      <c r="AE405" s="89"/>
      <c r="AN405" s="89"/>
    </row>
    <row r="406" spans="4:40" x14ac:dyDescent="0.2">
      <c r="D406" s="89"/>
      <c r="M406" s="65"/>
      <c r="V406" s="89"/>
      <c r="AE406" s="89"/>
      <c r="AN406" s="89"/>
    </row>
    <row r="407" spans="4:40" x14ac:dyDescent="0.2">
      <c r="D407" s="89"/>
      <c r="M407" s="65"/>
      <c r="V407" s="89"/>
      <c r="AE407" s="89"/>
      <c r="AN407" s="89"/>
    </row>
    <row r="408" spans="4:40" x14ac:dyDescent="0.2">
      <c r="D408" s="89"/>
      <c r="M408" s="65"/>
      <c r="V408" s="89"/>
      <c r="AE408" s="89"/>
      <c r="AN408" s="89"/>
    </row>
    <row r="409" spans="4:40" x14ac:dyDescent="0.2">
      <c r="D409" s="89"/>
      <c r="M409" s="65"/>
      <c r="V409" s="89"/>
      <c r="AE409" s="89"/>
      <c r="AN409" s="89"/>
    </row>
    <row r="410" spans="4:40" x14ac:dyDescent="0.2">
      <c r="D410" s="89"/>
      <c r="M410" s="65"/>
      <c r="V410" s="89"/>
      <c r="AE410" s="89"/>
      <c r="AN410" s="89"/>
    </row>
    <row r="411" spans="4:40" x14ac:dyDescent="0.2">
      <c r="D411" s="89"/>
      <c r="M411" s="65"/>
      <c r="V411" s="89"/>
      <c r="AE411" s="89"/>
      <c r="AN411" s="89"/>
    </row>
    <row r="412" spans="4:40" x14ac:dyDescent="0.2">
      <c r="D412" s="89"/>
      <c r="M412" s="65"/>
      <c r="V412" s="89"/>
      <c r="AE412" s="89"/>
      <c r="AN412" s="89"/>
    </row>
    <row r="413" spans="4:40" x14ac:dyDescent="0.2">
      <c r="D413" s="89"/>
      <c r="M413" s="65"/>
      <c r="V413" s="89"/>
      <c r="AE413" s="89"/>
      <c r="AN413" s="89"/>
    </row>
    <row r="414" spans="4:40" x14ac:dyDescent="0.2">
      <c r="D414" s="89"/>
      <c r="M414" s="65"/>
      <c r="V414" s="89"/>
      <c r="AE414" s="89"/>
      <c r="AN414" s="89"/>
    </row>
    <row r="415" spans="4:40" x14ac:dyDescent="0.2">
      <c r="D415" s="89"/>
      <c r="M415" s="65"/>
      <c r="V415" s="89"/>
      <c r="AE415" s="89"/>
      <c r="AN415" s="89"/>
    </row>
    <row r="416" spans="4:40" x14ac:dyDescent="0.2">
      <c r="D416" s="89"/>
      <c r="M416" s="65"/>
      <c r="V416" s="89"/>
      <c r="AE416" s="89"/>
      <c r="AN416" s="89"/>
    </row>
    <row r="417" spans="4:40" x14ac:dyDescent="0.2">
      <c r="D417" s="89"/>
      <c r="M417" s="65"/>
      <c r="V417" s="89"/>
      <c r="AE417" s="89"/>
      <c r="AN417" s="89"/>
    </row>
    <row r="418" spans="4:40" x14ac:dyDescent="0.2">
      <c r="D418" s="89"/>
      <c r="M418" s="65"/>
      <c r="V418" s="89"/>
      <c r="AE418" s="89"/>
      <c r="AN418" s="89"/>
    </row>
    <row r="419" spans="4:40" x14ac:dyDescent="0.2">
      <c r="D419" s="89"/>
      <c r="M419" s="65"/>
      <c r="V419" s="89"/>
      <c r="AE419" s="89"/>
      <c r="AN419" s="89"/>
    </row>
    <row r="420" spans="4:40" x14ac:dyDescent="0.2">
      <c r="D420" s="89"/>
      <c r="M420" s="65"/>
      <c r="V420" s="89"/>
      <c r="AE420" s="89"/>
      <c r="AN420" s="89"/>
    </row>
    <row r="421" spans="4:40" x14ac:dyDescent="0.2">
      <c r="D421" s="89"/>
      <c r="M421" s="65"/>
      <c r="V421" s="89"/>
      <c r="AE421" s="89"/>
      <c r="AN421" s="89"/>
    </row>
    <row r="422" spans="4:40" x14ac:dyDescent="0.2">
      <c r="D422" s="89"/>
      <c r="M422" s="65"/>
      <c r="V422" s="89"/>
      <c r="AE422" s="89"/>
      <c r="AN422" s="89"/>
    </row>
    <row r="423" spans="4:40" x14ac:dyDescent="0.2">
      <c r="D423" s="89"/>
      <c r="M423" s="65"/>
      <c r="V423" s="89"/>
      <c r="AE423" s="89"/>
      <c r="AN423" s="89"/>
    </row>
    <row r="424" spans="4:40" x14ac:dyDescent="0.2">
      <c r="D424" s="89"/>
      <c r="M424" s="65"/>
      <c r="V424" s="89"/>
      <c r="AE424" s="89"/>
      <c r="AN424" s="89"/>
    </row>
    <row r="425" spans="4:40" x14ac:dyDescent="0.2">
      <c r="D425" s="89"/>
      <c r="M425" s="65"/>
      <c r="V425" s="89"/>
      <c r="AE425" s="89"/>
      <c r="AN425" s="89"/>
    </row>
    <row r="426" spans="4:40" x14ac:dyDescent="0.2">
      <c r="D426" s="89"/>
      <c r="M426" s="65"/>
      <c r="V426" s="89"/>
      <c r="AE426" s="89"/>
      <c r="AN426" s="89"/>
    </row>
    <row r="427" spans="4:40" x14ac:dyDescent="0.2">
      <c r="D427" s="89"/>
      <c r="M427" s="65"/>
      <c r="V427" s="89"/>
      <c r="AE427" s="89"/>
      <c r="AN427" s="89"/>
    </row>
    <row r="428" spans="4:40" x14ac:dyDescent="0.2">
      <c r="D428" s="89"/>
      <c r="M428" s="65"/>
      <c r="V428" s="89"/>
      <c r="AE428" s="89"/>
      <c r="AN428" s="89"/>
    </row>
    <row r="429" spans="4:40" x14ac:dyDescent="0.2">
      <c r="D429" s="89"/>
      <c r="M429" s="65"/>
      <c r="V429" s="89"/>
      <c r="AE429" s="89"/>
      <c r="AN429" s="89"/>
    </row>
    <row r="430" spans="4:40" x14ac:dyDescent="0.2">
      <c r="D430" s="89"/>
      <c r="M430" s="65"/>
      <c r="V430" s="89"/>
      <c r="AE430" s="89"/>
      <c r="AN430" s="89"/>
    </row>
    <row r="431" spans="4:40" x14ac:dyDescent="0.2">
      <c r="D431" s="89"/>
      <c r="M431" s="65"/>
      <c r="V431" s="89"/>
      <c r="AE431" s="89"/>
      <c r="AN431" s="89"/>
    </row>
    <row r="432" spans="4:40" x14ac:dyDescent="0.2">
      <c r="D432" s="89"/>
      <c r="M432" s="65"/>
      <c r="V432" s="89"/>
      <c r="AE432" s="89"/>
      <c r="AN432" s="89"/>
    </row>
    <row r="433" spans="4:40" x14ac:dyDescent="0.2">
      <c r="D433" s="89"/>
      <c r="M433" s="65"/>
      <c r="V433" s="89"/>
      <c r="AE433" s="89"/>
      <c r="AN433" s="89"/>
    </row>
    <row r="434" spans="4:40" x14ac:dyDescent="0.2">
      <c r="D434" s="89"/>
      <c r="M434" s="65"/>
      <c r="V434" s="89"/>
      <c r="AE434" s="89"/>
      <c r="AN434" s="89"/>
    </row>
    <row r="435" spans="4:40" x14ac:dyDescent="0.2">
      <c r="D435" s="89"/>
      <c r="M435" s="65"/>
      <c r="V435" s="89"/>
      <c r="AE435" s="89"/>
      <c r="AN435" s="89"/>
    </row>
    <row r="436" spans="4:40" x14ac:dyDescent="0.2">
      <c r="D436" s="89"/>
      <c r="M436" s="65"/>
      <c r="V436" s="89"/>
      <c r="AE436" s="89"/>
      <c r="AN436" s="89"/>
    </row>
    <row r="437" spans="4:40" x14ac:dyDescent="0.2">
      <c r="D437" s="89"/>
      <c r="M437" s="65"/>
      <c r="V437" s="89"/>
      <c r="AE437" s="89"/>
      <c r="AN437" s="89"/>
    </row>
    <row r="438" spans="4:40" x14ac:dyDescent="0.2">
      <c r="D438" s="89"/>
      <c r="M438" s="65"/>
      <c r="V438" s="89"/>
      <c r="AE438" s="89"/>
      <c r="AN438" s="89"/>
    </row>
    <row r="439" spans="4:40" x14ac:dyDescent="0.2">
      <c r="D439" s="89"/>
      <c r="M439" s="65"/>
      <c r="V439" s="89"/>
      <c r="AE439" s="89"/>
      <c r="AN439" s="89"/>
    </row>
    <row r="440" spans="4:40" x14ac:dyDescent="0.2">
      <c r="D440" s="89"/>
      <c r="M440" s="65"/>
      <c r="V440" s="89"/>
      <c r="AE440" s="89"/>
      <c r="AN440" s="89"/>
    </row>
    <row r="441" spans="4:40" x14ac:dyDescent="0.2">
      <c r="D441" s="89"/>
      <c r="M441" s="65"/>
      <c r="V441" s="89"/>
      <c r="AE441" s="89"/>
      <c r="AN441" s="89"/>
    </row>
    <row r="442" spans="4:40" x14ac:dyDescent="0.2">
      <c r="D442" s="89"/>
      <c r="M442" s="65"/>
      <c r="V442" s="89"/>
      <c r="AE442" s="89"/>
      <c r="AN442" s="89"/>
    </row>
    <row r="443" spans="4:40" x14ac:dyDescent="0.2">
      <c r="D443" s="89"/>
      <c r="M443" s="65"/>
      <c r="V443" s="89"/>
      <c r="AE443" s="89"/>
      <c r="AN443" s="89"/>
    </row>
    <row r="444" spans="4:40" x14ac:dyDescent="0.2">
      <c r="D444" s="89"/>
      <c r="M444" s="65"/>
      <c r="V444" s="89"/>
      <c r="AE444" s="89"/>
      <c r="AN444" s="89"/>
    </row>
    <row r="445" spans="4:40" x14ac:dyDescent="0.2">
      <c r="D445" s="89"/>
      <c r="M445" s="65"/>
      <c r="V445" s="89"/>
      <c r="AE445" s="89"/>
      <c r="AN445" s="89"/>
    </row>
    <row r="446" spans="4:40" x14ac:dyDescent="0.2">
      <c r="D446" s="89"/>
      <c r="M446" s="65"/>
      <c r="V446" s="89"/>
      <c r="AE446" s="89"/>
      <c r="AN446" s="89"/>
    </row>
    <row r="447" spans="4:40" x14ac:dyDescent="0.2">
      <c r="D447" s="89"/>
      <c r="M447" s="65"/>
      <c r="V447" s="89"/>
      <c r="AE447" s="89"/>
      <c r="AN447" s="89"/>
    </row>
    <row r="448" spans="4:40" x14ac:dyDescent="0.2">
      <c r="D448" s="89"/>
      <c r="M448" s="65"/>
      <c r="V448" s="89"/>
      <c r="AE448" s="89"/>
      <c r="AN448" s="89"/>
    </row>
    <row r="449" spans="4:40" x14ac:dyDescent="0.2">
      <c r="D449" s="89"/>
      <c r="M449" s="65"/>
      <c r="V449" s="89"/>
      <c r="AE449" s="89"/>
      <c r="AN449" s="89"/>
    </row>
    <row r="450" spans="4:40" x14ac:dyDescent="0.2">
      <c r="D450" s="89"/>
      <c r="M450" s="65"/>
      <c r="V450" s="89"/>
      <c r="AE450" s="89"/>
      <c r="AN450" s="89"/>
    </row>
    <row r="451" spans="4:40" x14ac:dyDescent="0.2">
      <c r="D451" s="89"/>
      <c r="M451" s="65"/>
      <c r="V451" s="89"/>
      <c r="AE451" s="89"/>
      <c r="AN451" s="89"/>
    </row>
    <row r="452" spans="4:40" x14ac:dyDescent="0.2">
      <c r="D452" s="89"/>
      <c r="M452" s="65"/>
      <c r="V452" s="89"/>
      <c r="AE452" s="89"/>
      <c r="AN452" s="89"/>
    </row>
    <row r="453" spans="4:40" x14ac:dyDescent="0.2">
      <c r="D453" s="89"/>
      <c r="M453" s="65"/>
      <c r="V453" s="89"/>
      <c r="AE453" s="89"/>
      <c r="AN453" s="89"/>
    </row>
    <row r="454" spans="4:40" x14ac:dyDescent="0.2">
      <c r="D454" s="89"/>
      <c r="M454" s="65"/>
      <c r="V454" s="89"/>
      <c r="AE454" s="89"/>
      <c r="AN454" s="89"/>
    </row>
    <row r="455" spans="4:40" x14ac:dyDescent="0.2">
      <c r="D455" s="89"/>
      <c r="M455" s="65"/>
      <c r="V455" s="89"/>
      <c r="AE455" s="89"/>
      <c r="AN455" s="89"/>
    </row>
    <row r="456" spans="4:40" x14ac:dyDescent="0.2">
      <c r="D456" s="89"/>
      <c r="M456" s="65"/>
      <c r="V456" s="89"/>
      <c r="AE456" s="89"/>
      <c r="AN456" s="89"/>
    </row>
    <row r="457" spans="4:40" x14ac:dyDescent="0.2">
      <c r="D457" s="89"/>
      <c r="M457" s="65"/>
      <c r="V457" s="89"/>
      <c r="AE457" s="89"/>
      <c r="AN457" s="89"/>
    </row>
    <row r="458" spans="4:40" x14ac:dyDescent="0.2">
      <c r="D458" s="89"/>
      <c r="M458" s="65"/>
      <c r="V458" s="89"/>
      <c r="AE458" s="89"/>
      <c r="AN458" s="89"/>
    </row>
    <row r="459" spans="4:40" x14ac:dyDescent="0.2">
      <c r="D459" s="89"/>
      <c r="M459" s="65"/>
      <c r="V459" s="89"/>
      <c r="AE459" s="89"/>
      <c r="AN459" s="89"/>
    </row>
    <row r="460" spans="4:40" x14ac:dyDescent="0.2">
      <c r="D460" s="89"/>
      <c r="M460" s="65"/>
      <c r="V460" s="89"/>
      <c r="AE460" s="89"/>
      <c r="AN460" s="89"/>
    </row>
    <row r="461" spans="4:40" x14ac:dyDescent="0.2">
      <c r="D461" s="89"/>
      <c r="M461" s="65"/>
      <c r="V461" s="89"/>
      <c r="AE461" s="89"/>
      <c r="AN461" s="89"/>
    </row>
    <row r="462" spans="4:40" x14ac:dyDescent="0.2">
      <c r="D462" s="89"/>
      <c r="M462" s="65"/>
      <c r="V462" s="89"/>
      <c r="AE462" s="89"/>
      <c r="AN462" s="89"/>
    </row>
    <row r="463" spans="4:40" x14ac:dyDescent="0.2">
      <c r="D463" s="89"/>
      <c r="M463" s="65"/>
      <c r="V463" s="89"/>
      <c r="AE463" s="89"/>
      <c r="AN463" s="89"/>
    </row>
    <row r="464" spans="4:40" x14ac:dyDescent="0.2">
      <c r="D464" s="89"/>
      <c r="M464" s="65"/>
      <c r="V464" s="89"/>
      <c r="AE464" s="89"/>
      <c r="AN464" s="89"/>
    </row>
    <row r="465" spans="4:40" x14ac:dyDescent="0.2">
      <c r="D465" s="89"/>
      <c r="M465" s="65"/>
      <c r="V465" s="89"/>
      <c r="AE465" s="89"/>
      <c r="AN465" s="89"/>
    </row>
    <row r="466" spans="4:40" x14ac:dyDescent="0.2">
      <c r="D466" s="89"/>
      <c r="M466" s="65"/>
      <c r="V466" s="89"/>
      <c r="AE466" s="89"/>
      <c r="AN466" s="89"/>
    </row>
    <row r="467" spans="4:40" x14ac:dyDescent="0.2">
      <c r="D467" s="89"/>
      <c r="M467" s="65"/>
      <c r="V467" s="89"/>
      <c r="AE467" s="89"/>
      <c r="AN467" s="89"/>
    </row>
    <row r="468" spans="4:40" x14ac:dyDescent="0.2">
      <c r="D468" s="89"/>
      <c r="M468" s="65"/>
      <c r="V468" s="89"/>
      <c r="AE468" s="89"/>
      <c r="AN468" s="89"/>
    </row>
    <row r="469" spans="4:40" x14ac:dyDescent="0.2">
      <c r="D469" s="89"/>
      <c r="M469" s="65"/>
      <c r="V469" s="89"/>
      <c r="AE469" s="89"/>
      <c r="AN469" s="89"/>
    </row>
    <row r="470" spans="4:40" x14ac:dyDescent="0.2">
      <c r="D470" s="89"/>
      <c r="M470" s="65"/>
      <c r="V470" s="89"/>
      <c r="AE470" s="89"/>
      <c r="AN470" s="89"/>
    </row>
    <row r="471" spans="4:40" x14ac:dyDescent="0.2">
      <c r="D471" s="89"/>
      <c r="M471" s="65"/>
      <c r="V471" s="89"/>
      <c r="AE471" s="89"/>
      <c r="AN471" s="89"/>
    </row>
    <row r="472" spans="4:40" x14ac:dyDescent="0.2">
      <c r="D472" s="89"/>
      <c r="M472" s="65"/>
      <c r="V472" s="89"/>
      <c r="AE472" s="89"/>
      <c r="AN472" s="89"/>
    </row>
    <row r="473" spans="4:40" x14ac:dyDescent="0.2">
      <c r="D473" s="89"/>
      <c r="M473" s="65"/>
      <c r="V473" s="89"/>
      <c r="AE473" s="89"/>
      <c r="AN473" s="89"/>
    </row>
    <row r="474" spans="4:40" x14ac:dyDescent="0.2">
      <c r="D474" s="89"/>
      <c r="M474" s="65"/>
      <c r="V474" s="89"/>
      <c r="AE474" s="89"/>
      <c r="AN474" s="89"/>
    </row>
    <row r="475" spans="4:40" x14ac:dyDescent="0.2">
      <c r="D475" s="89"/>
      <c r="M475" s="65"/>
      <c r="V475" s="89"/>
      <c r="AE475" s="89"/>
      <c r="AN475" s="89"/>
    </row>
    <row r="476" spans="4:40" x14ac:dyDescent="0.2">
      <c r="D476" s="89"/>
      <c r="M476" s="65"/>
      <c r="V476" s="89"/>
      <c r="AE476" s="89"/>
      <c r="AN476" s="89"/>
    </row>
    <row r="477" spans="4:40" x14ac:dyDescent="0.2">
      <c r="D477" s="89"/>
      <c r="M477" s="65"/>
      <c r="V477" s="89"/>
      <c r="AE477" s="89"/>
      <c r="AN477" s="89"/>
    </row>
    <row r="478" spans="4:40" x14ac:dyDescent="0.2">
      <c r="D478" s="89"/>
      <c r="M478" s="65"/>
      <c r="V478" s="89"/>
      <c r="AE478" s="89"/>
      <c r="AN478" s="89"/>
    </row>
    <row r="479" spans="4:40" x14ac:dyDescent="0.2">
      <c r="D479" s="89"/>
      <c r="M479" s="65"/>
      <c r="V479" s="89"/>
      <c r="AE479" s="89"/>
      <c r="AN479" s="89"/>
    </row>
    <row r="480" spans="4:40" x14ac:dyDescent="0.2">
      <c r="D480" s="89"/>
      <c r="M480" s="65"/>
      <c r="V480" s="89"/>
      <c r="AE480" s="89"/>
      <c r="AN480" s="89"/>
    </row>
    <row r="481" spans="4:40" x14ac:dyDescent="0.2">
      <c r="D481" s="89"/>
      <c r="M481" s="65"/>
      <c r="V481" s="89"/>
      <c r="AE481" s="89"/>
      <c r="AN481" s="89"/>
    </row>
    <row r="482" spans="4:40" x14ac:dyDescent="0.2">
      <c r="D482" s="89"/>
      <c r="M482" s="65"/>
      <c r="V482" s="89"/>
      <c r="AE482" s="89"/>
      <c r="AN482" s="89"/>
    </row>
    <row r="483" spans="4:40" x14ac:dyDescent="0.2">
      <c r="D483" s="89"/>
      <c r="M483" s="65"/>
      <c r="V483" s="89"/>
      <c r="AE483" s="89"/>
      <c r="AN483" s="89"/>
    </row>
    <row r="484" spans="4:40" x14ac:dyDescent="0.2">
      <c r="D484" s="89"/>
      <c r="M484" s="65"/>
      <c r="V484" s="89"/>
      <c r="AE484" s="89"/>
      <c r="AN484" s="89"/>
    </row>
    <row r="485" spans="4:40" x14ac:dyDescent="0.2">
      <c r="D485" s="89"/>
      <c r="M485" s="65"/>
      <c r="V485" s="89"/>
      <c r="AE485" s="89"/>
      <c r="AN485" s="89"/>
    </row>
    <row r="486" spans="4:40" x14ac:dyDescent="0.2">
      <c r="D486" s="89"/>
      <c r="M486" s="65"/>
      <c r="V486" s="89"/>
      <c r="AE486" s="89"/>
      <c r="AN486" s="89"/>
    </row>
    <row r="487" spans="4:40" x14ac:dyDescent="0.2">
      <c r="D487" s="89"/>
      <c r="M487" s="65"/>
      <c r="V487" s="89"/>
      <c r="AE487" s="89"/>
      <c r="AN487" s="89"/>
    </row>
    <row r="488" spans="4:40" x14ac:dyDescent="0.2">
      <c r="D488" s="89"/>
      <c r="M488" s="65"/>
      <c r="V488" s="89"/>
      <c r="AE488" s="89"/>
      <c r="AN488" s="89"/>
    </row>
    <row r="489" spans="4:40" x14ac:dyDescent="0.2">
      <c r="D489" s="89"/>
      <c r="M489" s="65"/>
      <c r="V489" s="89"/>
      <c r="AE489" s="89"/>
      <c r="AN489" s="89"/>
    </row>
    <row r="490" spans="4:40" x14ac:dyDescent="0.2">
      <c r="D490" s="89"/>
      <c r="M490" s="65"/>
      <c r="V490" s="89"/>
      <c r="AE490" s="89"/>
      <c r="AN490" s="89"/>
    </row>
    <row r="491" spans="4:40" x14ac:dyDescent="0.2">
      <c r="D491" s="89"/>
      <c r="M491" s="65"/>
      <c r="V491" s="89"/>
      <c r="AE491" s="89"/>
      <c r="AN491" s="89"/>
    </row>
    <row r="492" spans="4:40" x14ac:dyDescent="0.2">
      <c r="D492" s="89"/>
      <c r="M492" s="65"/>
      <c r="V492" s="89"/>
      <c r="AE492" s="89"/>
      <c r="AN492" s="89"/>
    </row>
    <row r="493" spans="4:40" x14ac:dyDescent="0.2">
      <c r="D493" s="89"/>
      <c r="M493" s="65"/>
      <c r="V493" s="89"/>
      <c r="AE493" s="89"/>
      <c r="AN493" s="89"/>
    </row>
    <row r="494" spans="4:40" x14ac:dyDescent="0.2">
      <c r="D494" s="89"/>
      <c r="M494" s="65"/>
      <c r="V494" s="89"/>
      <c r="AE494" s="89"/>
      <c r="AN494" s="89"/>
    </row>
    <row r="495" spans="4:40" x14ac:dyDescent="0.2">
      <c r="D495" s="89"/>
      <c r="M495" s="65"/>
      <c r="V495" s="89"/>
      <c r="AE495" s="89"/>
      <c r="AN495" s="89"/>
    </row>
    <row r="496" spans="4:40" x14ac:dyDescent="0.2">
      <c r="D496" s="89"/>
      <c r="M496" s="65"/>
      <c r="V496" s="89"/>
      <c r="AE496" s="89"/>
      <c r="AN496" s="89"/>
    </row>
    <row r="497" spans="4:40" x14ac:dyDescent="0.2">
      <c r="D497" s="89"/>
      <c r="M497" s="65"/>
      <c r="V497" s="89"/>
      <c r="AE497" s="89"/>
      <c r="AN497" s="89"/>
    </row>
    <row r="498" spans="4:40" x14ac:dyDescent="0.2">
      <c r="D498" s="89"/>
      <c r="M498" s="65"/>
      <c r="V498" s="89"/>
      <c r="AE498" s="89"/>
      <c r="AN498" s="89"/>
    </row>
    <row r="499" spans="4:40" x14ac:dyDescent="0.2">
      <c r="D499" s="89"/>
      <c r="M499" s="65"/>
      <c r="V499" s="89"/>
      <c r="AE499" s="89"/>
      <c r="AN499" s="89"/>
    </row>
    <row r="500" spans="4:40" x14ac:dyDescent="0.2">
      <c r="D500" s="89"/>
      <c r="M500" s="65"/>
      <c r="V500" s="89"/>
      <c r="AE500" s="89"/>
      <c r="AN500" s="89"/>
    </row>
    <row r="501" spans="4:40" x14ac:dyDescent="0.2">
      <c r="D501" s="89"/>
      <c r="M501" s="65"/>
      <c r="V501" s="89"/>
      <c r="AE501" s="89"/>
      <c r="AN501" s="89"/>
    </row>
    <row r="502" spans="4:40" x14ac:dyDescent="0.2">
      <c r="D502" s="89"/>
      <c r="M502" s="65"/>
      <c r="V502" s="89"/>
      <c r="AE502" s="89"/>
      <c r="AN502" s="89"/>
    </row>
    <row r="503" spans="4:40" x14ac:dyDescent="0.2">
      <c r="D503" s="89"/>
      <c r="M503" s="65"/>
      <c r="V503" s="89"/>
      <c r="AE503" s="89"/>
      <c r="AN503" s="89"/>
    </row>
    <row r="504" spans="4:40" x14ac:dyDescent="0.2">
      <c r="D504" s="89"/>
      <c r="M504" s="65"/>
      <c r="V504" s="89"/>
      <c r="AE504" s="89"/>
      <c r="AN504" s="89"/>
    </row>
    <row r="505" spans="4:40" x14ac:dyDescent="0.2">
      <c r="D505" s="89"/>
      <c r="M505" s="65"/>
      <c r="V505" s="89"/>
      <c r="AE505" s="89"/>
      <c r="AN505" s="89"/>
    </row>
    <row r="506" spans="4:40" x14ac:dyDescent="0.2">
      <c r="D506" s="89"/>
      <c r="M506" s="65"/>
      <c r="V506" s="89"/>
      <c r="AE506" s="89"/>
      <c r="AN506" s="89"/>
    </row>
    <row r="507" spans="4:40" x14ac:dyDescent="0.2">
      <c r="D507" s="89"/>
      <c r="M507" s="65"/>
      <c r="V507" s="89"/>
      <c r="AE507" s="89"/>
      <c r="AN507" s="89"/>
    </row>
    <row r="508" spans="4:40" x14ac:dyDescent="0.2">
      <c r="D508" s="89"/>
      <c r="M508" s="65"/>
      <c r="V508" s="89"/>
      <c r="AE508" s="89"/>
      <c r="AN508" s="89"/>
    </row>
    <row r="509" spans="4:40" x14ac:dyDescent="0.2">
      <c r="D509" s="89"/>
      <c r="M509" s="65"/>
      <c r="V509" s="89"/>
      <c r="AE509" s="89"/>
      <c r="AN509" s="89"/>
    </row>
    <row r="510" spans="4:40" x14ac:dyDescent="0.2">
      <c r="D510" s="89"/>
      <c r="M510" s="65"/>
      <c r="V510" s="89"/>
      <c r="AE510" s="89"/>
      <c r="AN510" s="89"/>
    </row>
    <row r="511" spans="4:40" x14ac:dyDescent="0.2">
      <c r="D511" s="89"/>
      <c r="M511" s="65"/>
      <c r="V511" s="89"/>
      <c r="AE511" s="89"/>
      <c r="AN511" s="89"/>
    </row>
    <row r="512" spans="4:40" x14ac:dyDescent="0.2">
      <c r="D512" s="89"/>
      <c r="M512" s="65"/>
      <c r="V512" s="89"/>
      <c r="AE512" s="89"/>
      <c r="AN512" s="89"/>
    </row>
    <row r="513" spans="4:40" x14ac:dyDescent="0.2">
      <c r="D513" s="89"/>
      <c r="M513" s="65"/>
      <c r="V513" s="89"/>
      <c r="AE513" s="89"/>
      <c r="AN513" s="89"/>
    </row>
    <row r="514" spans="4:40" x14ac:dyDescent="0.2">
      <c r="D514" s="89"/>
      <c r="M514" s="65"/>
      <c r="V514" s="89"/>
      <c r="AE514" s="89"/>
      <c r="AN514" s="89"/>
    </row>
    <row r="515" spans="4:40" x14ac:dyDescent="0.2">
      <c r="D515" s="89"/>
      <c r="M515" s="65"/>
      <c r="V515" s="89"/>
      <c r="AE515" s="89"/>
      <c r="AN515" s="89"/>
    </row>
    <row r="516" spans="4:40" x14ac:dyDescent="0.2">
      <c r="D516" s="89"/>
      <c r="M516" s="65"/>
      <c r="V516" s="89"/>
      <c r="AE516" s="89"/>
      <c r="AN516" s="89"/>
    </row>
    <row r="517" spans="4:40" x14ac:dyDescent="0.2">
      <c r="D517" s="89"/>
      <c r="M517" s="65"/>
      <c r="V517" s="89"/>
      <c r="AE517" s="89"/>
      <c r="AN517" s="89"/>
    </row>
    <row r="518" spans="4:40" x14ac:dyDescent="0.2">
      <c r="D518" s="89"/>
      <c r="M518" s="65"/>
      <c r="V518" s="89"/>
      <c r="AE518" s="89"/>
      <c r="AN518" s="89"/>
    </row>
    <row r="519" spans="4:40" x14ac:dyDescent="0.2">
      <c r="D519" s="89"/>
      <c r="M519" s="65"/>
      <c r="V519" s="89"/>
      <c r="AE519" s="89"/>
      <c r="AN519" s="89"/>
    </row>
    <row r="520" spans="4:40" x14ac:dyDescent="0.2">
      <c r="D520" s="89"/>
      <c r="M520" s="65"/>
      <c r="V520" s="89"/>
      <c r="AE520" s="89"/>
      <c r="AN520" s="89"/>
    </row>
    <row r="521" spans="4:40" x14ac:dyDescent="0.2">
      <c r="D521" s="89"/>
      <c r="M521" s="65"/>
      <c r="V521" s="89"/>
      <c r="AE521" s="89"/>
      <c r="AN521" s="89"/>
    </row>
    <row r="522" spans="4:40" x14ac:dyDescent="0.2">
      <c r="D522" s="89"/>
      <c r="M522" s="65"/>
      <c r="V522" s="89"/>
      <c r="AE522" s="89"/>
      <c r="AN522" s="89"/>
    </row>
    <row r="523" spans="4:40" x14ac:dyDescent="0.2">
      <c r="D523" s="89"/>
      <c r="M523" s="65"/>
      <c r="V523" s="89"/>
      <c r="AE523" s="89"/>
      <c r="AN523" s="89"/>
    </row>
    <row r="524" spans="4:40" x14ac:dyDescent="0.2">
      <c r="D524" s="89"/>
      <c r="M524" s="65"/>
      <c r="V524" s="89"/>
      <c r="AE524" s="89"/>
      <c r="AN524" s="89"/>
    </row>
    <row r="525" spans="4:40" x14ac:dyDescent="0.2">
      <c r="D525" s="89"/>
      <c r="M525" s="65"/>
      <c r="V525" s="89"/>
      <c r="AE525" s="89"/>
      <c r="AN525" s="89"/>
    </row>
    <row r="526" spans="4:40" x14ac:dyDescent="0.2">
      <c r="D526" s="89"/>
      <c r="M526" s="65"/>
      <c r="V526" s="89"/>
      <c r="AE526" s="89"/>
      <c r="AN526" s="89"/>
    </row>
    <row r="527" spans="4:40" x14ac:dyDescent="0.2">
      <c r="D527" s="89"/>
      <c r="M527" s="65"/>
      <c r="V527" s="89"/>
      <c r="AE527" s="89"/>
      <c r="AN527" s="89"/>
    </row>
    <row r="528" spans="4:40" x14ac:dyDescent="0.2">
      <c r="D528" s="89"/>
      <c r="M528" s="65"/>
      <c r="V528" s="89"/>
      <c r="AE528" s="89"/>
      <c r="AN528" s="89"/>
    </row>
    <row r="529" spans="4:40" x14ac:dyDescent="0.2">
      <c r="D529" s="89"/>
      <c r="M529" s="65"/>
      <c r="V529" s="89"/>
      <c r="AE529" s="89"/>
      <c r="AN529" s="89"/>
    </row>
    <row r="530" spans="4:40" x14ac:dyDescent="0.2">
      <c r="D530" s="89"/>
      <c r="M530" s="65"/>
      <c r="V530" s="89"/>
      <c r="AE530" s="89"/>
      <c r="AN530" s="89"/>
    </row>
    <row r="531" spans="4:40" x14ac:dyDescent="0.2">
      <c r="D531" s="89"/>
      <c r="M531" s="65"/>
      <c r="V531" s="89"/>
      <c r="AE531" s="89"/>
      <c r="AN531" s="89"/>
    </row>
    <row r="532" spans="4:40" x14ac:dyDescent="0.2">
      <c r="D532" s="89"/>
      <c r="M532" s="65"/>
      <c r="V532" s="89"/>
      <c r="AE532" s="89"/>
      <c r="AN532" s="89"/>
    </row>
    <row r="533" spans="4:40" x14ac:dyDescent="0.2">
      <c r="D533" s="89"/>
      <c r="M533" s="65"/>
      <c r="V533" s="89"/>
      <c r="AE533" s="89"/>
      <c r="AN533" s="89"/>
    </row>
    <row r="534" spans="4:40" x14ac:dyDescent="0.2">
      <c r="D534" s="89"/>
      <c r="M534" s="65"/>
      <c r="V534" s="89"/>
      <c r="AE534" s="89"/>
      <c r="AN534" s="89"/>
    </row>
    <row r="535" spans="4:40" x14ac:dyDescent="0.2">
      <c r="D535" s="89"/>
      <c r="M535" s="65"/>
      <c r="V535" s="89"/>
      <c r="AE535" s="89"/>
      <c r="AN535" s="89"/>
    </row>
    <row r="536" spans="4:40" x14ac:dyDescent="0.2">
      <c r="D536" s="89"/>
      <c r="M536" s="65"/>
      <c r="V536" s="89"/>
      <c r="AE536" s="89"/>
      <c r="AN536" s="89"/>
    </row>
    <row r="537" spans="4:40" x14ac:dyDescent="0.2">
      <c r="D537" s="89"/>
      <c r="M537" s="65"/>
      <c r="V537" s="89"/>
      <c r="AE537" s="89"/>
      <c r="AN537" s="89"/>
    </row>
    <row r="538" spans="4:40" x14ac:dyDescent="0.2">
      <c r="D538" s="89"/>
      <c r="M538" s="65"/>
      <c r="V538" s="89"/>
      <c r="AE538" s="89"/>
      <c r="AN538" s="89"/>
    </row>
    <row r="539" spans="4:40" x14ac:dyDescent="0.2">
      <c r="D539" s="89"/>
      <c r="M539" s="65"/>
      <c r="V539" s="89"/>
      <c r="AE539" s="89"/>
      <c r="AN539" s="89"/>
    </row>
    <row r="540" spans="4:40" x14ac:dyDescent="0.2">
      <c r="D540" s="89"/>
      <c r="M540" s="65"/>
      <c r="V540" s="89"/>
      <c r="AE540" s="89"/>
      <c r="AN540" s="89"/>
    </row>
    <row r="541" spans="4:40" x14ac:dyDescent="0.2">
      <c r="D541" s="89"/>
      <c r="M541" s="65"/>
      <c r="V541" s="89"/>
      <c r="AE541" s="89"/>
      <c r="AN541" s="89"/>
    </row>
    <row r="542" spans="4:40" x14ac:dyDescent="0.2">
      <c r="D542" s="89"/>
      <c r="M542" s="65"/>
      <c r="V542" s="89"/>
      <c r="AE542" s="89"/>
      <c r="AN542" s="89"/>
    </row>
    <row r="543" spans="4:40" x14ac:dyDescent="0.2">
      <c r="D543" s="89"/>
      <c r="M543" s="65"/>
      <c r="V543" s="89"/>
      <c r="AE543" s="89"/>
      <c r="AN543" s="89"/>
    </row>
    <row r="544" spans="4:40" x14ac:dyDescent="0.2">
      <c r="D544" s="89"/>
      <c r="M544" s="65"/>
      <c r="V544" s="89"/>
      <c r="AE544" s="89"/>
      <c r="AN544" s="89"/>
    </row>
    <row r="545" spans="4:40" x14ac:dyDescent="0.2">
      <c r="D545" s="89"/>
      <c r="M545" s="65"/>
      <c r="V545" s="89"/>
      <c r="AE545" s="89"/>
      <c r="AN545" s="89"/>
    </row>
    <row r="546" spans="4:40" x14ac:dyDescent="0.2">
      <c r="D546" s="89"/>
      <c r="M546" s="65"/>
      <c r="V546" s="89"/>
      <c r="AE546" s="89"/>
      <c r="AN546" s="89"/>
    </row>
    <row r="547" spans="4:40" x14ac:dyDescent="0.2">
      <c r="D547" s="89"/>
      <c r="M547" s="65"/>
      <c r="V547" s="89"/>
      <c r="AE547" s="89"/>
      <c r="AN547" s="89"/>
    </row>
    <row r="548" spans="4:40" x14ac:dyDescent="0.2">
      <c r="D548" s="89"/>
      <c r="M548" s="65"/>
      <c r="V548" s="89"/>
      <c r="AE548" s="89"/>
      <c r="AN548" s="89"/>
    </row>
    <row r="549" spans="4:40" x14ac:dyDescent="0.2">
      <c r="D549" s="89"/>
      <c r="M549" s="65"/>
      <c r="V549" s="89"/>
      <c r="AE549" s="89"/>
      <c r="AN549" s="89"/>
    </row>
    <row r="550" spans="4:40" x14ac:dyDescent="0.2">
      <c r="D550" s="89"/>
      <c r="M550" s="65"/>
      <c r="V550" s="89"/>
      <c r="AE550" s="89"/>
      <c r="AN550" s="89"/>
    </row>
    <row r="551" spans="4:40" x14ac:dyDescent="0.2">
      <c r="D551" s="89"/>
      <c r="M551" s="65"/>
      <c r="V551" s="89"/>
      <c r="AE551" s="89"/>
      <c r="AN551" s="89"/>
    </row>
    <row r="552" spans="4:40" x14ac:dyDescent="0.2">
      <c r="D552" s="89"/>
      <c r="M552" s="65"/>
      <c r="V552" s="89"/>
      <c r="AE552" s="89"/>
      <c r="AN552" s="89"/>
    </row>
    <row r="553" spans="4:40" x14ac:dyDescent="0.2">
      <c r="D553" s="89"/>
      <c r="M553" s="65"/>
      <c r="V553" s="89"/>
      <c r="AE553" s="89"/>
      <c r="AN553" s="89"/>
    </row>
    <row r="554" spans="4:40" x14ac:dyDescent="0.2">
      <c r="D554" s="89"/>
      <c r="M554" s="65"/>
      <c r="V554" s="89"/>
      <c r="AE554" s="89"/>
      <c r="AN554" s="89"/>
    </row>
    <row r="555" spans="4:40" x14ac:dyDescent="0.2">
      <c r="D555" s="89"/>
      <c r="M555" s="65"/>
      <c r="V555" s="89"/>
      <c r="AE555" s="89"/>
      <c r="AN555" s="89"/>
    </row>
    <row r="556" spans="4:40" x14ac:dyDescent="0.2">
      <c r="D556" s="89"/>
      <c r="M556" s="65"/>
      <c r="V556" s="89"/>
      <c r="AE556" s="89"/>
      <c r="AN556" s="89"/>
    </row>
    <row r="557" spans="4:40" x14ac:dyDescent="0.2">
      <c r="D557" s="89"/>
      <c r="M557" s="65"/>
      <c r="V557" s="89"/>
      <c r="AE557" s="89"/>
      <c r="AN557" s="89"/>
    </row>
    <row r="558" spans="4:40" x14ac:dyDescent="0.2">
      <c r="D558" s="89"/>
      <c r="M558" s="65"/>
      <c r="V558" s="89"/>
      <c r="AE558" s="89"/>
      <c r="AN558" s="89"/>
    </row>
    <row r="559" spans="4:40" x14ac:dyDescent="0.2">
      <c r="D559" s="89"/>
      <c r="M559" s="65"/>
      <c r="V559" s="89"/>
      <c r="AE559" s="89"/>
      <c r="AN559" s="89"/>
    </row>
    <row r="560" spans="4:40" x14ac:dyDescent="0.2">
      <c r="D560" s="89"/>
      <c r="M560" s="65"/>
      <c r="V560" s="89"/>
      <c r="AE560" s="89"/>
      <c r="AN560" s="89"/>
    </row>
    <row r="561" spans="4:40" x14ac:dyDescent="0.2">
      <c r="D561" s="89"/>
      <c r="M561" s="65"/>
      <c r="V561" s="89"/>
      <c r="AE561" s="89"/>
      <c r="AN561" s="89"/>
    </row>
    <row r="562" spans="4:40" x14ac:dyDescent="0.2">
      <c r="D562" s="89"/>
      <c r="M562" s="65"/>
      <c r="V562" s="89"/>
      <c r="AE562" s="89"/>
      <c r="AN562" s="89"/>
    </row>
    <row r="563" spans="4:40" x14ac:dyDescent="0.2">
      <c r="D563" s="89"/>
      <c r="M563" s="65"/>
      <c r="V563" s="89"/>
      <c r="AE563" s="89"/>
      <c r="AN563" s="89"/>
    </row>
    <row r="564" spans="4:40" x14ac:dyDescent="0.2">
      <c r="D564" s="89"/>
      <c r="M564" s="65"/>
      <c r="V564" s="89"/>
      <c r="AE564" s="89"/>
      <c r="AN564" s="89"/>
    </row>
    <row r="565" spans="4:40" x14ac:dyDescent="0.2">
      <c r="D565" s="89"/>
      <c r="M565" s="65"/>
      <c r="V565" s="89"/>
      <c r="AE565" s="89"/>
      <c r="AN565" s="89"/>
    </row>
    <row r="566" spans="4:40" x14ac:dyDescent="0.2">
      <c r="D566" s="89"/>
      <c r="M566" s="65"/>
      <c r="V566" s="89"/>
      <c r="AE566" s="89"/>
      <c r="AN566" s="89"/>
    </row>
    <row r="567" spans="4:40" x14ac:dyDescent="0.2">
      <c r="D567" s="89"/>
      <c r="M567" s="65"/>
      <c r="V567" s="89"/>
      <c r="AE567" s="89"/>
      <c r="AN567" s="89"/>
    </row>
    <row r="568" spans="4:40" x14ac:dyDescent="0.2">
      <c r="D568" s="89"/>
      <c r="M568" s="65"/>
      <c r="V568" s="89"/>
      <c r="AE568" s="89"/>
      <c r="AN568" s="89"/>
    </row>
    <row r="569" spans="4:40" x14ac:dyDescent="0.2">
      <c r="D569" s="89"/>
      <c r="M569" s="65"/>
      <c r="V569" s="89"/>
      <c r="AE569" s="89"/>
      <c r="AN569" s="89"/>
    </row>
    <row r="570" spans="4:40" x14ac:dyDescent="0.2">
      <c r="D570" s="89"/>
      <c r="M570" s="65"/>
      <c r="V570" s="89"/>
      <c r="AE570" s="89"/>
      <c r="AN570" s="89"/>
    </row>
    <row r="571" spans="4:40" x14ac:dyDescent="0.2">
      <c r="D571" s="89"/>
      <c r="M571" s="65"/>
      <c r="V571" s="89"/>
      <c r="AE571" s="89"/>
      <c r="AN571" s="89"/>
    </row>
    <row r="572" spans="4:40" x14ac:dyDescent="0.2">
      <c r="D572" s="89"/>
      <c r="M572" s="65"/>
      <c r="V572" s="89"/>
      <c r="AE572" s="89"/>
      <c r="AN572" s="89"/>
    </row>
    <row r="573" spans="4:40" x14ac:dyDescent="0.2">
      <c r="D573" s="89"/>
      <c r="M573" s="65"/>
      <c r="V573" s="89"/>
      <c r="AE573" s="89"/>
      <c r="AN573" s="89"/>
    </row>
    <row r="574" spans="4:40" x14ac:dyDescent="0.2">
      <c r="D574" s="89"/>
      <c r="M574" s="65"/>
      <c r="V574" s="89"/>
      <c r="AE574" s="89"/>
      <c r="AN574" s="89"/>
    </row>
    <row r="575" spans="4:40" x14ac:dyDescent="0.2">
      <c r="D575" s="89"/>
      <c r="M575" s="65"/>
      <c r="V575" s="89"/>
      <c r="AE575" s="89"/>
      <c r="AN575" s="89"/>
    </row>
    <row r="576" spans="4:40" x14ac:dyDescent="0.2">
      <c r="D576" s="89"/>
      <c r="M576" s="65"/>
      <c r="V576" s="89"/>
      <c r="AE576" s="89"/>
      <c r="AN576" s="89"/>
    </row>
    <row r="577" spans="4:40" x14ac:dyDescent="0.2">
      <c r="D577" s="89"/>
      <c r="M577" s="65"/>
      <c r="V577" s="89"/>
      <c r="AE577" s="89"/>
      <c r="AN577" s="89"/>
    </row>
    <row r="578" spans="4:40" x14ac:dyDescent="0.2">
      <c r="D578" s="89"/>
      <c r="M578" s="65"/>
      <c r="V578" s="89"/>
      <c r="AE578" s="89"/>
      <c r="AN578" s="89"/>
    </row>
    <row r="579" spans="4:40" x14ac:dyDescent="0.2">
      <c r="D579" s="89"/>
      <c r="M579" s="65"/>
      <c r="V579" s="89"/>
      <c r="AE579" s="89"/>
      <c r="AN579" s="89"/>
    </row>
    <row r="580" spans="4:40" x14ac:dyDescent="0.2">
      <c r="D580" s="89"/>
      <c r="M580" s="65"/>
      <c r="V580" s="89"/>
      <c r="AE580" s="89"/>
      <c r="AN580" s="89"/>
    </row>
    <row r="581" spans="4:40" x14ac:dyDescent="0.2">
      <c r="D581" s="89"/>
      <c r="M581" s="65"/>
      <c r="V581" s="89"/>
      <c r="AE581" s="89"/>
      <c r="AN581" s="89"/>
    </row>
    <row r="582" spans="4:40" x14ac:dyDescent="0.2">
      <c r="D582" s="89"/>
      <c r="M582" s="65"/>
      <c r="V582" s="89"/>
      <c r="AE582" s="89"/>
      <c r="AN582" s="89"/>
    </row>
    <row r="583" spans="4:40" x14ac:dyDescent="0.2">
      <c r="D583" s="89"/>
      <c r="M583" s="65"/>
      <c r="V583" s="89"/>
      <c r="AE583" s="89"/>
      <c r="AN583" s="89"/>
    </row>
    <row r="584" spans="4:40" x14ac:dyDescent="0.2">
      <c r="D584" s="89"/>
      <c r="M584" s="65"/>
      <c r="V584" s="89"/>
      <c r="AE584" s="89"/>
      <c r="AN584" s="89"/>
    </row>
    <row r="585" spans="4:40" x14ac:dyDescent="0.2">
      <c r="D585" s="89"/>
      <c r="M585" s="65"/>
      <c r="V585" s="89"/>
      <c r="AE585" s="89"/>
      <c r="AN585" s="89"/>
    </row>
    <row r="586" spans="4:40" x14ac:dyDescent="0.2">
      <c r="D586" s="89"/>
      <c r="M586" s="65"/>
      <c r="V586" s="89"/>
      <c r="AE586" s="89"/>
      <c r="AN586" s="89"/>
    </row>
    <row r="587" spans="4:40" x14ac:dyDescent="0.2">
      <c r="D587" s="89"/>
      <c r="M587" s="65"/>
      <c r="V587" s="89"/>
      <c r="AE587" s="89"/>
      <c r="AN587" s="89"/>
    </row>
    <row r="588" spans="4:40" x14ac:dyDescent="0.2">
      <c r="D588" s="89"/>
      <c r="M588" s="65"/>
      <c r="V588" s="89"/>
      <c r="AE588" s="89"/>
      <c r="AN588" s="89"/>
    </row>
    <row r="589" spans="4:40" x14ac:dyDescent="0.2">
      <c r="D589" s="89"/>
      <c r="M589" s="65"/>
      <c r="V589" s="89"/>
      <c r="AE589" s="89"/>
      <c r="AN589" s="89"/>
    </row>
    <row r="590" spans="4:40" x14ac:dyDescent="0.2">
      <c r="D590" s="89"/>
      <c r="M590" s="65"/>
      <c r="V590" s="89"/>
      <c r="AE590" s="89"/>
      <c r="AN590" s="89"/>
    </row>
    <row r="591" spans="4:40" x14ac:dyDescent="0.2">
      <c r="D591" s="89"/>
      <c r="M591" s="65"/>
      <c r="V591" s="89"/>
      <c r="AE591" s="89"/>
      <c r="AN591" s="89"/>
    </row>
    <row r="592" spans="4:40" x14ac:dyDescent="0.2">
      <c r="D592" s="89"/>
      <c r="M592" s="65"/>
      <c r="V592" s="89"/>
      <c r="AE592" s="89"/>
      <c r="AN592" s="89"/>
    </row>
    <row r="593" spans="4:40" x14ac:dyDescent="0.2">
      <c r="D593" s="89"/>
      <c r="M593" s="65"/>
      <c r="V593" s="89"/>
      <c r="AE593" s="89"/>
      <c r="AN593" s="89"/>
    </row>
    <row r="594" spans="4:40" x14ac:dyDescent="0.2">
      <c r="D594" s="89"/>
      <c r="M594" s="65"/>
      <c r="V594" s="89"/>
      <c r="AE594" s="89"/>
      <c r="AN594" s="89"/>
    </row>
    <row r="595" spans="4:40" x14ac:dyDescent="0.2">
      <c r="D595" s="89"/>
      <c r="M595" s="65"/>
      <c r="V595" s="89"/>
      <c r="AE595" s="89"/>
      <c r="AN595" s="89"/>
    </row>
    <row r="596" spans="4:40" x14ac:dyDescent="0.2">
      <c r="D596" s="89"/>
      <c r="M596" s="65"/>
      <c r="V596" s="89"/>
      <c r="AE596" s="89"/>
      <c r="AN596" s="89"/>
    </row>
    <row r="597" spans="4:40" x14ac:dyDescent="0.2">
      <c r="D597" s="89"/>
      <c r="M597" s="65"/>
      <c r="V597" s="89"/>
      <c r="AE597" s="89"/>
      <c r="AN597" s="89"/>
    </row>
    <row r="598" spans="4:40" x14ac:dyDescent="0.2">
      <c r="D598" s="89"/>
      <c r="M598" s="65"/>
      <c r="V598" s="89"/>
      <c r="AE598" s="89"/>
      <c r="AN598" s="89"/>
    </row>
    <row r="599" spans="4:40" x14ac:dyDescent="0.2">
      <c r="D599" s="89"/>
      <c r="M599" s="65"/>
      <c r="V599" s="89"/>
      <c r="AE599" s="89"/>
      <c r="AN599" s="89"/>
    </row>
    <row r="600" spans="4:40" x14ac:dyDescent="0.2">
      <c r="D600" s="89"/>
      <c r="M600" s="65"/>
      <c r="V600" s="89"/>
      <c r="AE600" s="89"/>
      <c r="AN600" s="89"/>
    </row>
    <row r="601" spans="4:40" x14ac:dyDescent="0.2">
      <c r="D601" s="89"/>
      <c r="M601" s="65"/>
      <c r="V601" s="89"/>
      <c r="AE601" s="89"/>
      <c r="AN601" s="89"/>
    </row>
    <row r="602" spans="4:40" x14ac:dyDescent="0.2">
      <c r="D602" s="89"/>
      <c r="M602" s="65"/>
      <c r="V602" s="89"/>
      <c r="AE602" s="89"/>
      <c r="AN602" s="89"/>
    </row>
    <row r="603" spans="4:40" x14ac:dyDescent="0.2">
      <c r="D603" s="89"/>
      <c r="M603" s="65"/>
      <c r="V603" s="89"/>
      <c r="AE603" s="89"/>
      <c r="AN603" s="89"/>
    </row>
    <row r="604" spans="4:40" x14ac:dyDescent="0.2">
      <c r="D604" s="89"/>
      <c r="M604" s="65"/>
      <c r="V604" s="89"/>
      <c r="AE604" s="89"/>
      <c r="AN604" s="89"/>
    </row>
    <row r="605" spans="4:40" x14ac:dyDescent="0.2">
      <c r="D605" s="89"/>
      <c r="M605" s="65"/>
      <c r="V605" s="89"/>
      <c r="AE605" s="89"/>
      <c r="AN605" s="89"/>
    </row>
    <row r="606" spans="4:40" x14ac:dyDescent="0.2">
      <c r="D606" s="89"/>
      <c r="M606" s="65"/>
      <c r="V606" s="89"/>
      <c r="AE606" s="89"/>
      <c r="AN606" s="89"/>
    </row>
    <row r="607" spans="4:40" x14ac:dyDescent="0.2">
      <c r="D607" s="89"/>
      <c r="M607" s="65"/>
      <c r="V607" s="89"/>
      <c r="AE607" s="89"/>
      <c r="AN607" s="89"/>
    </row>
    <row r="608" spans="4:40" x14ac:dyDescent="0.2">
      <c r="D608" s="89"/>
      <c r="M608" s="65"/>
      <c r="V608" s="89"/>
      <c r="AE608" s="89"/>
      <c r="AN608" s="89"/>
    </row>
    <row r="609" spans="4:40" x14ac:dyDescent="0.2">
      <c r="D609" s="89"/>
      <c r="M609" s="65"/>
      <c r="V609" s="89"/>
      <c r="AE609" s="89"/>
      <c r="AN609" s="89"/>
    </row>
    <row r="610" spans="4:40" x14ac:dyDescent="0.2">
      <c r="D610" s="89"/>
      <c r="M610" s="65"/>
      <c r="V610" s="89"/>
      <c r="AE610" s="89"/>
      <c r="AN610" s="89"/>
    </row>
    <row r="611" spans="4:40" x14ac:dyDescent="0.2">
      <c r="D611" s="89"/>
      <c r="M611" s="65"/>
      <c r="V611" s="89"/>
      <c r="AE611" s="89"/>
      <c r="AN611" s="89"/>
    </row>
    <row r="612" spans="4:40" x14ac:dyDescent="0.2">
      <c r="D612" s="89"/>
      <c r="M612" s="65"/>
      <c r="V612" s="89"/>
      <c r="AE612" s="89"/>
      <c r="AN612" s="89"/>
    </row>
    <row r="613" spans="4:40" x14ac:dyDescent="0.2">
      <c r="D613" s="89"/>
      <c r="M613" s="65"/>
      <c r="V613" s="89"/>
      <c r="AE613" s="89"/>
      <c r="AN613" s="89"/>
    </row>
    <row r="614" spans="4:40" x14ac:dyDescent="0.2">
      <c r="D614" s="89"/>
      <c r="M614" s="65"/>
      <c r="V614" s="89"/>
      <c r="AE614" s="89"/>
      <c r="AN614" s="89"/>
    </row>
    <row r="615" spans="4:40" x14ac:dyDescent="0.2">
      <c r="D615" s="89"/>
      <c r="M615" s="65"/>
      <c r="V615" s="89"/>
      <c r="AE615" s="89"/>
      <c r="AN615" s="89"/>
    </row>
    <row r="616" spans="4:40" x14ac:dyDescent="0.2">
      <c r="D616" s="89"/>
      <c r="M616" s="65"/>
      <c r="V616" s="89"/>
      <c r="AE616" s="89"/>
      <c r="AN616" s="89"/>
    </row>
    <row r="617" spans="4:40" x14ac:dyDescent="0.2">
      <c r="D617" s="89"/>
      <c r="M617" s="65"/>
      <c r="V617" s="89"/>
      <c r="AE617" s="89"/>
      <c r="AN617" s="89"/>
    </row>
    <row r="618" spans="4:40" x14ac:dyDescent="0.2">
      <c r="D618" s="89"/>
      <c r="M618" s="65"/>
      <c r="V618" s="89"/>
      <c r="AE618" s="89"/>
      <c r="AN618" s="89"/>
    </row>
    <row r="619" spans="4:40" x14ac:dyDescent="0.2">
      <c r="D619" s="89"/>
      <c r="M619" s="65"/>
      <c r="V619" s="89"/>
      <c r="AE619" s="89"/>
      <c r="AN619" s="89"/>
    </row>
    <row r="620" spans="4:40" x14ac:dyDescent="0.2">
      <c r="D620" s="89"/>
      <c r="M620" s="65"/>
      <c r="V620" s="89"/>
      <c r="AE620" s="89"/>
      <c r="AN620" s="89"/>
    </row>
    <row r="621" spans="4:40" x14ac:dyDescent="0.2">
      <c r="D621" s="89"/>
      <c r="M621" s="65"/>
      <c r="V621" s="89"/>
      <c r="AE621" s="89"/>
      <c r="AN621" s="89"/>
    </row>
    <row r="622" spans="4:40" x14ac:dyDescent="0.2">
      <c r="D622" s="89"/>
      <c r="M622" s="65"/>
      <c r="V622" s="89"/>
      <c r="AE622" s="89"/>
      <c r="AN622" s="89"/>
    </row>
    <row r="623" spans="4:40" x14ac:dyDescent="0.2">
      <c r="D623" s="89"/>
      <c r="M623" s="65"/>
      <c r="V623" s="89"/>
      <c r="AE623" s="89"/>
      <c r="AN623" s="89"/>
    </row>
    <row r="624" spans="4:40" x14ac:dyDescent="0.2">
      <c r="D624" s="89"/>
      <c r="M624" s="65"/>
      <c r="V624" s="89"/>
      <c r="AE624" s="89"/>
      <c r="AN624" s="89"/>
    </row>
    <row r="625" spans="4:40" x14ac:dyDescent="0.2">
      <c r="D625" s="89"/>
      <c r="M625" s="65"/>
      <c r="V625" s="89"/>
      <c r="AE625" s="89"/>
      <c r="AN625" s="89"/>
    </row>
    <row r="626" spans="4:40" x14ac:dyDescent="0.2">
      <c r="D626" s="89"/>
      <c r="M626" s="65"/>
      <c r="V626" s="89"/>
      <c r="AE626" s="89"/>
      <c r="AN626" s="89"/>
    </row>
    <row r="627" spans="4:40" x14ac:dyDescent="0.2">
      <c r="D627" s="89"/>
      <c r="M627" s="65"/>
      <c r="V627" s="89"/>
      <c r="AE627" s="89"/>
      <c r="AN627" s="89"/>
    </row>
    <row r="628" spans="4:40" x14ac:dyDescent="0.2">
      <c r="D628" s="89"/>
      <c r="M628" s="65"/>
      <c r="V628" s="89"/>
      <c r="AE628" s="89"/>
      <c r="AN628" s="89"/>
    </row>
    <row r="629" spans="4:40" x14ac:dyDescent="0.2">
      <c r="D629" s="89"/>
      <c r="M629" s="65"/>
      <c r="V629" s="89"/>
      <c r="AE629" s="89"/>
      <c r="AN629" s="89"/>
    </row>
    <row r="630" spans="4:40" x14ac:dyDescent="0.2">
      <c r="D630" s="89"/>
      <c r="M630" s="65"/>
      <c r="V630" s="89"/>
      <c r="AE630" s="89"/>
      <c r="AN630" s="89"/>
    </row>
    <row r="631" spans="4:40" x14ac:dyDescent="0.2">
      <c r="D631" s="89"/>
      <c r="M631" s="65"/>
      <c r="V631" s="89"/>
      <c r="AE631" s="89"/>
      <c r="AN631" s="89"/>
    </row>
    <row r="632" spans="4:40" x14ac:dyDescent="0.2">
      <c r="D632" s="89"/>
      <c r="M632" s="65"/>
      <c r="V632" s="89"/>
      <c r="AE632" s="89"/>
      <c r="AN632" s="89"/>
    </row>
    <row r="633" spans="4:40" x14ac:dyDescent="0.2">
      <c r="D633" s="89"/>
      <c r="M633" s="65"/>
      <c r="V633" s="89"/>
      <c r="AE633" s="89"/>
      <c r="AN633" s="89"/>
    </row>
    <row r="634" spans="4:40" x14ac:dyDescent="0.2">
      <c r="D634" s="89"/>
      <c r="M634" s="65"/>
      <c r="V634" s="89"/>
      <c r="AE634" s="89"/>
      <c r="AN634" s="89"/>
    </row>
    <row r="635" spans="4:40" x14ac:dyDescent="0.2">
      <c r="D635" s="89"/>
      <c r="M635" s="65"/>
      <c r="V635" s="89"/>
      <c r="AE635" s="89"/>
      <c r="AN635" s="89"/>
    </row>
    <row r="636" spans="4:40" x14ac:dyDescent="0.2">
      <c r="D636" s="89"/>
      <c r="M636" s="65"/>
      <c r="V636" s="89"/>
      <c r="AE636" s="89"/>
      <c r="AN636" s="89"/>
    </row>
    <row r="637" spans="4:40" x14ac:dyDescent="0.2">
      <c r="D637" s="89"/>
      <c r="M637" s="65"/>
      <c r="V637" s="89"/>
      <c r="AE637" s="89"/>
      <c r="AN637" s="89"/>
    </row>
    <row r="638" spans="4:40" x14ac:dyDescent="0.2">
      <c r="D638" s="89"/>
      <c r="M638" s="65"/>
      <c r="V638" s="89"/>
      <c r="AE638" s="89"/>
      <c r="AN638" s="89"/>
    </row>
    <row r="639" spans="4:40" x14ac:dyDescent="0.2">
      <c r="D639" s="89"/>
      <c r="M639" s="65"/>
      <c r="V639" s="89"/>
      <c r="AE639" s="89"/>
      <c r="AN639" s="89"/>
    </row>
    <row r="640" spans="4:40" x14ac:dyDescent="0.2">
      <c r="D640" s="89"/>
      <c r="M640" s="65"/>
      <c r="V640" s="89"/>
      <c r="AE640" s="89"/>
      <c r="AN640" s="89"/>
    </row>
    <row r="641" spans="4:40" x14ac:dyDescent="0.2">
      <c r="D641" s="89"/>
      <c r="M641" s="65"/>
      <c r="V641" s="89"/>
      <c r="AE641" s="89"/>
      <c r="AN641" s="89"/>
    </row>
    <row r="642" spans="4:40" x14ac:dyDescent="0.2">
      <c r="D642" s="89"/>
      <c r="M642" s="65"/>
      <c r="V642" s="89"/>
      <c r="AE642" s="89"/>
      <c r="AN642" s="89"/>
    </row>
    <row r="643" spans="4:40" x14ac:dyDescent="0.2">
      <c r="D643" s="89"/>
      <c r="M643" s="65"/>
      <c r="V643" s="89"/>
      <c r="AE643" s="89"/>
      <c r="AN643" s="89"/>
    </row>
    <row r="644" spans="4:40" x14ac:dyDescent="0.2">
      <c r="D644" s="89"/>
      <c r="M644" s="65"/>
      <c r="V644" s="89"/>
      <c r="AE644" s="89"/>
      <c r="AN644" s="89"/>
    </row>
    <row r="645" spans="4:40" x14ac:dyDescent="0.2">
      <c r="D645" s="89"/>
      <c r="M645" s="65"/>
      <c r="V645" s="89"/>
      <c r="AE645" s="89"/>
      <c r="AN645" s="89"/>
    </row>
    <row r="646" spans="4:40" x14ac:dyDescent="0.2">
      <c r="D646" s="89"/>
      <c r="M646" s="65"/>
      <c r="V646" s="89"/>
      <c r="AE646" s="89"/>
      <c r="AN646" s="89"/>
    </row>
    <row r="647" spans="4:40" x14ac:dyDescent="0.2">
      <c r="D647" s="89"/>
      <c r="M647" s="65"/>
      <c r="V647" s="89"/>
      <c r="AE647" s="89"/>
      <c r="AN647" s="89"/>
    </row>
    <row r="648" spans="4:40" x14ac:dyDescent="0.2">
      <c r="D648" s="89"/>
      <c r="M648" s="65"/>
      <c r="V648" s="89"/>
      <c r="AE648" s="89"/>
      <c r="AN648" s="89"/>
    </row>
    <row r="649" spans="4:40" x14ac:dyDescent="0.2">
      <c r="D649" s="89"/>
      <c r="M649" s="65"/>
      <c r="V649" s="89"/>
      <c r="AE649" s="89"/>
      <c r="AN649" s="89"/>
    </row>
    <row r="650" spans="4:40" x14ac:dyDescent="0.2">
      <c r="D650" s="89"/>
      <c r="M650" s="65"/>
      <c r="V650" s="89"/>
      <c r="AE650" s="89"/>
      <c r="AN650" s="89"/>
    </row>
    <row r="651" spans="4:40" x14ac:dyDescent="0.2">
      <c r="D651" s="89"/>
      <c r="M651" s="65"/>
      <c r="V651" s="89"/>
      <c r="AE651" s="89"/>
      <c r="AN651" s="89"/>
    </row>
    <row r="652" spans="4:40" x14ac:dyDescent="0.2">
      <c r="D652" s="89"/>
      <c r="M652" s="65"/>
      <c r="V652" s="89"/>
      <c r="AE652" s="89"/>
      <c r="AN652" s="89"/>
    </row>
    <row r="653" spans="4:40" x14ac:dyDescent="0.2">
      <c r="D653" s="89"/>
      <c r="M653" s="65"/>
      <c r="V653" s="89"/>
      <c r="AE653" s="89"/>
      <c r="AN653" s="89"/>
    </row>
    <row r="654" spans="4:40" x14ac:dyDescent="0.2">
      <c r="D654" s="89"/>
      <c r="M654" s="65"/>
      <c r="V654" s="89"/>
      <c r="AE654" s="89"/>
      <c r="AN654" s="89"/>
    </row>
    <row r="655" spans="4:40" x14ac:dyDescent="0.2">
      <c r="D655" s="89"/>
      <c r="M655" s="65"/>
      <c r="V655" s="89"/>
      <c r="AE655" s="89"/>
      <c r="AN655" s="89"/>
    </row>
    <row r="656" spans="4:40" x14ac:dyDescent="0.2">
      <c r="D656" s="89"/>
      <c r="M656" s="65"/>
      <c r="V656" s="89"/>
      <c r="AE656" s="89"/>
      <c r="AN656" s="89"/>
    </row>
    <row r="657" spans="4:40" x14ac:dyDescent="0.2">
      <c r="D657" s="89"/>
      <c r="M657" s="65"/>
      <c r="V657" s="89"/>
      <c r="AE657" s="89"/>
      <c r="AN657" s="89"/>
    </row>
    <row r="658" spans="4:40" x14ac:dyDescent="0.2">
      <c r="D658" s="89"/>
      <c r="M658" s="65"/>
      <c r="V658" s="89"/>
      <c r="AE658" s="89"/>
      <c r="AN658" s="89"/>
    </row>
    <row r="659" spans="4:40" x14ac:dyDescent="0.2">
      <c r="D659" s="89"/>
      <c r="M659" s="65"/>
      <c r="V659" s="89"/>
      <c r="AE659" s="89"/>
      <c r="AN659" s="89"/>
    </row>
    <row r="660" spans="4:40" x14ac:dyDescent="0.2">
      <c r="D660" s="89"/>
      <c r="M660" s="65"/>
      <c r="V660" s="89"/>
      <c r="AE660" s="89"/>
      <c r="AN660" s="89"/>
    </row>
    <row r="661" spans="4:40" x14ac:dyDescent="0.2">
      <c r="D661" s="89"/>
      <c r="M661" s="65"/>
      <c r="V661" s="89"/>
      <c r="AE661" s="89"/>
      <c r="AN661" s="89"/>
    </row>
    <row r="662" spans="4:40" x14ac:dyDescent="0.2">
      <c r="D662" s="89"/>
      <c r="M662" s="65"/>
      <c r="V662" s="89"/>
      <c r="AE662" s="89"/>
      <c r="AN662" s="89"/>
    </row>
    <row r="663" spans="4:40" x14ac:dyDescent="0.2">
      <c r="D663" s="89"/>
      <c r="M663" s="65"/>
      <c r="V663" s="89"/>
      <c r="AE663" s="89"/>
      <c r="AN663" s="89"/>
    </row>
    <row r="664" spans="4:40" x14ac:dyDescent="0.2">
      <c r="D664" s="89"/>
      <c r="M664" s="65"/>
      <c r="V664" s="89"/>
      <c r="AE664" s="89"/>
      <c r="AN664" s="89"/>
    </row>
    <row r="665" spans="4:40" x14ac:dyDescent="0.2">
      <c r="D665" s="89"/>
      <c r="M665" s="65"/>
      <c r="V665" s="89"/>
      <c r="AE665" s="89"/>
      <c r="AN665" s="89"/>
    </row>
    <row r="666" spans="4:40" x14ac:dyDescent="0.2">
      <c r="D666" s="89"/>
      <c r="M666" s="65"/>
      <c r="V666" s="89"/>
      <c r="AE666" s="89"/>
      <c r="AN666" s="89"/>
    </row>
    <row r="667" spans="4:40" x14ac:dyDescent="0.2">
      <c r="D667" s="89"/>
      <c r="M667" s="65"/>
      <c r="V667" s="89"/>
      <c r="AE667" s="89"/>
      <c r="AN667" s="89"/>
    </row>
    <row r="668" spans="4:40" x14ac:dyDescent="0.2">
      <c r="D668" s="89"/>
      <c r="M668" s="65"/>
      <c r="V668" s="89"/>
      <c r="AE668" s="89"/>
      <c r="AN668" s="89"/>
    </row>
    <row r="669" spans="4:40" x14ac:dyDescent="0.2">
      <c r="D669" s="89"/>
      <c r="M669" s="65"/>
      <c r="V669" s="89"/>
      <c r="AE669" s="89"/>
      <c r="AN669" s="89"/>
    </row>
    <row r="670" spans="4:40" x14ac:dyDescent="0.2">
      <c r="D670" s="89"/>
      <c r="M670" s="65"/>
      <c r="V670" s="89"/>
      <c r="AE670" s="89"/>
      <c r="AN670" s="89"/>
    </row>
    <row r="671" spans="4:40" x14ac:dyDescent="0.2">
      <c r="D671" s="89"/>
      <c r="M671" s="65"/>
      <c r="V671" s="89"/>
      <c r="AE671" s="89"/>
      <c r="AN671" s="89"/>
    </row>
    <row r="672" spans="4:40" x14ac:dyDescent="0.2">
      <c r="D672" s="89"/>
      <c r="M672" s="65"/>
      <c r="V672" s="89"/>
      <c r="AE672" s="89"/>
      <c r="AN672" s="89"/>
    </row>
    <row r="673" spans="4:40" x14ac:dyDescent="0.2">
      <c r="D673" s="89"/>
      <c r="M673" s="65"/>
      <c r="V673" s="89"/>
      <c r="AE673" s="89"/>
      <c r="AN673" s="89"/>
    </row>
    <row r="674" spans="4:40" x14ac:dyDescent="0.2">
      <c r="D674" s="89"/>
      <c r="M674" s="65"/>
      <c r="V674" s="89"/>
      <c r="AE674" s="89"/>
      <c r="AN674" s="89"/>
    </row>
    <row r="675" spans="4:40" x14ac:dyDescent="0.2">
      <c r="D675" s="89"/>
      <c r="M675" s="65"/>
      <c r="V675" s="89"/>
      <c r="AE675" s="89"/>
      <c r="AN675" s="89"/>
    </row>
    <row r="676" spans="4:40" x14ac:dyDescent="0.2">
      <c r="D676" s="89"/>
      <c r="M676" s="65"/>
      <c r="V676" s="89"/>
      <c r="AE676" s="89"/>
      <c r="AN676" s="89"/>
    </row>
    <row r="677" spans="4:40" x14ac:dyDescent="0.2">
      <c r="D677" s="89"/>
      <c r="M677" s="65"/>
      <c r="V677" s="89"/>
      <c r="AE677" s="89"/>
      <c r="AN677" s="89"/>
    </row>
    <row r="678" spans="4:40" x14ac:dyDescent="0.2">
      <c r="D678" s="89"/>
      <c r="M678" s="65"/>
      <c r="V678" s="89"/>
      <c r="AE678" s="89"/>
      <c r="AN678" s="89"/>
    </row>
    <row r="679" spans="4:40" x14ac:dyDescent="0.2">
      <c r="D679" s="89"/>
      <c r="M679" s="65"/>
      <c r="V679" s="89"/>
      <c r="AE679" s="89"/>
      <c r="AN679" s="89"/>
    </row>
    <row r="680" spans="4:40" x14ac:dyDescent="0.2">
      <c r="D680" s="89"/>
      <c r="M680" s="65"/>
      <c r="V680" s="89"/>
      <c r="AE680" s="89"/>
      <c r="AN680" s="89"/>
    </row>
    <row r="681" spans="4:40" x14ac:dyDescent="0.2">
      <c r="D681" s="89"/>
      <c r="M681" s="65"/>
      <c r="V681" s="89"/>
      <c r="AE681" s="89"/>
      <c r="AN681" s="89"/>
    </row>
    <row r="682" spans="4:40" x14ac:dyDescent="0.2">
      <c r="D682" s="89"/>
      <c r="M682" s="65"/>
      <c r="V682" s="89"/>
      <c r="AE682" s="89"/>
      <c r="AN682" s="89"/>
    </row>
    <row r="683" spans="4:40" x14ac:dyDescent="0.2">
      <c r="D683" s="89"/>
      <c r="M683" s="65"/>
      <c r="V683" s="89"/>
      <c r="AE683" s="89"/>
      <c r="AN683" s="89"/>
    </row>
    <row r="684" spans="4:40" x14ac:dyDescent="0.2">
      <c r="D684" s="89"/>
      <c r="M684" s="65"/>
      <c r="V684" s="89"/>
      <c r="AE684" s="89"/>
      <c r="AN684" s="89"/>
    </row>
    <row r="685" spans="4:40" x14ac:dyDescent="0.2">
      <c r="D685" s="89"/>
      <c r="M685" s="65"/>
      <c r="V685" s="89"/>
      <c r="AE685" s="89"/>
      <c r="AN685" s="89"/>
    </row>
    <row r="686" spans="4:40" x14ac:dyDescent="0.2">
      <c r="D686" s="89"/>
      <c r="M686" s="65"/>
      <c r="V686" s="89"/>
      <c r="AE686" s="89"/>
      <c r="AN686" s="89"/>
    </row>
    <row r="687" spans="4:40" x14ac:dyDescent="0.2">
      <c r="D687" s="89"/>
      <c r="M687" s="65"/>
      <c r="V687" s="89"/>
      <c r="AE687" s="89"/>
      <c r="AN687" s="89"/>
    </row>
    <row r="688" spans="4:40" x14ac:dyDescent="0.2">
      <c r="D688" s="89"/>
      <c r="M688" s="65"/>
      <c r="V688" s="89"/>
      <c r="AE688" s="89"/>
      <c r="AN688" s="89"/>
    </row>
    <row r="689" spans="4:40" x14ac:dyDescent="0.2">
      <c r="D689" s="89"/>
      <c r="M689" s="65"/>
      <c r="V689" s="89"/>
      <c r="AE689" s="89"/>
      <c r="AN689" s="89"/>
    </row>
    <row r="690" spans="4:40" x14ac:dyDescent="0.2">
      <c r="D690" s="89"/>
      <c r="M690" s="65"/>
      <c r="V690" s="89"/>
      <c r="AE690" s="89"/>
      <c r="AN690" s="89"/>
    </row>
    <row r="691" spans="4:40" x14ac:dyDescent="0.2">
      <c r="D691" s="89"/>
      <c r="M691" s="65"/>
      <c r="V691" s="89"/>
      <c r="AE691" s="89"/>
      <c r="AN691" s="89"/>
    </row>
    <row r="692" spans="4:40" x14ac:dyDescent="0.2">
      <c r="D692" s="89"/>
      <c r="M692" s="65"/>
      <c r="V692" s="89"/>
      <c r="AE692" s="89"/>
      <c r="AN692" s="89"/>
    </row>
    <row r="693" spans="4:40" x14ac:dyDescent="0.2">
      <c r="D693" s="89"/>
      <c r="M693" s="65"/>
      <c r="V693" s="89"/>
      <c r="AE693" s="89"/>
      <c r="AN693" s="89"/>
    </row>
    <row r="694" spans="4:40" x14ac:dyDescent="0.2">
      <c r="D694" s="89"/>
      <c r="M694" s="65"/>
      <c r="V694" s="89"/>
      <c r="AE694" s="89"/>
      <c r="AN694" s="89"/>
    </row>
    <row r="695" spans="4:40" x14ac:dyDescent="0.2">
      <c r="D695" s="89"/>
      <c r="M695" s="65"/>
      <c r="V695" s="89"/>
      <c r="AE695" s="89"/>
      <c r="AN695" s="89"/>
    </row>
    <row r="696" spans="4:40" x14ac:dyDescent="0.2">
      <c r="D696" s="89"/>
      <c r="M696" s="65"/>
      <c r="V696" s="89"/>
      <c r="AE696" s="89"/>
      <c r="AN696" s="89"/>
    </row>
    <row r="697" spans="4:40" x14ac:dyDescent="0.2">
      <c r="D697" s="89"/>
      <c r="M697" s="65"/>
      <c r="V697" s="89"/>
      <c r="AE697" s="89"/>
      <c r="AN697" s="89"/>
    </row>
    <row r="698" spans="4:40" x14ac:dyDescent="0.2">
      <c r="D698" s="89"/>
      <c r="M698" s="65"/>
      <c r="V698" s="89"/>
      <c r="AE698" s="89"/>
      <c r="AN698" s="89"/>
    </row>
    <row r="699" spans="4:40" x14ac:dyDescent="0.2">
      <c r="D699" s="89"/>
      <c r="M699" s="65"/>
      <c r="V699" s="89"/>
      <c r="AE699" s="89"/>
      <c r="AN699" s="89"/>
    </row>
    <row r="700" spans="4:40" x14ac:dyDescent="0.2">
      <c r="D700" s="89"/>
      <c r="M700" s="65"/>
      <c r="V700" s="89"/>
      <c r="AE700" s="89"/>
      <c r="AN700" s="89"/>
    </row>
    <row r="701" spans="4:40" x14ac:dyDescent="0.2">
      <c r="D701" s="89"/>
      <c r="M701" s="65"/>
      <c r="V701" s="89"/>
      <c r="AE701" s="89"/>
      <c r="AN701" s="89"/>
    </row>
    <row r="702" spans="4:40" x14ac:dyDescent="0.2">
      <c r="D702" s="89"/>
      <c r="M702" s="65"/>
      <c r="V702" s="89"/>
      <c r="AE702" s="89"/>
      <c r="AN702" s="89"/>
    </row>
    <row r="703" spans="4:40" x14ac:dyDescent="0.2">
      <c r="D703" s="89"/>
      <c r="M703" s="65"/>
      <c r="V703" s="89"/>
      <c r="AE703" s="89"/>
      <c r="AN703" s="89"/>
    </row>
    <row r="704" spans="4:40" x14ac:dyDescent="0.2">
      <c r="D704" s="89"/>
      <c r="M704" s="65"/>
      <c r="V704" s="89"/>
      <c r="AE704" s="89"/>
      <c r="AN704" s="89"/>
    </row>
    <row r="705" spans="4:40" x14ac:dyDescent="0.2">
      <c r="D705" s="89"/>
      <c r="M705" s="65"/>
      <c r="V705" s="89"/>
      <c r="AE705" s="89"/>
      <c r="AN705" s="89"/>
    </row>
    <row r="706" spans="4:40" x14ac:dyDescent="0.2">
      <c r="D706" s="89"/>
      <c r="M706" s="65"/>
      <c r="V706" s="89"/>
      <c r="AE706" s="89"/>
      <c r="AN706" s="89"/>
    </row>
    <row r="707" spans="4:40" x14ac:dyDescent="0.2">
      <c r="D707" s="89"/>
      <c r="M707" s="65"/>
      <c r="V707" s="89"/>
      <c r="AE707" s="89"/>
      <c r="AN707" s="89"/>
    </row>
    <row r="708" spans="4:40" x14ac:dyDescent="0.2">
      <c r="D708" s="89"/>
      <c r="M708" s="65"/>
      <c r="V708" s="89"/>
      <c r="AE708" s="89"/>
      <c r="AN708" s="89"/>
    </row>
    <row r="709" spans="4:40" x14ac:dyDescent="0.2">
      <c r="D709" s="89"/>
      <c r="M709" s="65"/>
      <c r="V709" s="89"/>
      <c r="AE709" s="89"/>
      <c r="AN709" s="89"/>
    </row>
    <row r="710" spans="4:40" x14ac:dyDescent="0.2">
      <c r="D710" s="89"/>
      <c r="M710" s="65"/>
      <c r="V710" s="89"/>
      <c r="AE710" s="89"/>
      <c r="AN710" s="89"/>
    </row>
    <row r="711" spans="4:40" x14ac:dyDescent="0.2">
      <c r="D711" s="89"/>
      <c r="M711" s="65"/>
      <c r="V711" s="89"/>
      <c r="AE711" s="89"/>
      <c r="AN711" s="89"/>
    </row>
    <row r="712" spans="4:40" x14ac:dyDescent="0.2">
      <c r="D712" s="89"/>
      <c r="M712" s="65"/>
      <c r="V712" s="89"/>
      <c r="AE712" s="89"/>
      <c r="AN712" s="89"/>
    </row>
    <row r="713" spans="4:40" x14ac:dyDescent="0.2">
      <c r="D713" s="89"/>
      <c r="M713" s="65"/>
      <c r="V713" s="89"/>
      <c r="AE713" s="89"/>
      <c r="AN713" s="89"/>
    </row>
    <row r="714" spans="4:40" x14ac:dyDescent="0.2">
      <c r="D714" s="89"/>
      <c r="M714" s="65"/>
      <c r="V714" s="89"/>
      <c r="AE714" s="89"/>
      <c r="AN714" s="89"/>
    </row>
    <row r="715" spans="4:40" x14ac:dyDescent="0.2">
      <c r="D715" s="89"/>
      <c r="M715" s="65"/>
      <c r="V715" s="89"/>
      <c r="AE715" s="89"/>
      <c r="AN715" s="89"/>
    </row>
    <row r="716" spans="4:40" x14ac:dyDescent="0.2">
      <c r="D716" s="89"/>
      <c r="M716" s="65"/>
      <c r="V716" s="89"/>
      <c r="AE716" s="89"/>
      <c r="AN716" s="89"/>
    </row>
    <row r="717" spans="4:40" x14ac:dyDescent="0.2">
      <c r="D717" s="89"/>
      <c r="M717" s="65"/>
      <c r="V717" s="89"/>
      <c r="AE717" s="89"/>
      <c r="AN717" s="89"/>
    </row>
    <row r="718" spans="4:40" x14ac:dyDescent="0.2">
      <c r="D718" s="89"/>
      <c r="M718" s="65"/>
      <c r="V718" s="89"/>
      <c r="AE718" s="89"/>
      <c r="AN718" s="89"/>
    </row>
    <row r="719" spans="4:40" x14ac:dyDescent="0.2">
      <c r="D719" s="89"/>
      <c r="M719" s="65"/>
      <c r="V719" s="89"/>
      <c r="AE719" s="89"/>
      <c r="AN719" s="89"/>
    </row>
    <row r="720" spans="4:40" x14ac:dyDescent="0.2">
      <c r="D720" s="89"/>
      <c r="M720" s="65"/>
      <c r="V720" s="89"/>
      <c r="AE720" s="89"/>
      <c r="AN720" s="89"/>
    </row>
    <row r="721" spans="4:40" x14ac:dyDescent="0.2">
      <c r="D721" s="89"/>
      <c r="M721" s="65"/>
      <c r="V721" s="89"/>
      <c r="AE721" s="89"/>
      <c r="AN721" s="89"/>
    </row>
    <row r="722" spans="4:40" x14ac:dyDescent="0.2">
      <c r="D722" s="89"/>
      <c r="M722" s="65"/>
      <c r="V722" s="89"/>
      <c r="AE722" s="89"/>
      <c r="AN722" s="89"/>
    </row>
    <row r="723" spans="4:40" x14ac:dyDescent="0.2">
      <c r="D723" s="89"/>
      <c r="M723" s="65"/>
      <c r="V723" s="89"/>
      <c r="AE723" s="89"/>
      <c r="AN723" s="89"/>
    </row>
    <row r="724" spans="4:40" x14ac:dyDescent="0.2">
      <c r="D724" s="89"/>
      <c r="M724" s="65"/>
      <c r="V724" s="89"/>
      <c r="AE724" s="89"/>
      <c r="AN724" s="89"/>
    </row>
    <row r="725" spans="4:40" x14ac:dyDescent="0.2">
      <c r="D725" s="89"/>
      <c r="M725" s="65"/>
      <c r="V725" s="89"/>
      <c r="AE725" s="89"/>
      <c r="AN725" s="89"/>
    </row>
    <row r="726" spans="4:40" x14ac:dyDescent="0.2">
      <c r="D726" s="89"/>
      <c r="M726" s="65"/>
      <c r="V726" s="89"/>
      <c r="AE726" s="89"/>
      <c r="AN726" s="89"/>
    </row>
    <row r="727" spans="4:40" x14ac:dyDescent="0.2">
      <c r="D727" s="89"/>
      <c r="M727" s="65"/>
      <c r="V727" s="89"/>
      <c r="AE727" s="89"/>
      <c r="AN727" s="89"/>
    </row>
    <row r="728" spans="4:40" x14ac:dyDescent="0.2">
      <c r="D728" s="89"/>
      <c r="M728" s="65"/>
      <c r="V728" s="89"/>
      <c r="AE728" s="89"/>
      <c r="AN728" s="89"/>
    </row>
    <row r="729" spans="4:40" x14ac:dyDescent="0.2">
      <c r="D729" s="89"/>
      <c r="M729" s="65"/>
      <c r="V729" s="89"/>
      <c r="AE729" s="89"/>
      <c r="AN729" s="89"/>
    </row>
    <row r="730" spans="4:40" x14ac:dyDescent="0.2">
      <c r="D730" s="89"/>
      <c r="M730" s="65"/>
      <c r="V730" s="89"/>
      <c r="AE730" s="89"/>
      <c r="AN730" s="89"/>
    </row>
    <row r="731" spans="4:40" x14ac:dyDescent="0.2">
      <c r="D731" s="89"/>
      <c r="M731" s="65"/>
      <c r="V731" s="89"/>
      <c r="AE731" s="89"/>
      <c r="AN731" s="89"/>
    </row>
    <row r="732" spans="4:40" x14ac:dyDescent="0.2">
      <c r="D732" s="89"/>
      <c r="M732" s="65"/>
      <c r="V732" s="89"/>
      <c r="AE732" s="89"/>
      <c r="AN732" s="89"/>
    </row>
    <row r="733" spans="4:40" x14ac:dyDescent="0.2">
      <c r="D733" s="89"/>
      <c r="M733" s="65"/>
      <c r="V733" s="89"/>
      <c r="AE733" s="89"/>
      <c r="AN733" s="89"/>
    </row>
    <row r="734" spans="4:40" x14ac:dyDescent="0.2">
      <c r="D734" s="89"/>
      <c r="M734" s="65"/>
      <c r="V734" s="89"/>
      <c r="AE734" s="89"/>
      <c r="AN734" s="89"/>
    </row>
    <row r="735" spans="4:40" x14ac:dyDescent="0.2">
      <c r="D735" s="89"/>
      <c r="M735" s="65"/>
      <c r="V735" s="89"/>
      <c r="AE735" s="89"/>
      <c r="AN735" s="89"/>
    </row>
    <row r="736" spans="4:40" x14ac:dyDescent="0.2">
      <c r="D736" s="89"/>
      <c r="M736" s="65"/>
      <c r="V736" s="89"/>
      <c r="AE736" s="89"/>
      <c r="AN736" s="89"/>
    </row>
    <row r="737" spans="4:40" x14ac:dyDescent="0.2">
      <c r="D737" s="89"/>
      <c r="M737" s="65"/>
      <c r="V737" s="89"/>
      <c r="AE737" s="89"/>
      <c r="AN737" s="89"/>
    </row>
    <row r="738" spans="4:40" x14ac:dyDescent="0.2">
      <c r="D738" s="89"/>
      <c r="M738" s="65"/>
      <c r="V738" s="89"/>
      <c r="AE738" s="89"/>
      <c r="AN738" s="89"/>
    </row>
    <row r="739" spans="4:40" x14ac:dyDescent="0.2">
      <c r="D739" s="89"/>
      <c r="M739" s="65"/>
      <c r="V739" s="89"/>
      <c r="AE739" s="89"/>
      <c r="AN739" s="89"/>
    </row>
    <row r="740" spans="4:40" x14ac:dyDescent="0.2">
      <c r="D740" s="89"/>
      <c r="M740" s="65"/>
      <c r="V740" s="89"/>
      <c r="AE740" s="89"/>
      <c r="AN740" s="89"/>
    </row>
    <row r="741" spans="4:40" x14ac:dyDescent="0.2">
      <c r="D741" s="89"/>
      <c r="M741" s="65"/>
      <c r="V741" s="89"/>
      <c r="AE741" s="89"/>
      <c r="AN741" s="89"/>
    </row>
    <row r="742" spans="4:40" x14ac:dyDescent="0.2">
      <c r="D742" s="89"/>
      <c r="M742" s="65"/>
      <c r="V742" s="89"/>
      <c r="AE742" s="89"/>
      <c r="AN742" s="89"/>
    </row>
    <row r="743" spans="4:40" x14ac:dyDescent="0.2">
      <c r="D743" s="89"/>
      <c r="M743" s="65"/>
      <c r="V743" s="89"/>
      <c r="AE743" s="89"/>
      <c r="AN743" s="89"/>
    </row>
    <row r="744" spans="4:40" x14ac:dyDescent="0.2">
      <c r="D744" s="89"/>
      <c r="M744" s="65"/>
      <c r="V744" s="89"/>
      <c r="AE744" s="89"/>
      <c r="AN744" s="89"/>
    </row>
    <row r="745" spans="4:40" x14ac:dyDescent="0.2">
      <c r="D745" s="89"/>
      <c r="M745" s="65"/>
      <c r="V745" s="89"/>
      <c r="AE745" s="89"/>
      <c r="AN745" s="89"/>
    </row>
    <row r="746" spans="4:40" x14ac:dyDescent="0.2">
      <c r="D746" s="89"/>
      <c r="M746" s="65"/>
      <c r="V746" s="89"/>
      <c r="AE746" s="89"/>
      <c r="AN746" s="89"/>
    </row>
    <row r="747" spans="4:40" x14ac:dyDescent="0.2">
      <c r="D747" s="89"/>
      <c r="M747" s="65"/>
      <c r="V747" s="89"/>
      <c r="AE747" s="89"/>
      <c r="AN747" s="89"/>
    </row>
    <row r="748" spans="4:40" x14ac:dyDescent="0.2">
      <c r="D748" s="89"/>
      <c r="M748" s="65"/>
      <c r="V748" s="89"/>
      <c r="AE748" s="89"/>
      <c r="AN748" s="89"/>
    </row>
    <row r="749" spans="4:40" x14ac:dyDescent="0.2">
      <c r="D749" s="89"/>
      <c r="M749" s="65"/>
      <c r="V749" s="89"/>
      <c r="AE749" s="89"/>
      <c r="AN749" s="89"/>
    </row>
    <row r="750" spans="4:40" x14ac:dyDescent="0.2">
      <c r="D750" s="89"/>
      <c r="M750" s="65"/>
      <c r="V750" s="89"/>
      <c r="AE750" s="89"/>
      <c r="AN750" s="89"/>
    </row>
    <row r="751" spans="4:40" x14ac:dyDescent="0.2">
      <c r="D751" s="89"/>
      <c r="M751" s="65"/>
      <c r="V751" s="89"/>
      <c r="AE751" s="89"/>
      <c r="AN751" s="89"/>
    </row>
    <row r="752" spans="4:40" x14ac:dyDescent="0.2">
      <c r="D752" s="89"/>
      <c r="M752" s="65"/>
      <c r="V752" s="89"/>
      <c r="AE752" s="89"/>
      <c r="AN752" s="89"/>
    </row>
    <row r="753" spans="4:40" x14ac:dyDescent="0.2">
      <c r="D753" s="89"/>
      <c r="M753" s="65"/>
      <c r="V753" s="89"/>
      <c r="AE753" s="89"/>
      <c r="AN753" s="89"/>
    </row>
    <row r="754" spans="4:40" x14ac:dyDescent="0.2">
      <c r="D754" s="89"/>
      <c r="M754" s="65"/>
      <c r="V754" s="89"/>
      <c r="AE754" s="89"/>
      <c r="AN754" s="89"/>
    </row>
    <row r="755" spans="4:40" x14ac:dyDescent="0.2">
      <c r="D755" s="89"/>
      <c r="M755" s="65"/>
      <c r="V755" s="89"/>
      <c r="AE755" s="89"/>
      <c r="AN755" s="89"/>
    </row>
    <row r="756" spans="4:40" x14ac:dyDescent="0.2">
      <c r="D756" s="89"/>
      <c r="M756" s="65"/>
      <c r="V756" s="89"/>
      <c r="AE756" s="89"/>
      <c r="AN756" s="89"/>
    </row>
    <row r="757" spans="4:40" x14ac:dyDescent="0.2">
      <c r="D757" s="89"/>
      <c r="M757" s="65"/>
      <c r="V757" s="89"/>
      <c r="AE757" s="89"/>
      <c r="AN757" s="89"/>
    </row>
    <row r="758" spans="4:40" x14ac:dyDescent="0.2">
      <c r="D758" s="89"/>
      <c r="M758" s="65"/>
      <c r="V758" s="89"/>
      <c r="AE758" s="89"/>
      <c r="AN758" s="89"/>
    </row>
    <row r="759" spans="4:40" x14ac:dyDescent="0.2">
      <c r="D759" s="89"/>
      <c r="M759" s="65"/>
      <c r="V759" s="89"/>
      <c r="AE759" s="89"/>
      <c r="AN759" s="89"/>
    </row>
    <row r="760" spans="4:40" x14ac:dyDescent="0.2">
      <c r="D760" s="89"/>
      <c r="M760" s="65"/>
      <c r="V760" s="89"/>
      <c r="AE760" s="89"/>
      <c r="AN760" s="89"/>
    </row>
    <row r="761" spans="4:40" x14ac:dyDescent="0.2">
      <c r="D761" s="89"/>
      <c r="M761" s="65"/>
      <c r="V761" s="89"/>
      <c r="AE761" s="89"/>
      <c r="AN761" s="89"/>
    </row>
    <row r="762" spans="4:40" x14ac:dyDescent="0.2">
      <c r="D762" s="89"/>
      <c r="M762" s="65"/>
      <c r="V762" s="89"/>
      <c r="AE762" s="89"/>
      <c r="AN762" s="89"/>
    </row>
    <row r="763" spans="4:40" x14ac:dyDescent="0.2">
      <c r="D763" s="89"/>
      <c r="M763" s="65"/>
      <c r="V763" s="89"/>
      <c r="AE763" s="89"/>
      <c r="AN763" s="89"/>
    </row>
    <row r="764" spans="4:40" x14ac:dyDescent="0.2">
      <c r="D764" s="89"/>
      <c r="M764" s="65"/>
      <c r="V764" s="89"/>
      <c r="AE764" s="89"/>
      <c r="AN764" s="89"/>
    </row>
    <row r="765" spans="4:40" x14ac:dyDescent="0.2">
      <c r="D765" s="89"/>
      <c r="M765" s="65"/>
      <c r="V765" s="89"/>
      <c r="AE765" s="89"/>
      <c r="AN765" s="89"/>
    </row>
    <row r="766" spans="4:40" x14ac:dyDescent="0.2">
      <c r="D766" s="89"/>
      <c r="M766" s="65"/>
      <c r="V766" s="89"/>
      <c r="AE766" s="89"/>
      <c r="AN766" s="89"/>
    </row>
    <row r="767" spans="4:40" x14ac:dyDescent="0.2">
      <c r="D767" s="89"/>
      <c r="M767" s="65"/>
      <c r="V767" s="89"/>
      <c r="AE767" s="89"/>
      <c r="AN767" s="89"/>
    </row>
    <row r="768" spans="4:40" x14ac:dyDescent="0.2">
      <c r="D768" s="89"/>
      <c r="M768" s="65"/>
      <c r="V768" s="89"/>
      <c r="AE768" s="89"/>
      <c r="AN768" s="89"/>
    </row>
    <row r="769" spans="4:40" x14ac:dyDescent="0.2">
      <c r="D769" s="89"/>
      <c r="M769" s="65"/>
      <c r="V769" s="89"/>
      <c r="AE769" s="89"/>
      <c r="AN769" s="89"/>
    </row>
    <row r="770" spans="4:40" x14ac:dyDescent="0.2">
      <c r="D770" s="89"/>
      <c r="M770" s="65"/>
      <c r="V770" s="89"/>
      <c r="AE770" s="89"/>
      <c r="AN770" s="89"/>
    </row>
    <row r="771" spans="4:40" x14ac:dyDescent="0.2">
      <c r="D771" s="89"/>
      <c r="M771" s="65"/>
      <c r="V771" s="89"/>
      <c r="AE771" s="89"/>
      <c r="AN771" s="89"/>
    </row>
    <row r="772" spans="4:40" x14ac:dyDescent="0.2">
      <c r="D772" s="89"/>
      <c r="M772" s="65"/>
      <c r="V772" s="89"/>
      <c r="AE772" s="89"/>
      <c r="AN772" s="89"/>
    </row>
    <row r="773" spans="4:40" x14ac:dyDescent="0.2">
      <c r="D773" s="89"/>
      <c r="M773" s="65"/>
      <c r="V773" s="89"/>
      <c r="AE773" s="89"/>
      <c r="AN773" s="89"/>
    </row>
    <row r="774" spans="4:40" x14ac:dyDescent="0.2">
      <c r="D774" s="89"/>
      <c r="M774" s="65"/>
      <c r="V774" s="89"/>
      <c r="AE774" s="89"/>
      <c r="AN774" s="89"/>
    </row>
    <row r="775" spans="4:40" x14ac:dyDescent="0.2">
      <c r="D775" s="89"/>
      <c r="M775" s="65"/>
      <c r="V775" s="89"/>
      <c r="AE775" s="89"/>
      <c r="AN775" s="89"/>
    </row>
    <row r="776" spans="4:40" x14ac:dyDescent="0.2">
      <c r="D776" s="89"/>
      <c r="M776" s="65"/>
      <c r="V776" s="89"/>
      <c r="AE776" s="89"/>
      <c r="AN776" s="89"/>
    </row>
    <row r="777" spans="4:40" x14ac:dyDescent="0.2">
      <c r="D777" s="89"/>
      <c r="M777" s="65"/>
      <c r="V777" s="89"/>
      <c r="AE777" s="89"/>
      <c r="AN777" s="89"/>
    </row>
    <row r="778" spans="4:40" x14ac:dyDescent="0.2">
      <c r="D778" s="89"/>
      <c r="M778" s="65"/>
      <c r="V778" s="89"/>
      <c r="AE778" s="89"/>
      <c r="AN778" s="89"/>
    </row>
    <row r="779" spans="4:40" x14ac:dyDescent="0.2">
      <c r="D779" s="89"/>
      <c r="M779" s="65"/>
      <c r="V779" s="89"/>
      <c r="AE779" s="89"/>
      <c r="AN779" s="89"/>
    </row>
    <row r="780" spans="4:40" x14ac:dyDescent="0.2">
      <c r="D780" s="89"/>
      <c r="M780" s="65"/>
      <c r="V780" s="89"/>
      <c r="AE780" s="89"/>
      <c r="AN780" s="89"/>
    </row>
    <row r="781" spans="4:40" x14ac:dyDescent="0.2">
      <c r="D781" s="89"/>
      <c r="M781" s="65"/>
      <c r="V781" s="89"/>
      <c r="AE781" s="89"/>
      <c r="AN781" s="89"/>
    </row>
    <row r="782" spans="4:40" x14ac:dyDescent="0.2">
      <c r="D782" s="89"/>
      <c r="M782" s="65"/>
      <c r="V782" s="89"/>
      <c r="AE782" s="89"/>
      <c r="AN782" s="89"/>
    </row>
    <row r="783" spans="4:40" x14ac:dyDescent="0.2">
      <c r="D783" s="89"/>
      <c r="M783" s="65"/>
      <c r="V783" s="89"/>
      <c r="AE783" s="89"/>
      <c r="AN783" s="89"/>
    </row>
    <row r="784" spans="4:40" x14ac:dyDescent="0.2">
      <c r="D784" s="89"/>
      <c r="M784" s="65"/>
      <c r="V784" s="89"/>
      <c r="AE784" s="89"/>
      <c r="AN784" s="89"/>
    </row>
    <row r="785" spans="4:40" x14ac:dyDescent="0.2">
      <c r="D785" s="89"/>
      <c r="M785" s="65"/>
      <c r="V785" s="89"/>
      <c r="AE785" s="89"/>
      <c r="AN785" s="89"/>
    </row>
    <row r="786" spans="4:40" x14ac:dyDescent="0.2">
      <c r="D786" s="89"/>
      <c r="M786" s="65"/>
      <c r="V786" s="89"/>
      <c r="AE786" s="89"/>
      <c r="AN786" s="89"/>
    </row>
    <row r="787" spans="4:40" x14ac:dyDescent="0.2">
      <c r="D787" s="89"/>
      <c r="M787" s="65"/>
      <c r="V787" s="89"/>
      <c r="AE787" s="89"/>
      <c r="AN787" s="89"/>
    </row>
    <row r="788" spans="4:40" x14ac:dyDescent="0.2">
      <c r="D788" s="89"/>
      <c r="M788" s="65"/>
      <c r="V788" s="89"/>
      <c r="AE788" s="89"/>
      <c r="AN788" s="89"/>
    </row>
    <row r="789" spans="4:40" x14ac:dyDescent="0.2">
      <c r="D789" s="89"/>
      <c r="M789" s="65"/>
      <c r="V789" s="89"/>
      <c r="AE789" s="89"/>
      <c r="AN789" s="89"/>
    </row>
    <row r="790" spans="4:40" x14ac:dyDescent="0.2">
      <c r="D790" s="89"/>
      <c r="M790" s="65"/>
      <c r="V790" s="89"/>
      <c r="AE790" s="89"/>
      <c r="AN790" s="89"/>
    </row>
    <row r="791" spans="4:40" x14ac:dyDescent="0.2">
      <c r="D791" s="89"/>
      <c r="M791" s="65"/>
      <c r="V791" s="89"/>
      <c r="AE791" s="89"/>
      <c r="AN791" s="89"/>
    </row>
    <row r="792" spans="4:40" x14ac:dyDescent="0.2">
      <c r="D792" s="89"/>
      <c r="M792" s="65"/>
      <c r="V792" s="89"/>
      <c r="AE792" s="89"/>
      <c r="AN792" s="89"/>
    </row>
    <row r="793" spans="4:40" x14ac:dyDescent="0.2">
      <c r="D793" s="89"/>
      <c r="M793" s="65"/>
      <c r="V793" s="89"/>
      <c r="AE793" s="89"/>
      <c r="AN793" s="89"/>
    </row>
    <row r="794" spans="4:40" x14ac:dyDescent="0.2">
      <c r="D794" s="89"/>
      <c r="M794" s="65"/>
      <c r="V794" s="89"/>
      <c r="AE794" s="89"/>
      <c r="AN794" s="89"/>
    </row>
    <row r="795" spans="4:40" x14ac:dyDescent="0.2">
      <c r="D795" s="89"/>
      <c r="M795" s="65"/>
      <c r="V795" s="89"/>
      <c r="AE795" s="89"/>
      <c r="AN795" s="89"/>
    </row>
    <row r="796" spans="4:40" x14ac:dyDescent="0.2">
      <c r="D796" s="89"/>
      <c r="M796" s="65"/>
      <c r="V796" s="89"/>
      <c r="AE796" s="89"/>
      <c r="AN796" s="89"/>
    </row>
    <row r="797" spans="4:40" x14ac:dyDescent="0.2">
      <c r="D797" s="89"/>
      <c r="M797" s="65"/>
      <c r="V797" s="89"/>
      <c r="AE797" s="89"/>
      <c r="AN797" s="89"/>
    </row>
    <row r="798" spans="4:40" x14ac:dyDescent="0.2">
      <c r="D798" s="89"/>
      <c r="M798" s="65"/>
      <c r="V798" s="89"/>
      <c r="AE798" s="89"/>
      <c r="AN798" s="89"/>
    </row>
    <row r="799" spans="4:40" x14ac:dyDescent="0.2">
      <c r="D799" s="89"/>
      <c r="M799" s="65"/>
      <c r="V799" s="89"/>
      <c r="AE799" s="89"/>
      <c r="AN799" s="89"/>
    </row>
    <row r="800" spans="4:40" x14ac:dyDescent="0.2">
      <c r="D800" s="89"/>
      <c r="M800" s="65"/>
      <c r="V800" s="89"/>
      <c r="AE800" s="89"/>
      <c r="AN800" s="89"/>
    </row>
    <row r="801" spans="4:40" x14ac:dyDescent="0.2">
      <c r="D801" s="89"/>
      <c r="M801" s="65"/>
      <c r="V801" s="89"/>
      <c r="AE801" s="89"/>
      <c r="AN801" s="89"/>
    </row>
    <row r="802" spans="4:40" x14ac:dyDescent="0.2">
      <c r="D802" s="89"/>
      <c r="M802" s="65"/>
      <c r="V802" s="89"/>
      <c r="AE802" s="89"/>
      <c r="AN802" s="89"/>
    </row>
    <row r="803" spans="4:40" x14ac:dyDescent="0.2">
      <c r="D803" s="89"/>
      <c r="M803" s="65"/>
      <c r="V803" s="89"/>
      <c r="AE803" s="89"/>
      <c r="AN803" s="89"/>
    </row>
    <row r="804" spans="4:40" x14ac:dyDescent="0.2">
      <c r="D804" s="89"/>
      <c r="M804" s="65"/>
      <c r="V804" s="89"/>
      <c r="AE804" s="89"/>
      <c r="AN804" s="89"/>
    </row>
    <row r="805" spans="4:40" x14ac:dyDescent="0.2">
      <c r="D805" s="89"/>
      <c r="M805" s="65"/>
      <c r="V805" s="89"/>
      <c r="AE805" s="89"/>
      <c r="AN805" s="89"/>
    </row>
    <row r="806" spans="4:40" x14ac:dyDescent="0.2">
      <c r="D806" s="89"/>
      <c r="M806" s="65"/>
      <c r="V806" s="89"/>
      <c r="AE806" s="89"/>
      <c r="AN806" s="89"/>
    </row>
    <row r="807" spans="4:40" x14ac:dyDescent="0.2">
      <c r="D807" s="89"/>
      <c r="M807" s="65"/>
      <c r="V807" s="89"/>
      <c r="AE807" s="89"/>
      <c r="AN807" s="89"/>
    </row>
    <row r="808" spans="4:40" x14ac:dyDescent="0.2">
      <c r="D808" s="89"/>
      <c r="M808" s="65"/>
      <c r="V808" s="89"/>
      <c r="AE808" s="89"/>
      <c r="AN808" s="89"/>
    </row>
    <row r="809" spans="4:40" x14ac:dyDescent="0.2">
      <c r="D809" s="89"/>
      <c r="M809" s="65"/>
      <c r="V809" s="89"/>
      <c r="AE809" s="89"/>
      <c r="AN809" s="89"/>
    </row>
    <row r="810" spans="4:40" x14ac:dyDescent="0.2">
      <c r="D810" s="89"/>
      <c r="M810" s="65"/>
      <c r="V810" s="89"/>
      <c r="AE810" s="89"/>
      <c r="AN810" s="89"/>
    </row>
    <row r="811" spans="4:40" x14ac:dyDescent="0.2">
      <c r="D811" s="89"/>
      <c r="M811" s="65"/>
      <c r="V811" s="89"/>
      <c r="AE811" s="89"/>
      <c r="AN811" s="89"/>
    </row>
    <row r="812" spans="4:40" x14ac:dyDescent="0.2">
      <c r="D812" s="89"/>
      <c r="M812" s="65"/>
      <c r="V812" s="89"/>
      <c r="AE812" s="89"/>
      <c r="AN812" s="89"/>
    </row>
    <row r="813" spans="4:40" x14ac:dyDescent="0.2">
      <c r="D813" s="89"/>
      <c r="M813" s="65"/>
      <c r="V813" s="89"/>
      <c r="AE813" s="89"/>
      <c r="AN813" s="89"/>
    </row>
    <row r="814" spans="4:40" x14ac:dyDescent="0.2">
      <c r="D814" s="89"/>
      <c r="M814" s="65"/>
      <c r="V814" s="89"/>
      <c r="AE814" s="89"/>
      <c r="AN814" s="89"/>
    </row>
    <row r="815" spans="4:40" x14ac:dyDescent="0.2">
      <c r="D815" s="89"/>
      <c r="M815" s="65"/>
      <c r="V815" s="89"/>
      <c r="AE815" s="89"/>
      <c r="AN815" s="89"/>
    </row>
    <row r="816" spans="4:40" x14ac:dyDescent="0.2">
      <c r="D816" s="89"/>
      <c r="M816" s="65"/>
      <c r="V816" s="89"/>
      <c r="AE816" s="89"/>
      <c r="AN816" s="89"/>
    </row>
    <row r="817" spans="4:40" x14ac:dyDescent="0.2">
      <c r="D817" s="89"/>
      <c r="M817" s="65"/>
      <c r="V817" s="89"/>
      <c r="AE817" s="89"/>
      <c r="AN817" s="89"/>
    </row>
    <row r="818" spans="4:40" x14ac:dyDescent="0.2">
      <c r="D818" s="89"/>
      <c r="M818" s="65"/>
      <c r="V818" s="89"/>
      <c r="AE818" s="89"/>
      <c r="AN818" s="89"/>
    </row>
    <row r="819" spans="4:40" x14ac:dyDescent="0.2">
      <c r="D819" s="89"/>
      <c r="M819" s="65"/>
      <c r="V819" s="89"/>
      <c r="AE819" s="89"/>
      <c r="AN819" s="89"/>
    </row>
    <row r="820" spans="4:40" x14ac:dyDescent="0.2">
      <c r="D820" s="89"/>
      <c r="M820" s="65"/>
      <c r="V820" s="89"/>
      <c r="AE820" s="89"/>
      <c r="AN820" s="89"/>
    </row>
    <row r="821" spans="4:40" x14ac:dyDescent="0.2">
      <c r="D821" s="89"/>
      <c r="M821" s="65"/>
      <c r="V821" s="89"/>
      <c r="AE821" s="89"/>
      <c r="AN821" s="89"/>
    </row>
    <row r="822" spans="4:40" x14ac:dyDescent="0.2">
      <c r="D822" s="89"/>
      <c r="M822" s="65"/>
      <c r="V822" s="89"/>
      <c r="AE822" s="89"/>
      <c r="AN822" s="89"/>
    </row>
    <row r="823" spans="4:40" x14ac:dyDescent="0.2">
      <c r="D823" s="89"/>
      <c r="M823" s="65"/>
      <c r="V823" s="89"/>
      <c r="AE823" s="89"/>
      <c r="AN823" s="89"/>
    </row>
    <row r="824" spans="4:40" x14ac:dyDescent="0.2">
      <c r="D824" s="89"/>
      <c r="M824" s="65"/>
      <c r="V824" s="89"/>
      <c r="AE824" s="89"/>
      <c r="AN824" s="89"/>
    </row>
    <row r="825" spans="4:40" x14ac:dyDescent="0.2">
      <c r="D825" s="89"/>
      <c r="M825" s="65"/>
      <c r="V825" s="89"/>
      <c r="AE825" s="89"/>
      <c r="AN825" s="89"/>
    </row>
    <row r="826" spans="4:40" x14ac:dyDescent="0.2">
      <c r="D826" s="89"/>
      <c r="M826" s="65"/>
      <c r="V826" s="89"/>
      <c r="AE826" s="89"/>
      <c r="AN826" s="89"/>
    </row>
    <row r="827" spans="4:40" x14ac:dyDescent="0.2">
      <c r="D827" s="89"/>
      <c r="M827" s="65"/>
      <c r="V827" s="89"/>
      <c r="AE827" s="89"/>
      <c r="AN827" s="89"/>
    </row>
    <row r="828" spans="4:40" x14ac:dyDescent="0.2">
      <c r="D828" s="89"/>
      <c r="M828" s="65"/>
      <c r="V828" s="89"/>
      <c r="AE828" s="89"/>
      <c r="AN828" s="89"/>
    </row>
    <row r="829" spans="4:40" x14ac:dyDescent="0.2">
      <c r="D829" s="89"/>
      <c r="M829" s="65"/>
      <c r="V829" s="89"/>
      <c r="AE829" s="89"/>
      <c r="AN829" s="89"/>
    </row>
    <row r="830" spans="4:40" x14ac:dyDescent="0.2">
      <c r="D830" s="89"/>
      <c r="M830" s="65"/>
      <c r="V830" s="89"/>
      <c r="AE830" s="89"/>
      <c r="AN830" s="89"/>
    </row>
    <row r="831" spans="4:40" x14ac:dyDescent="0.2">
      <c r="D831" s="89"/>
      <c r="M831" s="65"/>
      <c r="V831" s="89"/>
      <c r="AE831" s="89"/>
      <c r="AN831" s="89"/>
    </row>
    <row r="832" spans="4:40" x14ac:dyDescent="0.2">
      <c r="D832" s="89"/>
      <c r="M832" s="65"/>
      <c r="V832" s="89"/>
      <c r="AE832" s="89"/>
      <c r="AN832" s="89"/>
    </row>
    <row r="833" spans="4:40" x14ac:dyDescent="0.2">
      <c r="D833" s="89"/>
      <c r="M833" s="65"/>
      <c r="V833" s="89"/>
      <c r="AE833" s="89"/>
      <c r="AN833" s="89"/>
    </row>
    <row r="834" spans="4:40" x14ac:dyDescent="0.2">
      <c r="D834" s="89"/>
      <c r="M834" s="65"/>
      <c r="V834" s="89"/>
      <c r="AE834" s="89"/>
      <c r="AN834" s="89"/>
    </row>
    <row r="835" spans="4:40" x14ac:dyDescent="0.2">
      <c r="D835" s="89"/>
      <c r="M835" s="65"/>
      <c r="V835" s="89"/>
      <c r="AE835" s="89"/>
      <c r="AN835" s="89"/>
    </row>
    <row r="836" spans="4:40" x14ac:dyDescent="0.2">
      <c r="D836" s="89"/>
      <c r="M836" s="65"/>
      <c r="V836" s="89"/>
      <c r="AE836" s="89"/>
      <c r="AN836" s="89"/>
    </row>
    <row r="837" spans="4:40" x14ac:dyDescent="0.2">
      <c r="D837" s="89"/>
      <c r="M837" s="65"/>
      <c r="V837" s="89"/>
      <c r="AE837" s="89"/>
      <c r="AN837" s="89"/>
    </row>
    <row r="838" spans="4:40" x14ac:dyDescent="0.2">
      <c r="D838" s="89"/>
      <c r="M838" s="65"/>
      <c r="V838" s="89"/>
      <c r="AE838" s="89"/>
      <c r="AN838" s="89"/>
    </row>
    <row r="839" spans="4:40" x14ac:dyDescent="0.2">
      <c r="D839" s="89"/>
      <c r="M839" s="65"/>
      <c r="V839" s="89"/>
      <c r="AE839" s="89"/>
      <c r="AN839" s="89"/>
    </row>
    <row r="840" spans="4:40" x14ac:dyDescent="0.2">
      <c r="D840" s="89"/>
      <c r="M840" s="65"/>
      <c r="V840" s="89"/>
      <c r="AE840" s="89"/>
      <c r="AN840" s="89"/>
    </row>
    <row r="841" spans="4:40" x14ac:dyDescent="0.2">
      <c r="D841" s="89"/>
      <c r="M841" s="65"/>
      <c r="V841" s="89"/>
      <c r="AE841" s="89"/>
      <c r="AN841" s="89"/>
    </row>
    <row r="842" spans="4:40" x14ac:dyDescent="0.2">
      <c r="D842" s="89"/>
      <c r="M842" s="65"/>
      <c r="V842" s="89"/>
      <c r="AE842" s="89"/>
      <c r="AN842" s="89"/>
    </row>
    <row r="843" spans="4:40" x14ac:dyDescent="0.2">
      <c r="D843" s="89"/>
      <c r="M843" s="65"/>
      <c r="V843" s="89"/>
      <c r="AE843" s="89"/>
      <c r="AN843" s="89"/>
    </row>
    <row r="844" spans="4:40" x14ac:dyDescent="0.2">
      <c r="D844" s="89"/>
      <c r="M844" s="65"/>
      <c r="V844" s="89"/>
      <c r="AE844" s="89"/>
      <c r="AN844" s="89"/>
    </row>
    <row r="845" spans="4:40" x14ac:dyDescent="0.2">
      <c r="D845" s="89"/>
      <c r="M845" s="65"/>
      <c r="V845" s="89"/>
      <c r="AE845" s="89"/>
      <c r="AN845" s="89"/>
    </row>
    <row r="846" spans="4:40" x14ac:dyDescent="0.2">
      <c r="D846" s="89"/>
      <c r="M846" s="65"/>
      <c r="V846" s="89"/>
      <c r="AE846" s="89"/>
      <c r="AN846" s="89"/>
    </row>
    <row r="847" spans="4:40" x14ac:dyDescent="0.2">
      <c r="D847" s="89"/>
      <c r="M847" s="65"/>
      <c r="V847" s="89"/>
      <c r="AE847" s="89"/>
      <c r="AN847" s="89"/>
    </row>
    <row r="848" spans="4:40" x14ac:dyDescent="0.2">
      <c r="D848" s="89"/>
      <c r="M848" s="65"/>
      <c r="V848" s="89"/>
      <c r="AE848" s="89"/>
      <c r="AN848" s="89"/>
    </row>
    <row r="849" spans="4:40" x14ac:dyDescent="0.2">
      <c r="D849" s="89"/>
      <c r="M849" s="65"/>
      <c r="V849" s="89"/>
      <c r="AE849" s="89"/>
      <c r="AN849" s="89"/>
    </row>
    <row r="850" spans="4:40" x14ac:dyDescent="0.2">
      <c r="D850" s="89"/>
      <c r="M850" s="65"/>
      <c r="V850" s="89"/>
      <c r="AE850" s="89"/>
      <c r="AN850" s="89"/>
    </row>
    <row r="851" spans="4:40" x14ac:dyDescent="0.2">
      <c r="D851" s="89"/>
      <c r="M851" s="65"/>
      <c r="V851" s="89"/>
      <c r="AE851" s="89"/>
      <c r="AN851" s="89"/>
    </row>
    <row r="852" spans="4:40" x14ac:dyDescent="0.2">
      <c r="D852" s="89"/>
      <c r="M852" s="65"/>
      <c r="V852" s="89"/>
      <c r="AE852" s="89"/>
      <c r="AN852" s="89"/>
    </row>
    <row r="853" spans="4:40" x14ac:dyDescent="0.2">
      <c r="D853" s="89"/>
      <c r="M853" s="65"/>
      <c r="V853" s="89"/>
      <c r="AE853" s="89"/>
      <c r="AN853" s="89"/>
    </row>
    <row r="854" spans="4:40" x14ac:dyDescent="0.2">
      <c r="D854" s="89"/>
      <c r="M854" s="65"/>
      <c r="V854" s="89"/>
      <c r="AE854" s="89"/>
      <c r="AN854" s="89"/>
    </row>
    <row r="855" spans="4:40" x14ac:dyDescent="0.2">
      <c r="D855" s="89"/>
      <c r="M855" s="65"/>
      <c r="V855" s="89"/>
      <c r="AE855" s="89"/>
      <c r="AN855" s="89"/>
    </row>
    <row r="856" spans="4:40" x14ac:dyDescent="0.2">
      <c r="D856" s="89"/>
      <c r="M856" s="65"/>
      <c r="V856" s="89"/>
      <c r="AE856" s="89"/>
      <c r="AN856" s="89"/>
    </row>
    <row r="857" spans="4:40" x14ac:dyDescent="0.2">
      <c r="D857" s="89"/>
      <c r="M857" s="65"/>
      <c r="V857" s="89"/>
      <c r="AE857" s="89"/>
      <c r="AN857" s="89"/>
    </row>
    <row r="858" spans="4:40" x14ac:dyDescent="0.2">
      <c r="D858" s="89"/>
      <c r="M858" s="65"/>
      <c r="V858" s="89"/>
      <c r="AE858" s="89"/>
      <c r="AN858" s="89"/>
    </row>
    <row r="859" spans="4:40" x14ac:dyDescent="0.2">
      <c r="D859" s="89"/>
      <c r="M859" s="65"/>
      <c r="V859" s="89"/>
      <c r="AE859" s="89"/>
      <c r="AN859" s="89"/>
    </row>
    <row r="860" spans="4:40" x14ac:dyDescent="0.2">
      <c r="D860" s="89"/>
      <c r="M860" s="65"/>
      <c r="V860" s="89"/>
      <c r="AE860" s="89"/>
      <c r="AN860" s="89"/>
    </row>
    <row r="861" spans="4:40" x14ac:dyDescent="0.2">
      <c r="D861" s="89"/>
      <c r="M861" s="65"/>
      <c r="V861" s="89"/>
      <c r="AE861" s="89"/>
      <c r="AN861" s="89"/>
    </row>
    <row r="862" spans="4:40" x14ac:dyDescent="0.2">
      <c r="D862" s="89"/>
      <c r="M862" s="65"/>
      <c r="V862" s="89"/>
      <c r="AE862" s="89"/>
      <c r="AN862" s="89"/>
    </row>
    <row r="863" spans="4:40" x14ac:dyDescent="0.2">
      <c r="D863" s="89"/>
      <c r="M863" s="65"/>
      <c r="V863" s="89"/>
      <c r="AE863" s="89"/>
      <c r="AN863" s="89"/>
    </row>
    <row r="864" spans="4:40" x14ac:dyDescent="0.2">
      <c r="D864" s="89"/>
      <c r="M864" s="65"/>
      <c r="V864" s="89"/>
      <c r="AE864" s="89"/>
      <c r="AN864" s="89"/>
    </row>
    <row r="865" spans="4:40" x14ac:dyDescent="0.2">
      <c r="D865" s="89"/>
      <c r="M865" s="65"/>
      <c r="V865" s="89"/>
      <c r="AE865" s="89"/>
      <c r="AN865" s="89"/>
    </row>
    <row r="866" spans="4:40" x14ac:dyDescent="0.2">
      <c r="D866" s="89"/>
      <c r="M866" s="65"/>
      <c r="V866" s="89"/>
      <c r="AE866" s="89"/>
      <c r="AN866" s="89"/>
    </row>
    <row r="867" spans="4:40" x14ac:dyDescent="0.2">
      <c r="D867" s="89"/>
      <c r="M867" s="65"/>
      <c r="V867" s="89"/>
      <c r="AE867" s="89"/>
      <c r="AN867" s="89"/>
    </row>
    <row r="868" spans="4:40" x14ac:dyDescent="0.2">
      <c r="D868" s="89"/>
      <c r="M868" s="65"/>
      <c r="V868" s="89"/>
      <c r="AE868" s="89"/>
      <c r="AN868" s="89"/>
    </row>
    <row r="869" spans="4:40" x14ac:dyDescent="0.2">
      <c r="D869" s="89"/>
      <c r="M869" s="65"/>
      <c r="V869" s="89"/>
      <c r="AE869" s="89"/>
      <c r="AN869" s="89"/>
    </row>
    <row r="870" spans="4:40" x14ac:dyDescent="0.2">
      <c r="D870" s="89"/>
      <c r="M870" s="65"/>
      <c r="V870" s="89"/>
      <c r="AE870" s="89"/>
      <c r="AN870" s="89"/>
    </row>
    <row r="871" spans="4:40" x14ac:dyDescent="0.2">
      <c r="D871" s="89"/>
      <c r="M871" s="65"/>
      <c r="V871" s="89"/>
      <c r="AE871" s="89"/>
      <c r="AN871" s="89"/>
    </row>
    <row r="872" spans="4:40" x14ac:dyDescent="0.2">
      <c r="D872" s="89"/>
      <c r="M872" s="65"/>
      <c r="V872" s="89"/>
      <c r="AE872" s="89"/>
      <c r="AN872" s="89"/>
    </row>
    <row r="873" spans="4:40" x14ac:dyDescent="0.2">
      <c r="D873" s="89"/>
      <c r="M873" s="65"/>
      <c r="V873" s="89"/>
      <c r="AE873" s="89"/>
      <c r="AN873" s="89"/>
    </row>
    <row r="874" spans="4:40" x14ac:dyDescent="0.2">
      <c r="D874" s="89"/>
      <c r="M874" s="65"/>
      <c r="V874" s="89"/>
      <c r="AE874" s="89"/>
      <c r="AN874" s="89"/>
    </row>
    <row r="875" spans="4:40" x14ac:dyDescent="0.2">
      <c r="D875" s="89"/>
      <c r="M875" s="65"/>
      <c r="V875" s="89"/>
      <c r="AE875" s="89"/>
      <c r="AN875" s="89"/>
    </row>
    <row r="876" spans="4:40" x14ac:dyDescent="0.2">
      <c r="D876" s="89"/>
      <c r="M876" s="65"/>
      <c r="V876" s="89"/>
      <c r="AE876" s="89"/>
      <c r="AN876" s="89"/>
    </row>
    <row r="877" spans="4:40" x14ac:dyDescent="0.2">
      <c r="D877" s="89"/>
      <c r="M877" s="65"/>
      <c r="V877" s="89"/>
      <c r="AE877" s="89"/>
      <c r="AN877" s="89"/>
    </row>
    <row r="878" spans="4:40" x14ac:dyDescent="0.2">
      <c r="D878" s="89"/>
      <c r="M878" s="65"/>
      <c r="V878" s="89"/>
      <c r="AE878" s="89"/>
      <c r="AN878" s="89"/>
    </row>
    <row r="879" spans="4:40" x14ac:dyDescent="0.2">
      <c r="D879" s="89"/>
      <c r="M879" s="65"/>
      <c r="V879" s="89"/>
      <c r="AE879" s="89"/>
      <c r="AN879" s="89"/>
    </row>
    <row r="880" spans="4:40" x14ac:dyDescent="0.2">
      <c r="D880" s="89"/>
      <c r="M880" s="65"/>
      <c r="V880" s="89"/>
      <c r="AE880" s="89"/>
      <c r="AN880" s="89"/>
    </row>
    <row r="881" spans="4:40" x14ac:dyDescent="0.2">
      <c r="D881" s="89"/>
      <c r="M881" s="65"/>
      <c r="V881" s="89"/>
      <c r="AE881" s="89"/>
      <c r="AN881" s="89"/>
    </row>
    <row r="882" spans="4:40" x14ac:dyDescent="0.2">
      <c r="D882" s="89"/>
      <c r="M882" s="65"/>
      <c r="V882" s="89"/>
      <c r="AE882" s="89"/>
      <c r="AN882" s="89"/>
    </row>
    <row r="883" spans="4:40" x14ac:dyDescent="0.2">
      <c r="D883" s="89"/>
      <c r="M883" s="65"/>
      <c r="V883" s="89"/>
      <c r="AE883" s="89"/>
      <c r="AN883" s="89"/>
    </row>
    <row r="884" spans="4:40" x14ac:dyDescent="0.2">
      <c r="D884" s="89"/>
      <c r="M884" s="65"/>
      <c r="V884" s="89"/>
      <c r="AE884" s="89"/>
      <c r="AN884" s="89"/>
    </row>
    <row r="885" spans="4:40" x14ac:dyDescent="0.2">
      <c r="D885" s="89"/>
      <c r="M885" s="65"/>
      <c r="V885" s="89"/>
      <c r="AE885" s="89"/>
      <c r="AN885" s="89"/>
    </row>
    <row r="886" spans="4:40" x14ac:dyDescent="0.2">
      <c r="D886" s="89"/>
      <c r="M886" s="65"/>
      <c r="V886" s="89"/>
      <c r="AE886" s="89"/>
      <c r="AN886" s="89"/>
    </row>
    <row r="887" spans="4:40" x14ac:dyDescent="0.2">
      <c r="D887" s="89"/>
      <c r="M887" s="65"/>
      <c r="V887" s="89"/>
      <c r="AE887" s="89"/>
      <c r="AN887" s="89"/>
    </row>
    <row r="888" spans="4:40" x14ac:dyDescent="0.2">
      <c r="D888" s="89"/>
      <c r="M888" s="65"/>
      <c r="V888" s="89"/>
      <c r="AE888" s="89"/>
      <c r="AN888" s="89"/>
    </row>
    <row r="889" spans="4:40" x14ac:dyDescent="0.2">
      <c r="D889" s="89"/>
      <c r="M889" s="65"/>
      <c r="V889" s="89"/>
      <c r="AE889" s="89"/>
      <c r="AN889" s="89"/>
    </row>
    <row r="890" spans="4:40" x14ac:dyDescent="0.2">
      <c r="D890" s="89"/>
      <c r="M890" s="65"/>
      <c r="V890" s="89"/>
      <c r="AE890" s="89"/>
      <c r="AN890" s="89"/>
    </row>
    <row r="891" spans="4:40" x14ac:dyDescent="0.2">
      <c r="D891" s="89"/>
      <c r="M891" s="65"/>
      <c r="V891" s="89"/>
      <c r="AE891" s="89"/>
      <c r="AN891" s="89"/>
    </row>
    <row r="892" spans="4:40" x14ac:dyDescent="0.2">
      <c r="D892" s="89"/>
      <c r="M892" s="65"/>
      <c r="V892" s="89"/>
      <c r="AE892" s="89"/>
      <c r="AN892" s="89"/>
    </row>
    <row r="893" spans="4:40" x14ac:dyDescent="0.2">
      <c r="D893" s="89"/>
      <c r="M893" s="65"/>
      <c r="V893" s="89"/>
      <c r="AE893" s="89"/>
      <c r="AN893" s="89"/>
    </row>
    <row r="894" spans="4:40" x14ac:dyDescent="0.2">
      <c r="D894" s="89"/>
      <c r="M894" s="65"/>
      <c r="V894" s="89"/>
      <c r="AE894" s="89"/>
      <c r="AN894" s="89"/>
    </row>
    <row r="895" spans="4:40" x14ac:dyDescent="0.2">
      <c r="D895" s="89"/>
      <c r="M895" s="65"/>
      <c r="V895" s="89"/>
      <c r="AE895" s="89"/>
      <c r="AN895" s="89"/>
    </row>
    <row r="896" spans="4:40" x14ac:dyDescent="0.2">
      <c r="D896" s="89"/>
      <c r="M896" s="65"/>
      <c r="V896" s="89"/>
      <c r="AE896" s="89"/>
      <c r="AN896" s="89"/>
    </row>
    <row r="897" spans="4:40" x14ac:dyDescent="0.2">
      <c r="D897" s="89"/>
      <c r="M897" s="65"/>
      <c r="V897" s="89"/>
      <c r="AE897" s="89"/>
      <c r="AN897" s="89"/>
    </row>
    <row r="898" spans="4:40" x14ac:dyDescent="0.2">
      <c r="D898" s="89"/>
      <c r="M898" s="65"/>
      <c r="V898" s="89"/>
      <c r="AE898" s="89"/>
      <c r="AN898" s="89"/>
    </row>
    <row r="899" spans="4:40" x14ac:dyDescent="0.2">
      <c r="D899" s="89"/>
      <c r="M899" s="65"/>
      <c r="V899" s="89"/>
      <c r="AE899" s="89"/>
      <c r="AN899" s="89"/>
    </row>
    <row r="900" spans="4:40" x14ac:dyDescent="0.2">
      <c r="D900" s="89"/>
      <c r="M900" s="65"/>
      <c r="V900" s="89"/>
      <c r="AE900" s="89"/>
      <c r="AN900" s="89"/>
    </row>
    <row r="901" spans="4:40" x14ac:dyDescent="0.2">
      <c r="D901" s="89"/>
      <c r="M901" s="65"/>
      <c r="V901" s="89"/>
      <c r="AE901" s="89"/>
      <c r="AN901" s="89"/>
    </row>
    <row r="902" spans="4:40" x14ac:dyDescent="0.2">
      <c r="D902" s="89"/>
      <c r="M902" s="65"/>
      <c r="V902" s="89"/>
      <c r="AE902" s="89"/>
      <c r="AN902" s="89"/>
    </row>
    <row r="903" spans="4:40" x14ac:dyDescent="0.2">
      <c r="D903" s="89"/>
      <c r="M903" s="65"/>
      <c r="V903" s="89"/>
      <c r="AE903" s="89"/>
      <c r="AN903" s="89"/>
    </row>
    <row r="904" spans="4:40" x14ac:dyDescent="0.2">
      <c r="D904" s="89"/>
      <c r="M904" s="65"/>
      <c r="V904" s="89"/>
      <c r="AE904" s="89"/>
      <c r="AN904" s="89"/>
    </row>
    <row r="905" spans="4:40" x14ac:dyDescent="0.2">
      <c r="D905" s="89"/>
      <c r="M905" s="65"/>
      <c r="V905" s="89"/>
      <c r="AE905" s="89"/>
      <c r="AN905" s="89"/>
    </row>
    <row r="906" spans="4:40" x14ac:dyDescent="0.2">
      <c r="D906" s="89"/>
      <c r="M906" s="65"/>
      <c r="V906" s="89"/>
      <c r="AE906" s="89"/>
      <c r="AN906" s="89"/>
    </row>
    <row r="907" spans="4:40" x14ac:dyDescent="0.2">
      <c r="D907" s="89"/>
      <c r="M907" s="65"/>
      <c r="V907" s="89"/>
      <c r="AE907" s="89"/>
      <c r="AN907" s="89"/>
    </row>
    <row r="908" spans="4:40" x14ac:dyDescent="0.2">
      <c r="D908" s="89"/>
      <c r="M908" s="65"/>
      <c r="V908" s="89"/>
      <c r="AE908" s="89"/>
      <c r="AN908" s="89"/>
    </row>
    <row r="909" spans="4:40" x14ac:dyDescent="0.2">
      <c r="D909" s="89"/>
      <c r="M909" s="65"/>
      <c r="V909" s="89"/>
      <c r="AE909" s="89"/>
      <c r="AN909" s="89"/>
    </row>
    <row r="910" spans="4:40" x14ac:dyDescent="0.2">
      <c r="D910" s="89"/>
      <c r="M910" s="65"/>
      <c r="V910" s="89"/>
      <c r="AE910" s="89"/>
      <c r="AN910" s="89"/>
    </row>
    <row r="911" spans="4:40" x14ac:dyDescent="0.2">
      <c r="D911" s="89"/>
      <c r="M911" s="65"/>
      <c r="V911" s="89"/>
      <c r="AE911" s="89"/>
      <c r="AN911" s="89"/>
    </row>
    <row r="912" spans="4:40" x14ac:dyDescent="0.2">
      <c r="D912" s="89"/>
      <c r="M912" s="65"/>
      <c r="V912" s="89"/>
      <c r="AE912" s="89"/>
      <c r="AN912" s="89"/>
    </row>
    <row r="913" spans="4:40" x14ac:dyDescent="0.2">
      <c r="D913" s="89"/>
      <c r="M913" s="65"/>
      <c r="V913" s="89"/>
      <c r="AE913" s="89"/>
      <c r="AN913" s="89"/>
    </row>
    <row r="914" spans="4:40" x14ac:dyDescent="0.2">
      <c r="D914" s="89"/>
      <c r="M914" s="65"/>
      <c r="V914" s="89"/>
      <c r="AE914" s="89"/>
      <c r="AN914" s="89"/>
    </row>
    <row r="915" spans="4:40" x14ac:dyDescent="0.2">
      <c r="D915" s="89"/>
      <c r="M915" s="65"/>
      <c r="V915" s="89"/>
      <c r="AE915" s="89"/>
      <c r="AN915" s="89"/>
    </row>
    <row r="916" spans="4:40" x14ac:dyDescent="0.2">
      <c r="D916" s="89"/>
      <c r="M916" s="65"/>
      <c r="V916" s="89"/>
      <c r="AE916" s="89"/>
      <c r="AN916" s="89"/>
    </row>
    <row r="917" spans="4:40" x14ac:dyDescent="0.2">
      <c r="D917" s="89"/>
      <c r="M917" s="65"/>
      <c r="V917" s="89"/>
      <c r="AE917" s="89"/>
      <c r="AN917" s="89"/>
    </row>
    <row r="918" spans="4:40" x14ac:dyDescent="0.2">
      <c r="D918" s="89"/>
      <c r="M918" s="65"/>
      <c r="V918" s="89"/>
      <c r="AE918" s="89"/>
      <c r="AN918" s="89"/>
    </row>
    <row r="919" spans="4:40" x14ac:dyDescent="0.2">
      <c r="D919" s="89"/>
      <c r="M919" s="65"/>
      <c r="V919" s="89"/>
      <c r="AE919" s="89"/>
      <c r="AN919" s="89"/>
    </row>
    <row r="920" spans="4:40" x14ac:dyDescent="0.2">
      <c r="D920" s="89"/>
      <c r="M920" s="65"/>
      <c r="V920" s="89"/>
      <c r="AE920" s="89"/>
      <c r="AN920" s="89"/>
    </row>
    <row r="921" spans="4:40" x14ac:dyDescent="0.2">
      <c r="D921" s="89"/>
      <c r="M921" s="65"/>
      <c r="V921" s="89"/>
      <c r="AE921" s="89"/>
      <c r="AN921" s="89"/>
    </row>
    <row r="922" spans="4:40" x14ac:dyDescent="0.2">
      <c r="D922" s="89"/>
      <c r="M922" s="65"/>
      <c r="V922" s="89"/>
      <c r="AE922" s="89"/>
      <c r="AN922" s="89"/>
    </row>
    <row r="923" spans="4:40" x14ac:dyDescent="0.2">
      <c r="D923" s="89"/>
      <c r="M923" s="65"/>
      <c r="V923" s="89"/>
      <c r="AE923" s="89"/>
      <c r="AN923" s="89"/>
    </row>
    <row r="924" spans="4:40" x14ac:dyDescent="0.2">
      <c r="D924" s="89"/>
      <c r="M924" s="65"/>
      <c r="V924" s="89"/>
      <c r="AE924" s="89"/>
      <c r="AN924" s="89"/>
    </row>
    <row r="925" spans="4:40" x14ac:dyDescent="0.2">
      <c r="D925" s="89"/>
      <c r="M925" s="65"/>
      <c r="V925" s="89"/>
      <c r="AE925" s="89"/>
      <c r="AN925" s="89"/>
    </row>
    <row r="926" spans="4:40" x14ac:dyDescent="0.2">
      <c r="D926" s="89"/>
      <c r="M926" s="65"/>
      <c r="V926" s="89"/>
      <c r="AE926" s="89"/>
      <c r="AN926" s="89"/>
    </row>
    <row r="927" spans="4:40" x14ac:dyDescent="0.2">
      <c r="D927" s="89"/>
      <c r="M927" s="65"/>
      <c r="V927" s="89"/>
      <c r="AE927" s="89"/>
      <c r="AN927" s="89"/>
    </row>
    <row r="928" spans="4:40" x14ac:dyDescent="0.2">
      <c r="D928" s="89"/>
      <c r="M928" s="65"/>
      <c r="V928" s="89"/>
      <c r="AE928" s="89"/>
      <c r="AN928" s="89"/>
    </row>
    <row r="929" spans="4:40" x14ac:dyDescent="0.2">
      <c r="D929" s="89"/>
      <c r="M929" s="65"/>
      <c r="V929" s="89"/>
      <c r="AE929" s="89"/>
      <c r="AN929" s="89"/>
    </row>
    <row r="930" spans="4:40" x14ac:dyDescent="0.2">
      <c r="D930" s="89"/>
      <c r="M930" s="65"/>
      <c r="V930" s="89"/>
      <c r="AE930" s="89"/>
      <c r="AN930" s="89"/>
    </row>
    <row r="931" spans="4:40" x14ac:dyDescent="0.2">
      <c r="D931" s="89"/>
      <c r="M931" s="65"/>
      <c r="V931" s="89"/>
      <c r="AE931" s="89"/>
      <c r="AN931" s="89"/>
    </row>
    <row r="932" spans="4:40" x14ac:dyDescent="0.2">
      <c r="D932" s="89"/>
      <c r="M932" s="65"/>
      <c r="V932" s="89"/>
      <c r="AE932" s="89"/>
      <c r="AN932" s="89"/>
    </row>
    <row r="933" spans="4:40" x14ac:dyDescent="0.2">
      <c r="D933" s="89"/>
      <c r="M933" s="65"/>
      <c r="V933" s="89"/>
      <c r="AE933" s="89"/>
      <c r="AN933" s="89"/>
    </row>
    <row r="934" spans="4:40" x14ac:dyDescent="0.2">
      <c r="D934" s="89"/>
      <c r="M934" s="65"/>
      <c r="V934" s="89"/>
      <c r="AE934" s="89"/>
      <c r="AN934" s="89"/>
    </row>
    <row r="935" spans="4:40" x14ac:dyDescent="0.2">
      <c r="D935" s="89"/>
      <c r="M935" s="65"/>
      <c r="V935" s="89"/>
      <c r="AE935" s="89"/>
      <c r="AN935" s="89"/>
    </row>
    <row r="936" spans="4:40" x14ac:dyDescent="0.2">
      <c r="D936" s="89"/>
      <c r="M936" s="65"/>
      <c r="V936" s="89"/>
      <c r="AE936" s="89"/>
      <c r="AN936" s="89"/>
    </row>
    <row r="937" spans="4:40" x14ac:dyDescent="0.2">
      <c r="D937" s="89"/>
      <c r="M937" s="65"/>
      <c r="V937" s="89"/>
      <c r="AE937" s="89"/>
      <c r="AN937" s="89"/>
    </row>
    <row r="938" spans="4:40" x14ac:dyDescent="0.2">
      <c r="D938" s="89"/>
      <c r="M938" s="65"/>
      <c r="V938" s="89"/>
      <c r="AE938" s="89"/>
      <c r="AN938" s="89"/>
    </row>
    <row r="939" spans="4:40" x14ac:dyDescent="0.2">
      <c r="D939" s="89"/>
      <c r="M939" s="65"/>
      <c r="V939" s="89"/>
      <c r="AE939" s="89"/>
      <c r="AN939" s="89"/>
    </row>
    <row r="940" spans="4:40" x14ac:dyDescent="0.2">
      <c r="D940" s="89"/>
      <c r="M940" s="65"/>
      <c r="V940" s="89"/>
      <c r="AE940" s="89"/>
      <c r="AN940" s="89"/>
    </row>
    <row r="941" spans="4:40" x14ac:dyDescent="0.2">
      <c r="D941" s="89"/>
      <c r="M941" s="65"/>
      <c r="V941" s="89"/>
      <c r="AE941" s="89"/>
      <c r="AN941" s="89"/>
    </row>
    <row r="942" spans="4:40" x14ac:dyDescent="0.2">
      <c r="D942" s="89"/>
      <c r="M942" s="65"/>
      <c r="V942" s="89"/>
      <c r="AE942" s="89"/>
      <c r="AN942" s="89"/>
    </row>
    <row r="943" spans="4:40" x14ac:dyDescent="0.2">
      <c r="D943" s="89"/>
      <c r="M943" s="65"/>
      <c r="V943" s="89"/>
      <c r="AE943" s="89"/>
      <c r="AN943" s="89"/>
    </row>
    <row r="944" spans="4:40" x14ac:dyDescent="0.2">
      <c r="D944" s="89"/>
      <c r="M944" s="65"/>
      <c r="V944" s="89"/>
      <c r="AE944" s="89"/>
      <c r="AN944" s="89"/>
    </row>
    <row r="945" spans="4:40" x14ac:dyDescent="0.2">
      <c r="D945" s="89"/>
      <c r="M945" s="65"/>
      <c r="V945" s="89"/>
      <c r="AE945" s="89"/>
      <c r="AN945" s="89"/>
    </row>
    <row r="946" spans="4:40" x14ac:dyDescent="0.2">
      <c r="D946" s="89"/>
      <c r="M946" s="65"/>
      <c r="V946" s="89"/>
      <c r="AE946" s="89"/>
      <c r="AN946" s="89"/>
    </row>
    <row r="947" spans="4:40" x14ac:dyDescent="0.2">
      <c r="D947" s="89"/>
      <c r="M947" s="65"/>
      <c r="V947" s="89"/>
      <c r="AE947" s="89"/>
      <c r="AN947" s="89"/>
    </row>
    <row r="948" spans="4:40" x14ac:dyDescent="0.2">
      <c r="D948" s="89"/>
      <c r="M948" s="65"/>
      <c r="V948" s="89"/>
      <c r="AE948" s="89"/>
      <c r="AN948" s="89"/>
    </row>
    <row r="949" spans="4:40" x14ac:dyDescent="0.2">
      <c r="D949" s="89"/>
      <c r="M949" s="65"/>
      <c r="V949" s="89"/>
      <c r="AE949" s="89"/>
      <c r="AN949" s="89"/>
    </row>
    <row r="950" spans="4:40" x14ac:dyDescent="0.2">
      <c r="D950" s="89"/>
      <c r="M950" s="65"/>
      <c r="V950" s="89"/>
      <c r="AE950" s="89"/>
      <c r="AN950" s="89"/>
    </row>
    <row r="951" spans="4:40" x14ac:dyDescent="0.2">
      <c r="D951" s="89"/>
      <c r="M951" s="65"/>
      <c r="V951" s="89"/>
      <c r="AE951" s="89"/>
      <c r="AN951" s="89"/>
    </row>
    <row r="952" spans="4:40" x14ac:dyDescent="0.2">
      <c r="D952" s="89"/>
      <c r="M952" s="65"/>
      <c r="V952" s="89"/>
      <c r="AE952" s="89"/>
      <c r="AN952" s="89"/>
    </row>
    <row r="953" spans="4:40" x14ac:dyDescent="0.2">
      <c r="D953" s="89"/>
      <c r="M953" s="65"/>
      <c r="V953" s="89"/>
      <c r="AE953" s="89"/>
      <c r="AN953" s="89"/>
    </row>
    <row r="954" spans="4:40" x14ac:dyDescent="0.2">
      <c r="D954" s="89"/>
      <c r="M954" s="65"/>
      <c r="V954" s="89"/>
      <c r="AE954" s="89"/>
      <c r="AN954" s="89"/>
    </row>
    <row r="955" spans="4:40" x14ac:dyDescent="0.2">
      <c r="D955" s="89"/>
      <c r="M955" s="65"/>
      <c r="V955" s="89"/>
      <c r="AE955" s="89"/>
      <c r="AN955" s="89"/>
    </row>
    <row r="956" spans="4:40" x14ac:dyDescent="0.2">
      <c r="D956" s="89"/>
      <c r="M956" s="65"/>
      <c r="V956" s="89"/>
      <c r="AE956" s="89"/>
      <c r="AN956" s="89"/>
    </row>
    <row r="957" spans="4:40" x14ac:dyDescent="0.2">
      <c r="D957" s="89"/>
      <c r="M957" s="65"/>
      <c r="V957" s="89"/>
      <c r="AE957" s="89"/>
      <c r="AN957" s="89"/>
    </row>
    <row r="958" spans="4:40" x14ac:dyDescent="0.2">
      <c r="D958" s="89"/>
      <c r="M958" s="65"/>
      <c r="V958" s="89"/>
      <c r="AE958" s="89"/>
      <c r="AN958" s="89"/>
    </row>
    <row r="959" spans="4:40" x14ac:dyDescent="0.2">
      <c r="D959" s="89"/>
      <c r="M959" s="65"/>
      <c r="V959" s="89"/>
      <c r="AE959" s="89"/>
      <c r="AN959" s="89"/>
    </row>
    <row r="960" spans="4:40" x14ac:dyDescent="0.2">
      <c r="D960" s="89"/>
      <c r="M960" s="65"/>
      <c r="V960" s="89"/>
      <c r="AE960" s="89"/>
      <c r="AN960" s="89"/>
    </row>
    <row r="961" spans="4:40" x14ac:dyDescent="0.2">
      <c r="D961" s="89"/>
      <c r="M961" s="65"/>
      <c r="V961" s="89"/>
      <c r="AE961" s="89"/>
      <c r="AN961" s="89"/>
    </row>
    <row r="962" spans="4:40" x14ac:dyDescent="0.2">
      <c r="D962" s="89"/>
      <c r="M962" s="65"/>
      <c r="V962" s="89"/>
      <c r="AE962" s="89"/>
      <c r="AN962" s="89"/>
    </row>
    <row r="963" spans="4:40" x14ac:dyDescent="0.2">
      <c r="D963" s="89"/>
      <c r="M963" s="65"/>
      <c r="V963" s="89"/>
      <c r="AE963" s="89"/>
      <c r="AN963" s="89"/>
    </row>
    <row r="964" spans="4:40" x14ac:dyDescent="0.2">
      <c r="D964" s="89"/>
      <c r="M964" s="65"/>
      <c r="V964" s="89"/>
      <c r="AE964" s="89"/>
      <c r="AN964" s="89"/>
    </row>
    <row r="965" spans="4:40" x14ac:dyDescent="0.2">
      <c r="D965" s="89"/>
      <c r="M965" s="65"/>
      <c r="V965" s="89"/>
      <c r="AE965" s="89"/>
      <c r="AN965" s="89"/>
    </row>
    <row r="966" spans="4:40" x14ac:dyDescent="0.2">
      <c r="D966" s="89"/>
      <c r="M966" s="65"/>
      <c r="V966" s="89"/>
      <c r="AE966" s="89"/>
      <c r="AN966" s="89"/>
    </row>
    <row r="967" spans="4:40" x14ac:dyDescent="0.2">
      <c r="D967" s="89"/>
      <c r="M967" s="65"/>
      <c r="V967" s="89"/>
      <c r="AE967" s="89"/>
      <c r="AN967" s="89"/>
    </row>
    <row r="968" spans="4:40" x14ac:dyDescent="0.2">
      <c r="D968" s="89"/>
      <c r="M968" s="65"/>
      <c r="V968" s="89"/>
      <c r="AE968" s="89"/>
      <c r="AN968" s="89"/>
    </row>
    <row r="969" spans="4:40" x14ac:dyDescent="0.2">
      <c r="D969" s="89"/>
      <c r="M969" s="65"/>
      <c r="V969" s="89"/>
      <c r="AE969" s="89"/>
      <c r="AN969" s="89"/>
    </row>
    <row r="970" spans="4:40" x14ac:dyDescent="0.2">
      <c r="D970" s="89"/>
      <c r="M970" s="65"/>
      <c r="V970" s="89"/>
      <c r="AE970" s="89"/>
      <c r="AN970" s="89"/>
    </row>
    <row r="971" spans="4:40" x14ac:dyDescent="0.2">
      <c r="D971" s="89"/>
      <c r="M971" s="65"/>
      <c r="V971" s="89"/>
      <c r="AE971" s="89"/>
      <c r="AN971" s="89"/>
    </row>
    <row r="972" spans="4:40" x14ac:dyDescent="0.2">
      <c r="D972" s="89"/>
      <c r="M972" s="65"/>
      <c r="V972" s="89"/>
      <c r="AE972" s="89"/>
      <c r="AN972" s="89"/>
    </row>
    <row r="973" spans="4:40" x14ac:dyDescent="0.2">
      <c r="D973" s="89"/>
      <c r="M973" s="65"/>
      <c r="V973" s="89"/>
      <c r="AE973" s="89"/>
      <c r="AN973" s="89"/>
    </row>
    <row r="974" spans="4:40" x14ac:dyDescent="0.2">
      <c r="D974" s="89"/>
      <c r="M974" s="65"/>
      <c r="V974" s="89"/>
      <c r="AE974" s="89"/>
      <c r="AN974" s="89"/>
    </row>
    <row r="975" spans="4:40" x14ac:dyDescent="0.2">
      <c r="D975" s="89"/>
      <c r="M975" s="65"/>
      <c r="V975" s="89"/>
      <c r="AE975" s="89"/>
      <c r="AN975" s="89"/>
    </row>
    <row r="976" spans="4:40" x14ac:dyDescent="0.2">
      <c r="D976" s="89"/>
      <c r="M976" s="65"/>
      <c r="V976" s="89"/>
      <c r="AE976" s="89"/>
      <c r="AN976" s="89"/>
    </row>
    <row r="977" spans="4:40" x14ac:dyDescent="0.2">
      <c r="D977" s="89"/>
      <c r="M977" s="65"/>
      <c r="V977" s="89"/>
      <c r="AE977" s="89"/>
      <c r="AN977" s="89"/>
    </row>
    <row r="978" spans="4:40" x14ac:dyDescent="0.2">
      <c r="D978" s="89"/>
      <c r="M978" s="65"/>
      <c r="V978" s="89"/>
      <c r="AE978" s="89"/>
      <c r="AN978" s="89"/>
    </row>
    <row r="979" spans="4:40" x14ac:dyDescent="0.2">
      <c r="D979" s="89"/>
      <c r="M979" s="65"/>
      <c r="V979" s="89"/>
      <c r="AE979" s="89"/>
      <c r="AN979" s="89"/>
    </row>
    <row r="980" spans="4:40" x14ac:dyDescent="0.2">
      <c r="D980" s="89"/>
      <c r="M980" s="65"/>
      <c r="V980" s="89"/>
      <c r="AE980" s="89"/>
      <c r="AN980" s="89"/>
    </row>
    <row r="981" spans="4:40" x14ac:dyDescent="0.2">
      <c r="D981" s="89"/>
      <c r="M981" s="65"/>
      <c r="V981" s="89"/>
      <c r="AE981" s="89"/>
      <c r="AN981" s="89"/>
    </row>
    <row r="982" spans="4:40" x14ac:dyDescent="0.2">
      <c r="D982" s="89"/>
      <c r="M982" s="65"/>
      <c r="V982" s="89"/>
      <c r="AE982" s="89"/>
      <c r="AN982" s="89"/>
    </row>
    <row r="983" spans="4:40" x14ac:dyDescent="0.2">
      <c r="D983" s="89"/>
      <c r="M983" s="65"/>
      <c r="V983" s="89"/>
      <c r="AE983" s="89"/>
      <c r="AN983" s="89"/>
    </row>
    <row r="984" spans="4:40" x14ac:dyDescent="0.2">
      <c r="D984" s="89"/>
      <c r="M984" s="65"/>
      <c r="V984" s="89"/>
      <c r="AE984" s="89"/>
      <c r="AN984" s="89"/>
    </row>
    <row r="985" spans="4:40" x14ac:dyDescent="0.2">
      <c r="D985" s="89"/>
      <c r="M985" s="65"/>
      <c r="V985" s="89"/>
      <c r="AE985" s="89"/>
      <c r="AN985" s="89"/>
    </row>
    <row r="986" spans="4:40" x14ac:dyDescent="0.2">
      <c r="D986" s="89"/>
      <c r="M986" s="65"/>
      <c r="V986" s="89"/>
      <c r="AE986" s="89"/>
      <c r="AN986" s="89"/>
    </row>
    <row r="987" spans="4:40" x14ac:dyDescent="0.2">
      <c r="D987" s="89"/>
      <c r="M987" s="65"/>
      <c r="V987" s="89"/>
      <c r="AE987" s="89"/>
      <c r="AN987" s="89"/>
    </row>
    <row r="988" spans="4:40" x14ac:dyDescent="0.2">
      <c r="D988" s="89"/>
      <c r="M988" s="65"/>
      <c r="V988" s="89"/>
      <c r="AE988" s="89"/>
      <c r="AN988" s="89"/>
    </row>
    <row r="989" spans="4:40" x14ac:dyDescent="0.2">
      <c r="D989" s="89"/>
      <c r="M989" s="65"/>
      <c r="V989" s="89"/>
      <c r="AE989" s="89"/>
      <c r="AN989" s="89"/>
    </row>
    <row r="990" spans="4:40" x14ac:dyDescent="0.2">
      <c r="D990" s="89"/>
      <c r="M990" s="65"/>
      <c r="V990" s="89"/>
      <c r="AE990" s="89"/>
      <c r="AN990" s="89"/>
    </row>
    <row r="991" spans="4:40" x14ac:dyDescent="0.2">
      <c r="D991" s="89"/>
      <c r="M991" s="65"/>
      <c r="V991" s="89"/>
      <c r="AE991" s="89"/>
      <c r="AN991" s="89"/>
    </row>
    <row r="992" spans="4:40" x14ac:dyDescent="0.2">
      <c r="D992" s="89"/>
      <c r="M992" s="65"/>
      <c r="V992" s="89"/>
      <c r="AE992" s="89"/>
      <c r="AN992" s="89"/>
    </row>
    <row r="993" spans="4:40" x14ac:dyDescent="0.2">
      <c r="D993" s="89"/>
      <c r="M993" s="65"/>
      <c r="V993" s="89"/>
      <c r="AE993" s="89"/>
      <c r="AN993" s="89"/>
    </row>
    <row r="994" spans="4:40" x14ac:dyDescent="0.2">
      <c r="D994" s="89"/>
      <c r="M994" s="65"/>
      <c r="V994" s="89"/>
      <c r="AE994" s="89"/>
      <c r="AN994" s="89"/>
    </row>
    <row r="995" spans="4:40" x14ac:dyDescent="0.2">
      <c r="D995" s="89"/>
      <c r="M995" s="65"/>
      <c r="V995" s="89"/>
      <c r="AE995" s="89"/>
      <c r="AN995" s="89"/>
    </row>
    <row r="996" spans="4:40" x14ac:dyDescent="0.2">
      <c r="D996" s="89"/>
      <c r="M996" s="65"/>
      <c r="V996" s="89"/>
      <c r="AE996" s="89"/>
      <c r="AN996" s="89"/>
    </row>
    <row r="997" spans="4:40" x14ac:dyDescent="0.2">
      <c r="D997" s="89"/>
      <c r="M997" s="65"/>
      <c r="V997" s="89"/>
      <c r="AE997" s="89"/>
      <c r="AN997" s="89"/>
    </row>
    <row r="998" spans="4:40" x14ac:dyDescent="0.2">
      <c r="D998" s="89"/>
      <c r="M998" s="65"/>
      <c r="V998" s="89"/>
      <c r="AE998" s="89"/>
      <c r="AN998" s="89"/>
    </row>
    <row r="999" spans="4:40" x14ac:dyDescent="0.2">
      <c r="D999" s="89"/>
      <c r="M999" s="65"/>
      <c r="V999" s="89"/>
      <c r="AE999" s="89"/>
      <c r="AN999" s="89"/>
    </row>
    <row r="1000" spans="4:40" x14ac:dyDescent="0.2">
      <c r="D1000" s="89"/>
      <c r="M1000" s="65"/>
      <c r="V1000" s="89"/>
      <c r="AE1000" s="89"/>
      <c r="AN1000" s="89"/>
    </row>
    <row r="1001" spans="4:40" x14ac:dyDescent="0.2">
      <c r="D1001" s="89"/>
      <c r="M1001" s="65"/>
      <c r="V1001" s="89"/>
      <c r="AE1001" s="89"/>
      <c r="AN1001" s="89"/>
    </row>
    <row r="1002" spans="4:40" x14ac:dyDescent="0.2">
      <c r="D1002" s="89"/>
      <c r="M1002" s="65"/>
      <c r="V1002" s="89"/>
      <c r="AE1002" s="89"/>
      <c r="AN1002" s="89"/>
    </row>
    <row r="1003" spans="4:40" x14ac:dyDescent="0.2">
      <c r="D1003" s="89"/>
      <c r="M1003" s="65"/>
      <c r="V1003" s="89"/>
      <c r="AE1003" s="89"/>
      <c r="AN1003" s="89"/>
    </row>
    <row r="1004" spans="4:40" x14ac:dyDescent="0.2">
      <c r="D1004" s="89"/>
      <c r="M1004" s="65"/>
      <c r="V1004" s="89"/>
      <c r="AE1004" s="89"/>
      <c r="AN1004" s="89"/>
    </row>
    <row r="1005" spans="4:40" x14ac:dyDescent="0.2">
      <c r="D1005" s="89"/>
      <c r="M1005" s="65"/>
      <c r="V1005" s="89"/>
      <c r="AE1005" s="89"/>
      <c r="AN1005" s="89"/>
    </row>
    <row r="1006" spans="4:40" x14ac:dyDescent="0.2">
      <c r="D1006" s="89"/>
      <c r="M1006" s="65"/>
      <c r="V1006" s="89"/>
      <c r="AE1006" s="89"/>
      <c r="AN1006" s="89"/>
    </row>
    <row r="1007" spans="4:40" x14ac:dyDescent="0.2">
      <c r="D1007" s="89"/>
      <c r="M1007" s="65"/>
      <c r="V1007" s="89"/>
      <c r="AE1007" s="89"/>
      <c r="AN1007" s="89"/>
    </row>
    <row r="1008" spans="4:40" x14ac:dyDescent="0.2">
      <c r="D1008" s="89"/>
      <c r="M1008" s="65"/>
      <c r="V1008" s="89"/>
      <c r="AE1008" s="89"/>
      <c r="AN1008" s="89"/>
    </row>
    <row r="1009" spans="4:40" x14ac:dyDescent="0.2">
      <c r="D1009" s="89"/>
      <c r="M1009" s="65"/>
      <c r="V1009" s="89"/>
      <c r="AE1009" s="89"/>
      <c r="AN1009" s="89"/>
    </row>
    <row r="1010" spans="4:40" x14ac:dyDescent="0.2">
      <c r="D1010" s="89"/>
      <c r="M1010" s="65"/>
      <c r="V1010" s="89"/>
      <c r="AE1010" s="89"/>
      <c r="AN1010" s="89"/>
    </row>
    <row r="1011" spans="4:40" x14ac:dyDescent="0.2">
      <c r="D1011" s="89"/>
      <c r="M1011" s="65"/>
      <c r="V1011" s="89"/>
      <c r="AE1011" s="89"/>
      <c r="AN1011" s="89"/>
    </row>
    <row r="1012" spans="4:40" x14ac:dyDescent="0.2">
      <c r="D1012" s="89"/>
      <c r="M1012" s="65"/>
      <c r="V1012" s="89"/>
      <c r="AE1012" s="89"/>
      <c r="AN1012" s="89"/>
    </row>
    <row r="1013" spans="4:40" x14ac:dyDescent="0.2">
      <c r="D1013" s="89"/>
      <c r="M1013" s="65"/>
      <c r="V1013" s="89"/>
      <c r="AE1013" s="89"/>
      <c r="AN1013" s="89"/>
    </row>
    <row r="1014" spans="4:40" x14ac:dyDescent="0.2">
      <c r="D1014" s="89"/>
      <c r="M1014" s="65"/>
      <c r="V1014" s="89"/>
      <c r="AE1014" s="89"/>
      <c r="AN1014" s="89"/>
    </row>
    <row r="1015" spans="4:40" x14ac:dyDescent="0.2">
      <c r="D1015" s="89"/>
      <c r="M1015" s="65"/>
      <c r="V1015" s="89"/>
      <c r="AE1015" s="89"/>
      <c r="AN1015" s="89"/>
    </row>
    <row r="1016" spans="4:40" x14ac:dyDescent="0.2">
      <c r="D1016" s="89"/>
      <c r="M1016" s="65"/>
      <c r="V1016" s="89"/>
      <c r="AE1016" s="89"/>
      <c r="AN1016" s="89"/>
    </row>
    <row r="1017" spans="4:40" x14ac:dyDescent="0.2">
      <c r="D1017" s="89"/>
      <c r="M1017" s="65"/>
      <c r="V1017" s="89"/>
      <c r="AE1017" s="89"/>
      <c r="AN1017" s="89"/>
    </row>
    <row r="1018" spans="4:40" x14ac:dyDescent="0.2">
      <c r="D1018" s="89"/>
      <c r="M1018" s="65"/>
      <c r="V1018" s="89"/>
      <c r="AE1018" s="89"/>
      <c r="AN1018" s="89"/>
    </row>
    <row r="1019" spans="4:40" x14ac:dyDescent="0.2">
      <c r="D1019" s="89"/>
      <c r="M1019" s="65"/>
      <c r="V1019" s="89"/>
      <c r="AE1019" s="89"/>
      <c r="AN1019" s="89"/>
    </row>
    <row r="1020" spans="4:40" x14ac:dyDescent="0.2">
      <c r="D1020" s="89"/>
      <c r="M1020" s="65"/>
      <c r="V1020" s="89"/>
      <c r="AE1020" s="89"/>
      <c r="AN1020" s="89"/>
    </row>
    <row r="1021" spans="4:40" x14ac:dyDescent="0.2">
      <c r="D1021" s="89"/>
      <c r="M1021" s="65"/>
      <c r="V1021" s="89"/>
      <c r="AE1021" s="89"/>
      <c r="AN1021" s="89"/>
    </row>
    <row r="1022" spans="4:40" x14ac:dyDescent="0.2">
      <c r="D1022" s="89"/>
      <c r="M1022" s="65"/>
      <c r="V1022" s="89"/>
      <c r="AE1022" s="89"/>
      <c r="AN1022" s="89"/>
    </row>
    <row r="1023" spans="4:40" x14ac:dyDescent="0.2">
      <c r="D1023" s="89"/>
      <c r="M1023" s="65"/>
      <c r="V1023" s="89"/>
      <c r="AE1023" s="89"/>
      <c r="AN1023" s="89"/>
    </row>
    <row r="1024" spans="4:40" x14ac:dyDescent="0.2">
      <c r="D1024" s="89"/>
      <c r="M1024" s="65"/>
      <c r="V1024" s="89"/>
      <c r="AE1024" s="89"/>
      <c r="AN1024" s="89"/>
    </row>
    <row r="1025" spans="4:40" x14ac:dyDescent="0.2">
      <c r="D1025" s="89"/>
      <c r="M1025" s="65"/>
      <c r="V1025" s="89"/>
      <c r="AE1025" s="89"/>
      <c r="AN1025" s="89"/>
    </row>
    <row r="1026" spans="4:40" x14ac:dyDescent="0.2">
      <c r="D1026" s="89"/>
      <c r="M1026" s="65"/>
      <c r="V1026" s="89"/>
      <c r="AE1026" s="89"/>
      <c r="AN1026" s="89"/>
    </row>
    <row r="1027" spans="4:40" x14ac:dyDescent="0.2">
      <c r="D1027" s="89"/>
      <c r="M1027" s="65"/>
      <c r="V1027" s="89"/>
      <c r="AE1027" s="89"/>
      <c r="AN1027" s="89"/>
    </row>
    <row r="1028" spans="4:40" x14ac:dyDescent="0.2">
      <c r="D1028" s="89"/>
      <c r="M1028" s="65"/>
      <c r="V1028" s="89"/>
      <c r="AE1028" s="89"/>
      <c r="AN1028" s="89"/>
    </row>
    <row r="1029" spans="4:40" x14ac:dyDescent="0.2">
      <c r="D1029" s="89"/>
      <c r="M1029" s="65"/>
      <c r="V1029" s="89"/>
      <c r="AE1029" s="89"/>
      <c r="AN1029" s="89"/>
    </row>
    <row r="1030" spans="4:40" x14ac:dyDescent="0.2">
      <c r="D1030" s="89"/>
      <c r="M1030" s="65"/>
      <c r="V1030" s="89"/>
      <c r="AE1030" s="89"/>
      <c r="AN1030" s="89"/>
    </row>
    <row r="1031" spans="4:40" x14ac:dyDescent="0.2">
      <c r="D1031" s="89"/>
      <c r="M1031" s="65"/>
      <c r="V1031" s="89"/>
      <c r="AE1031" s="89"/>
      <c r="AN1031" s="89"/>
    </row>
    <row r="1032" spans="4:40" x14ac:dyDescent="0.2">
      <c r="D1032" s="89"/>
      <c r="M1032" s="65"/>
      <c r="V1032" s="89"/>
      <c r="AE1032" s="89"/>
      <c r="AN1032" s="89"/>
    </row>
    <row r="1033" spans="4:40" x14ac:dyDescent="0.2">
      <c r="D1033" s="89"/>
      <c r="M1033" s="65"/>
      <c r="V1033" s="89"/>
      <c r="AE1033" s="89"/>
      <c r="AN1033" s="89"/>
    </row>
    <row r="1034" spans="4:40" x14ac:dyDescent="0.2">
      <c r="D1034" s="89"/>
      <c r="M1034" s="65"/>
      <c r="V1034" s="89"/>
      <c r="AE1034" s="89"/>
      <c r="AN1034" s="89"/>
    </row>
    <row r="1035" spans="4:40" x14ac:dyDescent="0.2">
      <c r="D1035" s="89"/>
      <c r="M1035" s="65"/>
      <c r="V1035" s="89"/>
      <c r="AE1035" s="89"/>
      <c r="AN1035" s="89"/>
    </row>
    <row r="1036" spans="4:40" x14ac:dyDescent="0.2">
      <c r="D1036" s="89"/>
      <c r="M1036" s="65"/>
      <c r="V1036" s="89"/>
      <c r="AE1036" s="89"/>
      <c r="AN1036" s="89"/>
    </row>
    <row r="1037" spans="4:40" x14ac:dyDescent="0.2">
      <c r="D1037" s="89"/>
      <c r="M1037" s="65"/>
      <c r="V1037" s="89"/>
      <c r="AE1037" s="89"/>
      <c r="AN1037" s="89"/>
    </row>
    <row r="1038" spans="4:40" x14ac:dyDescent="0.2">
      <c r="D1038" s="89"/>
      <c r="M1038" s="65"/>
      <c r="V1038" s="89"/>
      <c r="AE1038" s="89"/>
      <c r="AN1038" s="89"/>
    </row>
    <row r="1039" spans="4:40" x14ac:dyDescent="0.2">
      <c r="D1039" s="89"/>
      <c r="M1039" s="65"/>
      <c r="V1039" s="89"/>
      <c r="AE1039" s="89"/>
      <c r="AN1039" s="89"/>
    </row>
    <row r="1040" spans="4:40" x14ac:dyDescent="0.2">
      <c r="D1040" s="89"/>
      <c r="M1040" s="65"/>
      <c r="V1040" s="89"/>
      <c r="AE1040" s="89"/>
      <c r="AN1040" s="89"/>
    </row>
    <row r="1041" spans="4:40" x14ac:dyDescent="0.2">
      <c r="D1041" s="89"/>
      <c r="M1041" s="65"/>
      <c r="V1041" s="89"/>
      <c r="AE1041" s="89"/>
      <c r="AN1041" s="89"/>
    </row>
    <row r="1042" spans="4:40" x14ac:dyDescent="0.2">
      <c r="D1042" s="89"/>
      <c r="M1042" s="65"/>
      <c r="V1042" s="89"/>
      <c r="AE1042" s="89"/>
      <c r="AN1042" s="89"/>
    </row>
    <row r="1043" spans="4:40" x14ac:dyDescent="0.2">
      <c r="D1043" s="89"/>
      <c r="M1043" s="65"/>
      <c r="V1043" s="89"/>
      <c r="AE1043" s="89"/>
      <c r="AN1043" s="89"/>
    </row>
    <row r="1044" spans="4:40" x14ac:dyDescent="0.2">
      <c r="D1044" s="89"/>
      <c r="M1044" s="65"/>
      <c r="V1044" s="89"/>
      <c r="AE1044" s="89"/>
      <c r="AN1044" s="89"/>
    </row>
    <row r="1045" spans="4:40" x14ac:dyDescent="0.2">
      <c r="D1045" s="89"/>
      <c r="M1045" s="65"/>
      <c r="V1045" s="89"/>
      <c r="AE1045" s="89"/>
      <c r="AN1045" s="89"/>
    </row>
    <row r="1046" spans="4:40" x14ac:dyDescent="0.2">
      <c r="D1046" s="89"/>
      <c r="M1046" s="65"/>
      <c r="V1046" s="89"/>
      <c r="AE1046" s="89"/>
      <c r="AN1046" s="89"/>
    </row>
    <row r="1047" spans="4:40" x14ac:dyDescent="0.2">
      <c r="D1047" s="89"/>
      <c r="M1047" s="65"/>
      <c r="V1047" s="89"/>
      <c r="AE1047" s="89"/>
      <c r="AN1047" s="89"/>
    </row>
    <row r="1048" spans="4:40" x14ac:dyDescent="0.2">
      <c r="D1048" s="89"/>
      <c r="M1048" s="65"/>
      <c r="V1048" s="89"/>
      <c r="AE1048" s="89"/>
      <c r="AN1048" s="89"/>
    </row>
    <row r="1049" spans="4:40" x14ac:dyDescent="0.2">
      <c r="D1049" s="89"/>
      <c r="M1049" s="65"/>
      <c r="V1049" s="89"/>
      <c r="AE1049" s="89"/>
      <c r="AN1049" s="89"/>
    </row>
    <row r="1050" spans="4:40" x14ac:dyDescent="0.2">
      <c r="D1050" s="89"/>
      <c r="M1050" s="65"/>
      <c r="V1050" s="89"/>
      <c r="AE1050" s="89"/>
      <c r="AN1050" s="89"/>
    </row>
    <row r="1051" spans="4:40" x14ac:dyDescent="0.2">
      <c r="D1051" s="89"/>
      <c r="M1051" s="65"/>
      <c r="V1051" s="89"/>
      <c r="AE1051" s="89"/>
      <c r="AN1051" s="89"/>
    </row>
    <row r="1052" spans="4:40" x14ac:dyDescent="0.2">
      <c r="D1052" s="89"/>
      <c r="M1052" s="65"/>
      <c r="V1052" s="89"/>
      <c r="AE1052" s="89"/>
      <c r="AN1052" s="89"/>
    </row>
    <row r="1053" spans="4:40" x14ac:dyDescent="0.2">
      <c r="D1053" s="89"/>
      <c r="M1053" s="65"/>
      <c r="V1053" s="89"/>
      <c r="AE1053" s="89"/>
      <c r="AN1053" s="89"/>
    </row>
    <row r="1054" spans="4:40" x14ac:dyDescent="0.2">
      <c r="D1054" s="89"/>
      <c r="M1054" s="65"/>
      <c r="V1054" s="89"/>
      <c r="AE1054" s="89"/>
      <c r="AN1054" s="89"/>
    </row>
    <row r="1055" spans="4:40" x14ac:dyDescent="0.2">
      <c r="D1055" s="89"/>
      <c r="M1055" s="65"/>
      <c r="V1055" s="89"/>
      <c r="AE1055" s="89"/>
      <c r="AN1055" s="89"/>
    </row>
    <row r="1056" spans="4:40" x14ac:dyDescent="0.2">
      <c r="D1056" s="89"/>
      <c r="M1056" s="65"/>
      <c r="V1056" s="89"/>
      <c r="AE1056" s="89"/>
      <c r="AN1056" s="89"/>
    </row>
    <row r="1057" spans="4:40" x14ac:dyDescent="0.2">
      <c r="D1057" s="89"/>
      <c r="M1057" s="65"/>
      <c r="V1057" s="89"/>
      <c r="AE1057" s="89"/>
      <c r="AN1057" s="89"/>
    </row>
    <row r="1058" spans="4:40" x14ac:dyDescent="0.2">
      <c r="D1058" s="89"/>
      <c r="M1058" s="65"/>
      <c r="V1058" s="89"/>
      <c r="AE1058" s="89"/>
      <c r="AN1058" s="89"/>
    </row>
    <row r="1059" spans="4:40" x14ac:dyDescent="0.2">
      <c r="D1059" s="89"/>
      <c r="M1059" s="65"/>
      <c r="V1059" s="89"/>
      <c r="AE1059" s="89"/>
      <c r="AN1059" s="89"/>
    </row>
    <row r="1060" spans="4:40" x14ac:dyDescent="0.2">
      <c r="D1060" s="89"/>
      <c r="M1060" s="65"/>
      <c r="V1060" s="89"/>
      <c r="AE1060" s="89"/>
      <c r="AN1060" s="89"/>
    </row>
    <row r="1061" spans="4:40" x14ac:dyDescent="0.2">
      <c r="D1061" s="89"/>
      <c r="M1061" s="65"/>
      <c r="V1061" s="89"/>
      <c r="AE1061" s="89"/>
      <c r="AN1061" s="89"/>
    </row>
    <row r="1062" spans="4:40" x14ac:dyDescent="0.2">
      <c r="D1062" s="89"/>
      <c r="M1062" s="65"/>
      <c r="V1062" s="89"/>
      <c r="AE1062" s="89"/>
      <c r="AN1062" s="89"/>
    </row>
    <row r="1063" spans="4:40" x14ac:dyDescent="0.2">
      <c r="D1063" s="89"/>
      <c r="M1063" s="65"/>
      <c r="V1063" s="89"/>
      <c r="AE1063" s="89"/>
      <c r="AN1063" s="89"/>
    </row>
    <row r="1064" spans="4:40" x14ac:dyDescent="0.2">
      <c r="D1064" s="89"/>
      <c r="M1064" s="65"/>
      <c r="V1064" s="89"/>
      <c r="AE1064" s="89"/>
      <c r="AN1064" s="89"/>
    </row>
    <row r="1065" spans="4:40" x14ac:dyDescent="0.2">
      <c r="D1065" s="89"/>
      <c r="M1065" s="65"/>
      <c r="V1065" s="89"/>
      <c r="AE1065" s="89"/>
      <c r="AN1065" s="89"/>
    </row>
    <row r="1066" spans="4:40" x14ac:dyDescent="0.2">
      <c r="D1066" s="89"/>
      <c r="M1066" s="65"/>
      <c r="V1066" s="89"/>
      <c r="AE1066" s="89"/>
      <c r="AN1066" s="89"/>
    </row>
    <row r="1067" spans="4:40" x14ac:dyDescent="0.2">
      <c r="D1067" s="89"/>
      <c r="M1067" s="65"/>
      <c r="V1067" s="89"/>
      <c r="AE1067" s="89"/>
      <c r="AN1067" s="89"/>
    </row>
    <row r="1068" spans="4:40" x14ac:dyDescent="0.2">
      <c r="D1068" s="89"/>
      <c r="M1068" s="65"/>
      <c r="V1068" s="89"/>
      <c r="AE1068" s="89"/>
      <c r="AN1068" s="89"/>
    </row>
    <row r="1069" spans="4:40" x14ac:dyDescent="0.2">
      <c r="D1069" s="89"/>
      <c r="M1069" s="65"/>
      <c r="V1069" s="89"/>
      <c r="AE1069" s="89"/>
      <c r="AN1069" s="89"/>
    </row>
    <row r="1070" spans="4:40" x14ac:dyDescent="0.2">
      <c r="D1070" s="89"/>
      <c r="M1070" s="65"/>
      <c r="V1070" s="89"/>
      <c r="AE1070" s="89"/>
      <c r="AN1070" s="89"/>
    </row>
    <row r="1071" spans="4:40" x14ac:dyDescent="0.2">
      <c r="D1071" s="89"/>
      <c r="M1071" s="65"/>
      <c r="V1071" s="89"/>
      <c r="AE1071" s="89"/>
      <c r="AN1071" s="89"/>
    </row>
    <row r="1072" spans="4:40" x14ac:dyDescent="0.2">
      <c r="D1072" s="89"/>
      <c r="M1072" s="65"/>
      <c r="V1072" s="89"/>
      <c r="AE1072" s="89"/>
      <c r="AN1072" s="89"/>
    </row>
    <row r="1073" spans="4:40" x14ac:dyDescent="0.2">
      <c r="D1073" s="89"/>
      <c r="M1073" s="65"/>
      <c r="V1073" s="89"/>
      <c r="AE1073" s="89"/>
      <c r="AN1073" s="89"/>
    </row>
    <row r="1074" spans="4:40" x14ac:dyDescent="0.2">
      <c r="D1074" s="89"/>
      <c r="M1074" s="65"/>
      <c r="V1074" s="89"/>
      <c r="AE1074" s="89"/>
      <c r="AN1074" s="89"/>
    </row>
    <row r="1075" spans="4:40" x14ac:dyDescent="0.2">
      <c r="D1075" s="89"/>
      <c r="M1075" s="65"/>
      <c r="V1075" s="89"/>
      <c r="AE1075" s="89"/>
      <c r="AN1075" s="89"/>
    </row>
    <row r="1076" spans="4:40" x14ac:dyDescent="0.2">
      <c r="D1076" s="89"/>
      <c r="M1076" s="65"/>
      <c r="V1076" s="89"/>
      <c r="AE1076" s="89"/>
      <c r="AN1076" s="89"/>
    </row>
    <row r="1077" spans="4:40" x14ac:dyDescent="0.2">
      <c r="D1077" s="89"/>
      <c r="M1077" s="65"/>
      <c r="V1077" s="89"/>
      <c r="AE1077" s="89"/>
      <c r="AN1077" s="89"/>
    </row>
    <row r="1078" spans="4:40" x14ac:dyDescent="0.2">
      <c r="D1078" s="89"/>
      <c r="M1078" s="65"/>
      <c r="V1078" s="89"/>
      <c r="AE1078" s="89"/>
      <c r="AN1078" s="89"/>
    </row>
    <row r="1079" spans="4:40" x14ac:dyDescent="0.2">
      <c r="D1079" s="89"/>
      <c r="M1079" s="65"/>
      <c r="V1079" s="89"/>
      <c r="AE1079" s="89"/>
      <c r="AN1079" s="89"/>
    </row>
    <row r="1080" spans="4:40" x14ac:dyDescent="0.2">
      <c r="D1080" s="89"/>
      <c r="M1080" s="65"/>
      <c r="V1080" s="89"/>
      <c r="AE1080" s="89"/>
      <c r="AN1080" s="89"/>
    </row>
    <row r="1081" spans="4:40" x14ac:dyDescent="0.2">
      <c r="D1081" s="89"/>
      <c r="M1081" s="65"/>
      <c r="V1081" s="89"/>
      <c r="AE1081" s="89"/>
      <c r="AN1081" s="89"/>
    </row>
    <row r="1082" spans="4:40" x14ac:dyDescent="0.2">
      <c r="D1082" s="89"/>
      <c r="M1082" s="65"/>
      <c r="V1082" s="89"/>
      <c r="AE1082" s="89"/>
      <c r="AN1082" s="89"/>
    </row>
    <row r="1083" spans="4:40" x14ac:dyDescent="0.2">
      <c r="D1083" s="89"/>
      <c r="M1083" s="65"/>
      <c r="V1083" s="89"/>
      <c r="AE1083" s="89"/>
      <c r="AN1083" s="89"/>
    </row>
    <row r="1084" spans="4:40" x14ac:dyDescent="0.2">
      <c r="D1084" s="89"/>
      <c r="M1084" s="65"/>
      <c r="V1084" s="89"/>
      <c r="AE1084" s="89"/>
      <c r="AN1084" s="89"/>
    </row>
    <row r="1085" spans="4:40" x14ac:dyDescent="0.2">
      <c r="D1085" s="89"/>
      <c r="M1085" s="65"/>
      <c r="V1085" s="89"/>
      <c r="AE1085" s="89"/>
      <c r="AN1085" s="89"/>
    </row>
    <row r="1086" spans="4:40" x14ac:dyDescent="0.2">
      <c r="D1086" s="89"/>
      <c r="M1086" s="65"/>
      <c r="V1086" s="89"/>
      <c r="AE1086" s="89"/>
      <c r="AN1086" s="89"/>
    </row>
    <row r="1087" spans="4:40" x14ac:dyDescent="0.2">
      <c r="D1087" s="89"/>
      <c r="M1087" s="65"/>
      <c r="V1087" s="89"/>
      <c r="AE1087" s="89"/>
      <c r="AN1087" s="89"/>
    </row>
    <row r="1088" spans="4:40" x14ac:dyDescent="0.2">
      <c r="D1088" s="89"/>
      <c r="M1088" s="65"/>
      <c r="V1088" s="89"/>
      <c r="AE1088" s="89"/>
      <c r="AN1088" s="89"/>
    </row>
    <row r="1089" spans="4:40" x14ac:dyDescent="0.2">
      <c r="D1089" s="89"/>
      <c r="M1089" s="65"/>
      <c r="V1089" s="89"/>
      <c r="AE1089" s="89"/>
      <c r="AN1089" s="89"/>
    </row>
    <row r="1090" spans="4:40" x14ac:dyDescent="0.2">
      <c r="D1090" s="89"/>
      <c r="M1090" s="65"/>
      <c r="V1090" s="89"/>
      <c r="AE1090" s="89"/>
      <c r="AN1090" s="89"/>
    </row>
    <row r="1091" spans="4:40" x14ac:dyDescent="0.2">
      <c r="D1091" s="89"/>
      <c r="M1091" s="65"/>
      <c r="V1091" s="89"/>
      <c r="AE1091" s="89"/>
      <c r="AN1091" s="89"/>
    </row>
    <row r="1092" spans="4:40" x14ac:dyDescent="0.2">
      <c r="D1092" s="89"/>
      <c r="M1092" s="65"/>
      <c r="V1092" s="89"/>
      <c r="AE1092" s="89"/>
      <c r="AN1092" s="89"/>
    </row>
    <row r="1093" spans="4:40" x14ac:dyDescent="0.2">
      <c r="D1093" s="89"/>
      <c r="M1093" s="65"/>
      <c r="V1093" s="89"/>
      <c r="AE1093" s="89"/>
      <c r="AN1093" s="89"/>
    </row>
    <row r="1094" spans="4:40" x14ac:dyDescent="0.2">
      <c r="D1094" s="89"/>
      <c r="M1094" s="65"/>
      <c r="V1094" s="89"/>
      <c r="AE1094" s="89"/>
      <c r="AN1094" s="89"/>
    </row>
    <row r="1095" spans="4:40" x14ac:dyDescent="0.2">
      <c r="D1095" s="89"/>
      <c r="M1095" s="65"/>
      <c r="V1095" s="89"/>
      <c r="AE1095" s="89"/>
      <c r="AN1095" s="89"/>
    </row>
    <row r="1096" spans="4:40" x14ac:dyDescent="0.2">
      <c r="D1096" s="89"/>
      <c r="M1096" s="65"/>
      <c r="V1096" s="89"/>
      <c r="AE1096" s="89"/>
      <c r="AN1096" s="89"/>
    </row>
    <row r="1097" spans="4:40" x14ac:dyDescent="0.2">
      <c r="D1097" s="89"/>
      <c r="M1097" s="65"/>
      <c r="V1097" s="89"/>
      <c r="AE1097" s="89"/>
      <c r="AN1097" s="89"/>
    </row>
    <row r="1098" spans="4:40" x14ac:dyDescent="0.2">
      <c r="D1098" s="89"/>
      <c r="M1098" s="65"/>
      <c r="V1098" s="89"/>
      <c r="AE1098" s="89"/>
      <c r="AN1098" s="89"/>
    </row>
    <row r="1099" spans="4:40" x14ac:dyDescent="0.2">
      <c r="D1099" s="89"/>
      <c r="M1099" s="65"/>
      <c r="V1099" s="89"/>
      <c r="AE1099" s="89"/>
      <c r="AN1099" s="89"/>
    </row>
    <row r="1100" spans="4:40" x14ac:dyDescent="0.2">
      <c r="D1100" s="89"/>
      <c r="M1100" s="65"/>
      <c r="V1100" s="89"/>
      <c r="AE1100" s="89"/>
      <c r="AN1100" s="89"/>
    </row>
    <row r="1101" spans="4:40" x14ac:dyDescent="0.2">
      <c r="D1101" s="89"/>
      <c r="M1101" s="65"/>
      <c r="V1101" s="89"/>
      <c r="AE1101" s="89"/>
      <c r="AN1101" s="89"/>
    </row>
    <row r="1102" spans="4:40" x14ac:dyDescent="0.2">
      <c r="D1102" s="89"/>
      <c r="M1102" s="65"/>
      <c r="V1102" s="89"/>
      <c r="AE1102" s="89"/>
      <c r="AN1102" s="89"/>
    </row>
    <row r="1103" spans="4:40" x14ac:dyDescent="0.2">
      <c r="D1103" s="89"/>
      <c r="M1103" s="65"/>
      <c r="V1103" s="89"/>
      <c r="AE1103" s="89"/>
      <c r="AN1103" s="89"/>
    </row>
    <row r="1104" spans="4:40" x14ac:dyDescent="0.2">
      <c r="D1104" s="89"/>
      <c r="M1104" s="65"/>
      <c r="V1104" s="89"/>
      <c r="AE1104" s="89"/>
      <c r="AN1104" s="89"/>
    </row>
    <row r="1105" spans="4:40" x14ac:dyDescent="0.2">
      <c r="D1105" s="89"/>
      <c r="M1105" s="65"/>
      <c r="V1105" s="89"/>
      <c r="AE1105" s="89"/>
      <c r="AN1105" s="89"/>
    </row>
    <row r="1106" spans="4:40" x14ac:dyDescent="0.2">
      <c r="D1106" s="89"/>
      <c r="M1106" s="65"/>
      <c r="V1106" s="89"/>
      <c r="AE1106" s="89"/>
      <c r="AN1106" s="89"/>
    </row>
    <row r="1107" spans="4:40" x14ac:dyDescent="0.2">
      <c r="D1107" s="89"/>
      <c r="M1107" s="65"/>
      <c r="V1107" s="89"/>
      <c r="AE1107" s="89"/>
      <c r="AN1107" s="89"/>
    </row>
    <row r="1108" spans="4:40" x14ac:dyDescent="0.2">
      <c r="D1108" s="89"/>
      <c r="M1108" s="65"/>
      <c r="V1108" s="89"/>
      <c r="AE1108" s="89"/>
      <c r="AN1108" s="89"/>
    </row>
    <row r="1109" spans="4:40" x14ac:dyDescent="0.2">
      <c r="D1109" s="89"/>
      <c r="M1109" s="65"/>
      <c r="V1109" s="89"/>
      <c r="AE1109" s="89"/>
      <c r="AN1109" s="89"/>
    </row>
    <row r="1110" spans="4:40" x14ac:dyDescent="0.2">
      <c r="D1110" s="89"/>
      <c r="M1110" s="65"/>
      <c r="V1110" s="89"/>
      <c r="AE1110" s="89"/>
      <c r="AN1110" s="89"/>
    </row>
    <row r="1111" spans="4:40" x14ac:dyDescent="0.2">
      <c r="D1111" s="89"/>
      <c r="M1111" s="65"/>
      <c r="V1111" s="89"/>
      <c r="AE1111" s="89"/>
      <c r="AN1111" s="89"/>
    </row>
    <row r="1112" spans="4:40" x14ac:dyDescent="0.2">
      <c r="D1112" s="89"/>
      <c r="M1112" s="65"/>
      <c r="V1112" s="89"/>
      <c r="AE1112" s="89"/>
      <c r="AN1112" s="89"/>
    </row>
    <row r="1113" spans="4:40" x14ac:dyDescent="0.2">
      <c r="D1113" s="89"/>
      <c r="M1113" s="65"/>
      <c r="V1113" s="89"/>
      <c r="AE1113" s="89"/>
      <c r="AN1113" s="89"/>
    </row>
    <row r="1114" spans="4:40" x14ac:dyDescent="0.2">
      <c r="D1114" s="89"/>
      <c r="M1114" s="65"/>
      <c r="V1114" s="89"/>
      <c r="AE1114" s="89"/>
      <c r="AN1114" s="89"/>
    </row>
    <row r="1115" spans="4:40" x14ac:dyDescent="0.2">
      <c r="D1115" s="89"/>
      <c r="M1115" s="65"/>
      <c r="V1115" s="89"/>
      <c r="AE1115" s="89"/>
      <c r="AN1115" s="89"/>
    </row>
    <row r="1116" spans="4:40" x14ac:dyDescent="0.2">
      <c r="D1116" s="89"/>
      <c r="M1116" s="65"/>
      <c r="V1116" s="89"/>
      <c r="AE1116" s="89"/>
      <c r="AN1116" s="89"/>
    </row>
    <row r="1117" spans="4:40" x14ac:dyDescent="0.2">
      <c r="D1117" s="89"/>
      <c r="M1117" s="65"/>
      <c r="V1117" s="89"/>
      <c r="AE1117" s="89"/>
      <c r="AN1117" s="89"/>
    </row>
    <row r="1118" spans="4:40" x14ac:dyDescent="0.2">
      <c r="D1118" s="89"/>
      <c r="M1118" s="65"/>
      <c r="V1118" s="89"/>
      <c r="AE1118" s="89"/>
      <c r="AN1118" s="89"/>
    </row>
    <row r="1119" spans="4:40" x14ac:dyDescent="0.2">
      <c r="D1119" s="89"/>
      <c r="M1119" s="65"/>
      <c r="V1119" s="89"/>
      <c r="AE1119" s="89"/>
      <c r="AN1119" s="89"/>
    </row>
    <row r="1120" spans="4:40" x14ac:dyDescent="0.2">
      <c r="D1120" s="89"/>
      <c r="M1120" s="65"/>
      <c r="V1120" s="89"/>
      <c r="AE1120" s="89"/>
      <c r="AN1120" s="89"/>
    </row>
    <row r="1121" spans="4:40" x14ac:dyDescent="0.2">
      <c r="D1121" s="89"/>
      <c r="M1121" s="65"/>
      <c r="V1121" s="89"/>
      <c r="AE1121" s="89"/>
      <c r="AN1121" s="89"/>
    </row>
    <row r="1122" spans="4:40" x14ac:dyDescent="0.2">
      <c r="D1122" s="89"/>
      <c r="M1122" s="65"/>
      <c r="V1122" s="89"/>
      <c r="AE1122" s="89"/>
      <c r="AN1122" s="89"/>
    </row>
    <row r="1123" spans="4:40" x14ac:dyDescent="0.2">
      <c r="D1123" s="89"/>
      <c r="M1123" s="65"/>
      <c r="V1123" s="89"/>
      <c r="AE1123" s="89"/>
      <c r="AN1123" s="89"/>
    </row>
    <row r="1124" spans="4:40" x14ac:dyDescent="0.2">
      <c r="D1124" s="89"/>
      <c r="M1124" s="65"/>
      <c r="V1124" s="89"/>
      <c r="AE1124" s="89"/>
      <c r="AN1124" s="89"/>
    </row>
    <row r="1125" spans="4:40" x14ac:dyDescent="0.2">
      <c r="D1125" s="89"/>
      <c r="M1125" s="65"/>
      <c r="V1125" s="89"/>
      <c r="AE1125" s="89"/>
      <c r="AN1125" s="89"/>
    </row>
    <row r="1126" spans="4:40" x14ac:dyDescent="0.2">
      <c r="D1126" s="89"/>
      <c r="M1126" s="65"/>
      <c r="V1126" s="89"/>
      <c r="AE1126" s="89"/>
      <c r="AN1126" s="89"/>
    </row>
    <row r="1127" spans="4:40" x14ac:dyDescent="0.2">
      <c r="D1127" s="89"/>
      <c r="M1127" s="65"/>
      <c r="V1127" s="89"/>
      <c r="AE1127" s="89"/>
      <c r="AN1127" s="89"/>
    </row>
    <row r="1128" spans="4:40" x14ac:dyDescent="0.2">
      <c r="D1128" s="89"/>
      <c r="M1128" s="65"/>
      <c r="V1128" s="89"/>
      <c r="AE1128" s="89"/>
      <c r="AN1128" s="89"/>
    </row>
    <row r="1129" spans="4:40" x14ac:dyDescent="0.2">
      <c r="D1129" s="89"/>
      <c r="M1129" s="65"/>
      <c r="V1129" s="89"/>
      <c r="AE1129" s="89"/>
      <c r="AN1129" s="89"/>
    </row>
    <row r="1130" spans="4:40" x14ac:dyDescent="0.2">
      <c r="D1130" s="89"/>
      <c r="M1130" s="65"/>
      <c r="V1130" s="89"/>
      <c r="AE1130" s="89"/>
      <c r="AN1130" s="89"/>
    </row>
    <row r="1131" spans="4:40" x14ac:dyDescent="0.2">
      <c r="D1131" s="89"/>
      <c r="M1131" s="65"/>
      <c r="V1131" s="89"/>
      <c r="AE1131" s="89"/>
      <c r="AN1131" s="89"/>
    </row>
    <row r="1132" spans="4:40" x14ac:dyDescent="0.2">
      <c r="D1132" s="89"/>
      <c r="M1132" s="65"/>
      <c r="V1132" s="89"/>
      <c r="AE1132" s="89"/>
      <c r="AN1132" s="89"/>
    </row>
    <row r="1133" spans="4:40" x14ac:dyDescent="0.2">
      <c r="D1133" s="89"/>
      <c r="M1133" s="65"/>
      <c r="V1133" s="89"/>
      <c r="AE1133" s="89"/>
      <c r="AN1133" s="89"/>
    </row>
    <row r="1134" spans="4:40" x14ac:dyDescent="0.2">
      <c r="D1134" s="89"/>
      <c r="M1134" s="65"/>
      <c r="V1134" s="89"/>
      <c r="AE1134" s="89"/>
      <c r="AN1134" s="89"/>
    </row>
    <row r="1135" spans="4:40" x14ac:dyDescent="0.2">
      <c r="D1135" s="89"/>
      <c r="M1135" s="65"/>
      <c r="V1135" s="89"/>
      <c r="AE1135" s="89"/>
      <c r="AN1135" s="89"/>
    </row>
    <row r="1136" spans="4:40" x14ac:dyDescent="0.2">
      <c r="D1136" s="89"/>
      <c r="M1136" s="65"/>
      <c r="V1136" s="89"/>
      <c r="AE1136" s="89"/>
      <c r="AN1136" s="89"/>
    </row>
    <row r="1137" spans="4:40" x14ac:dyDescent="0.2">
      <c r="D1137" s="89"/>
      <c r="M1137" s="65"/>
      <c r="V1137" s="89"/>
      <c r="AE1137" s="89"/>
      <c r="AN1137" s="89"/>
    </row>
    <row r="1138" spans="4:40" x14ac:dyDescent="0.2">
      <c r="D1138" s="89"/>
      <c r="M1138" s="65"/>
      <c r="V1138" s="89"/>
      <c r="AE1138" s="89"/>
      <c r="AN1138" s="89"/>
    </row>
    <row r="1139" spans="4:40" x14ac:dyDescent="0.2">
      <c r="D1139" s="89"/>
      <c r="M1139" s="65"/>
      <c r="V1139" s="89"/>
      <c r="AE1139" s="89"/>
      <c r="AN1139" s="89"/>
    </row>
    <row r="1140" spans="4:40" x14ac:dyDescent="0.2">
      <c r="D1140" s="89"/>
      <c r="M1140" s="65"/>
      <c r="V1140" s="89"/>
      <c r="AE1140" s="89"/>
      <c r="AN1140" s="89"/>
    </row>
    <row r="1141" spans="4:40" x14ac:dyDescent="0.2">
      <c r="D1141" s="89"/>
      <c r="M1141" s="65"/>
      <c r="V1141" s="89"/>
      <c r="AE1141" s="89"/>
      <c r="AN1141" s="89"/>
    </row>
    <row r="1142" spans="4:40" x14ac:dyDescent="0.2">
      <c r="D1142" s="89"/>
      <c r="M1142" s="65"/>
      <c r="V1142" s="89"/>
      <c r="AE1142" s="89"/>
      <c r="AN1142" s="89"/>
    </row>
    <row r="1143" spans="4:40" x14ac:dyDescent="0.2">
      <c r="D1143" s="89"/>
      <c r="M1143" s="65"/>
      <c r="V1143" s="89"/>
      <c r="AE1143" s="89"/>
      <c r="AN1143" s="89"/>
    </row>
    <row r="1144" spans="4:40" x14ac:dyDescent="0.2">
      <c r="D1144" s="89"/>
      <c r="M1144" s="65"/>
      <c r="V1144" s="89"/>
      <c r="AE1144" s="89"/>
      <c r="AN1144" s="89"/>
    </row>
    <row r="1145" spans="4:40" x14ac:dyDescent="0.2">
      <c r="D1145" s="89"/>
      <c r="M1145" s="65"/>
      <c r="V1145" s="89"/>
      <c r="AE1145" s="89"/>
      <c r="AN1145" s="89"/>
    </row>
    <row r="1146" spans="4:40" x14ac:dyDescent="0.2">
      <c r="D1146" s="89"/>
      <c r="M1146" s="65"/>
      <c r="V1146" s="89"/>
      <c r="AE1146" s="89"/>
      <c r="AN1146" s="89"/>
    </row>
    <row r="1147" spans="4:40" x14ac:dyDescent="0.2">
      <c r="D1147" s="89"/>
      <c r="M1147" s="65"/>
      <c r="V1147" s="89"/>
      <c r="AE1147" s="89"/>
      <c r="AN1147" s="89"/>
    </row>
    <row r="1148" spans="4:40" x14ac:dyDescent="0.2">
      <c r="D1148" s="89"/>
      <c r="M1148" s="65"/>
      <c r="V1148" s="89"/>
      <c r="AE1148" s="89"/>
      <c r="AN1148" s="89"/>
    </row>
    <row r="1149" spans="4:40" x14ac:dyDescent="0.2">
      <c r="D1149" s="89"/>
      <c r="M1149" s="65"/>
      <c r="V1149" s="89"/>
      <c r="AE1149" s="89"/>
      <c r="AN1149" s="89"/>
    </row>
    <row r="1150" spans="4:40" x14ac:dyDescent="0.2">
      <c r="D1150" s="89"/>
      <c r="M1150" s="65"/>
      <c r="V1150" s="89"/>
      <c r="AE1150" s="89"/>
      <c r="AN1150" s="89"/>
    </row>
    <row r="1151" spans="4:40" x14ac:dyDescent="0.2">
      <c r="D1151" s="89"/>
      <c r="M1151" s="65"/>
      <c r="V1151" s="89"/>
      <c r="AE1151" s="89"/>
      <c r="AN1151" s="89"/>
    </row>
    <row r="1152" spans="4:40" x14ac:dyDescent="0.2">
      <c r="D1152" s="89"/>
      <c r="M1152" s="65"/>
      <c r="V1152" s="89"/>
      <c r="AE1152" s="89"/>
      <c r="AN1152" s="89"/>
    </row>
    <row r="1153" spans="4:40" x14ac:dyDescent="0.2">
      <c r="D1153" s="89"/>
      <c r="M1153" s="65"/>
      <c r="V1153" s="89"/>
      <c r="AE1153" s="89"/>
      <c r="AN1153" s="89"/>
    </row>
    <row r="1154" spans="4:40" x14ac:dyDescent="0.2">
      <c r="D1154" s="89"/>
      <c r="M1154" s="65"/>
      <c r="V1154" s="89"/>
      <c r="AE1154" s="89"/>
      <c r="AN1154" s="89"/>
    </row>
    <row r="1155" spans="4:40" x14ac:dyDescent="0.2">
      <c r="D1155" s="89"/>
      <c r="M1155" s="65"/>
      <c r="V1155" s="89"/>
      <c r="AE1155" s="89"/>
      <c r="AN1155" s="89"/>
    </row>
    <row r="1156" spans="4:40" x14ac:dyDescent="0.2">
      <c r="D1156" s="89"/>
      <c r="M1156" s="65"/>
      <c r="V1156" s="89"/>
      <c r="AE1156" s="89"/>
      <c r="AN1156" s="89"/>
    </row>
    <row r="1157" spans="4:40" x14ac:dyDescent="0.2">
      <c r="D1157" s="89"/>
      <c r="M1157" s="65"/>
      <c r="V1157" s="89"/>
      <c r="AE1157" s="89"/>
      <c r="AN1157" s="89"/>
    </row>
    <row r="1158" spans="4:40" x14ac:dyDescent="0.2">
      <c r="D1158" s="89"/>
      <c r="M1158" s="65"/>
      <c r="V1158" s="89"/>
      <c r="AE1158" s="89"/>
      <c r="AN1158" s="89"/>
    </row>
    <row r="1159" spans="4:40" x14ac:dyDescent="0.2">
      <c r="D1159" s="89"/>
      <c r="M1159" s="65"/>
      <c r="V1159" s="89"/>
      <c r="AE1159" s="89"/>
      <c r="AN1159" s="89"/>
    </row>
    <row r="1160" spans="4:40" x14ac:dyDescent="0.2">
      <c r="D1160" s="89"/>
      <c r="M1160" s="65"/>
      <c r="V1160" s="89"/>
      <c r="AE1160" s="89"/>
      <c r="AN1160" s="89"/>
    </row>
    <row r="1161" spans="4:40" x14ac:dyDescent="0.2">
      <c r="D1161" s="89"/>
      <c r="M1161" s="65"/>
      <c r="V1161" s="89"/>
      <c r="AE1161" s="89"/>
      <c r="AN1161" s="89"/>
    </row>
    <row r="1162" spans="4:40" x14ac:dyDescent="0.2">
      <c r="D1162" s="89"/>
      <c r="M1162" s="65"/>
      <c r="V1162" s="89"/>
      <c r="AE1162" s="89"/>
      <c r="AN1162" s="89"/>
    </row>
    <row r="1163" spans="4:40" x14ac:dyDescent="0.2">
      <c r="D1163" s="89"/>
      <c r="M1163" s="65"/>
      <c r="V1163" s="89"/>
      <c r="AE1163" s="89"/>
      <c r="AN1163" s="89"/>
    </row>
    <row r="1164" spans="4:40" x14ac:dyDescent="0.2">
      <c r="D1164" s="89"/>
      <c r="M1164" s="65"/>
      <c r="V1164" s="89"/>
      <c r="AE1164" s="89"/>
      <c r="AN1164" s="89"/>
    </row>
    <row r="1165" spans="4:40" x14ac:dyDescent="0.2">
      <c r="D1165" s="89"/>
      <c r="M1165" s="65"/>
      <c r="V1165" s="89"/>
      <c r="AE1165" s="89"/>
      <c r="AN1165" s="89"/>
    </row>
    <row r="1166" spans="4:40" x14ac:dyDescent="0.2">
      <c r="D1166" s="89"/>
      <c r="M1166" s="65"/>
      <c r="V1166" s="89"/>
      <c r="AE1166" s="89"/>
      <c r="AN1166" s="89"/>
    </row>
    <row r="1167" spans="4:40" x14ac:dyDescent="0.2">
      <c r="D1167" s="89"/>
      <c r="M1167" s="65"/>
      <c r="V1167" s="89"/>
      <c r="AE1167" s="89"/>
      <c r="AN1167" s="89"/>
    </row>
    <row r="1168" spans="4:40" x14ac:dyDescent="0.2">
      <c r="D1168" s="89"/>
      <c r="M1168" s="65"/>
      <c r="V1168" s="89"/>
      <c r="AE1168" s="89"/>
      <c r="AN1168" s="89"/>
    </row>
    <row r="1169" spans="4:40" x14ac:dyDescent="0.2">
      <c r="D1169" s="89"/>
      <c r="M1169" s="65"/>
      <c r="V1169" s="89"/>
      <c r="AE1169" s="89"/>
      <c r="AN1169" s="89"/>
    </row>
    <row r="1170" spans="4:40" x14ac:dyDescent="0.2">
      <c r="D1170" s="89"/>
      <c r="M1170" s="65"/>
      <c r="V1170" s="89"/>
      <c r="AE1170" s="89"/>
      <c r="AN1170" s="89"/>
    </row>
    <row r="1171" spans="4:40" x14ac:dyDescent="0.2">
      <c r="D1171" s="89"/>
      <c r="M1171" s="65"/>
      <c r="V1171" s="89"/>
      <c r="AE1171" s="89"/>
      <c r="AN1171" s="89"/>
    </row>
    <row r="1172" spans="4:40" x14ac:dyDescent="0.2">
      <c r="D1172" s="89"/>
      <c r="M1172" s="65"/>
      <c r="V1172" s="89"/>
      <c r="AE1172" s="89"/>
      <c r="AN1172" s="89"/>
    </row>
    <row r="1173" spans="4:40" x14ac:dyDescent="0.2">
      <c r="D1173" s="89"/>
      <c r="M1173" s="65"/>
      <c r="V1173" s="89"/>
      <c r="AE1173" s="89"/>
      <c r="AN1173" s="89"/>
    </row>
    <row r="1174" spans="4:40" x14ac:dyDescent="0.2">
      <c r="D1174" s="89"/>
      <c r="M1174" s="65"/>
      <c r="V1174" s="89"/>
      <c r="AE1174" s="89"/>
      <c r="AN1174" s="89"/>
    </row>
    <row r="1175" spans="4:40" x14ac:dyDescent="0.2">
      <c r="D1175" s="89"/>
      <c r="M1175" s="65"/>
      <c r="V1175" s="89"/>
      <c r="AE1175" s="89"/>
      <c r="AN1175" s="89"/>
    </row>
    <row r="1176" spans="4:40" x14ac:dyDescent="0.2">
      <c r="D1176" s="89"/>
      <c r="M1176" s="65"/>
      <c r="V1176" s="89"/>
      <c r="AE1176" s="89"/>
      <c r="AN1176" s="89"/>
    </row>
    <row r="1177" spans="4:40" x14ac:dyDescent="0.2">
      <c r="D1177" s="89"/>
      <c r="M1177" s="65"/>
      <c r="V1177" s="89"/>
      <c r="AE1177" s="89"/>
      <c r="AN1177" s="89"/>
    </row>
    <row r="1178" spans="4:40" x14ac:dyDescent="0.2">
      <c r="D1178" s="89"/>
      <c r="M1178" s="65"/>
      <c r="V1178" s="89"/>
      <c r="AE1178" s="89"/>
      <c r="AN1178" s="89"/>
    </row>
    <row r="1179" spans="4:40" x14ac:dyDescent="0.2">
      <c r="D1179" s="89"/>
      <c r="M1179" s="65"/>
      <c r="V1179" s="89"/>
      <c r="AE1179" s="89"/>
      <c r="AN1179" s="89"/>
    </row>
    <row r="1180" spans="4:40" x14ac:dyDescent="0.2">
      <c r="D1180" s="89"/>
      <c r="M1180" s="65"/>
      <c r="V1180" s="89"/>
      <c r="AE1180" s="89"/>
      <c r="AN1180" s="89"/>
    </row>
    <row r="1181" spans="4:40" x14ac:dyDescent="0.2">
      <c r="D1181" s="89"/>
      <c r="M1181" s="65"/>
      <c r="V1181" s="89"/>
      <c r="AE1181" s="89"/>
      <c r="AN1181" s="89"/>
    </row>
    <row r="1182" spans="4:40" x14ac:dyDescent="0.2">
      <c r="D1182" s="89"/>
      <c r="M1182" s="65"/>
      <c r="V1182" s="89"/>
      <c r="AE1182" s="89"/>
      <c r="AN1182" s="89"/>
    </row>
    <row r="1183" spans="4:40" x14ac:dyDescent="0.2">
      <c r="D1183" s="89"/>
      <c r="M1183" s="65"/>
      <c r="V1183" s="89"/>
      <c r="AE1183" s="89"/>
      <c r="AN1183" s="89"/>
    </row>
    <row r="1184" spans="4:40" x14ac:dyDescent="0.2">
      <c r="D1184" s="89"/>
      <c r="M1184" s="65"/>
      <c r="V1184" s="89"/>
      <c r="AE1184" s="89"/>
      <c r="AN1184" s="89"/>
    </row>
    <row r="1185" spans="4:40" x14ac:dyDescent="0.2">
      <c r="D1185" s="89"/>
      <c r="M1185" s="65"/>
      <c r="V1185" s="89"/>
      <c r="AE1185" s="89"/>
      <c r="AN1185" s="89"/>
    </row>
    <row r="1186" spans="4:40" x14ac:dyDescent="0.2">
      <c r="D1186" s="89"/>
      <c r="M1186" s="65"/>
      <c r="V1186" s="89"/>
      <c r="AE1186" s="89"/>
      <c r="AN1186" s="89"/>
    </row>
    <row r="1187" spans="4:40" x14ac:dyDescent="0.2">
      <c r="D1187" s="89"/>
      <c r="M1187" s="65"/>
      <c r="V1187" s="89"/>
      <c r="AE1187" s="89"/>
      <c r="AN1187" s="89"/>
    </row>
    <row r="1188" spans="4:40" x14ac:dyDescent="0.2">
      <c r="D1188" s="89"/>
      <c r="M1188" s="65"/>
      <c r="V1188" s="89"/>
      <c r="AE1188" s="89"/>
      <c r="AN1188" s="89"/>
    </row>
    <row r="1189" spans="4:40" x14ac:dyDescent="0.2">
      <c r="D1189" s="89"/>
      <c r="M1189" s="65"/>
      <c r="V1189" s="89"/>
      <c r="AE1189" s="89"/>
      <c r="AN1189" s="89"/>
    </row>
    <row r="1190" spans="4:40" x14ac:dyDescent="0.2">
      <c r="D1190" s="89"/>
      <c r="M1190" s="65"/>
      <c r="V1190" s="89"/>
      <c r="AE1190" s="89"/>
      <c r="AN1190" s="89"/>
    </row>
    <row r="1191" spans="4:40" x14ac:dyDescent="0.2">
      <c r="D1191" s="89"/>
      <c r="M1191" s="65"/>
      <c r="V1191" s="89"/>
      <c r="AE1191" s="89"/>
      <c r="AN1191" s="89"/>
    </row>
    <row r="1192" spans="4:40" x14ac:dyDescent="0.2">
      <c r="D1192" s="89"/>
      <c r="M1192" s="65"/>
      <c r="V1192" s="89"/>
      <c r="AE1192" s="89"/>
      <c r="AN1192" s="89"/>
    </row>
    <row r="1193" spans="4:40" x14ac:dyDescent="0.2">
      <c r="D1193" s="89"/>
      <c r="M1193" s="65"/>
      <c r="V1193" s="89"/>
      <c r="AE1193" s="89"/>
      <c r="AN1193" s="89"/>
    </row>
    <row r="1194" spans="4:40" x14ac:dyDescent="0.2">
      <c r="D1194" s="89"/>
      <c r="M1194" s="65"/>
      <c r="V1194" s="89"/>
      <c r="AE1194" s="89"/>
      <c r="AN1194" s="89"/>
    </row>
    <row r="1195" spans="4:40" x14ac:dyDescent="0.2">
      <c r="D1195" s="89"/>
      <c r="M1195" s="65"/>
      <c r="V1195" s="89"/>
      <c r="AE1195" s="89"/>
      <c r="AN1195" s="89"/>
    </row>
    <row r="1196" spans="4:40" x14ac:dyDescent="0.2">
      <c r="D1196" s="89"/>
      <c r="M1196" s="65"/>
      <c r="V1196" s="89"/>
      <c r="AE1196" s="89"/>
      <c r="AN1196" s="89"/>
    </row>
    <row r="1197" spans="4:40" x14ac:dyDescent="0.2">
      <c r="D1197" s="89"/>
      <c r="M1197" s="65"/>
      <c r="V1197" s="89"/>
      <c r="AE1197" s="89"/>
      <c r="AN1197" s="89"/>
    </row>
    <row r="1198" spans="4:40" x14ac:dyDescent="0.2">
      <c r="D1198" s="89"/>
      <c r="M1198" s="65"/>
      <c r="V1198" s="89"/>
      <c r="AE1198" s="89"/>
      <c r="AN1198" s="89"/>
    </row>
    <row r="1199" spans="4:40" x14ac:dyDescent="0.2">
      <c r="D1199" s="89"/>
      <c r="M1199" s="65"/>
      <c r="V1199" s="89"/>
      <c r="AE1199" s="89"/>
      <c r="AN1199" s="89"/>
    </row>
    <row r="1200" spans="4:40" x14ac:dyDescent="0.2">
      <c r="D1200" s="89"/>
      <c r="M1200" s="65"/>
      <c r="V1200" s="89"/>
      <c r="AE1200" s="89"/>
      <c r="AN1200" s="89"/>
    </row>
    <row r="1201" spans="4:40" x14ac:dyDescent="0.2">
      <c r="D1201" s="89"/>
      <c r="M1201" s="65"/>
      <c r="V1201" s="89"/>
      <c r="AE1201" s="89"/>
      <c r="AN1201" s="89"/>
    </row>
    <row r="1202" spans="4:40" x14ac:dyDescent="0.2">
      <c r="D1202" s="89"/>
      <c r="M1202" s="65"/>
      <c r="V1202" s="89"/>
      <c r="AE1202" s="89"/>
      <c r="AN1202" s="89"/>
    </row>
    <row r="1203" spans="4:40" x14ac:dyDescent="0.2">
      <c r="D1203" s="89"/>
      <c r="M1203" s="65"/>
      <c r="V1203" s="89"/>
      <c r="AE1203" s="89"/>
      <c r="AN1203" s="89"/>
    </row>
    <row r="1204" spans="4:40" x14ac:dyDescent="0.2">
      <c r="D1204" s="89"/>
      <c r="M1204" s="65"/>
      <c r="V1204" s="89"/>
      <c r="AE1204" s="89"/>
      <c r="AN1204" s="89"/>
    </row>
    <row r="1205" spans="4:40" x14ac:dyDescent="0.2">
      <c r="D1205" s="89"/>
      <c r="M1205" s="65"/>
      <c r="V1205" s="89"/>
      <c r="AE1205" s="89"/>
      <c r="AN1205" s="89"/>
    </row>
    <row r="1206" spans="4:40" x14ac:dyDescent="0.2">
      <c r="D1206" s="89"/>
      <c r="M1206" s="65"/>
      <c r="V1206" s="89"/>
      <c r="AE1206" s="89"/>
      <c r="AN1206" s="89"/>
    </row>
    <row r="1207" spans="4:40" x14ac:dyDescent="0.2">
      <c r="D1207" s="89"/>
      <c r="M1207" s="65"/>
      <c r="V1207" s="89"/>
      <c r="AE1207" s="89"/>
      <c r="AN1207" s="89"/>
    </row>
    <row r="1208" spans="4:40" x14ac:dyDescent="0.2">
      <c r="D1208" s="89"/>
      <c r="M1208" s="65"/>
      <c r="V1208" s="89"/>
      <c r="AE1208" s="89"/>
      <c r="AN1208" s="89"/>
    </row>
    <row r="1209" spans="4:40" x14ac:dyDescent="0.2">
      <c r="D1209" s="89"/>
      <c r="M1209" s="65"/>
      <c r="V1209" s="89"/>
      <c r="AE1209" s="89"/>
      <c r="AN1209" s="89"/>
    </row>
    <row r="1210" spans="4:40" x14ac:dyDescent="0.2">
      <c r="D1210" s="89"/>
      <c r="M1210" s="65"/>
      <c r="V1210" s="89"/>
      <c r="AE1210" s="89"/>
      <c r="AN1210" s="89"/>
    </row>
    <row r="1211" spans="4:40" x14ac:dyDescent="0.2">
      <c r="D1211" s="89"/>
      <c r="M1211" s="65"/>
      <c r="V1211" s="89"/>
      <c r="AE1211" s="89"/>
      <c r="AN1211" s="89"/>
    </row>
    <row r="1212" spans="4:40" x14ac:dyDescent="0.2">
      <c r="D1212" s="89"/>
      <c r="M1212" s="65"/>
      <c r="V1212" s="89"/>
      <c r="AE1212" s="89"/>
      <c r="AN1212" s="89"/>
    </row>
    <row r="1213" spans="4:40" x14ac:dyDescent="0.2">
      <c r="D1213" s="89"/>
      <c r="M1213" s="65"/>
      <c r="V1213" s="89"/>
      <c r="AE1213" s="89"/>
      <c r="AN1213" s="89"/>
    </row>
    <row r="1214" spans="4:40" x14ac:dyDescent="0.2">
      <c r="D1214" s="89"/>
      <c r="M1214" s="65"/>
      <c r="V1214" s="89"/>
      <c r="AE1214" s="89"/>
      <c r="AN1214" s="89"/>
    </row>
    <row r="1215" spans="4:40" x14ac:dyDescent="0.2">
      <c r="D1215" s="89"/>
      <c r="M1215" s="65"/>
      <c r="V1215" s="89"/>
      <c r="AE1215" s="89"/>
      <c r="AN1215" s="89"/>
    </row>
    <row r="1216" spans="4:40" x14ac:dyDescent="0.2">
      <c r="D1216" s="89"/>
      <c r="M1216" s="65"/>
      <c r="V1216" s="89"/>
      <c r="AE1216" s="89"/>
      <c r="AN1216" s="89"/>
    </row>
    <row r="1217" spans="4:40" x14ac:dyDescent="0.2">
      <c r="D1217" s="89"/>
      <c r="M1217" s="65"/>
      <c r="V1217" s="89"/>
      <c r="AE1217" s="89"/>
      <c r="AN1217" s="89"/>
    </row>
    <row r="1218" spans="4:40" x14ac:dyDescent="0.2">
      <c r="D1218" s="89"/>
      <c r="M1218" s="65"/>
      <c r="V1218" s="89"/>
      <c r="AE1218" s="89"/>
      <c r="AN1218" s="89"/>
    </row>
    <row r="1219" spans="4:40" x14ac:dyDescent="0.2">
      <c r="D1219" s="89"/>
      <c r="M1219" s="65"/>
      <c r="V1219" s="89"/>
      <c r="AE1219" s="89"/>
      <c r="AN1219" s="89"/>
    </row>
    <row r="1220" spans="4:40" x14ac:dyDescent="0.2">
      <c r="D1220" s="89"/>
      <c r="M1220" s="65"/>
      <c r="V1220" s="89"/>
      <c r="AE1220" s="89"/>
      <c r="AN1220" s="89"/>
    </row>
    <row r="1221" spans="4:40" x14ac:dyDescent="0.2">
      <c r="D1221" s="89"/>
      <c r="M1221" s="65"/>
      <c r="V1221" s="89"/>
      <c r="AE1221" s="89"/>
      <c r="AN1221" s="89"/>
    </row>
    <row r="1222" spans="4:40" x14ac:dyDescent="0.2">
      <c r="D1222" s="89"/>
      <c r="M1222" s="65"/>
      <c r="V1222" s="89"/>
      <c r="AE1222" s="89"/>
      <c r="AN1222" s="89"/>
    </row>
    <row r="1223" spans="4:40" x14ac:dyDescent="0.2">
      <c r="D1223" s="89"/>
      <c r="M1223" s="65"/>
      <c r="V1223" s="89"/>
      <c r="AE1223" s="89"/>
      <c r="AN1223" s="89"/>
    </row>
    <row r="1224" spans="4:40" x14ac:dyDescent="0.2">
      <c r="D1224" s="89"/>
      <c r="M1224" s="65"/>
      <c r="V1224" s="89"/>
      <c r="AE1224" s="89"/>
      <c r="AN1224" s="89"/>
    </row>
    <row r="1225" spans="4:40" x14ac:dyDescent="0.2">
      <c r="D1225" s="89"/>
      <c r="M1225" s="65"/>
      <c r="V1225" s="89"/>
      <c r="AE1225" s="89"/>
      <c r="AN1225" s="89"/>
    </row>
    <row r="1226" spans="4:40" x14ac:dyDescent="0.2">
      <c r="D1226" s="89"/>
      <c r="M1226" s="65"/>
      <c r="V1226" s="89"/>
      <c r="AE1226" s="89"/>
      <c r="AN1226" s="89"/>
    </row>
    <row r="1227" spans="4:40" x14ac:dyDescent="0.2">
      <c r="D1227" s="89"/>
      <c r="M1227" s="65"/>
      <c r="V1227" s="89"/>
      <c r="AE1227" s="89"/>
      <c r="AN1227" s="89"/>
    </row>
    <row r="1228" spans="4:40" x14ac:dyDescent="0.2">
      <c r="D1228" s="89"/>
      <c r="M1228" s="65"/>
      <c r="V1228" s="89"/>
      <c r="AE1228" s="89"/>
      <c r="AN1228" s="89"/>
    </row>
    <row r="1229" spans="4:40" x14ac:dyDescent="0.2">
      <c r="D1229" s="89"/>
      <c r="M1229" s="65"/>
      <c r="V1229" s="89"/>
      <c r="AE1229" s="89"/>
      <c r="AN1229" s="89"/>
    </row>
    <row r="1230" spans="4:40" x14ac:dyDescent="0.2">
      <c r="D1230" s="89"/>
      <c r="M1230" s="65"/>
      <c r="V1230" s="89"/>
      <c r="AE1230" s="89"/>
      <c r="AN1230" s="89"/>
    </row>
    <row r="1231" spans="4:40" x14ac:dyDescent="0.2">
      <c r="D1231" s="89"/>
      <c r="M1231" s="65"/>
      <c r="V1231" s="89"/>
      <c r="AE1231" s="89"/>
      <c r="AN1231" s="89"/>
    </row>
    <row r="1232" spans="4:40" x14ac:dyDescent="0.2">
      <c r="D1232" s="89"/>
      <c r="M1232" s="65"/>
      <c r="V1232" s="89"/>
      <c r="AE1232" s="89"/>
      <c r="AN1232" s="89"/>
    </row>
    <row r="1233" spans="4:40" x14ac:dyDescent="0.2">
      <c r="D1233" s="89"/>
      <c r="M1233" s="65"/>
      <c r="V1233" s="89"/>
      <c r="AE1233" s="89"/>
      <c r="AN1233" s="89"/>
    </row>
    <row r="1234" spans="4:40" x14ac:dyDescent="0.2">
      <c r="D1234" s="89"/>
      <c r="M1234" s="65"/>
      <c r="V1234" s="89"/>
      <c r="AE1234" s="89"/>
      <c r="AN1234" s="89"/>
    </row>
    <row r="1235" spans="4:40" x14ac:dyDescent="0.2">
      <c r="D1235" s="89"/>
      <c r="M1235" s="65"/>
      <c r="V1235" s="89"/>
      <c r="AE1235" s="89"/>
      <c r="AN1235" s="89"/>
    </row>
    <row r="1236" spans="4:40" x14ac:dyDescent="0.2">
      <c r="D1236" s="89"/>
      <c r="M1236" s="65"/>
      <c r="V1236" s="89"/>
      <c r="AE1236" s="89"/>
      <c r="AN1236" s="89"/>
    </row>
    <row r="1237" spans="4:40" x14ac:dyDescent="0.2">
      <c r="D1237" s="89"/>
      <c r="M1237" s="65"/>
      <c r="V1237" s="89"/>
      <c r="AE1237" s="89"/>
      <c r="AN1237" s="89"/>
    </row>
    <row r="1238" spans="4:40" x14ac:dyDescent="0.2">
      <c r="D1238" s="89"/>
      <c r="M1238" s="65"/>
      <c r="V1238" s="89"/>
      <c r="AE1238" s="89"/>
      <c r="AN1238" s="89"/>
    </row>
    <row r="1239" spans="4:40" x14ac:dyDescent="0.2">
      <c r="D1239" s="89"/>
      <c r="M1239" s="65"/>
      <c r="V1239" s="89"/>
      <c r="AE1239" s="89"/>
      <c r="AN1239" s="89"/>
    </row>
    <row r="1240" spans="4:40" x14ac:dyDescent="0.2">
      <c r="D1240" s="89"/>
      <c r="M1240" s="65"/>
      <c r="V1240" s="89"/>
      <c r="AE1240" s="89"/>
      <c r="AN1240" s="89"/>
    </row>
    <row r="1241" spans="4:40" x14ac:dyDescent="0.2">
      <c r="D1241" s="89"/>
      <c r="M1241" s="65"/>
      <c r="V1241" s="89"/>
      <c r="AE1241" s="89"/>
      <c r="AN1241" s="89"/>
    </row>
    <row r="1242" spans="4:40" x14ac:dyDescent="0.2">
      <c r="D1242" s="89"/>
      <c r="M1242" s="65"/>
      <c r="V1242" s="89"/>
      <c r="AE1242" s="89"/>
      <c r="AN1242" s="89"/>
    </row>
    <row r="1243" spans="4:40" x14ac:dyDescent="0.2">
      <c r="D1243" s="89"/>
      <c r="M1243" s="65"/>
      <c r="V1243" s="89"/>
      <c r="AE1243" s="89"/>
      <c r="AN1243" s="89"/>
    </row>
    <row r="1244" spans="4:40" x14ac:dyDescent="0.2">
      <c r="D1244" s="89"/>
      <c r="M1244" s="65"/>
      <c r="V1244" s="89"/>
      <c r="AE1244" s="89"/>
      <c r="AN1244" s="89"/>
    </row>
    <row r="1245" spans="4:40" x14ac:dyDescent="0.2">
      <c r="D1245" s="89"/>
      <c r="M1245" s="65"/>
      <c r="V1245" s="89"/>
      <c r="AE1245" s="89"/>
      <c r="AN1245" s="89"/>
    </row>
    <row r="1246" spans="4:40" x14ac:dyDescent="0.2">
      <c r="D1246" s="89"/>
      <c r="M1246" s="65"/>
      <c r="V1246" s="89"/>
      <c r="AE1246" s="89"/>
      <c r="AN1246" s="89"/>
    </row>
    <row r="1247" spans="4:40" x14ac:dyDescent="0.2">
      <c r="D1247" s="89"/>
      <c r="M1247" s="65"/>
      <c r="V1247" s="89"/>
      <c r="AE1247" s="89"/>
      <c r="AN1247" s="89"/>
    </row>
    <row r="1248" spans="4:40" x14ac:dyDescent="0.2">
      <c r="D1248" s="89"/>
      <c r="M1248" s="65"/>
      <c r="V1248" s="89"/>
      <c r="AE1248" s="89"/>
      <c r="AN1248" s="89"/>
    </row>
    <row r="1249" spans="4:40" x14ac:dyDescent="0.2">
      <c r="D1249" s="89"/>
      <c r="M1249" s="65"/>
      <c r="V1249" s="89"/>
      <c r="AE1249" s="89"/>
      <c r="AN1249" s="89"/>
    </row>
    <row r="1250" spans="4:40" x14ac:dyDescent="0.2">
      <c r="D1250" s="89"/>
      <c r="M1250" s="65"/>
      <c r="V1250" s="89"/>
      <c r="AE1250" s="89"/>
      <c r="AN1250" s="89"/>
    </row>
    <row r="1251" spans="4:40" x14ac:dyDescent="0.2">
      <c r="D1251" s="89"/>
      <c r="M1251" s="65"/>
      <c r="V1251" s="89"/>
      <c r="AE1251" s="89"/>
      <c r="AN1251" s="89"/>
    </row>
    <row r="1252" spans="4:40" x14ac:dyDescent="0.2">
      <c r="D1252" s="89"/>
      <c r="M1252" s="65"/>
      <c r="V1252" s="89"/>
      <c r="AE1252" s="89"/>
      <c r="AN1252" s="89"/>
    </row>
    <row r="1253" spans="4:40" x14ac:dyDescent="0.2">
      <c r="D1253" s="89"/>
      <c r="M1253" s="65"/>
      <c r="V1253" s="89"/>
      <c r="AE1253" s="89"/>
      <c r="AN1253" s="89"/>
    </row>
    <row r="1254" spans="4:40" x14ac:dyDescent="0.2">
      <c r="D1254" s="89"/>
      <c r="M1254" s="65"/>
      <c r="V1254" s="89"/>
      <c r="AE1254" s="89"/>
      <c r="AN1254" s="89"/>
    </row>
    <row r="1255" spans="4:40" x14ac:dyDescent="0.2">
      <c r="D1255" s="89"/>
      <c r="M1255" s="65"/>
      <c r="V1255" s="89"/>
      <c r="AE1255" s="89"/>
      <c r="AN1255" s="89"/>
    </row>
    <row r="1256" spans="4:40" x14ac:dyDescent="0.2">
      <c r="D1256" s="89"/>
      <c r="M1256" s="65"/>
      <c r="V1256" s="89"/>
      <c r="AE1256" s="89"/>
      <c r="AN1256" s="89"/>
    </row>
    <row r="1257" spans="4:40" x14ac:dyDescent="0.2">
      <c r="D1257" s="89"/>
      <c r="M1257" s="65"/>
      <c r="V1257" s="89"/>
      <c r="AE1257" s="89"/>
      <c r="AN1257" s="89"/>
    </row>
    <row r="1258" spans="4:40" x14ac:dyDescent="0.2">
      <c r="D1258" s="89"/>
      <c r="M1258" s="65"/>
      <c r="V1258" s="89"/>
      <c r="AE1258" s="89"/>
      <c r="AN1258" s="89"/>
    </row>
    <row r="1259" spans="4:40" x14ac:dyDescent="0.2">
      <c r="D1259" s="89"/>
      <c r="M1259" s="65"/>
      <c r="V1259" s="89"/>
      <c r="AE1259" s="89"/>
      <c r="AN1259" s="89"/>
    </row>
    <row r="1260" spans="4:40" x14ac:dyDescent="0.2">
      <c r="D1260" s="89"/>
      <c r="M1260" s="65"/>
      <c r="V1260" s="89"/>
      <c r="AE1260" s="89"/>
      <c r="AN1260" s="89"/>
    </row>
    <row r="1261" spans="4:40" x14ac:dyDescent="0.2">
      <c r="D1261" s="89"/>
      <c r="M1261" s="65"/>
      <c r="V1261" s="89"/>
      <c r="AE1261" s="89"/>
      <c r="AN1261" s="89"/>
    </row>
    <row r="1262" spans="4:40" x14ac:dyDescent="0.2">
      <c r="D1262" s="89"/>
      <c r="M1262" s="65"/>
      <c r="V1262" s="89"/>
      <c r="AE1262" s="89"/>
      <c r="AN1262" s="89"/>
    </row>
    <row r="1263" spans="4:40" x14ac:dyDescent="0.2">
      <c r="D1263" s="89"/>
      <c r="M1263" s="65"/>
      <c r="V1263" s="89"/>
      <c r="AE1263" s="89"/>
      <c r="AN1263" s="89"/>
    </row>
    <row r="1264" spans="4:40" x14ac:dyDescent="0.2">
      <c r="D1264" s="89"/>
      <c r="M1264" s="65"/>
      <c r="V1264" s="89"/>
      <c r="AE1264" s="89"/>
      <c r="AN1264" s="89"/>
    </row>
    <row r="1265" spans="4:40" x14ac:dyDescent="0.2">
      <c r="D1265" s="89"/>
      <c r="M1265" s="65"/>
      <c r="V1265" s="89"/>
      <c r="AE1265" s="89"/>
      <c r="AN1265" s="89"/>
    </row>
    <row r="1266" spans="4:40" x14ac:dyDescent="0.2">
      <c r="D1266" s="89"/>
      <c r="M1266" s="65"/>
      <c r="V1266" s="89"/>
      <c r="AE1266" s="89"/>
      <c r="AN1266" s="89"/>
    </row>
    <row r="1267" spans="4:40" x14ac:dyDescent="0.2">
      <c r="D1267" s="89"/>
      <c r="M1267" s="65"/>
      <c r="V1267" s="89"/>
      <c r="AE1267" s="89"/>
      <c r="AN1267" s="89"/>
    </row>
    <row r="1268" spans="4:40" x14ac:dyDescent="0.2">
      <c r="D1268" s="89"/>
      <c r="M1268" s="65"/>
      <c r="V1268" s="89"/>
      <c r="AE1268" s="89"/>
      <c r="AN1268" s="89"/>
    </row>
    <row r="1269" spans="4:40" x14ac:dyDescent="0.2">
      <c r="D1269" s="89"/>
      <c r="M1269" s="65"/>
      <c r="V1269" s="89"/>
      <c r="AE1269" s="89"/>
      <c r="AN1269" s="89"/>
    </row>
    <row r="1270" spans="4:40" x14ac:dyDescent="0.2">
      <c r="D1270" s="89"/>
      <c r="M1270" s="65"/>
      <c r="V1270" s="89"/>
      <c r="AE1270" s="89"/>
      <c r="AN1270" s="89"/>
    </row>
    <row r="1271" spans="4:40" x14ac:dyDescent="0.2">
      <c r="D1271" s="89"/>
      <c r="M1271" s="65"/>
      <c r="V1271" s="89"/>
      <c r="AE1271" s="89"/>
      <c r="AN1271" s="89"/>
    </row>
    <row r="1272" spans="4:40" x14ac:dyDescent="0.2">
      <c r="D1272" s="89"/>
      <c r="M1272" s="65"/>
      <c r="V1272" s="89"/>
      <c r="AE1272" s="89"/>
      <c r="AN1272" s="89"/>
    </row>
    <row r="1273" spans="4:40" x14ac:dyDescent="0.2">
      <c r="D1273" s="89"/>
      <c r="M1273" s="65"/>
      <c r="V1273" s="89"/>
      <c r="AE1273" s="89"/>
      <c r="AN1273" s="89"/>
    </row>
    <row r="1274" spans="4:40" x14ac:dyDescent="0.2">
      <c r="D1274" s="89"/>
      <c r="M1274" s="65"/>
      <c r="V1274" s="89"/>
      <c r="AE1274" s="89"/>
      <c r="AN1274" s="89"/>
    </row>
    <row r="1275" spans="4:40" x14ac:dyDescent="0.2">
      <c r="D1275" s="89"/>
      <c r="M1275" s="65"/>
      <c r="V1275" s="89"/>
      <c r="AE1275" s="89"/>
      <c r="AN1275" s="89"/>
    </row>
    <row r="1276" spans="4:40" x14ac:dyDescent="0.2">
      <c r="D1276" s="89"/>
      <c r="M1276" s="65"/>
      <c r="V1276" s="89"/>
      <c r="AE1276" s="89"/>
      <c r="AN1276" s="89"/>
    </row>
    <row r="1277" spans="4:40" x14ac:dyDescent="0.2">
      <c r="D1277" s="89"/>
      <c r="M1277" s="65"/>
      <c r="V1277" s="89"/>
      <c r="AE1277" s="89"/>
      <c r="AN1277" s="89"/>
    </row>
    <row r="1278" spans="4:40" x14ac:dyDescent="0.2">
      <c r="D1278" s="89"/>
      <c r="M1278" s="65"/>
      <c r="V1278" s="89"/>
      <c r="AE1278" s="89"/>
      <c r="AN1278" s="89"/>
    </row>
    <row r="1279" spans="4:40" x14ac:dyDescent="0.2">
      <c r="D1279" s="89"/>
      <c r="M1279" s="65"/>
      <c r="V1279" s="89"/>
      <c r="AE1279" s="89"/>
      <c r="AN1279" s="89"/>
    </row>
    <row r="1280" spans="4:40" x14ac:dyDescent="0.2">
      <c r="D1280" s="89"/>
      <c r="M1280" s="65"/>
      <c r="V1280" s="89"/>
      <c r="AE1280" s="89"/>
      <c r="AN1280" s="89"/>
    </row>
    <row r="1281" spans="4:40" x14ac:dyDescent="0.2">
      <c r="D1281" s="89"/>
      <c r="M1281" s="65"/>
      <c r="V1281" s="89"/>
      <c r="AE1281" s="89"/>
      <c r="AN1281" s="89"/>
    </row>
    <row r="1282" spans="4:40" x14ac:dyDescent="0.2">
      <c r="D1282" s="89"/>
      <c r="M1282" s="65"/>
      <c r="V1282" s="89"/>
      <c r="AE1282" s="89"/>
      <c r="AN1282" s="89"/>
    </row>
    <row r="1283" spans="4:40" x14ac:dyDescent="0.2">
      <c r="D1283" s="89"/>
      <c r="M1283" s="65"/>
      <c r="V1283" s="89"/>
      <c r="AE1283" s="89"/>
      <c r="AN1283" s="89"/>
    </row>
    <row r="1284" spans="4:40" x14ac:dyDescent="0.2">
      <c r="D1284" s="89"/>
      <c r="M1284" s="65"/>
      <c r="V1284" s="89"/>
      <c r="AE1284" s="89"/>
      <c r="AN1284" s="89"/>
    </row>
    <row r="1285" spans="4:40" x14ac:dyDescent="0.2">
      <c r="D1285" s="89"/>
      <c r="M1285" s="65"/>
      <c r="V1285" s="89"/>
      <c r="AE1285" s="89"/>
      <c r="AN1285" s="89"/>
    </row>
    <row r="1286" spans="4:40" x14ac:dyDescent="0.2">
      <c r="D1286" s="89"/>
      <c r="M1286" s="65"/>
      <c r="V1286" s="89"/>
      <c r="AE1286" s="89"/>
      <c r="AN1286" s="89"/>
    </row>
    <row r="1287" spans="4:40" x14ac:dyDescent="0.2">
      <c r="D1287" s="89"/>
      <c r="M1287" s="65"/>
      <c r="V1287" s="89"/>
      <c r="AE1287" s="89"/>
      <c r="AN1287" s="89"/>
    </row>
    <row r="1288" spans="4:40" x14ac:dyDescent="0.2">
      <c r="D1288" s="89"/>
      <c r="M1288" s="65"/>
      <c r="V1288" s="89"/>
      <c r="AE1288" s="89"/>
      <c r="AN1288" s="89"/>
    </row>
    <row r="1289" spans="4:40" x14ac:dyDescent="0.2">
      <c r="D1289" s="89"/>
      <c r="M1289" s="65"/>
      <c r="V1289" s="89"/>
      <c r="AE1289" s="89"/>
      <c r="AN1289" s="89"/>
    </row>
    <row r="1290" spans="4:40" x14ac:dyDescent="0.2">
      <c r="D1290" s="89"/>
      <c r="M1290" s="65"/>
      <c r="V1290" s="89"/>
      <c r="AE1290" s="89"/>
      <c r="AN1290" s="89"/>
    </row>
    <row r="1291" spans="4:40" x14ac:dyDescent="0.2">
      <c r="D1291" s="89"/>
      <c r="M1291" s="65"/>
      <c r="V1291" s="89"/>
      <c r="AE1291" s="89"/>
      <c r="AN1291" s="89"/>
    </row>
    <row r="1292" spans="4:40" x14ac:dyDescent="0.2">
      <c r="D1292" s="89"/>
      <c r="M1292" s="65"/>
      <c r="V1292" s="89"/>
      <c r="AE1292" s="89"/>
      <c r="AN1292" s="89"/>
    </row>
    <row r="1293" spans="4:40" x14ac:dyDescent="0.2">
      <c r="D1293" s="89"/>
      <c r="M1293" s="65"/>
      <c r="V1293" s="89"/>
      <c r="AE1293" s="89"/>
      <c r="AN1293" s="89"/>
    </row>
    <row r="1294" spans="4:40" x14ac:dyDescent="0.2">
      <c r="D1294" s="89"/>
      <c r="M1294" s="65"/>
      <c r="V1294" s="89"/>
      <c r="AE1294" s="89"/>
      <c r="AN1294" s="89"/>
    </row>
    <row r="1295" spans="4:40" x14ac:dyDescent="0.2">
      <c r="D1295" s="89"/>
      <c r="M1295" s="65"/>
      <c r="V1295" s="89"/>
      <c r="AE1295" s="89"/>
      <c r="AN1295" s="89"/>
    </row>
    <row r="1296" spans="4:40" x14ac:dyDescent="0.2">
      <c r="D1296" s="89"/>
      <c r="M1296" s="65"/>
      <c r="V1296" s="89"/>
      <c r="AE1296" s="89"/>
      <c r="AN1296" s="89"/>
    </row>
    <row r="1297" spans="4:40" x14ac:dyDescent="0.2">
      <c r="D1297" s="89"/>
      <c r="M1297" s="65"/>
      <c r="V1297" s="89"/>
      <c r="AE1297" s="89"/>
      <c r="AN1297" s="89"/>
    </row>
    <row r="1298" spans="4:40" x14ac:dyDescent="0.2">
      <c r="D1298" s="89"/>
      <c r="M1298" s="65"/>
      <c r="V1298" s="89"/>
      <c r="AE1298" s="89"/>
      <c r="AN1298" s="89"/>
    </row>
    <row r="1299" spans="4:40" x14ac:dyDescent="0.2">
      <c r="D1299" s="89"/>
      <c r="M1299" s="65"/>
      <c r="V1299" s="89"/>
      <c r="AE1299" s="89"/>
      <c r="AN1299" s="89"/>
    </row>
    <row r="1300" spans="4:40" x14ac:dyDescent="0.2">
      <c r="D1300" s="89"/>
      <c r="M1300" s="65"/>
      <c r="V1300" s="89"/>
      <c r="AE1300" s="89"/>
      <c r="AN1300" s="89"/>
    </row>
    <row r="1301" spans="4:40" x14ac:dyDescent="0.2">
      <c r="D1301" s="89"/>
      <c r="M1301" s="65"/>
      <c r="V1301" s="89"/>
      <c r="AE1301" s="89"/>
      <c r="AN1301" s="89"/>
    </row>
    <row r="1302" spans="4:40" x14ac:dyDescent="0.2">
      <c r="D1302" s="89"/>
      <c r="M1302" s="65"/>
      <c r="V1302" s="89"/>
      <c r="AE1302" s="89"/>
      <c r="AN1302" s="89"/>
    </row>
    <row r="1303" spans="4:40" x14ac:dyDescent="0.2">
      <c r="D1303" s="89"/>
      <c r="M1303" s="65"/>
      <c r="V1303" s="89"/>
      <c r="AE1303" s="89"/>
      <c r="AN1303" s="89"/>
    </row>
    <row r="1304" spans="4:40" x14ac:dyDescent="0.2">
      <c r="D1304" s="89"/>
      <c r="M1304" s="65"/>
      <c r="V1304" s="89"/>
      <c r="AE1304" s="89"/>
      <c r="AN1304" s="89"/>
    </row>
    <row r="1305" spans="4:40" x14ac:dyDescent="0.2">
      <c r="D1305" s="89"/>
      <c r="M1305" s="65"/>
      <c r="V1305" s="89"/>
      <c r="AE1305" s="89"/>
      <c r="AN1305" s="89"/>
    </row>
    <row r="1306" spans="4:40" x14ac:dyDescent="0.2">
      <c r="D1306" s="89"/>
      <c r="M1306" s="65"/>
      <c r="V1306" s="89"/>
      <c r="AE1306" s="89"/>
      <c r="AN1306" s="89"/>
    </row>
    <row r="1307" spans="4:40" x14ac:dyDescent="0.2">
      <c r="D1307" s="89"/>
      <c r="M1307" s="65"/>
      <c r="V1307" s="89"/>
      <c r="AE1307" s="89"/>
      <c r="AN1307" s="89"/>
    </row>
    <row r="1308" spans="4:40" x14ac:dyDescent="0.2">
      <c r="D1308" s="89"/>
      <c r="M1308" s="65"/>
      <c r="V1308" s="89"/>
      <c r="AE1308" s="89"/>
      <c r="AN1308" s="89"/>
    </row>
    <row r="1309" spans="4:40" x14ac:dyDescent="0.2">
      <c r="D1309" s="89"/>
      <c r="M1309" s="65"/>
      <c r="V1309" s="89"/>
      <c r="AE1309" s="89"/>
      <c r="AN1309" s="89"/>
    </row>
    <row r="1310" spans="4:40" x14ac:dyDescent="0.2">
      <c r="D1310" s="89"/>
      <c r="M1310" s="65"/>
      <c r="V1310" s="89"/>
      <c r="AE1310" s="89"/>
      <c r="AN1310" s="89"/>
    </row>
    <row r="1311" spans="4:40" x14ac:dyDescent="0.2">
      <c r="D1311" s="89"/>
      <c r="M1311" s="65"/>
      <c r="V1311" s="89"/>
      <c r="AE1311" s="89"/>
      <c r="AN1311" s="89"/>
    </row>
    <row r="1312" spans="4:40" x14ac:dyDescent="0.2">
      <c r="D1312" s="89"/>
      <c r="M1312" s="65"/>
      <c r="V1312" s="89"/>
      <c r="AE1312" s="89"/>
      <c r="AN1312" s="89"/>
    </row>
    <row r="1313" spans="4:40" x14ac:dyDescent="0.2">
      <c r="D1313" s="89"/>
      <c r="M1313" s="65"/>
      <c r="V1313" s="89"/>
      <c r="AE1313" s="89"/>
      <c r="AN1313" s="89"/>
    </row>
    <row r="1314" spans="4:40" x14ac:dyDescent="0.2">
      <c r="D1314" s="89"/>
      <c r="M1314" s="65"/>
      <c r="V1314" s="89"/>
      <c r="AE1314" s="89"/>
      <c r="AN1314" s="89"/>
    </row>
    <row r="1315" spans="4:40" x14ac:dyDescent="0.2">
      <c r="D1315" s="89"/>
      <c r="M1315" s="65"/>
      <c r="V1315" s="89"/>
      <c r="AE1315" s="89"/>
      <c r="AN1315" s="89"/>
    </row>
    <row r="1316" spans="4:40" x14ac:dyDescent="0.2">
      <c r="D1316" s="89"/>
      <c r="M1316" s="65"/>
      <c r="V1316" s="89"/>
      <c r="AE1316" s="89"/>
      <c r="AN1316" s="89"/>
    </row>
    <row r="1317" spans="4:40" x14ac:dyDescent="0.2">
      <c r="D1317" s="89"/>
      <c r="M1317" s="65"/>
      <c r="V1317" s="89"/>
      <c r="AE1317" s="89"/>
      <c r="AN1317" s="89"/>
    </row>
    <row r="1318" spans="4:40" x14ac:dyDescent="0.2">
      <c r="D1318" s="89"/>
      <c r="M1318" s="65"/>
      <c r="V1318" s="89"/>
      <c r="AE1318" s="89"/>
      <c r="AN1318" s="89"/>
    </row>
    <row r="1319" spans="4:40" x14ac:dyDescent="0.2">
      <c r="D1319" s="89"/>
      <c r="M1319" s="65"/>
      <c r="V1319" s="89"/>
      <c r="AE1319" s="89"/>
      <c r="AN1319" s="89"/>
    </row>
    <row r="1320" spans="4:40" x14ac:dyDescent="0.2">
      <c r="D1320" s="89"/>
      <c r="M1320" s="65"/>
      <c r="V1320" s="89"/>
      <c r="AE1320" s="89"/>
      <c r="AN1320" s="89"/>
    </row>
    <row r="1321" spans="4:40" x14ac:dyDescent="0.2">
      <c r="D1321" s="89"/>
      <c r="M1321" s="65"/>
      <c r="V1321" s="89"/>
      <c r="AE1321" s="89"/>
      <c r="AN1321" s="89"/>
    </row>
    <row r="1322" spans="4:40" x14ac:dyDescent="0.2">
      <c r="D1322" s="89"/>
      <c r="M1322" s="65"/>
      <c r="V1322" s="89"/>
      <c r="AE1322" s="89"/>
      <c r="AN1322" s="89"/>
    </row>
    <row r="1323" spans="4:40" x14ac:dyDescent="0.2">
      <c r="D1323" s="89"/>
      <c r="M1323" s="65"/>
      <c r="V1323" s="89"/>
      <c r="AE1323" s="89"/>
      <c r="AN1323" s="89"/>
    </row>
    <row r="1324" spans="4:40" x14ac:dyDescent="0.2">
      <c r="D1324" s="89"/>
      <c r="M1324" s="65"/>
      <c r="V1324" s="89"/>
      <c r="AE1324" s="89"/>
      <c r="AN1324" s="89"/>
    </row>
    <row r="1325" spans="4:40" x14ac:dyDescent="0.2">
      <c r="D1325" s="89"/>
      <c r="M1325" s="65"/>
      <c r="V1325" s="89"/>
      <c r="AE1325" s="89"/>
      <c r="AN1325" s="89"/>
    </row>
    <row r="1326" spans="4:40" x14ac:dyDescent="0.2">
      <c r="D1326" s="89"/>
      <c r="M1326" s="65"/>
      <c r="V1326" s="89"/>
      <c r="AE1326" s="89"/>
      <c r="AN1326" s="89"/>
    </row>
    <row r="1327" spans="4:40" x14ac:dyDescent="0.2">
      <c r="D1327" s="89"/>
      <c r="M1327" s="65"/>
      <c r="V1327" s="89"/>
      <c r="AE1327" s="89"/>
      <c r="AN1327" s="89"/>
    </row>
    <row r="1328" spans="4:40" x14ac:dyDescent="0.2">
      <c r="D1328" s="89"/>
      <c r="M1328" s="65"/>
      <c r="V1328" s="89"/>
      <c r="AE1328" s="89"/>
      <c r="AN1328" s="89"/>
    </row>
    <row r="1329" spans="4:40" x14ac:dyDescent="0.2">
      <c r="D1329" s="89"/>
      <c r="M1329" s="65"/>
      <c r="V1329" s="89"/>
      <c r="AE1329" s="89"/>
      <c r="AN1329" s="89"/>
    </row>
    <row r="1330" spans="4:40" x14ac:dyDescent="0.2">
      <c r="D1330" s="89"/>
      <c r="M1330" s="65"/>
      <c r="V1330" s="89"/>
      <c r="AE1330" s="89"/>
      <c r="AN1330" s="89"/>
    </row>
    <row r="1331" spans="4:40" x14ac:dyDescent="0.2">
      <c r="D1331" s="89"/>
      <c r="M1331" s="65"/>
      <c r="V1331" s="89"/>
      <c r="AE1331" s="89"/>
      <c r="AN1331" s="89"/>
    </row>
    <row r="1332" spans="4:40" x14ac:dyDescent="0.2">
      <c r="D1332" s="89"/>
      <c r="M1332" s="65"/>
      <c r="V1332" s="89"/>
      <c r="AE1332" s="89"/>
      <c r="AN1332" s="89"/>
    </row>
    <row r="1333" spans="4:40" x14ac:dyDescent="0.2">
      <c r="D1333" s="89"/>
      <c r="M1333" s="65"/>
      <c r="V1333" s="89"/>
      <c r="AE1333" s="89"/>
      <c r="AN1333" s="89"/>
    </row>
    <row r="1334" spans="4:40" x14ac:dyDescent="0.2">
      <c r="D1334" s="89"/>
      <c r="M1334" s="65"/>
      <c r="V1334" s="89"/>
      <c r="AE1334" s="89"/>
      <c r="AN1334" s="89"/>
    </row>
    <row r="1335" spans="4:40" x14ac:dyDescent="0.2">
      <c r="D1335" s="89"/>
      <c r="M1335" s="65"/>
      <c r="V1335" s="89"/>
      <c r="AE1335" s="89"/>
      <c r="AN1335" s="89"/>
    </row>
    <row r="1336" spans="4:40" x14ac:dyDescent="0.2">
      <c r="D1336" s="89"/>
      <c r="M1336" s="65"/>
      <c r="V1336" s="89"/>
      <c r="AE1336" s="89"/>
      <c r="AN1336" s="89"/>
    </row>
    <row r="1337" spans="4:40" x14ac:dyDescent="0.2">
      <c r="D1337" s="89"/>
      <c r="M1337" s="65"/>
      <c r="V1337" s="89"/>
      <c r="AE1337" s="89"/>
      <c r="AN1337" s="89"/>
    </row>
    <row r="1338" spans="4:40" x14ac:dyDescent="0.2">
      <c r="D1338" s="89"/>
      <c r="M1338" s="65"/>
      <c r="V1338" s="89"/>
      <c r="AE1338" s="89"/>
      <c r="AN1338" s="89"/>
    </row>
    <row r="1339" spans="4:40" x14ac:dyDescent="0.2">
      <c r="D1339" s="89"/>
      <c r="M1339" s="65"/>
      <c r="V1339" s="89"/>
      <c r="AE1339" s="89"/>
      <c r="AN1339" s="89"/>
    </row>
    <row r="1340" spans="4:40" x14ac:dyDescent="0.2">
      <c r="D1340" s="89"/>
      <c r="M1340" s="65"/>
      <c r="V1340" s="89"/>
      <c r="AE1340" s="89"/>
      <c r="AN1340" s="89"/>
    </row>
    <row r="1341" spans="4:40" x14ac:dyDescent="0.2">
      <c r="D1341" s="89"/>
      <c r="M1341" s="65"/>
      <c r="V1341" s="89"/>
      <c r="AE1341" s="89"/>
      <c r="AN1341" s="89"/>
    </row>
    <row r="1342" spans="4:40" x14ac:dyDescent="0.2">
      <c r="D1342" s="89"/>
      <c r="M1342" s="65"/>
      <c r="V1342" s="89"/>
      <c r="AE1342" s="89"/>
      <c r="AN1342" s="89"/>
    </row>
    <row r="1343" spans="4:40" x14ac:dyDescent="0.2">
      <c r="D1343" s="89"/>
      <c r="M1343" s="65"/>
      <c r="V1343" s="89"/>
      <c r="AE1343" s="89"/>
      <c r="AN1343" s="89"/>
    </row>
    <row r="1344" spans="4:40" x14ac:dyDescent="0.2">
      <c r="D1344" s="89"/>
      <c r="M1344" s="65"/>
      <c r="V1344" s="89"/>
      <c r="AE1344" s="89"/>
      <c r="AN1344" s="89"/>
    </row>
    <row r="1345" spans="4:40" x14ac:dyDescent="0.2">
      <c r="D1345" s="89"/>
      <c r="M1345" s="65"/>
      <c r="V1345" s="89"/>
      <c r="AE1345" s="89"/>
      <c r="AN1345" s="89"/>
    </row>
    <row r="1346" spans="4:40" x14ac:dyDescent="0.2">
      <c r="D1346" s="89"/>
      <c r="M1346" s="65"/>
      <c r="V1346" s="89"/>
      <c r="AE1346" s="89"/>
      <c r="AN1346" s="89"/>
    </row>
    <row r="1347" spans="4:40" x14ac:dyDescent="0.2">
      <c r="D1347" s="89"/>
      <c r="M1347" s="65"/>
      <c r="V1347" s="89"/>
      <c r="AE1347" s="89"/>
      <c r="AN1347" s="89"/>
    </row>
    <row r="1348" spans="4:40" x14ac:dyDescent="0.2">
      <c r="D1348" s="89"/>
      <c r="M1348" s="65"/>
      <c r="V1348" s="89"/>
      <c r="AE1348" s="89"/>
      <c r="AN1348" s="89"/>
    </row>
    <row r="1349" spans="4:40" x14ac:dyDescent="0.2">
      <c r="D1349" s="89"/>
      <c r="M1349" s="65"/>
      <c r="V1349" s="89"/>
      <c r="AE1349" s="89"/>
      <c r="AN1349" s="89"/>
    </row>
    <row r="1350" spans="4:40" x14ac:dyDescent="0.2">
      <c r="D1350" s="89"/>
      <c r="M1350" s="65"/>
      <c r="V1350" s="89"/>
      <c r="AE1350" s="89"/>
      <c r="AN1350" s="89"/>
    </row>
    <row r="1351" spans="4:40" x14ac:dyDescent="0.2">
      <c r="D1351" s="89"/>
      <c r="M1351" s="65"/>
      <c r="V1351" s="89"/>
      <c r="AE1351" s="89"/>
      <c r="AN1351" s="89"/>
    </row>
    <row r="1352" spans="4:40" x14ac:dyDescent="0.2">
      <c r="D1352" s="89"/>
      <c r="M1352" s="65"/>
      <c r="V1352" s="89"/>
      <c r="AE1352" s="89"/>
      <c r="AN1352" s="89"/>
    </row>
    <row r="1353" spans="4:40" x14ac:dyDescent="0.2">
      <c r="D1353" s="89"/>
      <c r="M1353" s="65"/>
      <c r="V1353" s="89"/>
      <c r="AE1353" s="89"/>
      <c r="AN1353" s="89"/>
    </row>
    <row r="1354" spans="4:40" x14ac:dyDescent="0.2">
      <c r="D1354" s="89"/>
      <c r="M1354" s="65"/>
      <c r="V1354" s="89"/>
      <c r="AE1354" s="89"/>
      <c r="AN1354" s="89"/>
    </row>
    <row r="1355" spans="4:40" x14ac:dyDescent="0.2">
      <c r="D1355" s="89"/>
      <c r="M1355" s="65"/>
      <c r="V1355" s="89"/>
      <c r="AE1355" s="89"/>
      <c r="AN1355" s="89"/>
    </row>
    <row r="1356" spans="4:40" x14ac:dyDescent="0.2">
      <c r="D1356" s="89"/>
      <c r="M1356" s="65"/>
      <c r="V1356" s="89"/>
      <c r="AE1356" s="89"/>
      <c r="AN1356" s="89"/>
    </row>
    <row r="1357" spans="4:40" x14ac:dyDescent="0.2">
      <c r="D1357" s="89"/>
      <c r="M1357" s="65"/>
      <c r="V1357" s="89"/>
      <c r="AE1357" s="89"/>
      <c r="AN1357" s="89"/>
    </row>
    <row r="1358" spans="4:40" x14ac:dyDescent="0.2">
      <c r="D1358" s="89"/>
      <c r="M1358" s="65"/>
      <c r="V1358" s="89"/>
      <c r="AE1358" s="89"/>
      <c r="AN1358" s="89"/>
    </row>
    <row r="1359" spans="4:40" x14ac:dyDescent="0.2">
      <c r="D1359" s="89"/>
      <c r="M1359" s="65"/>
      <c r="V1359" s="89"/>
      <c r="AE1359" s="89"/>
      <c r="AN1359" s="89"/>
    </row>
    <row r="1360" spans="4:40" x14ac:dyDescent="0.2">
      <c r="D1360" s="89"/>
      <c r="M1360" s="65"/>
      <c r="V1360" s="89"/>
      <c r="AE1360" s="89"/>
      <c r="AN1360" s="89"/>
    </row>
    <row r="1361" spans="4:40" x14ac:dyDescent="0.2">
      <c r="D1361" s="89"/>
      <c r="M1361" s="65"/>
      <c r="V1361" s="89"/>
      <c r="AE1361" s="89"/>
      <c r="AN1361" s="89"/>
    </row>
    <row r="1362" spans="4:40" x14ac:dyDescent="0.2">
      <c r="D1362" s="89"/>
      <c r="M1362" s="65"/>
      <c r="V1362" s="89"/>
      <c r="AE1362" s="89"/>
      <c r="AN1362" s="89"/>
    </row>
    <row r="1363" spans="4:40" x14ac:dyDescent="0.2">
      <c r="D1363" s="89"/>
      <c r="M1363" s="65"/>
      <c r="V1363" s="89"/>
      <c r="AE1363" s="89"/>
      <c r="AN1363" s="89"/>
    </row>
    <row r="1364" spans="4:40" x14ac:dyDescent="0.2">
      <c r="D1364" s="89"/>
      <c r="M1364" s="65"/>
      <c r="V1364" s="89"/>
      <c r="AE1364" s="89"/>
      <c r="AN1364" s="89"/>
    </row>
    <row r="1365" spans="4:40" x14ac:dyDescent="0.2">
      <c r="D1365" s="89"/>
      <c r="M1365" s="65"/>
      <c r="V1365" s="89"/>
      <c r="AE1365" s="89"/>
      <c r="AN1365" s="89"/>
    </row>
    <row r="1366" spans="4:40" x14ac:dyDescent="0.2">
      <c r="D1366" s="89"/>
      <c r="M1366" s="65"/>
      <c r="V1366" s="89"/>
      <c r="AE1366" s="89"/>
      <c r="AN1366" s="89"/>
    </row>
    <row r="1367" spans="4:40" x14ac:dyDescent="0.2">
      <c r="D1367" s="89"/>
      <c r="M1367" s="65"/>
      <c r="V1367" s="89"/>
      <c r="AE1367" s="89"/>
      <c r="AN1367" s="89"/>
    </row>
    <row r="1368" spans="4:40" x14ac:dyDescent="0.2">
      <c r="D1368" s="89"/>
      <c r="M1368" s="65"/>
      <c r="V1368" s="89"/>
      <c r="AE1368" s="89"/>
      <c r="AN1368" s="89"/>
    </row>
    <row r="1369" spans="4:40" x14ac:dyDescent="0.2">
      <c r="D1369" s="89"/>
      <c r="M1369" s="65"/>
      <c r="V1369" s="89"/>
      <c r="AE1369" s="89"/>
      <c r="AN1369" s="89"/>
    </row>
    <row r="1370" spans="4:40" x14ac:dyDescent="0.2">
      <c r="D1370" s="89"/>
      <c r="M1370" s="65"/>
      <c r="V1370" s="89"/>
      <c r="AE1370" s="89"/>
      <c r="AN1370" s="89"/>
    </row>
    <row r="1371" spans="4:40" x14ac:dyDescent="0.2">
      <c r="D1371" s="89"/>
      <c r="M1371" s="65"/>
      <c r="V1371" s="89"/>
      <c r="AE1371" s="89"/>
      <c r="AN1371" s="89"/>
    </row>
    <row r="1372" spans="4:40" x14ac:dyDescent="0.2">
      <c r="D1372" s="89"/>
      <c r="M1372" s="65"/>
      <c r="V1372" s="89"/>
      <c r="AE1372" s="89"/>
      <c r="AN1372" s="89"/>
    </row>
    <row r="1373" spans="4:40" x14ac:dyDescent="0.2">
      <c r="D1373" s="89"/>
      <c r="M1373" s="65"/>
      <c r="V1373" s="89"/>
      <c r="AE1373" s="89"/>
      <c r="AN1373" s="89"/>
    </row>
    <row r="1374" spans="4:40" x14ac:dyDescent="0.2">
      <c r="D1374" s="89"/>
      <c r="M1374" s="65"/>
      <c r="V1374" s="89"/>
      <c r="AE1374" s="89"/>
      <c r="AN1374" s="89"/>
    </row>
    <row r="1375" spans="4:40" x14ac:dyDescent="0.2">
      <c r="D1375" s="89"/>
      <c r="M1375" s="65"/>
      <c r="V1375" s="89"/>
      <c r="AE1375" s="89"/>
      <c r="AN1375" s="89"/>
    </row>
    <row r="1376" spans="4:40" x14ac:dyDescent="0.2">
      <c r="D1376" s="89"/>
      <c r="M1376" s="65"/>
      <c r="V1376" s="89"/>
      <c r="AE1376" s="89"/>
      <c r="AN1376" s="89"/>
    </row>
    <row r="1377" spans="4:40" x14ac:dyDescent="0.2">
      <c r="D1377" s="89"/>
      <c r="M1377" s="65"/>
      <c r="V1377" s="89"/>
      <c r="AE1377" s="89"/>
      <c r="AN1377" s="89"/>
    </row>
    <row r="1378" spans="4:40" x14ac:dyDescent="0.2">
      <c r="D1378" s="89"/>
      <c r="M1378" s="65"/>
      <c r="V1378" s="89"/>
      <c r="AE1378" s="89"/>
      <c r="AN1378" s="89"/>
    </row>
    <row r="1379" spans="4:40" x14ac:dyDescent="0.2">
      <c r="D1379" s="89"/>
      <c r="M1379" s="65"/>
      <c r="V1379" s="89"/>
      <c r="AE1379" s="89"/>
      <c r="AN1379" s="89"/>
    </row>
    <row r="1380" spans="4:40" x14ac:dyDescent="0.2">
      <c r="D1380" s="89"/>
      <c r="M1380" s="65"/>
      <c r="V1380" s="89"/>
      <c r="AE1380" s="89"/>
      <c r="AN1380" s="89"/>
    </row>
    <row r="1381" spans="4:40" x14ac:dyDescent="0.2">
      <c r="D1381" s="89"/>
      <c r="M1381" s="65"/>
      <c r="V1381" s="89"/>
      <c r="AE1381" s="89"/>
      <c r="AN1381" s="89"/>
    </row>
    <row r="1382" spans="4:40" x14ac:dyDescent="0.2">
      <c r="D1382" s="89"/>
      <c r="M1382" s="65"/>
      <c r="V1382" s="89"/>
      <c r="AE1382" s="89"/>
      <c r="AN1382" s="89"/>
    </row>
    <row r="1383" spans="4:40" x14ac:dyDescent="0.2">
      <c r="D1383" s="89"/>
      <c r="M1383" s="65"/>
      <c r="V1383" s="89"/>
      <c r="AE1383" s="89"/>
      <c r="AN1383" s="89"/>
    </row>
    <row r="1384" spans="4:40" x14ac:dyDescent="0.2">
      <c r="D1384" s="89"/>
      <c r="M1384" s="65"/>
      <c r="V1384" s="89"/>
      <c r="AE1384" s="89"/>
      <c r="AN1384" s="89"/>
    </row>
    <row r="1385" spans="4:40" x14ac:dyDescent="0.2">
      <c r="D1385" s="89"/>
      <c r="M1385" s="65"/>
      <c r="V1385" s="89"/>
      <c r="AE1385" s="89"/>
      <c r="AN1385" s="89"/>
    </row>
    <row r="1386" spans="4:40" x14ac:dyDescent="0.2">
      <c r="D1386" s="89"/>
      <c r="M1386" s="65"/>
      <c r="V1386" s="89"/>
      <c r="AE1386" s="89"/>
      <c r="AN1386" s="89"/>
    </row>
    <row r="1387" spans="4:40" x14ac:dyDescent="0.2">
      <c r="D1387" s="89"/>
      <c r="M1387" s="65"/>
      <c r="V1387" s="89"/>
      <c r="AE1387" s="89"/>
      <c r="AN1387" s="89"/>
    </row>
    <row r="1388" spans="4:40" x14ac:dyDescent="0.2">
      <c r="D1388" s="89"/>
      <c r="M1388" s="65"/>
      <c r="V1388" s="89"/>
      <c r="AE1388" s="89"/>
      <c r="AN1388" s="89"/>
    </row>
    <row r="1389" spans="4:40" x14ac:dyDescent="0.2">
      <c r="D1389" s="89"/>
      <c r="M1389" s="65"/>
      <c r="V1389" s="89"/>
      <c r="AE1389" s="89"/>
      <c r="AN1389" s="89"/>
    </row>
    <row r="1390" spans="4:40" x14ac:dyDescent="0.2">
      <c r="D1390" s="89"/>
      <c r="M1390" s="65"/>
      <c r="V1390" s="89"/>
      <c r="AE1390" s="89"/>
      <c r="AN1390" s="89"/>
    </row>
    <row r="1391" spans="4:40" x14ac:dyDescent="0.2">
      <c r="D1391" s="89"/>
      <c r="M1391" s="65"/>
      <c r="V1391" s="89"/>
      <c r="AE1391" s="89"/>
      <c r="AN1391" s="89"/>
    </row>
    <row r="1392" spans="4:40" x14ac:dyDescent="0.2">
      <c r="D1392" s="89"/>
      <c r="M1392" s="65"/>
      <c r="V1392" s="89"/>
      <c r="AE1392" s="89"/>
      <c r="AN1392" s="89"/>
    </row>
    <row r="1393" spans="4:40" x14ac:dyDescent="0.2">
      <c r="D1393" s="89"/>
      <c r="M1393" s="65"/>
      <c r="V1393" s="89"/>
      <c r="AE1393" s="89"/>
      <c r="AN1393" s="89"/>
    </row>
    <row r="1394" spans="4:40" x14ac:dyDescent="0.2">
      <c r="D1394" s="89"/>
      <c r="M1394" s="65"/>
      <c r="V1394" s="89"/>
      <c r="AE1394" s="89"/>
      <c r="AN1394" s="89"/>
    </row>
    <row r="1395" spans="4:40" x14ac:dyDescent="0.2">
      <c r="D1395" s="89"/>
      <c r="M1395" s="65"/>
      <c r="V1395" s="89"/>
      <c r="AE1395" s="89"/>
      <c r="AN1395" s="89"/>
    </row>
    <row r="1396" spans="4:40" x14ac:dyDescent="0.2">
      <c r="D1396" s="89"/>
      <c r="M1396" s="65"/>
      <c r="V1396" s="89"/>
      <c r="AE1396" s="89"/>
      <c r="AN1396" s="89"/>
    </row>
    <row r="1397" spans="4:40" x14ac:dyDescent="0.2">
      <c r="D1397" s="89"/>
      <c r="M1397" s="65"/>
      <c r="V1397" s="89"/>
      <c r="AE1397" s="89"/>
      <c r="AN1397" s="89"/>
    </row>
    <row r="1398" spans="4:40" x14ac:dyDescent="0.2">
      <c r="D1398" s="89"/>
      <c r="M1398" s="65"/>
      <c r="V1398" s="89"/>
      <c r="AE1398" s="89"/>
      <c r="AN1398" s="89"/>
    </row>
    <row r="1399" spans="4:40" x14ac:dyDescent="0.2">
      <c r="D1399" s="89"/>
      <c r="M1399" s="65"/>
      <c r="V1399" s="89"/>
      <c r="AE1399" s="89"/>
      <c r="AN1399" s="89"/>
    </row>
    <row r="1400" spans="4:40" x14ac:dyDescent="0.2">
      <c r="D1400" s="89"/>
      <c r="M1400" s="65"/>
      <c r="V1400" s="89"/>
      <c r="AE1400" s="89"/>
      <c r="AN1400" s="89"/>
    </row>
    <row r="1401" spans="4:40" x14ac:dyDescent="0.2">
      <c r="D1401" s="89"/>
      <c r="M1401" s="65"/>
      <c r="V1401" s="89"/>
      <c r="AE1401" s="89"/>
      <c r="AN1401" s="89"/>
    </row>
    <row r="1402" spans="4:40" x14ac:dyDescent="0.2">
      <c r="D1402" s="89"/>
      <c r="M1402" s="65"/>
      <c r="V1402" s="89"/>
      <c r="AE1402" s="89"/>
      <c r="AN1402" s="89"/>
    </row>
    <row r="1403" spans="4:40" x14ac:dyDescent="0.2">
      <c r="D1403" s="89"/>
      <c r="M1403" s="65"/>
      <c r="V1403" s="89"/>
      <c r="AE1403" s="89"/>
      <c r="AN1403" s="89"/>
    </row>
    <row r="1404" spans="4:40" x14ac:dyDescent="0.2">
      <c r="D1404" s="89"/>
      <c r="M1404" s="65"/>
      <c r="V1404" s="89"/>
      <c r="AE1404" s="89"/>
      <c r="AN1404" s="89"/>
    </row>
    <row r="1405" spans="4:40" x14ac:dyDescent="0.2">
      <c r="D1405" s="89"/>
      <c r="M1405" s="65"/>
      <c r="V1405" s="89"/>
      <c r="AE1405" s="89"/>
      <c r="AN1405" s="89"/>
    </row>
    <row r="1406" spans="4:40" x14ac:dyDescent="0.2">
      <c r="D1406" s="89"/>
      <c r="M1406" s="65"/>
      <c r="V1406" s="89"/>
      <c r="AE1406" s="89"/>
      <c r="AN1406" s="89"/>
    </row>
    <row r="1407" spans="4:40" x14ac:dyDescent="0.2">
      <c r="D1407" s="89"/>
      <c r="M1407" s="65"/>
      <c r="V1407" s="89"/>
      <c r="AE1407" s="89"/>
      <c r="AN1407" s="89"/>
    </row>
    <row r="1408" spans="4:40" x14ac:dyDescent="0.2">
      <c r="D1408" s="89"/>
      <c r="M1408" s="65"/>
      <c r="V1408" s="89"/>
      <c r="AE1408" s="89"/>
      <c r="AN1408" s="89"/>
    </row>
    <row r="1409" spans="4:40" x14ac:dyDescent="0.2">
      <c r="D1409" s="89"/>
      <c r="M1409" s="65"/>
      <c r="V1409" s="89"/>
      <c r="AE1409" s="89"/>
      <c r="AN1409" s="89"/>
    </row>
    <row r="1410" spans="4:40" x14ac:dyDescent="0.2">
      <c r="D1410" s="89"/>
      <c r="M1410" s="65"/>
      <c r="V1410" s="89"/>
      <c r="AE1410" s="89"/>
      <c r="AN1410" s="89"/>
    </row>
    <row r="1411" spans="4:40" x14ac:dyDescent="0.2">
      <c r="D1411" s="89"/>
      <c r="M1411" s="65"/>
      <c r="V1411" s="89"/>
      <c r="AE1411" s="89"/>
      <c r="AN1411" s="89"/>
    </row>
    <row r="1412" spans="4:40" x14ac:dyDescent="0.2">
      <c r="D1412" s="89"/>
      <c r="M1412" s="65"/>
      <c r="V1412" s="89"/>
      <c r="AE1412" s="89"/>
      <c r="AN1412" s="89"/>
    </row>
    <row r="1413" spans="4:40" x14ac:dyDescent="0.2">
      <c r="D1413" s="89"/>
      <c r="M1413" s="65"/>
      <c r="V1413" s="89"/>
      <c r="AE1413" s="89"/>
      <c r="AN1413" s="89"/>
    </row>
    <row r="1414" spans="4:40" x14ac:dyDescent="0.2">
      <c r="D1414" s="89"/>
      <c r="M1414" s="65"/>
      <c r="V1414" s="89"/>
      <c r="AE1414" s="89"/>
      <c r="AN1414" s="89"/>
    </row>
    <row r="1415" spans="4:40" x14ac:dyDescent="0.2">
      <c r="D1415" s="89"/>
      <c r="M1415" s="65"/>
      <c r="V1415" s="89"/>
      <c r="AE1415" s="89"/>
      <c r="AN1415" s="89"/>
    </row>
    <row r="1416" spans="4:40" x14ac:dyDescent="0.2">
      <c r="D1416" s="89"/>
      <c r="M1416" s="65"/>
      <c r="V1416" s="89"/>
      <c r="AE1416" s="89"/>
      <c r="AN1416" s="89"/>
    </row>
    <row r="1417" spans="4:40" x14ac:dyDescent="0.2">
      <c r="D1417" s="89"/>
      <c r="M1417" s="65"/>
      <c r="V1417" s="89"/>
      <c r="AE1417" s="89"/>
      <c r="AN1417" s="89"/>
    </row>
    <row r="1418" spans="4:40" x14ac:dyDescent="0.2">
      <c r="D1418" s="89"/>
      <c r="M1418" s="65"/>
      <c r="V1418" s="89"/>
      <c r="AE1418" s="89"/>
      <c r="AN1418" s="89"/>
    </row>
    <row r="1419" spans="4:40" x14ac:dyDescent="0.2">
      <c r="D1419" s="89"/>
      <c r="M1419" s="65"/>
      <c r="V1419" s="89"/>
      <c r="AE1419" s="89"/>
      <c r="AN1419" s="89"/>
    </row>
    <row r="1420" spans="4:40" x14ac:dyDescent="0.2">
      <c r="D1420" s="89"/>
      <c r="M1420" s="65"/>
      <c r="V1420" s="89"/>
      <c r="AE1420" s="89"/>
      <c r="AN1420" s="89"/>
    </row>
    <row r="1421" spans="4:40" x14ac:dyDescent="0.2">
      <c r="D1421" s="89"/>
      <c r="M1421" s="65"/>
      <c r="V1421" s="89"/>
      <c r="AE1421" s="89"/>
      <c r="AN1421" s="89"/>
    </row>
    <row r="1422" spans="4:40" x14ac:dyDescent="0.2">
      <c r="D1422" s="89"/>
      <c r="M1422" s="65"/>
      <c r="V1422" s="89"/>
      <c r="AE1422" s="89"/>
      <c r="AN1422" s="89"/>
    </row>
    <row r="1423" spans="4:40" x14ac:dyDescent="0.2">
      <c r="D1423" s="89"/>
      <c r="M1423" s="65"/>
      <c r="V1423" s="89"/>
      <c r="AE1423" s="89"/>
      <c r="AN1423" s="89"/>
    </row>
    <row r="1424" spans="4:40" x14ac:dyDescent="0.2">
      <c r="D1424" s="89"/>
      <c r="M1424" s="65"/>
      <c r="V1424" s="89"/>
      <c r="AE1424" s="89"/>
      <c r="AN1424" s="89"/>
    </row>
    <row r="1425" spans="4:40" x14ac:dyDescent="0.2">
      <c r="D1425" s="89"/>
      <c r="M1425" s="65"/>
      <c r="V1425" s="89"/>
      <c r="AE1425" s="89"/>
      <c r="AN1425" s="89"/>
    </row>
    <row r="1426" spans="4:40" x14ac:dyDescent="0.2">
      <c r="D1426" s="89"/>
      <c r="M1426" s="65"/>
      <c r="V1426" s="89"/>
      <c r="AE1426" s="89"/>
      <c r="AN1426" s="89"/>
    </row>
    <row r="1427" spans="4:40" x14ac:dyDescent="0.2">
      <c r="D1427" s="89"/>
      <c r="M1427" s="65"/>
      <c r="V1427" s="89"/>
      <c r="AE1427" s="89"/>
      <c r="AN1427" s="89"/>
    </row>
    <row r="1428" spans="4:40" x14ac:dyDescent="0.2">
      <c r="D1428" s="89"/>
      <c r="M1428" s="65"/>
      <c r="V1428" s="89"/>
      <c r="AE1428" s="89"/>
      <c r="AN1428" s="89"/>
    </row>
    <row r="1429" spans="4:40" x14ac:dyDescent="0.2">
      <c r="D1429" s="89"/>
      <c r="M1429" s="65"/>
      <c r="V1429" s="89"/>
      <c r="AE1429" s="89"/>
      <c r="AN1429" s="89"/>
    </row>
    <row r="1430" spans="4:40" x14ac:dyDescent="0.2">
      <c r="D1430" s="89"/>
      <c r="M1430" s="65"/>
      <c r="V1430" s="89"/>
      <c r="AE1430" s="89"/>
      <c r="AN1430" s="89"/>
    </row>
    <row r="1431" spans="4:40" x14ac:dyDescent="0.2">
      <c r="D1431" s="89"/>
      <c r="M1431" s="65"/>
      <c r="V1431" s="89"/>
      <c r="AE1431" s="89"/>
      <c r="AN1431" s="89"/>
    </row>
    <row r="1432" spans="4:40" x14ac:dyDescent="0.2">
      <c r="D1432" s="89"/>
      <c r="M1432" s="65"/>
      <c r="V1432" s="89"/>
      <c r="AE1432" s="89"/>
      <c r="AN1432" s="89"/>
    </row>
    <row r="1433" spans="4:40" x14ac:dyDescent="0.2">
      <c r="D1433" s="89"/>
      <c r="M1433" s="65"/>
      <c r="V1433" s="89"/>
      <c r="AE1433" s="89"/>
      <c r="AN1433" s="89"/>
    </row>
    <row r="1434" spans="4:40" x14ac:dyDescent="0.2">
      <c r="D1434" s="89"/>
      <c r="M1434" s="65"/>
      <c r="V1434" s="89"/>
      <c r="AE1434" s="89"/>
      <c r="AN1434" s="89"/>
    </row>
    <row r="1435" spans="4:40" x14ac:dyDescent="0.2">
      <c r="D1435" s="89"/>
      <c r="M1435" s="65"/>
      <c r="V1435" s="89"/>
      <c r="AE1435" s="89"/>
      <c r="AN1435" s="89"/>
    </row>
    <row r="1436" spans="4:40" x14ac:dyDescent="0.2">
      <c r="D1436" s="89"/>
      <c r="M1436" s="65"/>
      <c r="V1436" s="89"/>
      <c r="AE1436" s="89"/>
      <c r="AN1436" s="89"/>
    </row>
    <row r="1437" spans="4:40" x14ac:dyDescent="0.2">
      <c r="D1437" s="89"/>
      <c r="M1437" s="65"/>
      <c r="V1437" s="89"/>
      <c r="AE1437" s="89"/>
      <c r="AN1437" s="89"/>
    </row>
    <row r="1438" spans="4:40" x14ac:dyDescent="0.2">
      <c r="D1438" s="89"/>
      <c r="M1438" s="65"/>
      <c r="V1438" s="89"/>
      <c r="AE1438" s="89"/>
      <c r="AN1438" s="89"/>
    </row>
    <row r="1439" spans="4:40" x14ac:dyDescent="0.2">
      <c r="D1439" s="89"/>
      <c r="M1439" s="65"/>
      <c r="V1439" s="89"/>
      <c r="AE1439" s="89"/>
      <c r="AN1439" s="89"/>
    </row>
    <row r="1440" spans="4:40" x14ac:dyDescent="0.2">
      <c r="D1440" s="89"/>
      <c r="M1440" s="65"/>
      <c r="V1440" s="89"/>
      <c r="AE1440" s="89"/>
      <c r="AN1440" s="89"/>
    </row>
    <row r="1441" spans="4:40" x14ac:dyDescent="0.2">
      <c r="D1441" s="89"/>
      <c r="M1441" s="65"/>
      <c r="V1441" s="89"/>
      <c r="AE1441" s="89"/>
      <c r="AN1441" s="89"/>
    </row>
    <row r="1442" spans="4:40" x14ac:dyDescent="0.2">
      <c r="D1442" s="89"/>
      <c r="M1442" s="65"/>
      <c r="V1442" s="89"/>
      <c r="AE1442" s="89"/>
      <c r="AN1442" s="89"/>
    </row>
    <row r="1443" spans="4:40" x14ac:dyDescent="0.2">
      <c r="D1443" s="89"/>
      <c r="M1443" s="65"/>
      <c r="V1443" s="89"/>
      <c r="AE1443" s="89"/>
      <c r="AN1443" s="89"/>
    </row>
    <row r="1444" spans="4:40" x14ac:dyDescent="0.2">
      <c r="D1444" s="89"/>
      <c r="M1444" s="65"/>
      <c r="V1444" s="89"/>
      <c r="AE1444" s="89"/>
      <c r="AN1444" s="89"/>
    </row>
    <row r="1445" spans="4:40" x14ac:dyDescent="0.2">
      <c r="D1445" s="89"/>
      <c r="M1445" s="65"/>
      <c r="V1445" s="89"/>
      <c r="AE1445" s="89"/>
      <c r="AN1445" s="89"/>
    </row>
    <row r="1446" spans="4:40" x14ac:dyDescent="0.2">
      <c r="D1446" s="89"/>
      <c r="M1446" s="65"/>
      <c r="V1446" s="89"/>
      <c r="AE1446" s="89"/>
      <c r="AN1446" s="89"/>
    </row>
    <row r="1447" spans="4:40" x14ac:dyDescent="0.2">
      <c r="D1447" s="89"/>
      <c r="M1447" s="65"/>
      <c r="V1447" s="89"/>
      <c r="AE1447" s="89"/>
      <c r="AN1447" s="89"/>
    </row>
    <row r="1448" spans="4:40" x14ac:dyDescent="0.2">
      <c r="D1448" s="89"/>
      <c r="M1448" s="65"/>
      <c r="V1448" s="89"/>
      <c r="AE1448" s="89"/>
      <c r="AN1448" s="89"/>
    </row>
    <row r="1449" spans="4:40" x14ac:dyDescent="0.2">
      <c r="D1449" s="89"/>
      <c r="M1449" s="65"/>
      <c r="V1449" s="89"/>
      <c r="AE1449" s="89"/>
      <c r="AN1449" s="89"/>
    </row>
    <row r="1450" spans="4:40" x14ac:dyDescent="0.2">
      <c r="D1450" s="89"/>
      <c r="M1450" s="65"/>
      <c r="V1450" s="89"/>
      <c r="AE1450" s="89"/>
      <c r="AN1450" s="89"/>
    </row>
    <row r="1451" spans="4:40" x14ac:dyDescent="0.2">
      <c r="D1451" s="89"/>
      <c r="M1451" s="65"/>
      <c r="V1451" s="89"/>
      <c r="AE1451" s="89"/>
      <c r="AN1451" s="89"/>
    </row>
    <row r="1452" spans="4:40" x14ac:dyDescent="0.2">
      <c r="D1452" s="89"/>
      <c r="M1452" s="65"/>
      <c r="V1452" s="89"/>
      <c r="AE1452" s="89"/>
      <c r="AN1452" s="89"/>
    </row>
    <row r="1453" spans="4:40" x14ac:dyDescent="0.2">
      <c r="D1453" s="89"/>
      <c r="M1453" s="65"/>
      <c r="V1453" s="89"/>
      <c r="AE1453" s="89"/>
      <c r="AN1453" s="89"/>
    </row>
    <row r="1454" spans="4:40" x14ac:dyDescent="0.2">
      <c r="D1454" s="89"/>
      <c r="M1454" s="65"/>
      <c r="V1454" s="89"/>
      <c r="AE1454" s="89"/>
      <c r="AN1454" s="89"/>
    </row>
    <row r="1455" spans="4:40" x14ac:dyDescent="0.2">
      <c r="D1455" s="89"/>
      <c r="M1455" s="65"/>
      <c r="V1455" s="89"/>
      <c r="AE1455" s="89"/>
      <c r="AN1455" s="89"/>
    </row>
    <row r="1456" spans="4:40" x14ac:dyDescent="0.2">
      <c r="D1456" s="89"/>
      <c r="M1456" s="65"/>
      <c r="V1456" s="89"/>
      <c r="AE1456" s="89"/>
      <c r="AN1456" s="89"/>
    </row>
    <row r="1457" spans="4:40" x14ac:dyDescent="0.2">
      <c r="D1457" s="89"/>
      <c r="M1457" s="65"/>
      <c r="V1457" s="89"/>
      <c r="AE1457" s="89"/>
      <c r="AN1457" s="89"/>
    </row>
    <row r="1458" spans="4:40" x14ac:dyDescent="0.2">
      <c r="D1458" s="89"/>
      <c r="M1458" s="65"/>
      <c r="V1458" s="89"/>
      <c r="AE1458" s="89"/>
      <c r="AN1458" s="89"/>
    </row>
    <row r="1459" spans="4:40" x14ac:dyDescent="0.2">
      <c r="D1459" s="89"/>
      <c r="M1459" s="65"/>
      <c r="V1459" s="89"/>
      <c r="AE1459" s="89"/>
      <c r="AN1459" s="89"/>
    </row>
    <row r="1460" spans="4:40" x14ac:dyDescent="0.2">
      <c r="D1460" s="89"/>
      <c r="M1460" s="65"/>
      <c r="V1460" s="89"/>
      <c r="AE1460" s="89"/>
      <c r="AN1460" s="89"/>
    </row>
    <row r="1461" spans="4:40" x14ac:dyDescent="0.2">
      <c r="D1461" s="89"/>
      <c r="M1461" s="65"/>
      <c r="V1461" s="89"/>
      <c r="AE1461" s="89"/>
      <c r="AN1461" s="89"/>
    </row>
    <row r="1462" spans="4:40" x14ac:dyDescent="0.2">
      <c r="D1462" s="89"/>
      <c r="M1462" s="65"/>
      <c r="V1462" s="89"/>
      <c r="AE1462" s="89"/>
      <c r="AN1462" s="89"/>
    </row>
    <row r="1463" spans="4:40" x14ac:dyDescent="0.2">
      <c r="D1463" s="89"/>
      <c r="M1463" s="65"/>
      <c r="V1463" s="89"/>
      <c r="AE1463" s="89"/>
      <c r="AN1463" s="89"/>
    </row>
    <row r="1464" spans="4:40" x14ac:dyDescent="0.2">
      <c r="D1464" s="89"/>
      <c r="M1464" s="65"/>
      <c r="V1464" s="89"/>
      <c r="AE1464" s="89"/>
      <c r="AN1464" s="89"/>
    </row>
    <row r="1465" spans="4:40" x14ac:dyDescent="0.2">
      <c r="D1465" s="89"/>
      <c r="M1465" s="65"/>
      <c r="V1465" s="89"/>
      <c r="AE1465" s="89"/>
      <c r="AN1465" s="89"/>
    </row>
    <row r="1466" spans="4:40" x14ac:dyDescent="0.2">
      <c r="D1466" s="89"/>
      <c r="M1466" s="65"/>
      <c r="V1466" s="89"/>
      <c r="AE1466" s="89"/>
      <c r="AN1466" s="89"/>
    </row>
    <row r="1467" spans="4:40" x14ac:dyDescent="0.2">
      <c r="D1467" s="89"/>
      <c r="M1467" s="65"/>
      <c r="V1467" s="89"/>
      <c r="AE1467" s="89"/>
      <c r="AN1467" s="89"/>
    </row>
    <row r="1468" spans="4:40" x14ac:dyDescent="0.2">
      <c r="D1468" s="89"/>
      <c r="M1468" s="65"/>
      <c r="V1468" s="89"/>
      <c r="AE1468" s="89"/>
      <c r="AN1468" s="89"/>
    </row>
    <row r="1469" spans="4:40" x14ac:dyDescent="0.2">
      <c r="D1469" s="89"/>
      <c r="M1469" s="65"/>
      <c r="V1469" s="89"/>
      <c r="AE1469" s="89"/>
      <c r="AN1469" s="89"/>
    </row>
    <row r="1470" spans="4:40" x14ac:dyDescent="0.2">
      <c r="D1470" s="89"/>
      <c r="M1470" s="65"/>
      <c r="V1470" s="89"/>
      <c r="AE1470" s="89"/>
      <c r="AN1470" s="89"/>
    </row>
    <row r="1471" spans="4:40" x14ac:dyDescent="0.2">
      <c r="D1471" s="89"/>
      <c r="M1471" s="65"/>
      <c r="V1471" s="89"/>
      <c r="AE1471" s="89"/>
      <c r="AN1471" s="89"/>
    </row>
    <row r="1472" spans="4:40" x14ac:dyDescent="0.2">
      <c r="D1472" s="89"/>
      <c r="M1472" s="65"/>
      <c r="V1472" s="89"/>
      <c r="AE1472" s="89"/>
      <c r="AN1472" s="89"/>
    </row>
    <row r="1473" spans="4:40" x14ac:dyDescent="0.2">
      <c r="D1473" s="89"/>
      <c r="M1473" s="65"/>
      <c r="V1473" s="89"/>
      <c r="AE1473" s="89"/>
      <c r="AN1473" s="89"/>
    </row>
    <row r="1474" spans="4:40" x14ac:dyDescent="0.2">
      <c r="D1474" s="89"/>
      <c r="M1474" s="65"/>
      <c r="V1474" s="89"/>
      <c r="AE1474" s="89"/>
      <c r="AN1474" s="89"/>
    </row>
    <row r="1475" spans="4:40" x14ac:dyDescent="0.2">
      <c r="D1475" s="89"/>
      <c r="M1475" s="65"/>
      <c r="V1475" s="89"/>
      <c r="AE1475" s="89"/>
      <c r="AN1475" s="89"/>
    </row>
    <row r="1476" spans="4:40" x14ac:dyDescent="0.2">
      <c r="D1476" s="89"/>
      <c r="M1476" s="65"/>
      <c r="V1476" s="89"/>
      <c r="AE1476" s="89"/>
      <c r="AN1476" s="89"/>
    </row>
    <row r="1477" spans="4:40" x14ac:dyDescent="0.2">
      <c r="D1477" s="89"/>
      <c r="M1477" s="65"/>
      <c r="V1477" s="89"/>
      <c r="AE1477" s="89"/>
      <c r="AN1477" s="89"/>
    </row>
    <row r="1478" spans="4:40" x14ac:dyDescent="0.2">
      <c r="D1478" s="89"/>
      <c r="M1478" s="65"/>
      <c r="V1478" s="89"/>
      <c r="AE1478" s="89"/>
      <c r="AN1478" s="89"/>
    </row>
    <row r="1479" spans="4:40" x14ac:dyDescent="0.2">
      <c r="D1479" s="89"/>
      <c r="M1479" s="65"/>
      <c r="V1479" s="89"/>
      <c r="AE1479" s="89"/>
      <c r="AN1479" s="89"/>
    </row>
    <row r="1480" spans="4:40" x14ac:dyDescent="0.2">
      <c r="D1480" s="89"/>
      <c r="M1480" s="65"/>
      <c r="V1480" s="89"/>
      <c r="AE1480" s="89"/>
      <c r="AN1480" s="89"/>
    </row>
    <row r="1481" spans="4:40" x14ac:dyDescent="0.2">
      <c r="D1481" s="89"/>
      <c r="M1481" s="65"/>
      <c r="V1481" s="89"/>
      <c r="AE1481" s="89"/>
      <c r="AN1481" s="89"/>
    </row>
    <row r="1482" spans="4:40" x14ac:dyDescent="0.2">
      <c r="D1482" s="89"/>
      <c r="M1482" s="65"/>
      <c r="V1482" s="89"/>
      <c r="AE1482" s="89"/>
      <c r="AN1482" s="89"/>
    </row>
    <row r="1483" spans="4:40" x14ac:dyDescent="0.2">
      <c r="D1483" s="89"/>
      <c r="M1483" s="65"/>
      <c r="V1483" s="89"/>
      <c r="AE1483" s="89"/>
      <c r="AN1483" s="89"/>
    </row>
    <row r="1484" spans="4:40" x14ac:dyDescent="0.2">
      <c r="D1484" s="89"/>
      <c r="M1484" s="65"/>
      <c r="V1484" s="89"/>
      <c r="AE1484" s="89"/>
      <c r="AN1484" s="89"/>
    </row>
    <row r="1485" spans="4:40" x14ac:dyDescent="0.2">
      <c r="D1485" s="89"/>
      <c r="M1485" s="65"/>
      <c r="V1485" s="89"/>
      <c r="AE1485" s="89"/>
      <c r="AN1485" s="89"/>
    </row>
    <row r="1486" spans="4:40" x14ac:dyDescent="0.2">
      <c r="D1486" s="89"/>
      <c r="M1486" s="65"/>
      <c r="V1486" s="89"/>
      <c r="AE1486" s="89"/>
      <c r="AN1486" s="89"/>
    </row>
    <row r="1487" spans="4:40" x14ac:dyDescent="0.2">
      <c r="D1487" s="89"/>
      <c r="M1487" s="65"/>
      <c r="V1487" s="89"/>
      <c r="AE1487" s="89"/>
      <c r="AN1487" s="89"/>
    </row>
    <row r="1488" spans="4:40" x14ac:dyDescent="0.2">
      <c r="D1488" s="89"/>
      <c r="M1488" s="65"/>
      <c r="V1488" s="89"/>
      <c r="AE1488" s="89"/>
      <c r="AN1488" s="89"/>
    </row>
    <row r="1489" spans="4:40" x14ac:dyDescent="0.2">
      <c r="D1489" s="89"/>
      <c r="M1489" s="65"/>
      <c r="V1489" s="89"/>
      <c r="AE1489" s="89"/>
      <c r="AN1489" s="89"/>
    </row>
    <row r="1490" spans="4:40" x14ac:dyDescent="0.2">
      <c r="D1490" s="89"/>
      <c r="M1490" s="65"/>
      <c r="V1490" s="89"/>
      <c r="AE1490" s="89"/>
      <c r="AN1490" s="89"/>
    </row>
    <row r="1491" spans="4:40" x14ac:dyDescent="0.2">
      <c r="D1491" s="89"/>
      <c r="M1491" s="65"/>
      <c r="V1491" s="89"/>
      <c r="AE1491" s="89"/>
      <c r="AN1491" s="89"/>
    </row>
    <row r="1492" spans="4:40" x14ac:dyDescent="0.2">
      <c r="D1492" s="89"/>
      <c r="M1492" s="65"/>
      <c r="V1492" s="89"/>
      <c r="AE1492" s="89"/>
      <c r="AN1492" s="89"/>
    </row>
    <row r="1493" spans="4:40" x14ac:dyDescent="0.2">
      <c r="D1493" s="89"/>
      <c r="M1493" s="65"/>
      <c r="V1493" s="89"/>
      <c r="AE1493" s="89"/>
      <c r="AN1493" s="89"/>
    </row>
    <row r="1494" spans="4:40" x14ac:dyDescent="0.2">
      <c r="D1494" s="89"/>
      <c r="M1494" s="65"/>
      <c r="V1494" s="89"/>
      <c r="AE1494" s="89"/>
      <c r="AN1494" s="89"/>
    </row>
    <row r="1495" spans="4:40" x14ac:dyDescent="0.2">
      <c r="D1495" s="89"/>
      <c r="M1495" s="65"/>
      <c r="V1495" s="89"/>
      <c r="AE1495" s="89"/>
      <c r="AN1495" s="89"/>
    </row>
    <row r="1496" spans="4:40" x14ac:dyDescent="0.2">
      <c r="D1496" s="89"/>
      <c r="M1496" s="65"/>
      <c r="V1496" s="89"/>
      <c r="AE1496" s="89"/>
      <c r="AN1496" s="89"/>
    </row>
    <row r="1497" spans="4:40" x14ac:dyDescent="0.2">
      <c r="D1497" s="89"/>
      <c r="M1497" s="65"/>
      <c r="V1497" s="89"/>
      <c r="AE1497" s="89"/>
      <c r="AN1497" s="89"/>
    </row>
    <row r="1498" spans="4:40" x14ac:dyDescent="0.2">
      <c r="D1498" s="89"/>
      <c r="M1498" s="65"/>
      <c r="V1498" s="89"/>
      <c r="AE1498" s="89"/>
      <c r="AN1498" s="89"/>
    </row>
    <row r="1499" spans="4:40" x14ac:dyDescent="0.2">
      <c r="D1499" s="89"/>
      <c r="M1499" s="65"/>
      <c r="V1499" s="89"/>
      <c r="AE1499" s="89"/>
      <c r="AN1499" s="89"/>
    </row>
    <row r="1500" spans="4:40" x14ac:dyDescent="0.2">
      <c r="D1500" s="89"/>
      <c r="M1500" s="65"/>
      <c r="V1500" s="89"/>
      <c r="AE1500" s="89"/>
      <c r="AN1500" s="89"/>
    </row>
    <row r="1501" spans="4:40" x14ac:dyDescent="0.2">
      <c r="D1501" s="89"/>
      <c r="M1501" s="65"/>
      <c r="V1501" s="89"/>
      <c r="AE1501" s="89"/>
      <c r="AN1501" s="89"/>
    </row>
    <row r="1502" spans="4:40" x14ac:dyDescent="0.2">
      <c r="D1502" s="89"/>
      <c r="M1502" s="65"/>
      <c r="V1502" s="89"/>
      <c r="AE1502" s="89"/>
      <c r="AN1502" s="89"/>
    </row>
    <row r="1503" spans="4:40" x14ac:dyDescent="0.2">
      <c r="D1503" s="89"/>
      <c r="M1503" s="65"/>
      <c r="V1503" s="89"/>
      <c r="AE1503" s="89"/>
      <c r="AN1503" s="89"/>
    </row>
    <row r="1504" spans="4:40" x14ac:dyDescent="0.2">
      <c r="D1504" s="89"/>
      <c r="M1504" s="65"/>
      <c r="V1504" s="89"/>
      <c r="AE1504" s="89"/>
      <c r="AN1504" s="89"/>
    </row>
    <row r="1505" spans="4:40" x14ac:dyDescent="0.2">
      <c r="D1505" s="89"/>
      <c r="M1505" s="65"/>
      <c r="V1505" s="89"/>
      <c r="AE1505" s="89"/>
      <c r="AN1505" s="89"/>
    </row>
    <row r="1506" spans="4:40" x14ac:dyDescent="0.2">
      <c r="D1506" s="89"/>
      <c r="M1506" s="65"/>
      <c r="V1506" s="89"/>
      <c r="AE1506" s="89"/>
      <c r="AN1506" s="89"/>
    </row>
    <row r="1507" spans="4:40" x14ac:dyDescent="0.2">
      <c r="D1507" s="89"/>
      <c r="M1507" s="65"/>
      <c r="V1507" s="89"/>
      <c r="AE1507" s="89"/>
      <c r="AN1507" s="89"/>
    </row>
    <row r="1508" spans="4:40" x14ac:dyDescent="0.2">
      <c r="D1508" s="89"/>
      <c r="M1508" s="65"/>
      <c r="V1508" s="89"/>
      <c r="AE1508" s="89"/>
      <c r="AN1508" s="89"/>
    </row>
    <row r="1509" spans="4:40" x14ac:dyDescent="0.2">
      <c r="D1509" s="89"/>
      <c r="M1509" s="65"/>
      <c r="V1509" s="89"/>
      <c r="AE1509" s="89"/>
      <c r="AN1509" s="89"/>
    </row>
    <row r="1510" spans="4:40" x14ac:dyDescent="0.2">
      <c r="D1510" s="89"/>
      <c r="M1510" s="65"/>
      <c r="V1510" s="89"/>
      <c r="AE1510" s="89"/>
      <c r="AN1510" s="89"/>
    </row>
    <row r="1511" spans="4:40" x14ac:dyDescent="0.2">
      <c r="D1511" s="89"/>
      <c r="M1511" s="65"/>
      <c r="V1511" s="89"/>
      <c r="AE1511" s="89"/>
      <c r="AN1511" s="89"/>
    </row>
    <row r="1512" spans="4:40" x14ac:dyDescent="0.2">
      <c r="D1512" s="89"/>
      <c r="M1512" s="65"/>
      <c r="V1512" s="89"/>
      <c r="AE1512" s="89"/>
      <c r="AN1512" s="89"/>
    </row>
    <row r="1513" spans="4:40" x14ac:dyDescent="0.2">
      <c r="D1513" s="89"/>
      <c r="M1513" s="65"/>
      <c r="V1513" s="89"/>
      <c r="AE1513" s="89"/>
      <c r="AN1513" s="89"/>
    </row>
    <row r="1514" spans="4:40" x14ac:dyDescent="0.2">
      <c r="D1514" s="89"/>
      <c r="M1514" s="65"/>
      <c r="V1514" s="89"/>
      <c r="AE1514" s="89"/>
      <c r="AN1514" s="89"/>
    </row>
    <row r="1515" spans="4:40" x14ac:dyDescent="0.2">
      <c r="D1515" s="89"/>
      <c r="M1515" s="65"/>
      <c r="V1515" s="89"/>
      <c r="AE1515" s="89"/>
      <c r="AN1515" s="89"/>
    </row>
    <row r="1516" spans="4:40" x14ac:dyDescent="0.2">
      <c r="D1516" s="89"/>
      <c r="M1516" s="65"/>
      <c r="V1516" s="89"/>
      <c r="AE1516" s="89"/>
      <c r="AN1516" s="89"/>
    </row>
    <row r="1517" spans="4:40" x14ac:dyDescent="0.2">
      <c r="D1517" s="89"/>
      <c r="M1517" s="65"/>
      <c r="V1517" s="89"/>
      <c r="AE1517" s="89"/>
      <c r="AN1517" s="89"/>
    </row>
    <row r="1518" spans="4:40" x14ac:dyDescent="0.2">
      <c r="D1518" s="89"/>
      <c r="M1518" s="65"/>
      <c r="V1518" s="89"/>
      <c r="AE1518" s="89"/>
      <c r="AN1518" s="89"/>
    </row>
    <row r="1519" spans="4:40" x14ac:dyDescent="0.2">
      <c r="D1519" s="89"/>
      <c r="M1519" s="65"/>
      <c r="V1519" s="89"/>
      <c r="AE1519" s="89"/>
      <c r="AN1519" s="89"/>
    </row>
    <row r="1520" spans="4:40" x14ac:dyDescent="0.2">
      <c r="D1520" s="89"/>
      <c r="M1520" s="65"/>
      <c r="V1520" s="89"/>
      <c r="AE1520" s="89"/>
      <c r="AN1520" s="89"/>
    </row>
    <row r="1521" spans="4:40" x14ac:dyDescent="0.2">
      <c r="D1521" s="89"/>
      <c r="M1521" s="65"/>
      <c r="V1521" s="89"/>
      <c r="AE1521" s="89"/>
      <c r="AN1521" s="89"/>
    </row>
    <row r="1522" spans="4:40" x14ac:dyDescent="0.2">
      <c r="D1522" s="89"/>
      <c r="M1522" s="65"/>
      <c r="V1522" s="89"/>
      <c r="AE1522" s="89"/>
      <c r="AN1522" s="89"/>
    </row>
    <row r="1523" spans="4:40" x14ac:dyDescent="0.2">
      <c r="D1523" s="89"/>
      <c r="M1523" s="65"/>
      <c r="V1523" s="89"/>
      <c r="AE1523" s="89"/>
      <c r="AN1523" s="89"/>
    </row>
    <row r="1524" spans="4:40" x14ac:dyDescent="0.2">
      <c r="D1524" s="89"/>
      <c r="M1524" s="65"/>
      <c r="V1524" s="89"/>
      <c r="AE1524" s="89"/>
      <c r="AN1524" s="89"/>
    </row>
    <row r="1525" spans="4:40" x14ac:dyDescent="0.2">
      <c r="D1525" s="89"/>
      <c r="M1525" s="65"/>
      <c r="V1525" s="89"/>
      <c r="AE1525" s="89"/>
      <c r="AN1525" s="89"/>
    </row>
    <row r="1526" spans="4:40" x14ac:dyDescent="0.2">
      <c r="D1526" s="89"/>
      <c r="M1526" s="65"/>
      <c r="V1526" s="89"/>
      <c r="AE1526" s="89"/>
      <c r="AN1526" s="89"/>
    </row>
    <row r="1527" spans="4:40" x14ac:dyDescent="0.2">
      <c r="D1527" s="89"/>
      <c r="M1527" s="65"/>
      <c r="V1527" s="89"/>
      <c r="AE1527" s="89"/>
      <c r="AN1527" s="89"/>
    </row>
    <row r="1528" spans="4:40" x14ac:dyDescent="0.2">
      <c r="D1528" s="89"/>
      <c r="M1528" s="65"/>
      <c r="V1528" s="89"/>
      <c r="AE1528" s="89"/>
      <c r="AN1528" s="89"/>
    </row>
    <row r="1529" spans="4:40" x14ac:dyDescent="0.2">
      <c r="D1529" s="89"/>
      <c r="M1529" s="65"/>
      <c r="V1529" s="89"/>
      <c r="AE1529" s="89"/>
      <c r="AN1529" s="89"/>
    </row>
    <row r="1530" spans="4:40" x14ac:dyDescent="0.2">
      <c r="D1530" s="89"/>
      <c r="M1530" s="65"/>
      <c r="V1530" s="89"/>
      <c r="AE1530" s="89"/>
      <c r="AN1530" s="89"/>
    </row>
    <row r="1531" spans="4:40" x14ac:dyDescent="0.2">
      <c r="D1531" s="89"/>
      <c r="M1531" s="65"/>
      <c r="V1531" s="89"/>
      <c r="AE1531" s="89"/>
      <c r="AN1531" s="89"/>
    </row>
    <row r="1532" spans="4:40" x14ac:dyDescent="0.2">
      <c r="D1532" s="89"/>
      <c r="M1532" s="65"/>
      <c r="V1532" s="89"/>
      <c r="AE1532" s="89"/>
      <c r="AN1532" s="89"/>
    </row>
    <row r="1533" spans="4:40" x14ac:dyDescent="0.2">
      <c r="D1533" s="89"/>
      <c r="M1533" s="65"/>
      <c r="V1533" s="89"/>
      <c r="AE1533" s="89"/>
      <c r="AN1533" s="89"/>
    </row>
    <row r="1534" spans="4:40" x14ac:dyDescent="0.2">
      <c r="D1534" s="89"/>
      <c r="M1534" s="65"/>
      <c r="V1534" s="89"/>
      <c r="AE1534" s="89"/>
      <c r="AN1534" s="89"/>
    </row>
    <row r="1535" spans="4:40" x14ac:dyDescent="0.2">
      <c r="D1535" s="89"/>
      <c r="M1535" s="65"/>
      <c r="V1535" s="89"/>
      <c r="AE1535" s="89"/>
      <c r="AN1535" s="89"/>
    </row>
    <row r="1536" spans="4:40" x14ac:dyDescent="0.2">
      <c r="D1536" s="89"/>
      <c r="M1536" s="65"/>
      <c r="V1536" s="89"/>
      <c r="AE1536" s="89"/>
      <c r="AN1536" s="89"/>
    </row>
    <row r="1537" spans="4:40" x14ac:dyDescent="0.2">
      <c r="D1537" s="89"/>
      <c r="M1537" s="65"/>
      <c r="V1537" s="89"/>
      <c r="AE1537" s="89"/>
      <c r="AN1537" s="89"/>
    </row>
    <row r="1538" spans="4:40" x14ac:dyDescent="0.2">
      <c r="D1538" s="89"/>
      <c r="M1538" s="65"/>
      <c r="V1538" s="89"/>
      <c r="AE1538" s="89"/>
      <c r="AN1538" s="89"/>
    </row>
    <row r="1539" spans="4:40" x14ac:dyDescent="0.2">
      <c r="D1539" s="89"/>
      <c r="M1539" s="65"/>
      <c r="V1539" s="89"/>
      <c r="AE1539" s="89"/>
      <c r="AN1539" s="89"/>
    </row>
    <row r="1540" spans="4:40" x14ac:dyDescent="0.2">
      <c r="D1540" s="89"/>
      <c r="M1540" s="65"/>
      <c r="V1540" s="89"/>
      <c r="AE1540" s="89"/>
      <c r="AN1540" s="89"/>
    </row>
    <row r="1541" spans="4:40" x14ac:dyDescent="0.2">
      <c r="D1541" s="89"/>
      <c r="M1541" s="65"/>
      <c r="V1541" s="89"/>
      <c r="AE1541" s="89"/>
      <c r="AN1541" s="89"/>
    </row>
    <row r="1542" spans="4:40" x14ac:dyDescent="0.2">
      <c r="D1542" s="89"/>
      <c r="M1542" s="65"/>
      <c r="V1542" s="89"/>
      <c r="AE1542" s="89"/>
      <c r="AN1542" s="89"/>
    </row>
    <row r="1543" spans="4:40" x14ac:dyDescent="0.2">
      <c r="D1543" s="89"/>
      <c r="M1543" s="65"/>
      <c r="V1543" s="89"/>
      <c r="AE1543" s="89"/>
      <c r="AN1543" s="89"/>
    </row>
    <row r="1544" spans="4:40" x14ac:dyDescent="0.2">
      <c r="D1544" s="89"/>
      <c r="M1544" s="65"/>
      <c r="V1544" s="89"/>
      <c r="AE1544" s="89"/>
      <c r="AN1544" s="89"/>
    </row>
    <row r="1545" spans="4:40" x14ac:dyDescent="0.2">
      <c r="D1545" s="89"/>
      <c r="M1545" s="65"/>
      <c r="V1545" s="89"/>
      <c r="AE1545" s="89"/>
      <c r="AN1545" s="89"/>
    </row>
    <row r="1546" spans="4:40" x14ac:dyDescent="0.2">
      <c r="D1546" s="89"/>
      <c r="M1546" s="65"/>
      <c r="V1546" s="89"/>
      <c r="AE1546" s="89"/>
      <c r="AN1546" s="89"/>
    </row>
    <row r="1547" spans="4:40" x14ac:dyDescent="0.2">
      <c r="D1547" s="89"/>
      <c r="M1547" s="65"/>
      <c r="V1547" s="89"/>
      <c r="AE1547" s="89"/>
      <c r="AN1547" s="89"/>
    </row>
    <row r="1548" spans="4:40" x14ac:dyDescent="0.2">
      <c r="D1548" s="89"/>
      <c r="M1548" s="65"/>
      <c r="V1548" s="89"/>
      <c r="AE1548" s="89"/>
      <c r="AN1548" s="89"/>
    </row>
    <row r="1549" spans="4:40" x14ac:dyDescent="0.2">
      <c r="D1549" s="89"/>
      <c r="M1549" s="65"/>
      <c r="V1549" s="89"/>
      <c r="AE1549" s="89"/>
      <c r="AN1549" s="89"/>
    </row>
    <row r="1550" spans="4:40" x14ac:dyDescent="0.2">
      <c r="D1550" s="89"/>
      <c r="M1550" s="65"/>
      <c r="V1550" s="89"/>
      <c r="AE1550" s="89"/>
      <c r="AN1550" s="89"/>
    </row>
    <row r="1551" spans="4:40" x14ac:dyDescent="0.2">
      <c r="D1551" s="89"/>
      <c r="M1551" s="65"/>
      <c r="V1551" s="89"/>
      <c r="AE1551" s="89"/>
      <c r="AN1551" s="89"/>
    </row>
    <row r="1552" spans="4:40" x14ac:dyDescent="0.2">
      <c r="D1552" s="89"/>
      <c r="M1552" s="65"/>
      <c r="V1552" s="89"/>
      <c r="AE1552" s="89"/>
      <c r="AN1552" s="89"/>
    </row>
    <row r="1553" spans="4:40" x14ac:dyDescent="0.2">
      <c r="D1553" s="89"/>
      <c r="M1553" s="65"/>
      <c r="V1553" s="89"/>
      <c r="AE1553" s="89"/>
      <c r="AN1553" s="89"/>
    </row>
    <row r="1554" spans="4:40" x14ac:dyDescent="0.2">
      <c r="D1554" s="89"/>
      <c r="M1554" s="65"/>
      <c r="V1554" s="89"/>
      <c r="AE1554" s="89"/>
      <c r="AN1554" s="89"/>
    </row>
    <row r="1555" spans="4:40" x14ac:dyDescent="0.2">
      <c r="D1555" s="89"/>
      <c r="M1555" s="65"/>
      <c r="V1555" s="89"/>
      <c r="AE1555" s="89"/>
      <c r="AN1555" s="89"/>
    </row>
    <row r="1556" spans="4:40" x14ac:dyDescent="0.2">
      <c r="D1556" s="89"/>
      <c r="M1556" s="65"/>
      <c r="V1556" s="89"/>
      <c r="AE1556" s="89"/>
      <c r="AN1556" s="89"/>
    </row>
    <row r="1557" spans="4:40" x14ac:dyDescent="0.2">
      <c r="D1557" s="89"/>
      <c r="M1557" s="65"/>
      <c r="V1557" s="89"/>
      <c r="AE1557" s="89"/>
      <c r="AN1557" s="89"/>
    </row>
    <row r="1558" spans="4:40" x14ac:dyDescent="0.2">
      <c r="D1558" s="89"/>
      <c r="M1558" s="65"/>
      <c r="V1558" s="89"/>
      <c r="AE1558" s="89"/>
      <c r="AN1558" s="89"/>
    </row>
    <row r="1559" spans="4:40" x14ac:dyDescent="0.2">
      <c r="D1559" s="89"/>
      <c r="M1559" s="65"/>
      <c r="V1559" s="89"/>
      <c r="AE1559" s="89"/>
      <c r="AN1559" s="89"/>
    </row>
    <row r="1560" spans="4:40" x14ac:dyDescent="0.2">
      <c r="D1560" s="89"/>
      <c r="M1560" s="65"/>
      <c r="V1560" s="89"/>
      <c r="AE1560" s="89"/>
      <c r="AN1560" s="89"/>
    </row>
    <row r="1561" spans="4:40" x14ac:dyDescent="0.2">
      <c r="D1561" s="89"/>
      <c r="M1561" s="65"/>
      <c r="V1561" s="89"/>
      <c r="AE1561" s="89"/>
      <c r="AN1561" s="89"/>
    </row>
    <row r="1562" spans="4:40" x14ac:dyDescent="0.2">
      <c r="D1562" s="89"/>
      <c r="M1562" s="65"/>
      <c r="V1562" s="89"/>
      <c r="AE1562" s="89"/>
      <c r="AN1562" s="89"/>
    </row>
    <row r="1563" spans="4:40" x14ac:dyDescent="0.2">
      <c r="D1563" s="89"/>
      <c r="M1563" s="65"/>
      <c r="V1563" s="89"/>
      <c r="AE1563" s="89"/>
      <c r="AN1563" s="89"/>
    </row>
    <row r="1564" spans="4:40" x14ac:dyDescent="0.2">
      <c r="D1564" s="89"/>
      <c r="M1564" s="65"/>
      <c r="V1564" s="89"/>
      <c r="AE1564" s="89"/>
      <c r="AN1564" s="89"/>
    </row>
    <row r="1565" spans="4:40" x14ac:dyDescent="0.2">
      <c r="D1565" s="89"/>
      <c r="M1565" s="65"/>
      <c r="V1565" s="89"/>
      <c r="AE1565" s="89"/>
      <c r="AN1565" s="89"/>
    </row>
    <row r="1566" spans="4:40" x14ac:dyDescent="0.2">
      <c r="D1566" s="89"/>
      <c r="M1566" s="65"/>
      <c r="V1566" s="89"/>
      <c r="AE1566" s="89"/>
      <c r="AN1566" s="89"/>
    </row>
    <row r="1567" spans="4:40" x14ac:dyDescent="0.2">
      <c r="D1567" s="89"/>
      <c r="M1567" s="65"/>
      <c r="V1567" s="89"/>
      <c r="AE1567" s="89"/>
      <c r="AN1567" s="89"/>
    </row>
    <row r="1568" spans="4:40" x14ac:dyDescent="0.2">
      <c r="D1568" s="89"/>
      <c r="M1568" s="65"/>
      <c r="V1568" s="89"/>
      <c r="AE1568" s="89"/>
      <c r="AN1568" s="89"/>
    </row>
    <row r="1569" spans="4:40" x14ac:dyDescent="0.2">
      <c r="D1569" s="89"/>
      <c r="M1569" s="65"/>
      <c r="V1569" s="89"/>
      <c r="AE1569" s="89"/>
      <c r="AN1569" s="89"/>
    </row>
    <row r="1570" spans="4:40" x14ac:dyDescent="0.2">
      <c r="D1570" s="89"/>
      <c r="M1570" s="65"/>
      <c r="V1570" s="89"/>
      <c r="AE1570" s="89"/>
      <c r="AN1570" s="89"/>
    </row>
    <row r="1571" spans="4:40" x14ac:dyDescent="0.2">
      <c r="D1571" s="89"/>
      <c r="M1571" s="65"/>
      <c r="V1571" s="89"/>
      <c r="AE1571" s="89"/>
      <c r="AN1571" s="89"/>
    </row>
    <row r="1572" spans="4:40" x14ac:dyDescent="0.2">
      <c r="D1572" s="89"/>
      <c r="M1572" s="65"/>
      <c r="V1572" s="89"/>
      <c r="AE1572" s="89"/>
      <c r="AN1572" s="89"/>
    </row>
    <row r="1573" spans="4:40" x14ac:dyDescent="0.2">
      <c r="D1573" s="89"/>
      <c r="M1573" s="65"/>
      <c r="V1573" s="89"/>
      <c r="AE1573" s="89"/>
      <c r="AN1573" s="89"/>
    </row>
    <row r="1574" spans="4:40" x14ac:dyDescent="0.2">
      <c r="D1574" s="89"/>
      <c r="M1574" s="65"/>
      <c r="V1574" s="89"/>
      <c r="AE1574" s="89"/>
      <c r="AN1574" s="89"/>
    </row>
    <row r="1575" spans="4:40" x14ac:dyDescent="0.2">
      <c r="D1575" s="89"/>
      <c r="M1575" s="65"/>
      <c r="V1575" s="89"/>
      <c r="AE1575" s="89"/>
      <c r="AN1575" s="89"/>
    </row>
    <row r="1576" spans="4:40" x14ac:dyDescent="0.2">
      <c r="D1576" s="89"/>
      <c r="M1576" s="65"/>
      <c r="V1576" s="89"/>
      <c r="AE1576" s="89"/>
      <c r="AN1576" s="89"/>
    </row>
    <row r="1577" spans="4:40" x14ac:dyDescent="0.2">
      <c r="D1577" s="89"/>
      <c r="M1577" s="65"/>
      <c r="V1577" s="89"/>
      <c r="AE1577" s="89"/>
      <c r="AN1577" s="89"/>
    </row>
    <row r="1578" spans="4:40" x14ac:dyDescent="0.2">
      <c r="D1578" s="89"/>
      <c r="M1578" s="65"/>
      <c r="V1578" s="89"/>
      <c r="AE1578" s="89"/>
      <c r="AN1578" s="89"/>
    </row>
    <row r="1579" spans="4:40" x14ac:dyDescent="0.2">
      <c r="D1579" s="89"/>
      <c r="M1579" s="65"/>
      <c r="V1579" s="89"/>
      <c r="AE1579" s="89"/>
      <c r="AN1579" s="89"/>
    </row>
    <row r="1580" spans="4:40" x14ac:dyDescent="0.2">
      <c r="D1580" s="89"/>
      <c r="M1580" s="65"/>
      <c r="V1580" s="89"/>
      <c r="AE1580" s="89"/>
      <c r="AN1580" s="89"/>
    </row>
    <row r="1581" spans="4:40" x14ac:dyDescent="0.2">
      <c r="D1581" s="89"/>
      <c r="M1581" s="65"/>
      <c r="V1581" s="89"/>
      <c r="AE1581" s="89"/>
      <c r="AN1581" s="89"/>
    </row>
    <row r="1582" spans="4:40" x14ac:dyDescent="0.2">
      <c r="D1582" s="89"/>
      <c r="M1582" s="65"/>
      <c r="V1582" s="89"/>
      <c r="AE1582" s="89"/>
      <c r="AN1582" s="89"/>
    </row>
    <row r="1583" spans="4:40" x14ac:dyDescent="0.2">
      <c r="D1583" s="89"/>
      <c r="M1583" s="65"/>
      <c r="V1583" s="89"/>
      <c r="AE1583" s="89"/>
      <c r="AN1583" s="89"/>
    </row>
    <row r="1584" spans="4:40" x14ac:dyDescent="0.2">
      <c r="D1584" s="89"/>
      <c r="M1584" s="65"/>
      <c r="V1584" s="89"/>
      <c r="AE1584" s="89"/>
      <c r="AN1584" s="89"/>
    </row>
    <row r="1585" spans="4:40" x14ac:dyDescent="0.2">
      <c r="D1585" s="89"/>
      <c r="M1585" s="65"/>
      <c r="V1585" s="89"/>
      <c r="AE1585" s="89"/>
      <c r="AN1585" s="89"/>
    </row>
    <row r="1586" spans="4:40" x14ac:dyDescent="0.2">
      <c r="D1586" s="89"/>
      <c r="M1586" s="65"/>
      <c r="V1586" s="89"/>
      <c r="AE1586" s="89"/>
      <c r="AN1586" s="89"/>
    </row>
    <row r="1587" spans="4:40" x14ac:dyDescent="0.2">
      <c r="D1587" s="89"/>
      <c r="M1587" s="65"/>
      <c r="V1587" s="89"/>
      <c r="AE1587" s="89"/>
      <c r="AN1587" s="89"/>
    </row>
    <row r="1588" spans="4:40" x14ac:dyDescent="0.2">
      <c r="D1588" s="89"/>
      <c r="M1588" s="65"/>
      <c r="V1588" s="89"/>
      <c r="AE1588" s="89"/>
      <c r="AN1588" s="89"/>
    </row>
    <row r="1589" spans="4:40" x14ac:dyDescent="0.2">
      <c r="D1589" s="89"/>
      <c r="M1589" s="65"/>
      <c r="V1589" s="89"/>
      <c r="AE1589" s="89"/>
      <c r="AN1589" s="89"/>
    </row>
    <row r="1590" spans="4:40" x14ac:dyDescent="0.2">
      <c r="D1590" s="89"/>
      <c r="M1590" s="65"/>
      <c r="V1590" s="89"/>
      <c r="AE1590" s="89"/>
      <c r="AN1590" s="89"/>
    </row>
    <row r="1591" spans="4:40" x14ac:dyDescent="0.2">
      <c r="D1591" s="89"/>
      <c r="M1591" s="65"/>
      <c r="V1591" s="89"/>
      <c r="AE1591" s="89"/>
      <c r="AN1591" s="89"/>
    </row>
    <row r="1592" spans="4:40" x14ac:dyDescent="0.2">
      <c r="D1592" s="89"/>
      <c r="M1592" s="65"/>
      <c r="V1592" s="89"/>
      <c r="AE1592" s="89"/>
      <c r="AN1592" s="89"/>
    </row>
    <row r="1593" spans="4:40" x14ac:dyDescent="0.2">
      <c r="D1593" s="89"/>
      <c r="M1593" s="65"/>
      <c r="V1593" s="89"/>
      <c r="AE1593" s="89"/>
      <c r="AN1593" s="89"/>
    </row>
    <row r="1594" spans="4:40" x14ac:dyDescent="0.2">
      <c r="D1594" s="89"/>
      <c r="M1594" s="65"/>
      <c r="V1594" s="89"/>
      <c r="AE1594" s="89"/>
      <c r="AN1594" s="89"/>
    </row>
    <row r="1595" spans="4:40" x14ac:dyDescent="0.2">
      <c r="D1595" s="89"/>
      <c r="M1595" s="65"/>
      <c r="V1595" s="89"/>
      <c r="AE1595" s="89"/>
      <c r="AN1595" s="89"/>
    </row>
    <row r="1596" spans="4:40" x14ac:dyDescent="0.2">
      <c r="D1596" s="89"/>
      <c r="M1596" s="65"/>
      <c r="V1596" s="89"/>
      <c r="AE1596" s="89"/>
      <c r="AN1596" s="89"/>
    </row>
    <row r="1597" spans="4:40" x14ac:dyDescent="0.2">
      <c r="D1597" s="89"/>
      <c r="M1597" s="65"/>
      <c r="V1597" s="89"/>
      <c r="AE1597" s="89"/>
      <c r="AN1597" s="89"/>
    </row>
    <row r="1598" spans="4:40" x14ac:dyDescent="0.2">
      <c r="D1598" s="89"/>
      <c r="M1598" s="65"/>
      <c r="V1598" s="89"/>
      <c r="AE1598" s="89"/>
      <c r="AN1598" s="89"/>
    </row>
    <row r="1599" spans="4:40" x14ac:dyDescent="0.2">
      <c r="D1599" s="89"/>
      <c r="M1599" s="65"/>
      <c r="V1599" s="89"/>
      <c r="AE1599" s="89"/>
      <c r="AN1599" s="89"/>
    </row>
    <row r="1600" spans="4:40" x14ac:dyDescent="0.2">
      <c r="D1600" s="89"/>
      <c r="M1600" s="65"/>
      <c r="V1600" s="89"/>
      <c r="AE1600" s="89"/>
      <c r="AN1600" s="89"/>
    </row>
    <row r="1601" spans="4:40" x14ac:dyDescent="0.2">
      <c r="D1601" s="89"/>
      <c r="M1601" s="65"/>
      <c r="V1601" s="89"/>
      <c r="AE1601" s="89"/>
      <c r="AN1601" s="89"/>
    </row>
    <row r="1602" spans="4:40" x14ac:dyDescent="0.2">
      <c r="D1602" s="89"/>
      <c r="M1602" s="65"/>
      <c r="V1602" s="89"/>
      <c r="AE1602" s="89"/>
      <c r="AN1602" s="89"/>
    </row>
    <row r="1603" spans="4:40" x14ac:dyDescent="0.2">
      <c r="D1603" s="89"/>
      <c r="M1603" s="65"/>
      <c r="V1603" s="89"/>
      <c r="AE1603" s="89"/>
      <c r="AN1603" s="89"/>
    </row>
    <row r="1604" spans="4:40" x14ac:dyDescent="0.2">
      <c r="D1604" s="89"/>
      <c r="M1604" s="65"/>
      <c r="V1604" s="89"/>
      <c r="AE1604" s="89"/>
      <c r="AN1604" s="89"/>
    </row>
    <row r="1605" spans="4:40" x14ac:dyDescent="0.2">
      <c r="D1605" s="89"/>
      <c r="M1605" s="65"/>
      <c r="V1605" s="89"/>
      <c r="AE1605" s="89"/>
      <c r="AN1605" s="89"/>
    </row>
    <row r="1606" spans="4:40" x14ac:dyDescent="0.2">
      <c r="D1606" s="89"/>
      <c r="M1606" s="65"/>
      <c r="V1606" s="89"/>
      <c r="AE1606" s="89"/>
      <c r="AN1606" s="89"/>
    </row>
    <row r="1607" spans="4:40" x14ac:dyDescent="0.2">
      <c r="D1607" s="89"/>
      <c r="M1607" s="65"/>
      <c r="V1607" s="89"/>
      <c r="AE1607" s="89"/>
      <c r="AN1607" s="89"/>
    </row>
    <row r="1608" spans="4:40" x14ac:dyDescent="0.2">
      <c r="D1608" s="89"/>
      <c r="M1608" s="65"/>
      <c r="V1608" s="89"/>
      <c r="AE1608" s="89"/>
      <c r="AN1608" s="89"/>
    </row>
    <row r="1609" spans="4:40" x14ac:dyDescent="0.2">
      <c r="D1609" s="89"/>
      <c r="M1609" s="65"/>
      <c r="V1609" s="89"/>
      <c r="AE1609" s="89"/>
      <c r="AN1609" s="89"/>
    </row>
    <row r="1610" spans="4:40" x14ac:dyDescent="0.2">
      <c r="D1610" s="89"/>
      <c r="M1610" s="65"/>
      <c r="V1610" s="89"/>
      <c r="AE1610" s="89"/>
      <c r="AN1610" s="89"/>
    </row>
    <row r="1611" spans="4:40" x14ac:dyDescent="0.2">
      <c r="D1611" s="89"/>
      <c r="M1611" s="65"/>
      <c r="V1611" s="89"/>
      <c r="AE1611" s="89"/>
      <c r="AN1611" s="89"/>
    </row>
    <row r="1612" spans="4:40" x14ac:dyDescent="0.2">
      <c r="D1612" s="89"/>
      <c r="M1612" s="65"/>
      <c r="V1612" s="89"/>
      <c r="AE1612" s="89"/>
      <c r="AN1612" s="89"/>
    </row>
    <row r="1613" spans="4:40" x14ac:dyDescent="0.2">
      <c r="D1613" s="89"/>
      <c r="M1613" s="65"/>
      <c r="V1613" s="89"/>
      <c r="AE1613" s="89"/>
      <c r="AN1613" s="89"/>
    </row>
    <row r="1614" spans="4:40" x14ac:dyDescent="0.2">
      <c r="D1614" s="89"/>
      <c r="M1614" s="65"/>
      <c r="V1614" s="89"/>
      <c r="AE1614" s="89"/>
      <c r="AN1614" s="89"/>
    </row>
    <row r="1615" spans="4:40" x14ac:dyDescent="0.2">
      <c r="D1615" s="89"/>
      <c r="M1615" s="65"/>
      <c r="V1615" s="89"/>
      <c r="AE1615" s="89"/>
      <c r="AN1615" s="89"/>
    </row>
    <row r="1616" spans="4:40" x14ac:dyDescent="0.2">
      <c r="D1616" s="89"/>
      <c r="M1616" s="65"/>
      <c r="V1616" s="89"/>
      <c r="AE1616" s="89"/>
      <c r="AN1616" s="89"/>
    </row>
    <row r="1617" spans="4:40" x14ac:dyDescent="0.2">
      <c r="D1617" s="89"/>
      <c r="M1617" s="65"/>
      <c r="V1617" s="89"/>
      <c r="AE1617" s="89"/>
      <c r="AN1617" s="89"/>
    </row>
    <row r="1618" spans="4:40" x14ac:dyDescent="0.2">
      <c r="D1618" s="89"/>
      <c r="M1618" s="65"/>
      <c r="V1618" s="89"/>
      <c r="AE1618" s="89"/>
      <c r="AN1618" s="89"/>
    </row>
    <row r="1619" spans="4:40" x14ac:dyDescent="0.2">
      <c r="D1619" s="89"/>
      <c r="M1619" s="65"/>
      <c r="V1619" s="89"/>
      <c r="AE1619" s="89"/>
      <c r="AN1619" s="89"/>
    </row>
    <row r="1620" spans="4:40" x14ac:dyDescent="0.2">
      <c r="D1620" s="89"/>
      <c r="M1620" s="65"/>
      <c r="V1620" s="89"/>
      <c r="AE1620" s="89"/>
      <c r="AN1620" s="89"/>
    </row>
    <row r="1621" spans="4:40" x14ac:dyDescent="0.2">
      <c r="D1621" s="89"/>
      <c r="M1621" s="65"/>
      <c r="V1621" s="89"/>
      <c r="AE1621" s="89"/>
      <c r="AN1621" s="89"/>
    </row>
    <row r="1622" spans="4:40" x14ac:dyDescent="0.2">
      <c r="D1622" s="89"/>
      <c r="M1622" s="65"/>
      <c r="V1622" s="89"/>
      <c r="AE1622" s="89"/>
      <c r="AN1622" s="89"/>
    </row>
    <row r="1623" spans="4:40" x14ac:dyDescent="0.2">
      <c r="D1623" s="89"/>
      <c r="M1623" s="65"/>
      <c r="V1623" s="89"/>
      <c r="AE1623" s="89"/>
      <c r="AN1623" s="89"/>
    </row>
    <row r="1624" spans="4:40" x14ac:dyDescent="0.2">
      <c r="D1624" s="89"/>
      <c r="M1624" s="65"/>
      <c r="V1624" s="89"/>
      <c r="AE1624" s="89"/>
      <c r="AN1624" s="89"/>
    </row>
    <row r="1625" spans="4:40" x14ac:dyDescent="0.2">
      <c r="D1625" s="89"/>
      <c r="M1625" s="65"/>
      <c r="V1625" s="89"/>
      <c r="AE1625" s="89"/>
      <c r="AN1625" s="89"/>
    </row>
    <row r="1626" spans="4:40" x14ac:dyDescent="0.2">
      <c r="D1626" s="89"/>
      <c r="M1626" s="65"/>
      <c r="V1626" s="89"/>
      <c r="AE1626" s="89"/>
      <c r="AN1626" s="89"/>
    </row>
    <row r="1627" spans="4:40" x14ac:dyDescent="0.2">
      <c r="D1627" s="89"/>
      <c r="M1627" s="65"/>
      <c r="V1627" s="89"/>
      <c r="AE1627" s="89"/>
      <c r="AN1627" s="89"/>
    </row>
    <row r="1628" spans="4:40" x14ac:dyDescent="0.2">
      <c r="D1628" s="89"/>
      <c r="M1628" s="65"/>
      <c r="V1628" s="89"/>
      <c r="AE1628" s="89"/>
      <c r="AN1628" s="89"/>
    </row>
    <row r="1629" spans="4:40" x14ac:dyDescent="0.2">
      <c r="D1629" s="89"/>
      <c r="M1629" s="65"/>
      <c r="V1629" s="89"/>
      <c r="AE1629" s="89"/>
      <c r="AN1629" s="89"/>
    </row>
    <row r="1630" spans="4:40" x14ac:dyDescent="0.2">
      <c r="D1630" s="89"/>
      <c r="M1630" s="65"/>
      <c r="V1630" s="89"/>
      <c r="AE1630" s="89"/>
      <c r="AN1630" s="89"/>
    </row>
    <row r="1631" spans="4:40" x14ac:dyDescent="0.2">
      <c r="D1631" s="89"/>
      <c r="M1631" s="65"/>
      <c r="V1631" s="89"/>
      <c r="AE1631" s="89"/>
      <c r="AN1631" s="89"/>
    </row>
    <row r="1632" spans="4:40" x14ac:dyDescent="0.2">
      <c r="D1632" s="89"/>
      <c r="M1632" s="65"/>
      <c r="V1632" s="89"/>
      <c r="AE1632" s="89"/>
      <c r="AN1632" s="89"/>
    </row>
    <row r="1633" spans="4:40" x14ac:dyDescent="0.2">
      <c r="D1633" s="89"/>
      <c r="M1633" s="65"/>
      <c r="V1633" s="89"/>
      <c r="AE1633" s="89"/>
      <c r="AN1633" s="89"/>
    </row>
    <row r="1634" spans="4:40" x14ac:dyDescent="0.2">
      <c r="D1634" s="89"/>
      <c r="M1634" s="65"/>
      <c r="V1634" s="89"/>
      <c r="AE1634" s="89"/>
      <c r="AN1634" s="89"/>
    </row>
    <row r="1635" spans="4:40" x14ac:dyDescent="0.2">
      <c r="D1635" s="89"/>
      <c r="M1635" s="65"/>
      <c r="V1635" s="89"/>
      <c r="AE1635" s="89"/>
      <c r="AN1635" s="89"/>
    </row>
    <row r="1636" spans="4:40" x14ac:dyDescent="0.2">
      <c r="D1636" s="89"/>
      <c r="M1636" s="65"/>
      <c r="V1636" s="89"/>
      <c r="AE1636" s="89"/>
      <c r="AN1636" s="89"/>
    </row>
    <row r="1637" spans="4:40" x14ac:dyDescent="0.2">
      <c r="D1637" s="89"/>
      <c r="M1637" s="65"/>
      <c r="V1637" s="89"/>
      <c r="AE1637" s="89"/>
      <c r="AN1637" s="89"/>
    </row>
    <row r="1638" spans="4:40" x14ac:dyDescent="0.2">
      <c r="D1638" s="89"/>
      <c r="M1638" s="65"/>
      <c r="V1638" s="89"/>
      <c r="AE1638" s="89"/>
      <c r="AN1638" s="89"/>
    </row>
    <row r="1639" spans="4:40" x14ac:dyDescent="0.2">
      <c r="D1639" s="89"/>
      <c r="M1639" s="65"/>
      <c r="V1639" s="89"/>
      <c r="AE1639" s="89"/>
      <c r="AN1639" s="89"/>
    </row>
    <row r="1640" spans="4:40" x14ac:dyDescent="0.2">
      <c r="D1640" s="89"/>
      <c r="M1640" s="65"/>
      <c r="V1640" s="89"/>
      <c r="AE1640" s="89"/>
      <c r="AN1640" s="89"/>
    </row>
    <row r="1641" spans="4:40" x14ac:dyDescent="0.2">
      <c r="D1641" s="89"/>
      <c r="M1641" s="65"/>
      <c r="V1641" s="89"/>
      <c r="AE1641" s="89"/>
      <c r="AN1641" s="89"/>
    </row>
    <row r="1642" spans="4:40" x14ac:dyDescent="0.2">
      <c r="D1642" s="89"/>
      <c r="M1642" s="65"/>
      <c r="V1642" s="89"/>
      <c r="AE1642" s="89"/>
      <c r="AN1642" s="89"/>
    </row>
    <row r="1643" spans="4:40" x14ac:dyDescent="0.2">
      <c r="D1643" s="89"/>
      <c r="M1643" s="65"/>
      <c r="V1643" s="89"/>
      <c r="AE1643" s="89"/>
      <c r="AN1643" s="89"/>
    </row>
    <row r="1644" spans="4:40" x14ac:dyDescent="0.2">
      <c r="D1644" s="89"/>
      <c r="M1644" s="65"/>
      <c r="V1644" s="89"/>
      <c r="AE1644" s="89"/>
      <c r="AN1644" s="89"/>
    </row>
    <row r="1645" spans="4:40" x14ac:dyDescent="0.2">
      <c r="D1645" s="89"/>
      <c r="M1645" s="65"/>
      <c r="V1645" s="89"/>
      <c r="AE1645" s="89"/>
      <c r="AN1645" s="89"/>
    </row>
    <row r="1646" spans="4:40" x14ac:dyDescent="0.2">
      <c r="D1646" s="89"/>
      <c r="M1646" s="65"/>
      <c r="V1646" s="89"/>
      <c r="AE1646" s="89"/>
      <c r="AN1646" s="89"/>
    </row>
    <row r="1647" spans="4:40" x14ac:dyDescent="0.2">
      <c r="D1647" s="89"/>
      <c r="M1647" s="65"/>
      <c r="V1647" s="89"/>
      <c r="AE1647" s="89"/>
      <c r="AN1647" s="89"/>
    </row>
    <row r="1648" spans="4:40" x14ac:dyDescent="0.2">
      <c r="D1648" s="89"/>
      <c r="M1648" s="65"/>
      <c r="V1648" s="89"/>
      <c r="AE1648" s="89"/>
      <c r="AN1648" s="89"/>
    </row>
    <row r="1649" spans="4:40" x14ac:dyDescent="0.2">
      <c r="D1649" s="89"/>
      <c r="M1649" s="65"/>
      <c r="V1649" s="89"/>
      <c r="AE1649" s="89"/>
      <c r="AN1649" s="89"/>
    </row>
    <row r="1650" spans="4:40" x14ac:dyDescent="0.2">
      <c r="D1650" s="89"/>
      <c r="M1650" s="65"/>
      <c r="V1650" s="89"/>
      <c r="AE1650" s="89"/>
      <c r="AN1650" s="89"/>
    </row>
    <row r="1651" spans="4:40" x14ac:dyDescent="0.2">
      <c r="D1651" s="89"/>
      <c r="M1651" s="65"/>
      <c r="V1651" s="89"/>
      <c r="AE1651" s="89"/>
      <c r="AN1651" s="89"/>
    </row>
    <row r="1652" spans="4:40" x14ac:dyDescent="0.2">
      <c r="D1652" s="89"/>
      <c r="M1652" s="65"/>
      <c r="V1652" s="89"/>
      <c r="AE1652" s="89"/>
      <c r="AN1652" s="89"/>
    </row>
    <row r="1653" spans="4:40" x14ac:dyDescent="0.2">
      <c r="D1653" s="89"/>
      <c r="M1653" s="65"/>
      <c r="V1653" s="89"/>
      <c r="AE1653" s="89"/>
      <c r="AN1653" s="89"/>
    </row>
    <row r="1654" spans="4:40" x14ac:dyDescent="0.2">
      <c r="D1654" s="89"/>
      <c r="M1654" s="65"/>
      <c r="V1654" s="89"/>
      <c r="AE1654" s="89"/>
      <c r="AN1654" s="89"/>
    </row>
    <row r="1655" spans="4:40" x14ac:dyDescent="0.2">
      <c r="D1655" s="89"/>
      <c r="M1655" s="65"/>
      <c r="V1655" s="89"/>
      <c r="AE1655" s="89"/>
      <c r="AN1655" s="89"/>
    </row>
    <row r="1656" spans="4:40" x14ac:dyDescent="0.2">
      <c r="D1656" s="89"/>
      <c r="M1656" s="65"/>
      <c r="V1656" s="89"/>
      <c r="AE1656" s="89"/>
      <c r="AN1656" s="89"/>
    </row>
    <row r="1657" spans="4:40" x14ac:dyDescent="0.2">
      <c r="D1657" s="89"/>
      <c r="M1657" s="65"/>
      <c r="V1657" s="89"/>
      <c r="AE1657" s="89"/>
      <c r="AN1657" s="89"/>
    </row>
    <row r="1658" spans="4:40" x14ac:dyDescent="0.2">
      <c r="D1658" s="89"/>
      <c r="M1658" s="65"/>
      <c r="V1658" s="89"/>
      <c r="AE1658" s="89"/>
      <c r="AN1658" s="89"/>
    </row>
    <row r="1659" spans="4:40" x14ac:dyDescent="0.2">
      <c r="D1659" s="89"/>
      <c r="M1659" s="65"/>
      <c r="V1659" s="89"/>
      <c r="AE1659" s="89"/>
      <c r="AN1659" s="89"/>
    </row>
    <row r="1660" spans="4:40" x14ac:dyDescent="0.2">
      <c r="D1660" s="89"/>
      <c r="M1660" s="65"/>
      <c r="V1660" s="89"/>
      <c r="AE1660" s="89"/>
      <c r="AN1660" s="89"/>
    </row>
    <row r="1661" spans="4:40" x14ac:dyDescent="0.2">
      <c r="D1661" s="89"/>
      <c r="M1661" s="65"/>
      <c r="V1661" s="89"/>
      <c r="AE1661" s="89"/>
      <c r="AN1661" s="89"/>
    </row>
    <row r="1662" spans="4:40" x14ac:dyDescent="0.2">
      <c r="D1662" s="89"/>
      <c r="M1662" s="65"/>
      <c r="V1662" s="89"/>
      <c r="AE1662" s="89"/>
      <c r="AN1662" s="89"/>
    </row>
    <row r="1663" spans="4:40" x14ac:dyDescent="0.2">
      <c r="D1663" s="89"/>
      <c r="M1663" s="65"/>
      <c r="V1663" s="89"/>
      <c r="AE1663" s="89"/>
      <c r="AN1663" s="89"/>
    </row>
    <row r="1664" spans="4:40" x14ac:dyDescent="0.2">
      <c r="D1664" s="89"/>
      <c r="M1664" s="65"/>
      <c r="V1664" s="89"/>
      <c r="AE1664" s="89"/>
      <c r="AN1664" s="89"/>
    </row>
    <row r="1665" spans="4:40" x14ac:dyDescent="0.2">
      <c r="D1665" s="89"/>
      <c r="M1665" s="65"/>
      <c r="V1665" s="89"/>
      <c r="AE1665" s="89"/>
      <c r="AN1665" s="89"/>
    </row>
    <row r="1666" spans="4:40" x14ac:dyDescent="0.2">
      <c r="D1666" s="89"/>
      <c r="M1666" s="65"/>
      <c r="V1666" s="89"/>
      <c r="AE1666" s="89"/>
      <c r="AN1666" s="89"/>
    </row>
    <row r="1667" spans="4:40" x14ac:dyDescent="0.2">
      <c r="D1667" s="89"/>
      <c r="M1667" s="65"/>
      <c r="V1667" s="89"/>
      <c r="AE1667" s="89"/>
      <c r="AN1667" s="89"/>
    </row>
    <row r="1668" spans="4:40" x14ac:dyDescent="0.2">
      <c r="D1668" s="89"/>
      <c r="M1668" s="65"/>
      <c r="V1668" s="89"/>
      <c r="AE1668" s="89"/>
      <c r="AN1668" s="89"/>
    </row>
    <row r="1669" spans="4:40" x14ac:dyDescent="0.2">
      <c r="D1669" s="89"/>
      <c r="M1669" s="65"/>
      <c r="V1669" s="89"/>
      <c r="AE1669" s="89"/>
      <c r="AN1669" s="89"/>
    </row>
    <row r="1670" spans="4:40" x14ac:dyDescent="0.2">
      <c r="D1670" s="89"/>
      <c r="M1670" s="65"/>
      <c r="V1670" s="89"/>
      <c r="AE1670" s="89"/>
      <c r="AN1670" s="89"/>
    </row>
    <row r="1671" spans="4:40" x14ac:dyDescent="0.2">
      <c r="D1671" s="89"/>
      <c r="M1671" s="65"/>
      <c r="V1671" s="89"/>
      <c r="AE1671" s="89"/>
      <c r="AN1671" s="89"/>
    </row>
    <row r="1672" spans="4:40" x14ac:dyDescent="0.2">
      <c r="D1672" s="89"/>
      <c r="M1672" s="65"/>
      <c r="V1672" s="89"/>
      <c r="AE1672" s="89"/>
      <c r="AN1672" s="89"/>
    </row>
    <row r="1673" spans="4:40" x14ac:dyDescent="0.2">
      <c r="D1673" s="89"/>
      <c r="M1673" s="65"/>
      <c r="V1673" s="89"/>
      <c r="AE1673" s="89"/>
      <c r="AN1673" s="89"/>
    </row>
    <row r="1674" spans="4:40" x14ac:dyDescent="0.2">
      <c r="D1674" s="89"/>
      <c r="M1674" s="65"/>
      <c r="V1674" s="89"/>
      <c r="AE1674" s="89"/>
      <c r="AN1674" s="89"/>
    </row>
    <row r="1675" spans="4:40" x14ac:dyDescent="0.2">
      <c r="D1675" s="89"/>
      <c r="M1675" s="65"/>
      <c r="V1675" s="89"/>
      <c r="AE1675" s="89"/>
      <c r="AN1675" s="89"/>
    </row>
    <row r="1676" spans="4:40" x14ac:dyDescent="0.2">
      <c r="D1676" s="89"/>
      <c r="M1676" s="65"/>
      <c r="V1676" s="89"/>
      <c r="AE1676" s="89"/>
      <c r="AN1676" s="89"/>
    </row>
    <row r="1677" spans="4:40" x14ac:dyDescent="0.2">
      <c r="D1677" s="89"/>
      <c r="M1677" s="65"/>
      <c r="V1677" s="89"/>
      <c r="AE1677" s="89"/>
      <c r="AN1677" s="89"/>
    </row>
    <row r="1678" spans="4:40" x14ac:dyDescent="0.2">
      <c r="D1678" s="89"/>
      <c r="M1678" s="65"/>
      <c r="V1678" s="89"/>
      <c r="AE1678" s="89"/>
      <c r="AN1678" s="89"/>
    </row>
    <row r="1679" spans="4:40" x14ac:dyDescent="0.2">
      <c r="D1679" s="89"/>
      <c r="M1679" s="65"/>
      <c r="V1679" s="89"/>
      <c r="AE1679" s="89"/>
      <c r="AN1679" s="89"/>
    </row>
    <row r="1680" spans="4:40" x14ac:dyDescent="0.2">
      <c r="D1680" s="89"/>
      <c r="M1680" s="65"/>
      <c r="V1680" s="89"/>
      <c r="AE1680" s="89"/>
      <c r="AN1680" s="89"/>
    </row>
    <row r="1681" spans="4:40" x14ac:dyDescent="0.2">
      <c r="D1681" s="89"/>
      <c r="M1681" s="65"/>
      <c r="V1681" s="89"/>
      <c r="AE1681" s="89"/>
      <c r="AN1681" s="89"/>
    </row>
    <row r="1682" spans="4:40" x14ac:dyDescent="0.2">
      <c r="D1682" s="89"/>
      <c r="M1682" s="65"/>
      <c r="V1682" s="89"/>
      <c r="AE1682" s="89"/>
      <c r="AN1682" s="89"/>
    </row>
    <row r="1683" spans="4:40" x14ac:dyDescent="0.2">
      <c r="D1683" s="89"/>
      <c r="M1683" s="65"/>
      <c r="V1683" s="89"/>
      <c r="AE1683" s="89"/>
      <c r="AN1683" s="89"/>
    </row>
    <row r="1684" spans="4:40" x14ac:dyDescent="0.2">
      <c r="D1684" s="89"/>
      <c r="M1684" s="65"/>
      <c r="V1684" s="89"/>
      <c r="AE1684" s="89"/>
      <c r="AN1684" s="89"/>
    </row>
    <row r="1685" spans="4:40" x14ac:dyDescent="0.2">
      <c r="D1685" s="89"/>
      <c r="M1685" s="65"/>
      <c r="V1685" s="89"/>
      <c r="AE1685" s="89"/>
      <c r="AN1685" s="89"/>
    </row>
    <row r="1686" spans="4:40" x14ac:dyDescent="0.2">
      <c r="D1686" s="89"/>
      <c r="M1686" s="65"/>
      <c r="V1686" s="89"/>
      <c r="AE1686" s="89"/>
      <c r="AN1686" s="89"/>
    </row>
    <row r="1687" spans="4:40" x14ac:dyDescent="0.2">
      <c r="D1687" s="89"/>
      <c r="M1687" s="65"/>
      <c r="V1687" s="89"/>
      <c r="AE1687" s="89"/>
      <c r="AN1687" s="89"/>
    </row>
    <row r="1688" spans="4:40" x14ac:dyDescent="0.2">
      <c r="D1688" s="89"/>
      <c r="M1688" s="65"/>
      <c r="V1688" s="89"/>
      <c r="AE1688" s="89"/>
      <c r="AN1688" s="89"/>
    </row>
    <row r="1689" spans="4:40" x14ac:dyDescent="0.2">
      <c r="D1689" s="89"/>
      <c r="M1689" s="65"/>
      <c r="V1689" s="89"/>
      <c r="AE1689" s="89"/>
      <c r="AN1689" s="89"/>
    </row>
    <row r="1690" spans="4:40" x14ac:dyDescent="0.2">
      <c r="D1690" s="89"/>
      <c r="M1690" s="65"/>
      <c r="V1690" s="89"/>
      <c r="AE1690" s="89"/>
      <c r="AN1690" s="89"/>
    </row>
    <row r="1691" spans="4:40" x14ac:dyDescent="0.2">
      <c r="D1691" s="89"/>
      <c r="M1691" s="65"/>
      <c r="V1691" s="89"/>
      <c r="AE1691" s="89"/>
      <c r="AN1691" s="89"/>
    </row>
    <row r="1692" spans="4:40" x14ac:dyDescent="0.2">
      <c r="D1692" s="89"/>
      <c r="M1692" s="65"/>
      <c r="V1692" s="89"/>
      <c r="AE1692" s="89"/>
      <c r="AN1692" s="89"/>
    </row>
    <row r="1693" spans="4:40" x14ac:dyDescent="0.2">
      <c r="D1693" s="89"/>
      <c r="M1693" s="65"/>
      <c r="V1693" s="89"/>
      <c r="AE1693" s="89"/>
      <c r="AN1693" s="89"/>
    </row>
    <row r="1694" spans="4:40" x14ac:dyDescent="0.2">
      <c r="D1694" s="89"/>
      <c r="M1694" s="65"/>
      <c r="V1694" s="89"/>
      <c r="AE1694" s="89"/>
      <c r="AN1694" s="89"/>
    </row>
    <row r="1695" spans="4:40" x14ac:dyDescent="0.2">
      <c r="D1695" s="89"/>
      <c r="M1695" s="65"/>
      <c r="V1695" s="89"/>
      <c r="AE1695" s="89"/>
      <c r="AN1695" s="89"/>
    </row>
    <row r="1696" spans="4:40" x14ac:dyDescent="0.2">
      <c r="D1696" s="89"/>
      <c r="M1696" s="65"/>
      <c r="V1696" s="89"/>
      <c r="AE1696" s="89"/>
      <c r="AN1696" s="89"/>
    </row>
    <row r="1697" spans="4:40" x14ac:dyDescent="0.2">
      <c r="D1697" s="89"/>
      <c r="M1697" s="65"/>
      <c r="V1697" s="89"/>
      <c r="AE1697" s="89"/>
      <c r="AN1697" s="89"/>
    </row>
    <row r="1698" spans="4:40" x14ac:dyDescent="0.2">
      <c r="D1698" s="89"/>
      <c r="M1698" s="65"/>
      <c r="V1698" s="89"/>
      <c r="AE1698" s="89"/>
      <c r="AN1698" s="89"/>
    </row>
    <row r="1699" spans="4:40" x14ac:dyDescent="0.2">
      <c r="D1699" s="89"/>
      <c r="M1699" s="65"/>
      <c r="V1699" s="89"/>
      <c r="AE1699" s="89"/>
      <c r="AN1699" s="89"/>
    </row>
    <row r="1700" spans="4:40" x14ac:dyDescent="0.2">
      <c r="D1700" s="89"/>
      <c r="M1700" s="65"/>
      <c r="V1700" s="89"/>
      <c r="AE1700" s="89"/>
      <c r="AN1700" s="89"/>
    </row>
    <row r="1701" spans="4:40" x14ac:dyDescent="0.2">
      <c r="D1701" s="89"/>
      <c r="M1701" s="65"/>
      <c r="V1701" s="89"/>
      <c r="AE1701" s="89"/>
      <c r="AN1701" s="89"/>
    </row>
    <row r="1702" spans="4:40" x14ac:dyDescent="0.2">
      <c r="D1702" s="89"/>
      <c r="M1702" s="65"/>
      <c r="V1702" s="89"/>
      <c r="AE1702" s="89"/>
      <c r="AN1702" s="89"/>
    </row>
    <row r="1703" spans="4:40" x14ac:dyDescent="0.2">
      <c r="D1703" s="89"/>
      <c r="M1703" s="65"/>
      <c r="V1703" s="89"/>
      <c r="AE1703" s="89"/>
      <c r="AN1703" s="89"/>
    </row>
    <row r="1704" spans="4:40" x14ac:dyDescent="0.2">
      <c r="D1704" s="89"/>
      <c r="M1704" s="65"/>
      <c r="V1704" s="89"/>
      <c r="AE1704" s="89"/>
      <c r="AN1704" s="89"/>
    </row>
    <row r="1705" spans="4:40" x14ac:dyDescent="0.2">
      <c r="D1705" s="89"/>
      <c r="M1705" s="65"/>
      <c r="V1705" s="89"/>
      <c r="AE1705" s="89"/>
      <c r="AN1705" s="89"/>
    </row>
    <row r="1706" spans="4:40" x14ac:dyDescent="0.2">
      <c r="D1706" s="89"/>
      <c r="M1706" s="65"/>
      <c r="V1706" s="89"/>
      <c r="AE1706" s="89"/>
      <c r="AN1706" s="89"/>
    </row>
    <row r="1707" spans="4:40" x14ac:dyDescent="0.2">
      <c r="D1707" s="89"/>
      <c r="M1707" s="65"/>
      <c r="V1707" s="89"/>
      <c r="AE1707" s="89"/>
      <c r="AN1707" s="89"/>
    </row>
    <row r="1708" spans="4:40" x14ac:dyDescent="0.2">
      <c r="D1708" s="89"/>
      <c r="M1708" s="65"/>
      <c r="V1708" s="89"/>
      <c r="AE1708" s="89"/>
      <c r="AN1708" s="89"/>
    </row>
    <row r="1709" spans="4:40" x14ac:dyDescent="0.2">
      <c r="D1709" s="89"/>
      <c r="M1709" s="65"/>
      <c r="V1709" s="89"/>
      <c r="AE1709" s="89"/>
      <c r="AN1709" s="89"/>
    </row>
    <row r="1710" spans="4:40" x14ac:dyDescent="0.2">
      <c r="D1710" s="89"/>
      <c r="M1710" s="65"/>
      <c r="V1710" s="89"/>
      <c r="AE1710" s="89"/>
      <c r="AN1710" s="89"/>
    </row>
    <row r="1711" spans="4:40" x14ac:dyDescent="0.2">
      <c r="D1711" s="89"/>
      <c r="M1711" s="65"/>
      <c r="V1711" s="89"/>
      <c r="AE1711" s="89"/>
      <c r="AN1711" s="89"/>
    </row>
    <row r="1712" spans="4:40" x14ac:dyDescent="0.2">
      <c r="D1712" s="89"/>
      <c r="M1712" s="65"/>
      <c r="V1712" s="89"/>
      <c r="AE1712" s="89"/>
      <c r="AN1712" s="89"/>
    </row>
    <row r="1713" spans="4:40" x14ac:dyDescent="0.2">
      <c r="D1713" s="89"/>
      <c r="M1713" s="65"/>
      <c r="V1713" s="89"/>
      <c r="AE1713" s="89"/>
      <c r="AN1713" s="89"/>
    </row>
    <row r="1714" spans="4:40" x14ac:dyDescent="0.2">
      <c r="D1714" s="89"/>
      <c r="M1714" s="65"/>
      <c r="V1714" s="89"/>
      <c r="AE1714" s="89"/>
      <c r="AN1714" s="89"/>
    </row>
    <row r="1715" spans="4:40" x14ac:dyDescent="0.2">
      <c r="D1715" s="89"/>
      <c r="M1715" s="65"/>
      <c r="V1715" s="89"/>
      <c r="AE1715" s="89"/>
      <c r="AN1715" s="89"/>
    </row>
    <row r="1716" spans="4:40" x14ac:dyDescent="0.2">
      <c r="D1716" s="89"/>
      <c r="M1716" s="65"/>
      <c r="V1716" s="89"/>
      <c r="AE1716" s="89"/>
      <c r="AN1716" s="89"/>
    </row>
    <row r="1717" spans="4:40" x14ac:dyDescent="0.2">
      <c r="D1717" s="89"/>
      <c r="M1717" s="65"/>
      <c r="V1717" s="89"/>
      <c r="AE1717" s="89"/>
      <c r="AN1717" s="89"/>
    </row>
    <row r="1718" spans="4:40" x14ac:dyDescent="0.2">
      <c r="D1718" s="89"/>
      <c r="M1718" s="65"/>
      <c r="V1718" s="89"/>
      <c r="AE1718" s="89"/>
      <c r="AN1718" s="89"/>
    </row>
    <row r="1719" spans="4:40" x14ac:dyDescent="0.2">
      <c r="D1719" s="89"/>
      <c r="M1719" s="65"/>
      <c r="V1719" s="89"/>
      <c r="AE1719" s="89"/>
      <c r="AN1719" s="89"/>
    </row>
    <row r="1720" spans="4:40" x14ac:dyDescent="0.2">
      <c r="D1720" s="89"/>
      <c r="M1720" s="65"/>
      <c r="V1720" s="89"/>
      <c r="AE1720" s="89"/>
      <c r="AN1720" s="89"/>
    </row>
    <row r="1721" spans="4:40" x14ac:dyDescent="0.2">
      <c r="D1721" s="89"/>
      <c r="M1721" s="65"/>
      <c r="V1721" s="89"/>
      <c r="AE1721" s="89"/>
      <c r="AN1721" s="89"/>
    </row>
    <row r="1722" spans="4:40" x14ac:dyDescent="0.2">
      <c r="D1722" s="89"/>
      <c r="M1722" s="65"/>
      <c r="V1722" s="89"/>
      <c r="AE1722" s="89"/>
      <c r="AN1722" s="89"/>
    </row>
    <row r="1723" spans="4:40" x14ac:dyDescent="0.2">
      <c r="D1723" s="89"/>
      <c r="M1723" s="65"/>
      <c r="V1723" s="89"/>
      <c r="AE1723" s="89"/>
      <c r="AN1723" s="89"/>
    </row>
    <row r="1724" spans="4:40" x14ac:dyDescent="0.2">
      <c r="D1724" s="89"/>
      <c r="M1724" s="65"/>
      <c r="V1724" s="89"/>
      <c r="AE1724" s="89"/>
      <c r="AN1724" s="89"/>
    </row>
    <row r="1725" spans="4:40" x14ac:dyDescent="0.2">
      <c r="D1725" s="89"/>
      <c r="M1725" s="65"/>
      <c r="V1725" s="89"/>
      <c r="AE1725" s="89"/>
      <c r="AN1725" s="89"/>
    </row>
    <row r="1726" spans="4:40" x14ac:dyDescent="0.2">
      <c r="D1726" s="89"/>
      <c r="M1726" s="65"/>
      <c r="V1726" s="89"/>
      <c r="AE1726" s="89"/>
      <c r="AN1726" s="89"/>
    </row>
    <row r="1727" spans="4:40" x14ac:dyDescent="0.2">
      <c r="D1727" s="89"/>
      <c r="M1727" s="65"/>
      <c r="V1727" s="89"/>
      <c r="AE1727" s="89"/>
      <c r="AN1727" s="89"/>
    </row>
    <row r="1728" spans="4:40" x14ac:dyDescent="0.2">
      <c r="D1728" s="89"/>
      <c r="M1728" s="65"/>
      <c r="V1728" s="89"/>
      <c r="AE1728" s="89"/>
      <c r="AN1728" s="89"/>
    </row>
    <row r="1729" spans="4:40" x14ac:dyDescent="0.2">
      <c r="D1729" s="89"/>
      <c r="M1729" s="65"/>
      <c r="V1729" s="89"/>
      <c r="AE1729" s="89"/>
      <c r="AN1729" s="89"/>
    </row>
    <row r="1730" spans="4:40" x14ac:dyDescent="0.2">
      <c r="D1730" s="89"/>
      <c r="M1730" s="65"/>
      <c r="V1730" s="89"/>
      <c r="AE1730" s="89"/>
      <c r="AN1730" s="89"/>
    </row>
    <row r="1731" spans="4:40" x14ac:dyDescent="0.2">
      <c r="D1731" s="89"/>
      <c r="M1731" s="65"/>
      <c r="V1731" s="89"/>
      <c r="AE1731" s="89"/>
      <c r="AN1731" s="89"/>
    </row>
    <row r="1732" spans="4:40" x14ac:dyDescent="0.2">
      <c r="D1732" s="89"/>
      <c r="M1732" s="65"/>
      <c r="V1732" s="89"/>
      <c r="AE1732" s="89"/>
      <c r="AN1732" s="89"/>
    </row>
    <row r="1733" spans="4:40" x14ac:dyDescent="0.2">
      <c r="D1733" s="89"/>
      <c r="M1733" s="65"/>
      <c r="V1733" s="89"/>
      <c r="AE1733" s="89"/>
      <c r="AN1733" s="89"/>
    </row>
    <row r="1734" spans="4:40" x14ac:dyDescent="0.2">
      <c r="D1734" s="89"/>
      <c r="M1734" s="65"/>
      <c r="V1734" s="89"/>
      <c r="AE1734" s="89"/>
      <c r="AN1734" s="89"/>
    </row>
    <row r="1735" spans="4:40" x14ac:dyDescent="0.2">
      <c r="D1735" s="89"/>
      <c r="M1735" s="65"/>
      <c r="V1735" s="89"/>
      <c r="AE1735" s="89"/>
      <c r="AN1735" s="89"/>
    </row>
    <row r="1736" spans="4:40" x14ac:dyDescent="0.2">
      <c r="D1736" s="89"/>
      <c r="M1736" s="65"/>
      <c r="V1736" s="89"/>
      <c r="AE1736" s="89"/>
      <c r="AN1736" s="89"/>
    </row>
    <row r="1737" spans="4:40" x14ac:dyDescent="0.2">
      <c r="D1737" s="89"/>
      <c r="M1737" s="65"/>
      <c r="V1737" s="89"/>
      <c r="AE1737" s="89"/>
      <c r="AN1737" s="89"/>
    </row>
    <row r="1738" spans="4:40" x14ac:dyDescent="0.2">
      <c r="D1738" s="89"/>
      <c r="M1738" s="65"/>
      <c r="V1738" s="89"/>
      <c r="AE1738" s="89"/>
      <c r="AN1738" s="89"/>
    </row>
    <row r="1739" spans="4:40" x14ac:dyDescent="0.2">
      <c r="D1739" s="89"/>
      <c r="M1739" s="65"/>
      <c r="V1739" s="89"/>
      <c r="AE1739" s="89"/>
      <c r="AN1739" s="89"/>
    </row>
    <row r="1740" spans="4:40" x14ac:dyDescent="0.2">
      <c r="D1740" s="89"/>
      <c r="M1740" s="65"/>
      <c r="V1740" s="89"/>
      <c r="AE1740" s="89"/>
      <c r="AN1740" s="89"/>
    </row>
    <row r="1741" spans="4:40" x14ac:dyDescent="0.2">
      <c r="D1741" s="89"/>
      <c r="M1741" s="65"/>
      <c r="V1741" s="89"/>
      <c r="AE1741" s="89"/>
      <c r="AN1741" s="89"/>
    </row>
    <row r="1742" spans="4:40" x14ac:dyDescent="0.2">
      <c r="D1742" s="89"/>
      <c r="M1742" s="65"/>
      <c r="V1742" s="89"/>
      <c r="AE1742" s="89"/>
      <c r="AN1742" s="89"/>
    </row>
    <row r="1743" spans="4:40" x14ac:dyDescent="0.2">
      <c r="D1743" s="89"/>
      <c r="M1743" s="65"/>
      <c r="V1743" s="89"/>
      <c r="AE1743" s="89"/>
      <c r="AN1743" s="89"/>
    </row>
    <row r="1744" spans="4:40" x14ac:dyDescent="0.2">
      <c r="D1744" s="89"/>
      <c r="M1744" s="65"/>
      <c r="V1744" s="89"/>
      <c r="AE1744" s="89"/>
      <c r="AN1744" s="89"/>
    </row>
    <row r="1745" spans="4:40" x14ac:dyDescent="0.2">
      <c r="D1745" s="89"/>
      <c r="M1745" s="65"/>
      <c r="V1745" s="89"/>
      <c r="AE1745" s="89"/>
      <c r="AN1745" s="89"/>
    </row>
    <row r="1746" spans="4:40" x14ac:dyDescent="0.2">
      <c r="D1746" s="89"/>
      <c r="M1746" s="65"/>
      <c r="V1746" s="89"/>
      <c r="AE1746" s="89"/>
      <c r="AN1746" s="89"/>
    </row>
    <row r="1747" spans="4:40" x14ac:dyDescent="0.2">
      <c r="D1747" s="89"/>
      <c r="M1747" s="65"/>
      <c r="V1747" s="89"/>
      <c r="AE1747" s="89"/>
      <c r="AN1747" s="89"/>
    </row>
    <row r="1748" spans="4:40" x14ac:dyDescent="0.2">
      <c r="D1748" s="89"/>
      <c r="M1748" s="65"/>
      <c r="V1748" s="89"/>
      <c r="AE1748" s="89"/>
      <c r="AN1748" s="89"/>
    </row>
    <row r="1749" spans="4:40" x14ac:dyDescent="0.2">
      <c r="D1749" s="89"/>
      <c r="M1749" s="65"/>
      <c r="V1749" s="89"/>
      <c r="AE1749" s="89"/>
      <c r="AN1749" s="89"/>
    </row>
    <row r="1750" spans="4:40" x14ac:dyDescent="0.2">
      <c r="D1750" s="89"/>
      <c r="M1750" s="65"/>
      <c r="V1750" s="89"/>
      <c r="AE1750" s="89"/>
      <c r="AN1750" s="89"/>
    </row>
    <row r="1751" spans="4:40" x14ac:dyDescent="0.2">
      <c r="D1751" s="89"/>
      <c r="M1751" s="65"/>
      <c r="V1751" s="89"/>
      <c r="AE1751" s="89"/>
      <c r="AN1751" s="89"/>
    </row>
    <row r="1752" spans="4:40" x14ac:dyDescent="0.2">
      <c r="D1752" s="89"/>
      <c r="M1752" s="65"/>
      <c r="V1752" s="89"/>
      <c r="AE1752" s="89"/>
      <c r="AN1752" s="89"/>
    </row>
    <row r="1753" spans="4:40" x14ac:dyDescent="0.2">
      <c r="D1753" s="89"/>
      <c r="M1753" s="65"/>
      <c r="V1753" s="89"/>
      <c r="AE1753" s="89"/>
      <c r="AN1753" s="89"/>
    </row>
    <row r="1754" spans="4:40" x14ac:dyDescent="0.2">
      <c r="D1754" s="89"/>
      <c r="M1754" s="65"/>
      <c r="V1754" s="89"/>
      <c r="AE1754" s="89"/>
      <c r="AN1754" s="89"/>
    </row>
    <row r="1755" spans="4:40" x14ac:dyDescent="0.2">
      <c r="D1755" s="89"/>
      <c r="M1755" s="65"/>
      <c r="V1755" s="89"/>
      <c r="AE1755" s="89"/>
      <c r="AN1755" s="89"/>
    </row>
    <row r="1756" spans="4:40" x14ac:dyDescent="0.2">
      <c r="D1756" s="89"/>
      <c r="M1756" s="65"/>
      <c r="V1756" s="89"/>
      <c r="AE1756" s="89"/>
      <c r="AN1756" s="89"/>
    </row>
    <row r="1757" spans="4:40" x14ac:dyDescent="0.2">
      <c r="D1757" s="89"/>
      <c r="M1757" s="65"/>
      <c r="V1757" s="89"/>
      <c r="AE1757" s="89"/>
      <c r="AN1757" s="89"/>
    </row>
    <row r="1758" spans="4:40" x14ac:dyDescent="0.2">
      <c r="D1758" s="89"/>
      <c r="M1758" s="65"/>
      <c r="V1758" s="89"/>
      <c r="AE1758" s="89"/>
      <c r="AN1758" s="89"/>
    </row>
    <row r="1759" spans="4:40" x14ac:dyDescent="0.2">
      <c r="D1759" s="89"/>
      <c r="M1759" s="65"/>
      <c r="V1759" s="89"/>
      <c r="AE1759" s="89"/>
      <c r="AN1759" s="89"/>
    </row>
    <row r="1760" spans="4:40" x14ac:dyDescent="0.2">
      <c r="D1760" s="89"/>
      <c r="M1760" s="65"/>
      <c r="V1760" s="89"/>
      <c r="AE1760" s="89"/>
      <c r="AN1760" s="89"/>
    </row>
    <row r="1761" spans="4:40" x14ac:dyDescent="0.2">
      <c r="D1761" s="89"/>
      <c r="M1761" s="65"/>
      <c r="V1761" s="89"/>
      <c r="AE1761" s="89"/>
      <c r="AN1761" s="89"/>
    </row>
    <row r="1762" spans="4:40" x14ac:dyDescent="0.2">
      <c r="D1762" s="89"/>
      <c r="M1762" s="65"/>
      <c r="V1762" s="89"/>
      <c r="AE1762" s="89"/>
      <c r="AN1762" s="89"/>
    </row>
    <row r="1763" spans="4:40" x14ac:dyDescent="0.2">
      <c r="D1763" s="89"/>
      <c r="M1763" s="65"/>
      <c r="V1763" s="89"/>
      <c r="AE1763" s="89"/>
      <c r="AN1763" s="89"/>
    </row>
    <row r="1764" spans="4:40" x14ac:dyDescent="0.2">
      <c r="D1764" s="89"/>
      <c r="M1764" s="65"/>
      <c r="V1764" s="89"/>
      <c r="AE1764" s="89"/>
      <c r="AN1764" s="89"/>
    </row>
    <row r="1765" spans="4:40" x14ac:dyDescent="0.2">
      <c r="D1765" s="89"/>
      <c r="M1765" s="65"/>
      <c r="V1765" s="89"/>
      <c r="AE1765" s="89"/>
      <c r="AN1765" s="89"/>
    </row>
    <row r="1766" spans="4:40" x14ac:dyDescent="0.2">
      <c r="D1766" s="89"/>
      <c r="M1766" s="65"/>
      <c r="V1766" s="89"/>
      <c r="AE1766" s="89"/>
      <c r="AN1766" s="89"/>
    </row>
    <row r="1767" spans="4:40" x14ac:dyDescent="0.2">
      <c r="D1767" s="89"/>
      <c r="M1767" s="65"/>
      <c r="V1767" s="89"/>
      <c r="AE1767" s="89"/>
      <c r="AN1767" s="89"/>
    </row>
    <row r="1768" spans="4:40" x14ac:dyDescent="0.2">
      <c r="D1768" s="89"/>
      <c r="M1768" s="65"/>
      <c r="V1768" s="89"/>
      <c r="AE1768" s="89"/>
      <c r="AN1768" s="89"/>
    </row>
    <row r="1769" spans="4:40" x14ac:dyDescent="0.2">
      <c r="D1769" s="89"/>
      <c r="M1769" s="65"/>
      <c r="V1769" s="89"/>
      <c r="AE1769" s="89"/>
      <c r="AN1769" s="89"/>
    </row>
    <row r="1770" spans="4:40" x14ac:dyDescent="0.2">
      <c r="D1770" s="89"/>
      <c r="M1770" s="65"/>
      <c r="V1770" s="89"/>
      <c r="AE1770" s="89"/>
      <c r="AN1770" s="89"/>
    </row>
    <row r="1771" spans="4:40" x14ac:dyDescent="0.2">
      <c r="D1771" s="89"/>
      <c r="M1771" s="65"/>
      <c r="V1771" s="89"/>
      <c r="AE1771" s="89"/>
      <c r="AN1771" s="89"/>
    </row>
    <row r="1772" spans="4:40" x14ac:dyDescent="0.2">
      <c r="D1772" s="89"/>
      <c r="M1772" s="65"/>
      <c r="V1772" s="89"/>
      <c r="AE1772" s="89"/>
      <c r="AN1772" s="89"/>
    </row>
    <row r="1773" spans="4:40" x14ac:dyDescent="0.2">
      <c r="D1773" s="89"/>
      <c r="M1773" s="65"/>
      <c r="V1773" s="89"/>
      <c r="AE1773" s="89"/>
      <c r="AN1773" s="89"/>
    </row>
    <row r="1774" spans="4:40" x14ac:dyDescent="0.2">
      <c r="D1774" s="89"/>
      <c r="M1774" s="65"/>
      <c r="V1774" s="89"/>
      <c r="AE1774" s="89"/>
      <c r="AN1774" s="89"/>
    </row>
    <row r="1775" spans="4:40" x14ac:dyDescent="0.2">
      <c r="D1775" s="89"/>
      <c r="M1775" s="65"/>
      <c r="V1775" s="89"/>
      <c r="AE1775" s="89"/>
      <c r="AN1775" s="89"/>
    </row>
    <row r="1776" spans="4:40" x14ac:dyDescent="0.2">
      <c r="D1776" s="89"/>
      <c r="M1776" s="65"/>
      <c r="V1776" s="89"/>
      <c r="AE1776" s="89"/>
      <c r="AN1776" s="89"/>
    </row>
    <row r="1777" spans="4:40" x14ac:dyDescent="0.2">
      <c r="D1777" s="89"/>
      <c r="M1777" s="65"/>
      <c r="V1777" s="89"/>
      <c r="AE1777" s="89"/>
      <c r="AN1777" s="89"/>
    </row>
    <row r="1778" spans="4:40" x14ac:dyDescent="0.2">
      <c r="D1778" s="89"/>
      <c r="M1778" s="65"/>
      <c r="V1778" s="89"/>
      <c r="AE1778" s="89"/>
      <c r="AN1778" s="89"/>
    </row>
    <row r="1779" spans="4:40" x14ac:dyDescent="0.2">
      <c r="D1779" s="89"/>
      <c r="M1779" s="65"/>
      <c r="V1779" s="89"/>
      <c r="AE1779" s="89"/>
      <c r="AN1779" s="89"/>
    </row>
    <row r="1780" spans="4:40" x14ac:dyDescent="0.2">
      <c r="D1780" s="89"/>
      <c r="M1780" s="65"/>
      <c r="V1780" s="89"/>
      <c r="AE1780" s="89"/>
      <c r="AN1780" s="89"/>
    </row>
    <row r="1781" spans="4:40" x14ac:dyDescent="0.2">
      <c r="D1781" s="89"/>
      <c r="M1781" s="65"/>
      <c r="V1781" s="89"/>
      <c r="AE1781" s="89"/>
      <c r="AN1781" s="89"/>
    </row>
    <row r="1782" spans="4:40" x14ac:dyDescent="0.2">
      <c r="D1782" s="89"/>
      <c r="M1782" s="65"/>
      <c r="V1782" s="89"/>
      <c r="AE1782" s="89"/>
      <c r="AN1782" s="89"/>
    </row>
    <row r="1783" spans="4:40" x14ac:dyDescent="0.2">
      <c r="D1783" s="89"/>
      <c r="M1783" s="65"/>
      <c r="V1783" s="89"/>
      <c r="AE1783" s="89"/>
      <c r="AN1783" s="89"/>
    </row>
    <row r="1784" spans="4:40" x14ac:dyDescent="0.2">
      <c r="D1784" s="89"/>
      <c r="M1784" s="65"/>
      <c r="V1784" s="89"/>
      <c r="AE1784" s="89"/>
      <c r="AN1784" s="89"/>
    </row>
    <row r="1785" spans="4:40" x14ac:dyDescent="0.2">
      <c r="D1785" s="89"/>
      <c r="M1785" s="65"/>
      <c r="V1785" s="89"/>
      <c r="AE1785" s="89"/>
      <c r="AN1785" s="89"/>
    </row>
    <row r="1786" spans="4:40" x14ac:dyDescent="0.2">
      <c r="D1786" s="89"/>
      <c r="M1786" s="65"/>
      <c r="V1786" s="89"/>
      <c r="AE1786" s="89"/>
      <c r="AN1786" s="89"/>
    </row>
    <row r="1787" spans="4:40" x14ac:dyDescent="0.2">
      <c r="D1787" s="89"/>
      <c r="M1787" s="65"/>
      <c r="V1787" s="89"/>
      <c r="AE1787" s="89"/>
      <c r="AN1787" s="89"/>
    </row>
    <row r="1788" spans="4:40" x14ac:dyDescent="0.2">
      <c r="D1788" s="89"/>
      <c r="M1788" s="65"/>
      <c r="V1788" s="89"/>
      <c r="AE1788" s="89"/>
      <c r="AN1788" s="89"/>
    </row>
    <row r="1789" spans="4:40" x14ac:dyDescent="0.2">
      <c r="D1789" s="89"/>
      <c r="M1789" s="65"/>
      <c r="V1789" s="89"/>
      <c r="AE1789" s="89"/>
      <c r="AN1789" s="89"/>
    </row>
    <row r="1790" spans="4:40" x14ac:dyDescent="0.2">
      <c r="D1790" s="89"/>
      <c r="M1790" s="65"/>
      <c r="V1790" s="89"/>
      <c r="AE1790" s="89"/>
      <c r="AN1790" s="89"/>
    </row>
    <row r="1791" spans="4:40" x14ac:dyDescent="0.2">
      <c r="D1791" s="89"/>
      <c r="M1791" s="65"/>
      <c r="V1791" s="89"/>
      <c r="AE1791" s="89"/>
      <c r="AN1791" s="89"/>
    </row>
    <row r="1792" spans="4:40" x14ac:dyDescent="0.2">
      <c r="D1792" s="89"/>
      <c r="M1792" s="65"/>
      <c r="V1792" s="89"/>
      <c r="AE1792" s="89"/>
      <c r="AN1792" s="89"/>
    </row>
    <row r="1793" spans="4:40" x14ac:dyDescent="0.2">
      <c r="D1793" s="89"/>
      <c r="M1793" s="65"/>
      <c r="V1793" s="89"/>
      <c r="AE1793" s="89"/>
      <c r="AN1793" s="89"/>
    </row>
    <row r="1794" spans="4:40" x14ac:dyDescent="0.2">
      <c r="D1794" s="89"/>
      <c r="M1794" s="65"/>
      <c r="V1794" s="89"/>
      <c r="AE1794" s="89"/>
      <c r="AN1794" s="89"/>
    </row>
    <row r="1795" spans="4:40" x14ac:dyDescent="0.2">
      <c r="D1795" s="89"/>
      <c r="M1795" s="65"/>
      <c r="V1795" s="89"/>
      <c r="AE1795" s="89"/>
      <c r="AN1795" s="89"/>
    </row>
    <row r="1796" spans="4:40" x14ac:dyDescent="0.2">
      <c r="D1796" s="89"/>
      <c r="M1796" s="65"/>
      <c r="V1796" s="89"/>
      <c r="AE1796" s="89"/>
      <c r="AN1796" s="89"/>
    </row>
    <row r="1797" spans="4:40" x14ac:dyDescent="0.2">
      <c r="D1797" s="89"/>
      <c r="M1797" s="65"/>
      <c r="V1797" s="89"/>
      <c r="AE1797" s="89"/>
      <c r="AN1797" s="89"/>
    </row>
    <row r="1798" spans="4:40" x14ac:dyDescent="0.2">
      <c r="D1798" s="89"/>
      <c r="M1798" s="65"/>
      <c r="V1798" s="89"/>
      <c r="AE1798" s="89"/>
      <c r="AN1798" s="89"/>
    </row>
    <row r="1799" spans="4:40" x14ac:dyDescent="0.2">
      <c r="D1799" s="89"/>
      <c r="M1799" s="65"/>
      <c r="V1799" s="89"/>
      <c r="AE1799" s="89"/>
      <c r="AN1799" s="89"/>
    </row>
    <row r="1800" spans="4:40" x14ac:dyDescent="0.2">
      <c r="D1800" s="89"/>
      <c r="M1800" s="65"/>
      <c r="V1800" s="89"/>
      <c r="AE1800" s="89"/>
      <c r="AN1800" s="89"/>
    </row>
    <row r="1801" spans="4:40" x14ac:dyDescent="0.2">
      <c r="D1801" s="89"/>
      <c r="M1801" s="65"/>
      <c r="V1801" s="89"/>
      <c r="AE1801" s="89"/>
      <c r="AN1801" s="89"/>
    </row>
    <row r="1802" spans="4:40" x14ac:dyDescent="0.2">
      <c r="D1802" s="89"/>
      <c r="M1802" s="65"/>
      <c r="V1802" s="89"/>
      <c r="AE1802" s="89"/>
      <c r="AN1802" s="89"/>
    </row>
    <row r="1803" spans="4:40" x14ac:dyDescent="0.2">
      <c r="D1803" s="89"/>
      <c r="M1803" s="65"/>
      <c r="V1803" s="89"/>
      <c r="AE1803" s="89"/>
      <c r="AN1803" s="89"/>
    </row>
    <row r="1804" spans="4:40" x14ac:dyDescent="0.2">
      <c r="D1804" s="89"/>
      <c r="M1804" s="65"/>
      <c r="V1804" s="89"/>
      <c r="AE1804" s="89"/>
      <c r="AN1804" s="89"/>
    </row>
    <row r="1805" spans="4:40" x14ac:dyDescent="0.2">
      <c r="D1805" s="89"/>
      <c r="M1805" s="65"/>
      <c r="V1805" s="89"/>
      <c r="AE1805" s="89"/>
      <c r="AN1805" s="89"/>
    </row>
    <row r="1806" spans="4:40" x14ac:dyDescent="0.2">
      <c r="D1806" s="89"/>
      <c r="M1806" s="65"/>
      <c r="V1806" s="89"/>
      <c r="AE1806" s="89"/>
      <c r="AN1806" s="89"/>
    </row>
    <row r="1807" spans="4:40" x14ac:dyDescent="0.2">
      <c r="D1807" s="89"/>
      <c r="M1807" s="65"/>
      <c r="V1807" s="89"/>
      <c r="AE1807" s="89"/>
      <c r="AN1807" s="89"/>
    </row>
    <row r="1808" spans="4:40" x14ac:dyDescent="0.2">
      <c r="D1808" s="89"/>
      <c r="M1808" s="65"/>
      <c r="V1808" s="89"/>
      <c r="AE1808" s="89"/>
      <c r="AN1808" s="89"/>
    </row>
    <row r="1809" spans="4:40" x14ac:dyDescent="0.2">
      <c r="D1809" s="89"/>
      <c r="M1809" s="65"/>
      <c r="V1809" s="89"/>
      <c r="AE1809" s="89"/>
      <c r="AN1809" s="89"/>
    </row>
    <row r="1810" spans="4:40" x14ac:dyDescent="0.2">
      <c r="D1810" s="89"/>
      <c r="M1810" s="65"/>
      <c r="V1810" s="89"/>
      <c r="AE1810" s="89"/>
      <c r="AN1810" s="89"/>
    </row>
    <row r="1811" spans="4:40" x14ac:dyDescent="0.2">
      <c r="D1811" s="89"/>
      <c r="M1811" s="65"/>
      <c r="V1811" s="89"/>
      <c r="AE1811" s="89"/>
      <c r="AN1811" s="89"/>
    </row>
    <row r="1812" spans="4:40" x14ac:dyDescent="0.2">
      <c r="D1812" s="89"/>
      <c r="M1812" s="65"/>
      <c r="V1812" s="89"/>
      <c r="AE1812" s="89"/>
      <c r="AN1812" s="89"/>
    </row>
    <row r="1813" spans="4:40" x14ac:dyDescent="0.2">
      <c r="D1813" s="89"/>
      <c r="M1813" s="65"/>
      <c r="V1813" s="89"/>
      <c r="AE1813" s="89"/>
      <c r="AN1813" s="89"/>
    </row>
    <row r="1814" spans="4:40" x14ac:dyDescent="0.2">
      <c r="D1814" s="89"/>
      <c r="M1814" s="65"/>
      <c r="V1814" s="89"/>
      <c r="AE1814" s="89"/>
      <c r="AN1814" s="89"/>
    </row>
    <row r="1815" spans="4:40" x14ac:dyDescent="0.2">
      <c r="D1815" s="89"/>
      <c r="M1815" s="65"/>
      <c r="V1815" s="89"/>
      <c r="AE1815" s="89"/>
      <c r="AN1815" s="89"/>
    </row>
    <row r="1816" spans="4:40" x14ac:dyDescent="0.2">
      <c r="D1816" s="89"/>
      <c r="M1816" s="65"/>
      <c r="V1816" s="89"/>
      <c r="AE1816" s="89"/>
      <c r="AN1816" s="89"/>
    </row>
    <row r="1817" spans="4:40" x14ac:dyDescent="0.2">
      <c r="D1817" s="89"/>
      <c r="M1817" s="65"/>
      <c r="V1817" s="89"/>
      <c r="AE1817" s="89"/>
      <c r="AN1817" s="89"/>
    </row>
    <row r="1818" spans="4:40" x14ac:dyDescent="0.2">
      <c r="D1818" s="89"/>
      <c r="M1818" s="65"/>
      <c r="V1818" s="89"/>
      <c r="AE1818" s="89"/>
      <c r="AN1818" s="89"/>
    </row>
    <row r="1819" spans="4:40" x14ac:dyDescent="0.2">
      <c r="D1819" s="89"/>
      <c r="M1819" s="65"/>
      <c r="V1819" s="89"/>
      <c r="AE1819" s="89"/>
      <c r="AN1819" s="89"/>
    </row>
    <row r="1820" spans="4:40" x14ac:dyDescent="0.2">
      <c r="D1820" s="89"/>
      <c r="M1820" s="65"/>
      <c r="V1820" s="89"/>
      <c r="AE1820" s="89"/>
      <c r="AN1820" s="89"/>
    </row>
    <row r="1821" spans="4:40" x14ac:dyDescent="0.2">
      <c r="D1821" s="89"/>
      <c r="M1821" s="65"/>
      <c r="V1821" s="89"/>
      <c r="AE1821" s="89"/>
      <c r="AN1821" s="89"/>
    </row>
    <row r="1822" spans="4:40" x14ac:dyDescent="0.2">
      <c r="D1822" s="89"/>
      <c r="M1822" s="65"/>
      <c r="V1822" s="89"/>
      <c r="AE1822" s="89"/>
      <c r="AN1822" s="89"/>
    </row>
    <row r="1823" spans="4:40" x14ac:dyDescent="0.2">
      <c r="D1823" s="89"/>
      <c r="M1823" s="65"/>
      <c r="V1823" s="89"/>
      <c r="AE1823" s="89"/>
      <c r="AN1823" s="89"/>
    </row>
    <row r="1824" spans="4:40" x14ac:dyDescent="0.2">
      <c r="D1824" s="89"/>
      <c r="M1824" s="65"/>
      <c r="V1824" s="89"/>
      <c r="AE1824" s="89"/>
      <c r="AN1824" s="89"/>
    </row>
    <row r="1825" spans="4:40" x14ac:dyDescent="0.2">
      <c r="D1825" s="89"/>
      <c r="M1825" s="65"/>
      <c r="V1825" s="89"/>
      <c r="AE1825" s="89"/>
      <c r="AN1825" s="89"/>
    </row>
    <row r="1826" spans="4:40" x14ac:dyDescent="0.2">
      <c r="D1826" s="89"/>
      <c r="M1826" s="65"/>
      <c r="V1826" s="89"/>
      <c r="AE1826" s="89"/>
      <c r="AN1826" s="89"/>
    </row>
    <row r="1827" spans="4:40" x14ac:dyDescent="0.2">
      <c r="D1827" s="89"/>
      <c r="M1827" s="65"/>
      <c r="V1827" s="89"/>
      <c r="AE1827" s="89"/>
      <c r="AN1827" s="89"/>
    </row>
    <row r="1828" spans="4:40" x14ac:dyDescent="0.2">
      <c r="D1828" s="89"/>
      <c r="M1828" s="65"/>
      <c r="V1828" s="89"/>
      <c r="AE1828" s="89"/>
      <c r="AN1828" s="89"/>
    </row>
    <row r="1829" spans="4:40" x14ac:dyDescent="0.2">
      <c r="D1829" s="89"/>
      <c r="M1829" s="65"/>
      <c r="V1829" s="89"/>
      <c r="AE1829" s="89"/>
      <c r="AN1829" s="89"/>
    </row>
    <row r="1830" spans="4:40" x14ac:dyDescent="0.2">
      <c r="D1830" s="89"/>
      <c r="M1830" s="65"/>
      <c r="V1830" s="89"/>
      <c r="AE1830" s="89"/>
      <c r="AN1830" s="89"/>
    </row>
    <row r="1831" spans="4:40" x14ac:dyDescent="0.2">
      <c r="D1831" s="89"/>
      <c r="M1831" s="65"/>
      <c r="V1831" s="89"/>
      <c r="AE1831" s="89"/>
      <c r="AN1831" s="89"/>
    </row>
    <row r="1832" spans="4:40" x14ac:dyDescent="0.2">
      <c r="D1832" s="89"/>
      <c r="M1832" s="65"/>
      <c r="V1832" s="89"/>
      <c r="AE1832" s="89"/>
      <c r="AN1832" s="89"/>
    </row>
    <row r="1833" spans="4:40" x14ac:dyDescent="0.2">
      <c r="D1833" s="89"/>
      <c r="M1833" s="65"/>
      <c r="V1833" s="89"/>
      <c r="AE1833" s="89"/>
      <c r="AN1833" s="89"/>
    </row>
    <row r="1834" spans="4:40" x14ac:dyDescent="0.2">
      <c r="D1834" s="89"/>
      <c r="M1834" s="65"/>
      <c r="V1834" s="89"/>
      <c r="AE1834" s="89"/>
      <c r="AN1834" s="89"/>
    </row>
    <row r="1835" spans="4:40" x14ac:dyDescent="0.2">
      <c r="D1835" s="89"/>
      <c r="M1835" s="65"/>
      <c r="V1835" s="89"/>
      <c r="AE1835" s="89"/>
      <c r="AN1835" s="89"/>
    </row>
    <row r="1836" spans="4:40" x14ac:dyDescent="0.2">
      <c r="D1836" s="89"/>
      <c r="M1836" s="65"/>
      <c r="V1836" s="89"/>
      <c r="AE1836" s="89"/>
      <c r="AN1836" s="89"/>
    </row>
    <row r="1837" spans="4:40" x14ac:dyDescent="0.2">
      <c r="D1837" s="89"/>
      <c r="M1837" s="65"/>
      <c r="V1837" s="89"/>
      <c r="AE1837" s="89"/>
      <c r="AN1837" s="89"/>
    </row>
    <row r="1838" spans="4:40" x14ac:dyDescent="0.2">
      <c r="D1838" s="89"/>
      <c r="M1838" s="65"/>
      <c r="V1838" s="89"/>
      <c r="AE1838" s="89"/>
      <c r="AN1838" s="89"/>
    </row>
    <row r="1839" spans="4:40" x14ac:dyDescent="0.2">
      <c r="D1839" s="89"/>
      <c r="M1839" s="65"/>
      <c r="V1839" s="89"/>
      <c r="AE1839" s="89"/>
      <c r="AN1839" s="89"/>
    </row>
    <row r="1840" spans="4:40" x14ac:dyDescent="0.2">
      <c r="D1840" s="89"/>
      <c r="M1840" s="65"/>
      <c r="V1840" s="89"/>
      <c r="AE1840" s="89"/>
      <c r="AN1840" s="89"/>
    </row>
    <row r="1841" spans="4:40" x14ac:dyDescent="0.2">
      <c r="D1841" s="89"/>
      <c r="M1841" s="65"/>
      <c r="V1841" s="89"/>
      <c r="AE1841" s="89"/>
      <c r="AN1841" s="89"/>
    </row>
    <row r="1842" spans="4:40" x14ac:dyDescent="0.2">
      <c r="D1842" s="89"/>
      <c r="M1842" s="65"/>
      <c r="V1842" s="89"/>
      <c r="AE1842" s="89"/>
      <c r="AN1842" s="89"/>
    </row>
    <row r="1843" spans="4:40" x14ac:dyDescent="0.2">
      <c r="D1843" s="89"/>
      <c r="M1843" s="65"/>
      <c r="V1843" s="89"/>
      <c r="AE1843" s="89"/>
      <c r="AN1843" s="89"/>
    </row>
    <row r="1844" spans="4:40" x14ac:dyDescent="0.2">
      <c r="D1844" s="89"/>
      <c r="M1844" s="65"/>
      <c r="V1844" s="89"/>
      <c r="AE1844" s="89"/>
      <c r="AN1844" s="89"/>
    </row>
    <row r="1845" spans="4:40" x14ac:dyDescent="0.2">
      <c r="D1845" s="89"/>
      <c r="M1845" s="65"/>
      <c r="V1845" s="89"/>
      <c r="AE1845" s="89"/>
      <c r="AN1845" s="89"/>
    </row>
    <row r="1846" spans="4:40" x14ac:dyDescent="0.2">
      <c r="D1846" s="89"/>
      <c r="M1846" s="65"/>
      <c r="V1846" s="89"/>
      <c r="AE1846" s="89"/>
      <c r="AN1846" s="89"/>
    </row>
    <row r="1847" spans="4:40" x14ac:dyDescent="0.2">
      <c r="D1847" s="89"/>
      <c r="M1847" s="65"/>
      <c r="V1847" s="89"/>
      <c r="AE1847" s="89"/>
      <c r="AN1847" s="89"/>
    </row>
    <row r="1848" spans="4:40" x14ac:dyDescent="0.2">
      <c r="D1848" s="89"/>
      <c r="M1848" s="65"/>
      <c r="V1848" s="89"/>
      <c r="AE1848" s="89"/>
      <c r="AN1848" s="89"/>
    </row>
    <row r="1849" spans="4:40" x14ac:dyDescent="0.2">
      <c r="D1849" s="89"/>
      <c r="M1849" s="65"/>
      <c r="V1849" s="89"/>
      <c r="AE1849" s="89"/>
      <c r="AN1849" s="89"/>
    </row>
    <row r="1850" spans="4:40" x14ac:dyDescent="0.2">
      <c r="D1850" s="89"/>
      <c r="M1850" s="65"/>
      <c r="V1850" s="89"/>
      <c r="AE1850" s="89"/>
      <c r="AN1850" s="89"/>
    </row>
    <row r="1851" spans="4:40" x14ac:dyDescent="0.2">
      <c r="D1851" s="89"/>
      <c r="M1851" s="65"/>
      <c r="V1851" s="89"/>
      <c r="AE1851" s="89"/>
      <c r="AN1851" s="89"/>
    </row>
    <row r="1852" spans="4:40" x14ac:dyDescent="0.2">
      <c r="D1852" s="89"/>
      <c r="M1852" s="65"/>
      <c r="V1852" s="89"/>
      <c r="AE1852" s="89"/>
      <c r="AN1852" s="89"/>
    </row>
    <row r="1853" spans="4:40" x14ac:dyDescent="0.2">
      <c r="D1853" s="89"/>
      <c r="M1853" s="65"/>
      <c r="V1853" s="89"/>
      <c r="AE1853" s="89"/>
      <c r="AN1853" s="89"/>
    </row>
    <row r="1854" spans="4:40" x14ac:dyDescent="0.2">
      <c r="D1854" s="89"/>
      <c r="M1854" s="65"/>
      <c r="V1854" s="89"/>
      <c r="AE1854" s="89"/>
      <c r="AN1854" s="89"/>
    </row>
    <row r="1855" spans="4:40" x14ac:dyDescent="0.2">
      <c r="D1855" s="89"/>
      <c r="M1855" s="65"/>
      <c r="V1855" s="89"/>
      <c r="AE1855" s="89"/>
      <c r="AN1855" s="89"/>
    </row>
    <row r="1856" spans="4:40" x14ac:dyDescent="0.2">
      <c r="D1856" s="89"/>
      <c r="M1856" s="65"/>
      <c r="V1856" s="89"/>
      <c r="AE1856" s="89"/>
      <c r="AN1856" s="89"/>
    </row>
    <row r="1857" spans="4:40" x14ac:dyDescent="0.2">
      <c r="D1857" s="89"/>
      <c r="M1857" s="65"/>
      <c r="V1857" s="89"/>
      <c r="AE1857" s="89"/>
      <c r="AN1857" s="89"/>
    </row>
    <row r="1858" spans="4:40" x14ac:dyDescent="0.2">
      <c r="D1858" s="89"/>
      <c r="M1858" s="65"/>
      <c r="V1858" s="89"/>
      <c r="AE1858" s="89"/>
      <c r="AN1858" s="89"/>
    </row>
    <row r="1859" spans="4:40" x14ac:dyDescent="0.2">
      <c r="D1859" s="89"/>
      <c r="M1859" s="65"/>
      <c r="V1859" s="89"/>
      <c r="AE1859" s="89"/>
      <c r="AN1859" s="89"/>
    </row>
    <row r="1860" spans="4:40" x14ac:dyDescent="0.2">
      <c r="D1860" s="89"/>
      <c r="M1860" s="65"/>
      <c r="V1860" s="89"/>
      <c r="AE1860" s="89"/>
      <c r="AN1860" s="89"/>
    </row>
    <row r="1861" spans="4:40" x14ac:dyDescent="0.2">
      <c r="D1861" s="89"/>
      <c r="M1861" s="65"/>
      <c r="V1861" s="89"/>
      <c r="AE1861" s="89"/>
      <c r="AN1861" s="89"/>
    </row>
    <row r="1862" spans="4:40" x14ac:dyDescent="0.2">
      <c r="D1862" s="89"/>
      <c r="M1862" s="65"/>
      <c r="V1862" s="89"/>
      <c r="AE1862" s="89"/>
      <c r="AN1862" s="89"/>
    </row>
    <row r="1863" spans="4:40" x14ac:dyDescent="0.2">
      <c r="D1863" s="89"/>
      <c r="M1863" s="65"/>
      <c r="V1863" s="89"/>
      <c r="AE1863" s="89"/>
      <c r="AN1863" s="89"/>
    </row>
    <row r="1864" spans="4:40" x14ac:dyDescent="0.2">
      <c r="D1864" s="89"/>
      <c r="M1864" s="65"/>
      <c r="V1864" s="89"/>
      <c r="AE1864" s="89"/>
      <c r="AN1864" s="89"/>
    </row>
    <row r="1865" spans="4:40" x14ac:dyDescent="0.2">
      <c r="D1865" s="89"/>
      <c r="M1865" s="65"/>
      <c r="V1865" s="89"/>
      <c r="AE1865" s="89"/>
      <c r="AN1865" s="89"/>
    </row>
    <row r="1866" spans="4:40" x14ac:dyDescent="0.2">
      <c r="D1866" s="89"/>
      <c r="M1866" s="65"/>
      <c r="V1866" s="89"/>
      <c r="AE1866" s="89"/>
      <c r="AN1866" s="89"/>
    </row>
    <row r="1867" spans="4:40" x14ac:dyDescent="0.2">
      <c r="D1867" s="89"/>
      <c r="M1867" s="65"/>
      <c r="V1867" s="89"/>
      <c r="AE1867" s="89"/>
      <c r="AN1867" s="89"/>
    </row>
    <row r="1868" spans="4:40" x14ac:dyDescent="0.2">
      <c r="D1868" s="89"/>
      <c r="M1868" s="65"/>
      <c r="V1868" s="89"/>
      <c r="AE1868" s="89"/>
      <c r="AN1868" s="89"/>
    </row>
    <row r="1869" spans="4:40" x14ac:dyDescent="0.2">
      <c r="D1869" s="89"/>
      <c r="M1869" s="65"/>
      <c r="V1869" s="89"/>
      <c r="AE1869" s="89"/>
      <c r="AN1869" s="89"/>
    </row>
    <row r="1870" spans="4:40" x14ac:dyDescent="0.2">
      <c r="D1870" s="89"/>
      <c r="M1870" s="65"/>
      <c r="V1870" s="89"/>
      <c r="AE1870" s="89"/>
      <c r="AN1870" s="89"/>
    </row>
    <row r="1871" spans="4:40" x14ac:dyDescent="0.2">
      <c r="D1871" s="89"/>
      <c r="M1871" s="65"/>
      <c r="V1871" s="89"/>
      <c r="AE1871" s="89"/>
      <c r="AN1871" s="89"/>
    </row>
    <row r="1872" spans="4:40" x14ac:dyDescent="0.2">
      <c r="D1872" s="89"/>
      <c r="M1872" s="65"/>
      <c r="V1872" s="89"/>
      <c r="AE1872" s="89"/>
      <c r="AN1872" s="89"/>
    </row>
    <row r="1873" spans="4:40" x14ac:dyDescent="0.2">
      <c r="D1873" s="89"/>
      <c r="M1873" s="65"/>
      <c r="V1873" s="89"/>
      <c r="AE1873" s="89"/>
      <c r="AN1873" s="89"/>
    </row>
    <row r="1874" spans="4:40" x14ac:dyDescent="0.2">
      <c r="D1874" s="89"/>
      <c r="M1874" s="65"/>
      <c r="V1874" s="89"/>
      <c r="AE1874" s="89"/>
      <c r="AN1874" s="89"/>
    </row>
    <row r="1875" spans="4:40" x14ac:dyDescent="0.2">
      <c r="D1875" s="89"/>
      <c r="M1875" s="65"/>
      <c r="V1875" s="89"/>
      <c r="AE1875" s="89"/>
      <c r="AN1875" s="89"/>
    </row>
    <row r="1876" spans="4:40" x14ac:dyDescent="0.2">
      <c r="D1876" s="89"/>
      <c r="M1876" s="65"/>
      <c r="V1876" s="89"/>
      <c r="AE1876" s="89"/>
      <c r="AN1876" s="89"/>
    </row>
    <row r="1877" spans="4:40" x14ac:dyDescent="0.2">
      <c r="D1877" s="89"/>
      <c r="M1877" s="65"/>
      <c r="V1877" s="89"/>
      <c r="AE1877" s="89"/>
      <c r="AN1877" s="89"/>
    </row>
    <row r="1878" spans="4:40" x14ac:dyDescent="0.2">
      <c r="D1878" s="89"/>
      <c r="M1878" s="65"/>
      <c r="V1878" s="89"/>
      <c r="AE1878" s="89"/>
      <c r="AN1878" s="89"/>
    </row>
    <row r="1879" spans="4:40" x14ac:dyDescent="0.2">
      <c r="D1879" s="89"/>
      <c r="M1879" s="65"/>
      <c r="V1879" s="89"/>
      <c r="AE1879" s="89"/>
      <c r="AN1879" s="89"/>
    </row>
    <row r="1880" spans="4:40" x14ac:dyDescent="0.2">
      <c r="D1880" s="89"/>
      <c r="M1880" s="65"/>
      <c r="V1880" s="89"/>
      <c r="AE1880" s="89"/>
      <c r="AN1880" s="89"/>
    </row>
    <row r="1881" spans="4:40" x14ac:dyDescent="0.2">
      <c r="D1881" s="89"/>
      <c r="M1881" s="65"/>
      <c r="V1881" s="89"/>
      <c r="AE1881" s="89"/>
      <c r="AN1881" s="89"/>
    </row>
    <row r="1882" spans="4:40" x14ac:dyDescent="0.2">
      <c r="D1882" s="89"/>
      <c r="M1882" s="65"/>
      <c r="V1882" s="89"/>
      <c r="AE1882" s="89"/>
      <c r="AN1882" s="89"/>
    </row>
    <row r="1883" spans="4:40" x14ac:dyDescent="0.2">
      <c r="D1883" s="89"/>
      <c r="M1883" s="65"/>
      <c r="V1883" s="89"/>
      <c r="AE1883" s="89"/>
      <c r="AN1883" s="89"/>
    </row>
    <row r="1884" spans="4:40" x14ac:dyDescent="0.2">
      <c r="D1884" s="89"/>
      <c r="M1884" s="65"/>
      <c r="V1884" s="89"/>
      <c r="AE1884" s="89"/>
      <c r="AN1884" s="89"/>
    </row>
    <row r="1885" spans="4:40" x14ac:dyDescent="0.2">
      <c r="D1885" s="89"/>
      <c r="M1885" s="65"/>
      <c r="V1885" s="89"/>
      <c r="AE1885" s="89"/>
      <c r="AN1885" s="89"/>
    </row>
    <row r="1886" spans="4:40" x14ac:dyDescent="0.2">
      <c r="D1886" s="89"/>
      <c r="M1886" s="65"/>
      <c r="V1886" s="89"/>
      <c r="AE1886" s="89"/>
      <c r="AN1886" s="89"/>
    </row>
    <row r="1887" spans="4:40" x14ac:dyDescent="0.2">
      <c r="D1887" s="89"/>
      <c r="M1887" s="65"/>
      <c r="V1887" s="89"/>
      <c r="AE1887" s="89"/>
      <c r="AN1887" s="89"/>
    </row>
    <row r="1888" spans="4:40" x14ac:dyDescent="0.2">
      <c r="D1888" s="89"/>
      <c r="M1888" s="65"/>
      <c r="V1888" s="89"/>
      <c r="AE1888" s="89"/>
      <c r="AN1888" s="89"/>
    </row>
    <row r="1889" spans="4:40" x14ac:dyDescent="0.2">
      <c r="D1889" s="89"/>
      <c r="M1889" s="65"/>
      <c r="V1889" s="89"/>
      <c r="AE1889" s="89"/>
      <c r="AN1889" s="89"/>
    </row>
    <row r="1890" spans="4:40" x14ac:dyDescent="0.2">
      <c r="D1890" s="89"/>
      <c r="M1890" s="65"/>
      <c r="V1890" s="89"/>
      <c r="AE1890" s="89"/>
      <c r="AN1890" s="89"/>
    </row>
    <row r="1891" spans="4:40" x14ac:dyDescent="0.2">
      <c r="D1891" s="89"/>
      <c r="M1891" s="65"/>
      <c r="V1891" s="89"/>
      <c r="AE1891" s="89"/>
      <c r="AN1891" s="89"/>
    </row>
    <row r="1892" spans="4:40" x14ac:dyDescent="0.2">
      <c r="D1892" s="89"/>
      <c r="M1892" s="65"/>
      <c r="V1892" s="89"/>
      <c r="AE1892" s="89"/>
      <c r="AN1892" s="89"/>
    </row>
    <row r="1893" spans="4:40" x14ac:dyDescent="0.2">
      <c r="D1893" s="89"/>
      <c r="M1893" s="65"/>
      <c r="V1893" s="89"/>
      <c r="AE1893" s="89"/>
      <c r="AN1893" s="89"/>
    </row>
    <row r="1894" spans="4:40" x14ac:dyDescent="0.2">
      <c r="D1894" s="89"/>
      <c r="M1894" s="65"/>
      <c r="V1894" s="89"/>
      <c r="AE1894" s="89"/>
      <c r="AN1894" s="89"/>
    </row>
    <row r="1895" spans="4:40" x14ac:dyDescent="0.2">
      <c r="D1895" s="89"/>
      <c r="M1895" s="65"/>
      <c r="V1895" s="89"/>
      <c r="AE1895" s="89"/>
      <c r="AN1895" s="89"/>
    </row>
    <row r="1896" spans="4:40" x14ac:dyDescent="0.2">
      <c r="D1896" s="89"/>
      <c r="M1896" s="65"/>
      <c r="V1896" s="89"/>
      <c r="AE1896" s="89"/>
      <c r="AN1896" s="89"/>
    </row>
    <row r="1897" spans="4:40" x14ac:dyDescent="0.2">
      <c r="D1897" s="89"/>
      <c r="M1897" s="65"/>
      <c r="V1897" s="89"/>
      <c r="AE1897" s="89"/>
      <c r="AN1897" s="89"/>
    </row>
    <row r="1898" spans="4:40" x14ac:dyDescent="0.2">
      <c r="D1898" s="89"/>
      <c r="M1898" s="65"/>
      <c r="V1898" s="89"/>
      <c r="AE1898" s="89"/>
      <c r="AN1898" s="89"/>
    </row>
    <row r="1899" spans="4:40" x14ac:dyDescent="0.2">
      <c r="D1899" s="89"/>
      <c r="M1899" s="65"/>
      <c r="V1899" s="89"/>
      <c r="AE1899" s="89"/>
      <c r="AN1899" s="89"/>
    </row>
    <row r="1900" spans="4:40" x14ac:dyDescent="0.2">
      <c r="D1900" s="89"/>
      <c r="M1900" s="65"/>
      <c r="V1900" s="89"/>
      <c r="AE1900" s="89"/>
      <c r="AN1900" s="89"/>
    </row>
    <row r="1901" spans="4:40" x14ac:dyDescent="0.2">
      <c r="D1901" s="89"/>
      <c r="M1901" s="65"/>
      <c r="V1901" s="89"/>
      <c r="AE1901" s="89"/>
      <c r="AN1901" s="89"/>
    </row>
    <row r="1902" spans="4:40" x14ac:dyDescent="0.2">
      <c r="D1902" s="89"/>
      <c r="M1902" s="65"/>
      <c r="V1902" s="89"/>
      <c r="AE1902" s="89"/>
      <c r="AN1902" s="89"/>
    </row>
    <row r="1903" spans="4:40" x14ac:dyDescent="0.2">
      <c r="D1903" s="89"/>
      <c r="M1903" s="65"/>
      <c r="V1903" s="89"/>
      <c r="AE1903" s="89"/>
      <c r="AN1903" s="89"/>
    </row>
    <row r="1904" spans="4:40" x14ac:dyDescent="0.2">
      <c r="D1904" s="89"/>
      <c r="M1904" s="65"/>
      <c r="V1904" s="89"/>
      <c r="AE1904" s="89"/>
      <c r="AN1904" s="89"/>
    </row>
    <row r="1905" spans="4:40" x14ac:dyDescent="0.2">
      <c r="D1905" s="89"/>
      <c r="M1905" s="65"/>
      <c r="V1905" s="89"/>
      <c r="AE1905" s="89"/>
      <c r="AN1905" s="89"/>
    </row>
    <row r="1906" spans="4:40" x14ac:dyDescent="0.2">
      <c r="D1906" s="89"/>
      <c r="M1906" s="65"/>
      <c r="V1906" s="89"/>
      <c r="AE1906" s="89"/>
      <c r="AN1906" s="89"/>
    </row>
    <row r="1907" spans="4:40" x14ac:dyDescent="0.2">
      <c r="D1907" s="89"/>
      <c r="M1907" s="65"/>
      <c r="V1907" s="89"/>
      <c r="AE1907" s="89"/>
      <c r="AN1907" s="89"/>
    </row>
    <row r="1908" spans="4:40" x14ac:dyDescent="0.2">
      <c r="D1908" s="89"/>
      <c r="M1908" s="65"/>
      <c r="V1908" s="89"/>
      <c r="AE1908" s="89"/>
      <c r="AN1908" s="89"/>
    </row>
    <row r="1909" spans="4:40" x14ac:dyDescent="0.2">
      <c r="D1909" s="89"/>
      <c r="M1909" s="65"/>
      <c r="V1909" s="89"/>
      <c r="AE1909" s="89"/>
      <c r="AN1909" s="89"/>
    </row>
    <row r="1910" spans="4:40" x14ac:dyDescent="0.2">
      <c r="D1910" s="89"/>
      <c r="M1910" s="65"/>
      <c r="V1910" s="89"/>
      <c r="AE1910" s="89"/>
      <c r="AN1910" s="89"/>
    </row>
    <row r="1911" spans="4:40" x14ac:dyDescent="0.2">
      <c r="D1911" s="89"/>
      <c r="M1911" s="65"/>
      <c r="V1911" s="89"/>
      <c r="AE1911" s="89"/>
      <c r="AN1911" s="89"/>
    </row>
    <row r="1912" spans="4:40" x14ac:dyDescent="0.2">
      <c r="D1912" s="89"/>
      <c r="M1912" s="65"/>
      <c r="V1912" s="89"/>
      <c r="AE1912" s="89"/>
      <c r="AN1912" s="89"/>
    </row>
    <row r="1913" spans="4:40" x14ac:dyDescent="0.2">
      <c r="D1913" s="89"/>
      <c r="M1913" s="65"/>
      <c r="V1913" s="89"/>
      <c r="AE1913" s="89"/>
      <c r="AN1913" s="89"/>
    </row>
    <row r="1914" spans="4:40" x14ac:dyDescent="0.2">
      <c r="D1914" s="89"/>
      <c r="M1914" s="65"/>
      <c r="V1914" s="89"/>
      <c r="AE1914" s="89"/>
      <c r="AN1914" s="89"/>
    </row>
    <row r="1915" spans="4:40" x14ac:dyDescent="0.2">
      <c r="D1915" s="89"/>
      <c r="M1915" s="65"/>
      <c r="V1915" s="89"/>
      <c r="AE1915" s="89"/>
      <c r="AN1915" s="89"/>
    </row>
    <row r="1916" spans="4:40" x14ac:dyDescent="0.2">
      <c r="D1916" s="89"/>
      <c r="M1916" s="65"/>
      <c r="V1916" s="89"/>
      <c r="AE1916" s="89"/>
      <c r="AN1916" s="89"/>
    </row>
    <row r="1917" spans="4:40" x14ac:dyDescent="0.2">
      <c r="D1917" s="89"/>
      <c r="M1917" s="65"/>
      <c r="V1917" s="89"/>
      <c r="AE1917" s="89"/>
      <c r="AN1917" s="89"/>
    </row>
    <row r="1918" spans="4:40" x14ac:dyDescent="0.2">
      <c r="D1918" s="89"/>
      <c r="M1918" s="65"/>
      <c r="V1918" s="89"/>
      <c r="AE1918" s="89"/>
      <c r="AN1918" s="89"/>
    </row>
    <row r="1919" spans="4:40" x14ac:dyDescent="0.2">
      <c r="D1919" s="89"/>
      <c r="M1919" s="65"/>
      <c r="V1919" s="89"/>
      <c r="AE1919" s="89"/>
      <c r="AN1919" s="89"/>
    </row>
    <row r="1920" spans="4:40" x14ac:dyDescent="0.2">
      <c r="D1920" s="89"/>
      <c r="M1920" s="65"/>
      <c r="V1920" s="89"/>
      <c r="AE1920" s="89"/>
      <c r="AN1920" s="89"/>
    </row>
    <row r="1921" spans="4:40" x14ac:dyDescent="0.2">
      <c r="D1921" s="89"/>
      <c r="M1921" s="65"/>
      <c r="V1921" s="89"/>
      <c r="AE1921" s="89"/>
      <c r="AN1921" s="89"/>
    </row>
    <row r="1922" spans="4:40" x14ac:dyDescent="0.2">
      <c r="D1922" s="89"/>
      <c r="M1922" s="65"/>
      <c r="V1922" s="89"/>
      <c r="AE1922" s="89"/>
      <c r="AN1922" s="89"/>
    </row>
    <row r="1923" spans="4:40" x14ac:dyDescent="0.2">
      <c r="D1923" s="89"/>
      <c r="M1923" s="65"/>
      <c r="V1923" s="89"/>
      <c r="AE1923" s="89"/>
      <c r="AN1923" s="89"/>
    </row>
    <row r="1924" spans="4:40" x14ac:dyDescent="0.2">
      <c r="D1924" s="89"/>
      <c r="M1924" s="65"/>
      <c r="V1924" s="89"/>
      <c r="AE1924" s="89"/>
      <c r="AN1924" s="89"/>
    </row>
    <row r="1925" spans="4:40" x14ac:dyDescent="0.2">
      <c r="D1925" s="89"/>
      <c r="M1925" s="65"/>
      <c r="V1925" s="89"/>
      <c r="AE1925" s="89"/>
      <c r="AN1925" s="89"/>
    </row>
    <row r="1926" spans="4:40" x14ac:dyDescent="0.2">
      <c r="D1926" s="89"/>
      <c r="M1926" s="65"/>
      <c r="V1926" s="89"/>
      <c r="AE1926" s="89"/>
      <c r="AN1926" s="89"/>
    </row>
    <row r="1927" spans="4:40" x14ac:dyDescent="0.2">
      <c r="D1927" s="89"/>
      <c r="M1927" s="65"/>
      <c r="V1927" s="89"/>
      <c r="AE1927" s="89"/>
      <c r="AN1927" s="89"/>
    </row>
    <row r="1928" spans="4:40" x14ac:dyDescent="0.2">
      <c r="D1928" s="89"/>
      <c r="M1928" s="65"/>
      <c r="V1928" s="89"/>
      <c r="AE1928" s="89"/>
      <c r="AN1928" s="89"/>
    </row>
    <row r="1929" spans="4:40" x14ac:dyDescent="0.2">
      <c r="D1929" s="89"/>
      <c r="M1929" s="65"/>
      <c r="V1929" s="89"/>
      <c r="AE1929" s="89"/>
      <c r="AN1929" s="89"/>
    </row>
    <row r="1930" spans="4:40" x14ac:dyDescent="0.2">
      <c r="D1930" s="89"/>
      <c r="M1930" s="65"/>
      <c r="V1930" s="89"/>
      <c r="AE1930" s="89"/>
      <c r="AN1930" s="89"/>
    </row>
    <row r="1931" spans="4:40" x14ac:dyDescent="0.2">
      <c r="D1931" s="89"/>
      <c r="M1931" s="65"/>
      <c r="V1931" s="89"/>
      <c r="AE1931" s="89"/>
      <c r="AN1931" s="89"/>
    </row>
    <row r="1932" spans="4:40" x14ac:dyDescent="0.2">
      <c r="D1932" s="89"/>
      <c r="M1932" s="65"/>
      <c r="V1932" s="89"/>
      <c r="AE1932" s="89"/>
      <c r="AN1932" s="89"/>
    </row>
    <row r="1933" spans="4:40" x14ac:dyDescent="0.2">
      <c r="D1933" s="89"/>
      <c r="M1933" s="65"/>
      <c r="V1933" s="89"/>
      <c r="AE1933" s="89"/>
      <c r="AN1933" s="89"/>
    </row>
    <row r="1934" spans="4:40" x14ac:dyDescent="0.2">
      <c r="D1934" s="89"/>
      <c r="M1934" s="65"/>
      <c r="V1934" s="89"/>
      <c r="AE1934" s="89"/>
      <c r="AN1934" s="89"/>
    </row>
    <row r="1935" spans="4:40" x14ac:dyDescent="0.2">
      <c r="D1935" s="89"/>
      <c r="M1935" s="65"/>
      <c r="V1935" s="89"/>
      <c r="AE1935" s="89"/>
      <c r="AN1935" s="89"/>
    </row>
    <row r="1936" spans="4:40" x14ac:dyDescent="0.2">
      <c r="D1936" s="89"/>
      <c r="M1936" s="65"/>
      <c r="V1936" s="89"/>
      <c r="AE1936" s="89"/>
      <c r="AN1936" s="89"/>
    </row>
    <row r="1937" spans="4:40" x14ac:dyDescent="0.2">
      <c r="D1937" s="89"/>
      <c r="M1937" s="65"/>
      <c r="V1937" s="89"/>
      <c r="AE1937" s="89"/>
      <c r="AN1937" s="89"/>
    </row>
    <row r="1938" spans="4:40" x14ac:dyDescent="0.2">
      <c r="D1938" s="89"/>
      <c r="M1938" s="65"/>
      <c r="V1938" s="89"/>
      <c r="AE1938" s="89"/>
      <c r="AN1938" s="89"/>
    </row>
    <row r="1939" spans="4:40" x14ac:dyDescent="0.2">
      <c r="D1939" s="89"/>
      <c r="M1939" s="65"/>
      <c r="V1939" s="89"/>
      <c r="AE1939" s="89"/>
      <c r="AN1939" s="89"/>
    </row>
    <row r="1940" spans="4:40" x14ac:dyDescent="0.2">
      <c r="D1940" s="89"/>
      <c r="M1940" s="65"/>
      <c r="V1940" s="89"/>
      <c r="AE1940" s="89"/>
      <c r="AN1940" s="89"/>
    </row>
    <row r="1941" spans="4:40" x14ac:dyDescent="0.2">
      <c r="D1941" s="89"/>
      <c r="M1941" s="65"/>
      <c r="V1941" s="89"/>
      <c r="AE1941" s="89"/>
      <c r="AN1941" s="89"/>
    </row>
    <row r="1942" spans="4:40" x14ac:dyDescent="0.2">
      <c r="D1942" s="89"/>
      <c r="M1942" s="65"/>
      <c r="V1942" s="89"/>
      <c r="AE1942" s="89"/>
      <c r="AN1942" s="89"/>
    </row>
    <row r="1943" spans="4:40" x14ac:dyDescent="0.2">
      <c r="D1943" s="89"/>
      <c r="M1943" s="65"/>
      <c r="V1943" s="89"/>
      <c r="AE1943" s="89"/>
      <c r="AN1943" s="89"/>
    </row>
    <row r="1944" spans="4:40" x14ac:dyDescent="0.2">
      <c r="D1944" s="89"/>
      <c r="M1944" s="65"/>
      <c r="V1944" s="89"/>
      <c r="AE1944" s="89"/>
      <c r="AN1944" s="89"/>
    </row>
    <row r="1945" spans="4:40" x14ac:dyDescent="0.2">
      <c r="D1945" s="89"/>
      <c r="M1945" s="65"/>
      <c r="V1945" s="89"/>
      <c r="AE1945" s="89"/>
      <c r="AN1945" s="89"/>
    </row>
    <row r="1946" spans="4:40" x14ac:dyDescent="0.2">
      <c r="D1946" s="89"/>
      <c r="M1946" s="65"/>
      <c r="V1946" s="89"/>
      <c r="AE1946" s="89"/>
      <c r="AN1946" s="89"/>
    </row>
    <row r="1947" spans="4:40" x14ac:dyDescent="0.2">
      <c r="D1947" s="89"/>
      <c r="M1947" s="65"/>
      <c r="V1947" s="89"/>
      <c r="AE1947" s="89"/>
      <c r="AN1947" s="89"/>
    </row>
    <row r="1948" spans="4:40" x14ac:dyDescent="0.2">
      <c r="D1948" s="89"/>
      <c r="M1948" s="65"/>
      <c r="V1948" s="89"/>
      <c r="AE1948" s="89"/>
      <c r="AN1948" s="89"/>
    </row>
    <row r="1949" spans="4:40" x14ac:dyDescent="0.2">
      <c r="D1949" s="89"/>
      <c r="M1949" s="65"/>
      <c r="V1949" s="89"/>
      <c r="AE1949" s="89"/>
      <c r="AN1949" s="89"/>
    </row>
    <row r="1950" spans="4:40" x14ac:dyDescent="0.2">
      <c r="D1950" s="89"/>
      <c r="M1950" s="65"/>
      <c r="V1950" s="89"/>
      <c r="AE1950" s="89"/>
      <c r="AN1950" s="89"/>
    </row>
    <row r="1951" spans="4:40" x14ac:dyDescent="0.2">
      <c r="D1951" s="89"/>
      <c r="M1951" s="65"/>
      <c r="V1951" s="89"/>
      <c r="AE1951" s="89"/>
      <c r="AN1951" s="89"/>
    </row>
    <row r="1952" spans="4:40" x14ac:dyDescent="0.2">
      <c r="D1952" s="89"/>
      <c r="M1952" s="65"/>
      <c r="V1952" s="89"/>
      <c r="AE1952" s="89"/>
      <c r="AN1952" s="89"/>
    </row>
    <row r="1953" spans="4:40" x14ac:dyDescent="0.2">
      <c r="D1953" s="89"/>
      <c r="M1953" s="65"/>
      <c r="V1953" s="89"/>
      <c r="AE1953" s="89"/>
      <c r="AN1953" s="89"/>
    </row>
    <row r="1954" spans="4:40" x14ac:dyDescent="0.2">
      <c r="D1954" s="89"/>
      <c r="M1954" s="65"/>
      <c r="V1954" s="89"/>
      <c r="AE1954" s="89"/>
      <c r="AN1954" s="89"/>
    </row>
    <row r="1955" spans="4:40" x14ac:dyDescent="0.2">
      <c r="D1955" s="89"/>
      <c r="M1955" s="65"/>
      <c r="V1955" s="89"/>
      <c r="AE1955" s="89"/>
      <c r="AN1955" s="89"/>
    </row>
    <row r="1956" spans="4:40" x14ac:dyDescent="0.2">
      <c r="D1956" s="89"/>
      <c r="M1956" s="65"/>
      <c r="V1956" s="89"/>
      <c r="AE1956" s="89"/>
      <c r="AN1956" s="89"/>
    </row>
    <row r="1957" spans="4:40" x14ac:dyDescent="0.2">
      <c r="D1957" s="89"/>
      <c r="M1957" s="65"/>
      <c r="V1957" s="89"/>
      <c r="AE1957" s="89"/>
      <c r="AN1957" s="89"/>
    </row>
    <row r="1958" spans="4:40" x14ac:dyDescent="0.2">
      <c r="D1958" s="89"/>
      <c r="M1958" s="65"/>
      <c r="V1958" s="89"/>
      <c r="AE1958" s="89"/>
      <c r="AN1958" s="89"/>
    </row>
    <row r="1959" spans="4:40" x14ac:dyDescent="0.2">
      <c r="D1959" s="89"/>
      <c r="M1959" s="65"/>
      <c r="V1959" s="89"/>
      <c r="AE1959" s="89"/>
      <c r="AN1959" s="89"/>
    </row>
    <row r="1960" spans="4:40" x14ac:dyDescent="0.2">
      <c r="D1960" s="89"/>
      <c r="M1960" s="65"/>
      <c r="V1960" s="89"/>
      <c r="AE1960" s="89"/>
      <c r="AN1960" s="89"/>
    </row>
    <row r="1961" spans="4:40" x14ac:dyDescent="0.2">
      <c r="D1961" s="89"/>
      <c r="M1961" s="65"/>
      <c r="V1961" s="89"/>
      <c r="AE1961" s="89"/>
      <c r="AN1961" s="89"/>
    </row>
    <row r="1962" spans="4:40" x14ac:dyDescent="0.2">
      <c r="D1962" s="89"/>
      <c r="M1962" s="65"/>
      <c r="V1962" s="89"/>
      <c r="AE1962" s="89"/>
      <c r="AN1962" s="89"/>
    </row>
    <row r="1963" spans="4:40" x14ac:dyDescent="0.2">
      <c r="D1963" s="89"/>
      <c r="M1963" s="65"/>
      <c r="V1963" s="89"/>
      <c r="AE1963" s="89"/>
      <c r="AN1963" s="89"/>
    </row>
    <row r="1964" spans="4:40" x14ac:dyDescent="0.2">
      <c r="D1964" s="89"/>
      <c r="M1964" s="65"/>
      <c r="V1964" s="89"/>
      <c r="AE1964" s="89"/>
      <c r="AN1964" s="89"/>
    </row>
    <row r="1965" spans="4:40" x14ac:dyDescent="0.2">
      <c r="D1965" s="89"/>
      <c r="M1965" s="65"/>
      <c r="V1965" s="89"/>
      <c r="AE1965" s="89"/>
      <c r="AN1965" s="89"/>
    </row>
    <row r="1966" spans="4:40" x14ac:dyDescent="0.2">
      <c r="D1966" s="89"/>
      <c r="M1966" s="65"/>
      <c r="V1966" s="89"/>
      <c r="AE1966" s="89"/>
      <c r="AN1966" s="89"/>
    </row>
    <row r="1967" spans="4:40" x14ac:dyDescent="0.2">
      <c r="D1967" s="89"/>
      <c r="M1967" s="65"/>
      <c r="V1967" s="89"/>
      <c r="AE1967" s="89"/>
      <c r="AN1967" s="89"/>
    </row>
    <row r="1968" spans="4:40" x14ac:dyDescent="0.2">
      <c r="D1968" s="89"/>
      <c r="M1968" s="65"/>
      <c r="V1968" s="89"/>
      <c r="AE1968" s="89"/>
      <c r="AN1968" s="89"/>
    </row>
    <row r="1969" spans="4:40" x14ac:dyDescent="0.2">
      <c r="D1969" s="89"/>
      <c r="M1969" s="65"/>
      <c r="V1969" s="89"/>
      <c r="AE1969" s="89"/>
      <c r="AN1969" s="89"/>
    </row>
    <row r="1970" spans="4:40" x14ac:dyDescent="0.2">
      <c r="D1970" s="89"/>
      <c r="M1970" s="65"/>
      <c r="V1970" s="89"/>
      <c r="AE1970" s="89"/>
      <c r="AN1970" s="89"/>
    </row>
    <row r="1971" spans="4:40" x14ac:dyDescent="0.2">
      <c r="D1971" s="89"/>
      <c r="M1971" s="65"/>
      <c r="V1971" s="89"/>
      <c r="AE1971" s="89"/>
      <c r="AN1971" s="89"/>
    </row>
    <row r="1972" spans="4:40" x14ac:dyDescent="0.2">
      <c r="D1972" s="89"/>
      <c r="M1972" s="65"/>
      <c r="V1972" s="89"/>
      <c r="AE1972" s="89"/>
      <c r="AN1972" s="89"/>
    </row>
    <row r="1973" spans="4:40" x14ac:dyDescent="0.2">
      <c r="D1973" s="89"/>
      <c r="M1973" s="65"/>
      <c r="V1973" s="89"/>
      <c r="AE1973" s="89"/>
      <c r="AN1973" s="89"/>
    </row>
    <row r="1974" spans="4:40" x14ac:dyDescent="0.2">
      <c r="D1974" s="89"/>
      <c r="M1974" s="65"/>
      <c r="V1974" s="89"/>
      <c r="AE1974" s="89"/>
      <c r="AN1974" s="89"/>
    </row>
    <row r="1975" spans="4:40" x14ac:dyDescent="0.2">
      <c r="D1975" s="89"/>
      <c r="M1975" s="65"/>
      <c r="V1975" s="89"/>
      <c r="AE1975" s="89"/>
      <c r="AN1975" s="89"/>
    </row>
    <row r="1976" spans="4:40" x14ac:dyDescent="0.2">
      <c r="D1976" s="89"/>
      <c r="M1976" s="65"/>
      <c r="V1976" s="89"/>
      <c r="AE1976" s="89"/>
      <c r="AN1976" s="89"/>
    </row>
    <row r="1977" spans="4:40" x14ac:dyDescent="0.2">
      <c r="D1977" s="89"/>
      <c r="M1977" s="65"/>
      <c r="V1977" s="89"/>
      <c r="AE1977" s="89"/>
      <c r="AN1977" s="89"/>
    </row>
    <row r="1978" spans="4:40" x14ac:dyDescent="0.2">
      <c r="D1978" s="89"/>
      <c r="M1978" s="65"/>
      <c r="V1978" s="89"/>
      <c r="AE1978" s="89"/>
      <c r="AN1978" s="89"/>
    </row>
    <row r="1979" spans="4:40" x14ac:dyDescent="0.2">
      <c r="D1979" s="89"/>
      <c r="M1979" s="65"/>
      <c r="V1979" s="89"/>
      <c r="AE1979" s="89"/>
      <c r="AN1979" s="89"/>
    </row>
    <row r="1980" spans="4:40" x14ac:dyDescent="0.2">
      <c r="D1980" s="89"/>
      <c r="M1980" s="65"/>
      <c r="V1980" s="89"/>
      <c r="AE1980" s="89"/>
      <c r="AN1980" s="89"/>
    </row>
    <row r="1981" spans="4:40" x14ac:dyDescent="0.2">
      <c r="D1981" s="89"/>
      <c r="M1981" s="65"/>
      <c r="V1981" s="89"/>
      <c r="AE1981" s="89"/>
      <c r="AN1981" s="89"/>
    </row>
    <row r="1982" spans="4:40" x14ac:dyDescent="0.2">
      <c r="D1982" s="89"/>
      <c r="M1982" s="65"/>
      <c r="V1982" s="89"/>
      <c r="AE1982" s="89"/>
      <c r="AN1982" s="89"/>
    </row>
    <row r="1983" spans="4:40" x14ac:dyDescent="0.2">
      <c r="D1983" s="89"/>
      <c r="M1983" s="65"/>
      <c r="V1983" s="89"/>
      <c r="AE1983" s="89"/>
      <c r="AN1983" s="89"/>
    </row>
    <row r="1984" spans="4:40" x14ac:dyDescent="0.2">
      <c r="D1984" s="89"/>
      <c r="M1984" s="65"/>
      <c r="V1984" s="89"/>
      <c r="AE1984" s="89"/>
      <c r="AN1984" s="89"/>
    </row>
    <row r="1985" spans="4:40" x14ac:dyDescent="0.2">
      <c r="D1985" s="89"/>
      <c r="M1985" s="65"/>
      <c r="V1985" s="89"/>
      <c r="AE1985" s="89"/>
      <c r="AN1985" s="89"/>
    </row>
    <row r="1986" spans="4:40" x14ac:dyDescent="0.2">
      <c r="D1986" s="89"/>
      <c r="M1986" s="65"/>
      <c r="V1986" s="89"/>
      <c r="AE1986" s="89"/>
      <c r="AN1986" s="89"/>
    </row>
    <row r="1987" spans="4:40" x14ac:dyDescent="0.2">
      <c r="D1987" s="89"/>
      <c r="M1987" s="65"/>
      <c r="V1987" s="89"/>
      <c r="AE1987" s="89"/>
      <c r="AN1987" s="89"/>
    </row>
    <row r="1988" spans="4:40" x14ac:dyDescent="0.2">
      <c r="D1988" s="89"/>
      <c r="M1988" s="65"/>
      <c r="V1988" s="89"/>
      <c r="AE1988" s="89"/>
      <c r="AN1988" s="89"/>
    </row>
    <row r="1989" spans="4:40" x14ac:dyDescent="0.2">
      <c r="D1989" s="89"/>
      <c r="M1989" s="65"/>
      <c r="V1989" s="89"/>
      <c r="AE1989" s="89"/>
      <c r="AN1989" s="89"/>
    </row>
    <row r="1990" spans="4:40" x14ac:dyDescent="0.2">
      <c r="D1990" s="89"/>
      <c r="M1990" s="65"/>
      <c r="V1990" s="89"/>
      <c r="AE1990" s="89"/>
      <c r="AN1990" s="89"/>
    </row>
    <row r="1991" spans="4:40" x14ac:dyDescent="0.2">
      <c r="D1991" s="89"/>
      <c r="M1991" s="65"/>
      <c r="V1991" s="89"/>
      <c r="AE1991" s="89"/>
      <c r="AN1991" s="89"/>
    </row>
    <row r="1992" spans="4:40" x14ac:dyDescent="0.2">
      <c r="D1992" s="89"/>
      <c r="M1992" s="65"/>
      <c r="V1992" s="89"/>
      <c r="AE1992" s="89"/>
      <c r="AN1992" s="89"/>
    </row>
    <row r="1993" spans="4:40" x14ac:dyDescent="0.2">
      <c r="D1993" s="89"/>
      <c r="M1993" s="65"/>
      <c r="V1993" s="89"/>
      <c r="AE1993" s="89"/>
      <c r="AN1993" s="89"/>
    </row>
    <row r="1994" spans="4:40" x14ac:dyDescent="0.2">
      <c r="D1994" s="89"/>
      <c r="M1994" s="65"/>
      <c r="V1994" s="89"/>
      <c r="AE1994" s="89"/>
      <c r="AN1994" s="89"/>
    </row>
    <row r="1995" spans="4:40" x14ac:dyDescent="0.2">
      <c r="D1995" s="89"/>
      <c r="M1995" s="65"/>
      <c r="V1995" s="89"/>
      <c r="AE1995" s="89"/>
      <c r="AN1995" s="89"/>
    </row>
    <row r="1996" spans="4:40" x14ac:dyDescent="0.2">
      <c r="D1996" s="89"/>
      <c r="M1996" s="65"/>
      <c r="V1996" s="89"/>
      <c r="AE1996" s="89"/>
      <c r="AN1996" s="89"/>
    </row>
    <row r="1997" spans="4:40" x14ac:dyDescent="0.2">
      <c r="D1997" s="89"/>
      <c r="M1997" s="65"/>
      <c r="V1997" s="89"/>
      <c r="AE1997" s="89"/>
      <c r="AN1997" s="89"/>
    </row>
    <row r="1998" spans="4:40" x14ac:dyDescent="0.2">
      <c r="D1998" s="89"/>
      <c r="M1998" s="65"/>
      <c r="V1998" s="89"/>
      <c r="AE1998" s="89"/>
      <c r="AN1998" s="89"/>
    </row>
    <row r="1999" spans="4:40" x14ac:dyDescent="0.2">
      <c r="D1999" s="89"/>
      <c r="M1999" s="65"/>
      <c r="V1999" s="89"/>
      <c r="AE1999" s="89"/>
      <c r="AN1999" s="89"/>
    </row>
    <row r="2000" spans="4:40" x14ac:dyDescent="0.2">
      <c r="D2000" s="89"/>
      <c r="M2000" s="65"/>
      <c r="V2000" s="89"/>
      <c r="AE2000" s="89"/>
      <c r="AN2000" s="89"/>
    </row>
    <row r="2001" spans="4:40" x14ac:dyDescent="0.2">
      <c r="D2001" s="89"/>
      <c r="M2001" s="65"/>
      <c r="V2001" s="89"/>
      <c r="AE2001" s="89"/>
      <c r="AN2001" s="89"/>
    </row>
    <row r="2002" spans="4:40" x14ac:dyDescent="0.2">
      <c r="D2002" s="89"/>
      <c r="M2002" s="65"/>
      <c r="V2002" s="89"/>
      <c r="AE2002" s="89"/>
      <c r="AN2002" s="89"/>
    </row>
    <row r="2003" spans="4:40" x14ac:dyDescent="0.2">
      <c r="D2003" s="89"/>
      <c r="M2003" s="65"/>
      <c r="V2003" s="89"/>
      <c r="AE2003" s="89"/>
      <c r="AN2003" s="89"/>
    </row>
    <row r="2004" spans="4:40" x14ac:dyDescent="0.2">
      <c r="D2004" s="89"/>
      <c r="M2004" s="65"/>
      <c r="V2004" s="89"/>
      <c r="AE2004" s="89"/>
      <c r="AN2004" s="89"/>
    </row>
    <row r="2005" spans="4:40" x14ac:dyDescent="0.2">
      <c r="D2005" s="89"/>
      <c r="M2005" s="65"/>
      <c r="V2005" s="89"/>
      <c r="AE2005" s="89"/>
      <c r="AN2005" s="89"/>
    </row>
    <row r="2006" spans="4:40" x14ac:dyDescent="0.2">
      <c r="D2006" s="89"/>
      <c r="M2006" s="65"/>
      <c r="V2006" s="89"/>
      <c r="AE2006" s="89"/>
      <c r="AN2006" s="89"/>
    </row>
    <row r="2007" spans="4:40" x14ac:dyDescent="0.2">
      <c r="D2007" s="89"/>
      <c r="M2007" s="65"/>
      <c r="V2007" s="89"/>
      <c r="AE2007" s="89"/>
      <c r="AN2007" s="89"/>
    </row>
    <row r="2008" spans="4:40" x14ac:dyDescent="0.2">
      <c r="D2008" s="89"/>
      <c r="M2008" s="65"/>
      <c r="V2008" s="89"/>
      <c r="AE2008" s="89"/>
      <c r="AN2008" s="89"/>
    </row>
    <row r="2009" spans="4:40" x14ac:dyDescent="0.2">
      <c r="D2009" s="89"/>
      <c r="M2009" s="65"/>
      <c r="V2009" s="89"/>
      <c r="AE2009" s="89"/>
      <c r="AN2009" s="89"/>
    </row>
    <row r="2010" spans="4:40" x14ac:dyDescent="0.2">
      <c r="D2010" s="89"/>
      <c r="M2010" s="65"/>
      <c r="V2010" s="89"/>
      <c r="AE2010" s="89"/>
      <c r="AN2010" s="89"/>
    </row>
    <row r="2011" spans="4:40" x14ac:dyDescent="0.2">
      <c r="D2011" s="89"/>
      <c r="M2011" s="65"/>
      <c r="V2011" s="89"/>
      <c r="AE2011" s="89"/>
      <c r="AN2011" s="89"/>
    </row>
    <row r="2012" spans="4:40" x14ac:dyDescent="0.2">
      <c r="D2012" s="89"/>
      <c r="M2012" s="65"/>
      <c r="V2012" s="89"/>
      <c r="AE2012" s="89"/>
      <c r="AN2012" s="89"/>
    </row>
    <row r="2013" spans="4:40" x14ac:dyDescent="0.2">
      <c r="D2013" s="89"/>
      <c r="M2013" s="65"/>
      <c r="V2013" s="89"/>
      <c r="AE2013" s="89"/>
      <c r="AN2013" s="89"/>
    </row>
    <row r="2014" spans="4:40" x14ac:dyDescent="0.2">
      <c r="D2014" s="89"/>
      <c r="M2014" s="65"/>
      <c r="V2014" s="89"/>
      <c r="AE2014" s="89"/>
      <c r="AN2014" s="89"/>
    </row>
    <row r="2015" spans="4:40" x14ac:dyDescent="0.2">
      <c r="D2015" s="89"/>
      <c r="M2015" s="65"/>
      <c r="V2015" s="89"/>
      <c r="AE2015" s="89"/>
      <c r="AN2015" s="89"/>
    </row>
    <row r="2016" spans="4:40" x14ac:dyDescent="0.2">
      <c r="D2016" s="89"/>
      <c r="M2016" s="65"/>
      <c r="V2016" s="89"/>
      <c r="AE2016" s="89"/>
      <c r="AN2016" s="89"/>
    </row>
    <row r="2017" spans="4:40" x14ac:dyDescent="0.2">
      <c r="D2017" s="89"/>
      <c r="M2017" s="65"/>
      <c r="V2017" s="89"/>
      <c r="AE2017" s="89"/>
      <c r="AN2017" s="89"/>
    </row>
    <row r="2018" spans="4:40" x14ac:dyDescent="0.2">
      <c r="D2018" s="89"/>
      <c r="M2018" s="65"/>
      <c r="V2018" s="89"/>
      <c r="AE2018" s="89"/>
      <c r="AN2018" s="89"/>
    </row>
    <row r="2019" spans="4:40" x14ac:dyDescent="0.2">
      <c r="D2019" s="89"/>
      <c r="M2019" s="65"/>
      <c r="V2019" s="89"/>
      <c r="AE2019" s="89"/>
      <c r="AN2019" s="89"/>
    </row>
    <row r="2020" spans="4:40" x14ac:dyDescent="0.2">
      <c r="D2020" s="89"/>
      <c r="M2020" s="65"/>
      <c r="V2020" s="89"/>
      <c r="AE2020" s="89"/>
      <c r="AN2020" s="89"/>
    </row>
    <row r="2021" spans="4:40" x14ac:dyDescent="0.2">
      <c r="D2021" s="89"/>
      <c r="M2021" s="65"/>
      <c r="V2021" s="89"/>
      <c r="AE2021" s="89"/>
      <c r="AN2021" s="89"/>
    </row>
    <row r="2022" spans="4:40" x14ac:dyDescent="0.2">
      <c r="D2022" s="89"/>
      <c r="M2022" s="65"/>
      <c r="V2022" s="89"/>
      <c r="AE2022" s="89"/>
      <c r="AN2022" s="89"/>
    </row>
    <row r="2023" spans="4:40" x14ac:dyDescent="0.2">
      <c r="D2023" s="89"/>
      <c r="M2023" s="65"/>
      <c r="V2023" s="89"/>
      <c r="AE2023" s="89"/>
      <c r="AN2023" s="89"/>
    </row>
    <row r="2024" spans="4:40" x14ac:dyDescent="0.2">
      <c r="D2024" s="89"/>
      <c r="M2024" s="65"/>
      <c r="V2024" s="89"/>
      <c r="AE2024" s="89"/>
      <c r="AN2024" s="89"/>
    </row>
    <row r="2025" spans="4:40" x14ac:dyDescent="0.2">
      <c r="D2025" s="89"/>
      <c r="M2025" s="65"/>
      <c r="V2025" s="89"/>
      <c r="AE2025" s="89"/>
      <c r="AN2025" s="89"/>
    </row>
    <row r="2026" spans="4:40" x14ac:dyDescent="0.2">
      <c r="D2026" s="89"/>
      <c r="M2026" s="65"/>
      <c r="V2026" s="89"/>
      <c r="AE2026" s="89"/>
      <c r="AN2026" s="89"/>
    </row>
    <row r="2027" spans="4:40" x14ac:dyDescent="0.2">
      <c r="D2027" s="89"/>
      <c r="M2027" s="65"/>
      <c r="V2027" s="89"/>
      <c r="AE2027" s="89"/>
      <c r="AN2027" s="89"/>
    </row>
    <row r="2028" spans="4:40" x14ac:dyDescent="0.2">
      <c r="D2028" s="89"/>
      <c r="M2028" s="65"/>
      <c r="V2028" s="89"/>
      <c r="AE2028" s="89"/>
      <c r="AN2028" s="89"/>
    </row>
    <row r="2029" spans="4:40" x14ac:dyDescent="0.2">
      <c r="D2029" s="89"/>
      <c r="M2029" s="65"/>
      <c r="V2029" s="89"/>
      <c r="AE2029" s="89"/>
      <c r="AN2029" s="89"/>
    </row>
    <row r="2030" spans="4:40" x14ac:dyDescent="0.2">
      <c r="D2030" s="89"/>
      <c r="M2030" s="65"/>
      <c r="V2030" s="89"/>
      <c r="AE2030" s="89"/>
      <c r="AN2030" s="89"/>
    </row>
    <row r="2031" spans="4:40" x14ac:dyDescent="0.2">
      <c r="D2031" s="89"/>
      <c r="M2031" s="65"/>
      <c r="V2031" s="89"/>
      <c r="AE2031" s="89"/>
      <c r="AN2031" s="89"/>
    </row>
    <row r="2032" spans="4:40" x14ac:dyDescent="0.2">
      <c r="D2032" s="89"/>
      <c r="M2032" s="65"/>
      <c r="V2032" s="89"/>
      <c r="AE2032" s="89"/>
      <c r="AN2032" s="89"/>
    </row>
    <row r="2033" spans="4:40" x14ac:dyDescent="0.2">
      <c r="D2033" s="89"/>
      <c r="M2033" s="65"/>
      <c r="V2033" s="89"/>
      <c r="AE2033" s="89"/>
      <c r="AN2033" s="89"/>
    </row>
    <row r="2034" spans="4:40" x14ac:dyDescent="0.2">
      <c r="D2034" s="89"/>
      <c r="M2034" s="65"/>
      <c r="V2034" s="89"/>
      <c r="AE2034" s="89"/>
      <c r="AN2034" s="89"/>
    </row>
    <row r="2035" spans="4:40" x14ac:dyDescent="0.2">
      <c r="D2035" s="89"/>
      <c r="M2035" s="65"/>
      <c r="V2035" s="89"/>
      <c r="AE2035" s="89"/>
      <c r="AN2035" s="89"/>
    </row>
    <row r="2036" spans="4:40" x14ac:dyDescent="0.2">
      <c r="D2036" s="89"/>
      <c r="M2036" s="65"/>
      <c r="V2036" s="89"/>
      <c r="AE2036" s="89"/>
      <c r="AN2036" s="89"/>
    </row>
    <row r="2037" spans="4:40" x14ac:dyDescent="0.2">
      <c r="D2037" s="89"/>
      <c r="M2037" s="65"/>
      <c r="V2037" s="89"/>
      <c r="AE2037" s="89"/>
      <c r="AN2037" s="89"/>
    </row>
    <row r="2038" spans="4:40" x14ac:dyDescent="0.2">
      <c r="D2038" s="89"/>
      <c r="M2038" s="65"/>
      <c r="V2038" s="89"/>
      <c r="AE2038" s="89"/>
      <c r="AN2038" s="89"/>
    </row>
    <row r="2039" spans="4:40" x14ac:dyDescent="0.2">
      <c r="D2039" s="89"/>
      <c r="M2039" s="65"/>
      <c r="V2039" s="89"/>
      <c r="AE2039" s="89"/>
      <c r="AN2039" s="89"/>
    </row>
    <row r="2040" spans="4:40" x14ac:dyDescent="0.2">
      <c r="D2040" s="89"/>
      <c r="M2040" s="65"/>
      <c r="V2040" s="89"/>
      <c r="AE2040" s="89"/>
      <c r="AN2040" s="89"/>
    </row>
    <row r="2041" spans="4:40" x14ac:dyDescent="0.2">
      <c r="D2041" s="89"/>
      <c r="M2041" s="65"/>
      <c r="V2041" s="89"/>
      <c r="AE2041" s="89"/>
      <c r="AN2041" s="89"/>
    </row>
    <row r="2042" spans="4:40" x14ac:dyDescent="0.2">
      <c r="D2042" s="89"/>
      <c r="M2042" s="65"/>
      <c r="V2042" s="89"/>
      <c r="AE2042" s="89"/>
      <c r="AN2042" s="89"/>
    </row>
    <row r="2043" spans="4:40" x14ac:dyDescent="0.2">
      <c r="D2043" s="89"/>
      <c r="M2043" s="65"/>
      <c r="V2043" s="89"/>
      <c r="AE2043" s="89"/>
      <c r="AN2043" s="89"/>
    </row>
    <row r="2044" spans="4:40" x14ac:dyDescent="0.2">
      <c r="D2044" s="89"/>
      <c r="M2044" s="65"/>
      <c r="V2044" s="89"/>
      <c r="AE2044" s="89"/>
      <c r="AN2044" s="89"/>
    </row>
    <row r="2045" spans="4:40" x14ac:dyDescent="0.2">
      <c r="D2045" s="89"/>
      <c r="M2045" s="65"/>
      <c r="V2045" s="89"/>
      <c r="AE2045" s="89"/>
      <c r="AN2045" s="89"/>
    </row>
    <row r="2046" spans="4:40" x14ac:dyDescent="0.2">
      <c r="D2046" s="89"/>
      <c r="M2046" s="65"/>
      <c r="V2046" s="89"/>
      <c r="AE2046" s="89"/>
      <c r="AN2046" s="89"/>
    </row>
    <row r="2047" spans="4:40" x14ac:dyDescent="0.2">
      <c r="D2047" s="89"/>
      <c r="M2047" s="65"/>
      <c r="V2047" s="89"/>
      <c r="AE2047" s="89"/>
      <c r="AN2047" s="89"/>
    </row>
    <row r="2048" spans="4:40" x14ac:dyDescent="0.2">
      <c r="D2048" s="89"/>
      <c r="M2048" s="65"/>
      <c r="V2048" s="89"/>
      <c r="AE2048" s="89"/>
      <c r="AN2048" s="89"/>
    </row>
    <row r="2049" spans="4:40" x14ac:dyDescent="0.2">
      <c r="D2049" s="89"/>
      <c r="M2049" s="65"/>
      <c r="V2049" s="89"/>
      <c r="AE2049" s="89"/>
      <c r="AN2049" s="89"/>
    </row>
    <row r="2050" spans="4:40" x14ac:dyDescent="0.2">
      <c r="D2050" s="89"/>
      <c r="M2050" s="65"/>
      <c r="V2050" s="89"/>
      <c r="AE2050" s="89"/>
      <c r="AN2050" s="89"/>
    </row>
    <row r="2051" spans="4:40" x14ac:dyDescent="0.2">
      <c r="D2051" s="89"/>
      <c r="M2051" s="65"/>
      <c r="V2051" s="89"/>
      <c r="AE2051" s="89"/>
      <c r="AN2051" s="89"/>
    </row>
    <row r="2052" spans="4:40" x14ac:dyDescent="0.2">
      <c r="D2052" s="89"/>
      <c r="M2052" s="65"/>
      <c r="V2052" s="89"/>
      <c r="AE2052" s="89"/>
      <c r="AN2052" s="89"/>
    </row>
    <row r="2053" spans="4:40" x14ac:dyDescent="0.2">
      <c r="D2053" s="89"/>
      <c r="M2053" s="65"/>
      <c r="V2053" s="89"/>
      <c r="AE2053" s="89"/>
      <c r="AN2053" s="89"/>
    </row>
    <row r="2054" spans="4:40" x14ac:dyDescent="0.2">
      <c r="D2054" s="89"/>
      <c r="M2054" s="65"/>
      <c r="V2054" s="89"/>
      <c r="AE2054" s="89"/>
      <c r="AN2054" s="89"/>
    </row>
    <row r="2055" spans="4:40" x14ac:dyDescent="0.2">
      <c r="D2055" s="89"/>
      <c r="M2055" s="65"/>
      <c r="V2055" s="89"/>
      <c r="AE2055" s="89"/>
      <c r="AN2055" s="89"/>
    </row>
    <row r="2056" spans="4:40" x14ac:dyDescent="0.2">
      <c r="D2056" s="89"/>
      <c r="M2056" s="65"/>
      <c r="V2056" s="89"/>
      <c r="AE2056" s="89"/>
      <c r="AN2056" s="89"/>
    </row>
    <row r="2057" spans="4:40" x14ac:dyDescent="0.2">
      <c r="D2057" s="89"/>
      <c r="M2057" s="65"/>
      <c r="V2057" s="89"/>
      <c r="AE2057" s="89"/>
      <c r="AN2057" s="89"/>
    </row>
    <row r="2058" spans="4:40" x14ac:dyDescent="0.2">
      <c r="D2058" s="89"/>
      <c r="M2058" s="65"/>
      <c r="V2058" s="89"/>
      <c r="AE2058" s="89"/>
      <c r="AN2058" s="89"/>
    </row>
    <row r="2059" spans="4:40" x14ac:dyDescent="0.2">
      <c r="D2059" s="89"/>
      <c r="M2059" s="65"/>
      <c r="V2059" s="89"/>
      <c r="AE2059" s="89"/>
      <c r="AN2059" s="89"/>
    </row>
    <row r="2060" spans="4:40" x14ac:dyDescent="0.2">
      <c r="D2060" s="89"/>
      <c r="M2060" s="65"/>
      <c r="V2060" s="89"/>
      <c r="AE2060" s="89"/>
      <c r="AN2060" s="89"/>
    </row>
    <row r="2061" spans="4:40" x14ac:dyDescent="0.2">
      <c r="D2061" s="89"/>
      <c r="M2061" s="65"/>
      <c r="V2061" s="89"/>
      <c r="AE2061" s="89"/>
      <c r="AN2061" s="89"/>
    </row>
    <row r="2062" spans="4:40" x14ac:dyDescent="0.2">
      <c r="D2062" s="89"/>
      <c r="M2062" s="65"/>
      <c r="V2062" s="89"/>
      <c r="AE2062" s="89"/>
      <c r="AN2062" s="89"/>
    </row>
    <row r="2063" spans="4:40" x14ac:dyDescent="0.2">
      <c r="D2063" s="89"/>
      <c r="M2063" s="65"/>
      <c r="V2063" s="89"/>
      <c r="AE2063" s="89"/>
      <c r="AN2063" s="89"/>
    </row>
    <row r="2064" spans="4:40" x14ac:dyDescent="0.2">
      <c r="D2064" s="89"/>
      <c r="M2064" s="65"/>
      <c r="V2064" s="89"/>
      <c r="AE2064" s="89"/>
      <c r="AN2064" s="89"/>
    </row>
    <row r="2065" spans="4:40" x14ac:dyDescent="0.2">
      <c r="D2065" s="89"/>
      <c r="M2065" s="65"/>
      <c r="V2065" s="89"/>
      <c r="AE2065" s="89"/>
      <c r="AN2065" s="89"/>
    </row>
    <row r="2066" spans="4:40" x14ac:dyDescent="0.2">
      <c r="D2066" s="89"/>
      <c r="M2066" s="65"/>
      <c r="V2066" s="89"/>
      <c r="AE2066" s="89"/>
      <c r="AN2066" s="89"/>
    </row>
    <row r="2067" spans="4:40" x14ac:dyDescent="0.2">
      <c r="D2067" s="89"/>
      <c r="M2067" s="65"/>
      <c r="V2067" s="89"/>
      <c r="AE2067" s="89"/>
      <c r="AN2067" s="89"/>
    </row>
    <row r="2068" spans="4:40" x14ac:dyDescent="0.2">
      <c r="D2068" s="89"/>
      <c r="M2068" s="65"/>
      <c r="V2068" s="89"/>
      <c r="AE2068" s="89"/>
      <c r="AN2068" s="89"/>
    </row>
    <row r="2069" spans="4:40" x14ac:dyDescent="0.2">
      <c r="D2069" s="89"/>
      <c r="M2069" s="65"/>
      <c r="V2069" s="89"/>
      <c r="AE2069" s="89"/>
      <c r="AN2069" s="89"/>
    </row>
    <row r="2070" spans="4:40" x14ac:dyDescent="0.2">
      <c r="D2070" s="89"/>
      <c r="M2070" s="65"/>
      <c r="V2070" s="89"/>
      <c r="AE2070" s="89"/>
      <c r="AN2070" s="89"/>
    </row>
    <row r="2071" spans="4:40" x14ac:dyDescent="0.2">
      <c r="D2071" s="89"/>
      <c r="M2071" s="65"/>
      <c r="V2071" s="89"/>
      <c r="AE2071" s="89"/>
      <c r="AN2071" s="89"/>
    </row>
    <row r="2072" spans="4:40" x14ac:dyDescent="0.2">
      <c r="D2072" s="89"/>
      <c r="M2072" s="65"/>
      <c r="V2072" s="89"/>
      <c r="AE2072" s="89"/>
      <c r="AN2072" s="89"/>
    </row>
    <row r="2073" spans="4:40" x14ac:dyDescent="0.2">
      <c r="D2073" s="89"/>
      <c r="M2073" s="65"/>
      <c r="V2073" s="89"/>
      <c r="AE2073" s="89"/>
      <c r="AN2073" s="89"/>
    </row>
    <row r="2074" spans="4:40" x14ac:dyDescent="0.2">
      <c r="D2074" s="89"/>
      <c r="M2074" s="65"/>
      <c r="V2074" s="89"/>
      <c r="AE2074" s="89"/>
      <c r="AN2074" s="89"/>
    </row>
    <row r="2075" spans="4:40" x14ac:dyDescent="0.2">
      <c r="D2075" s="89"/>
      <c r="M2075" s="65"/>
      <c r="V2075" s="89"/>
      <c r="AE2075" s="89"/>
      <c r="AN2075" s="89"/>
    </row>
    <row r="2076" spans="4:40" x14ac:dyDescent="0.2">
      <c r="D2076" s="89"/>
      <c r="M2076" s="65"/>
      <c r="V2076" s="89"/>
      <c r="AE2076" s="89"/>
      <c r="AN2076" s="89"/>
    </row>
    <row r="2077" spans="4:40" x14ac:dyDescent="0.2">
      <c r="D2077" s="89"/>
      <c r="M2077" s="65"/>
      <c r="V2077" s="89"/>
      <c r="AE2077" s="89"/>
      <c r="AN2077" s="89"/>
    </row>
    <row r="2078" spans="4:40" x14ac:dyDescent="0.2">
      <c r="D2078" s="89"/>
      <c r="M2078" s="65"/>
      <c r="V2078" s="89"/>
      <c r="AE2078" s="89"/>
      <c r="AN2078" s="89"/>
    </row>
    <row r="2079" spans="4:40" x14ac:dyDescent="0.2">
      <c r="D2079" s="89"/>
      <c r="M2079" s="65"/>
      <c r="V2079" s="89"/>
      <c r="AE2079" s="89"/>
      <c r="AN2079" s="89"/>
    </row>
    <row r="2080" spans="4:40" x14ac:dyDescent="0.2">
      <c r="D2080" s="89"/>
      <c r="M2080" s="65"/>
      <c r="V2080" s="89"/>
      <c r="AE2080" s="89"/>
      <c r="AN2080" s="89"/>
    </row>
    <row r="2081" spans="4:40" x14ac:dyDescent="0.2">
      <c r="D2081" s="89"/>
      <c r="M2081" s="65"/>
      <c r="V2081" s="89"/>
      <c r="AE2081" s="89"/>
      <c r="AN2081" s="89"/>
    </row>
    <row r="2082" spans="4:40" x14ac:dyDescent="0.2">
      <c r="D2082" s="89"/>
      <c r="M2082" s="65"/>
      <c r="V2082" s="89"/>
      <c r="AE2082" s="89"/>
      <c r="AN2082" s="89"/>
    </row>
    <row r="2083" spans="4:40" x14ac:dyDescent="0.2">
      <c r="D2083" s="89"/>
      <c r="M2083" s="65"/>
      <c r="V2083" s="89"/>
      <c r="AE2083" s="89"/>
      <c r="AN2083" s="89"/>
    </row>
    <row r="2084" spans="4:40" x14ac:dyDescent="0.2">
      <c r="D2084" s="89"/>
      <c r="M2084" s="65"/>
      <c r="V2084" s="89"/>
      <c r="AE2084" s="89"/>
      <c r="AN2084" s="89"/>
    </row>
    <row r="2085" spans="4:40" x14ac:dyDescent="0.2">
      <c r="D2085" s="89"/>
      <c r="M2085" s="65"/>
      <c r="V2085" s="89"/>
      <c r="AE2085" s="89"/>
      <c r="AN2085" s="89"/>
    </row>
    <row r="2086" spans="4:40" x14ac:dyDescent="0.2">
      <c r="D2086" s="89"/>
      <c r="M2086" s="65"/>
      <c r="V2086" s="89"/>
      <c r="AE2086" s="89"/>
      <c r="AN2086" s="89"/>
    </row>
    <row r="2087" spans="4:40" x14ac:dyDescent="0.2">
      <c r="D2087" s="89"/>
      <c r="M2087" s="65"/>
      <c r="V2087" s="89"/>
      <c r="AE2087" s="89"/>
      <c r="AN2087" s="89"/>
    </row>
    <row r="2088" spans="4:40" x14ac:dyDescent="0.2">
      <c r="D2088" s="89"/>
      <c r="M2088" s="65"/>
      <c r="V2088" s="89"/>
      <c r="AE2088" s="89"/>
      <c r="AN2088" s="89"/>
    </row>
    <row r="2089" spans="4:40" x14ac:dyDescent="0.2">
      <c r="D2089" s="89"/>
      <c r="M2089" s="65"/>
      <c r="V2089" s="89"/>
      <c r="AE2089" s="89"/>
      <c r="AN2089" s="89"/>
    </row>
    <row r="2090" spans="4:40" x14ac:dyDescent="0.2">
      <c r="D2090" s="89"/>
      <c r="M2090" s="65"/>
      <c r="V2090" s="89"/>
      <c r="AE2090" s="89"/>
      <c r="AN2090" s="89"/>
    </row>
    <row r="2091" spans="4:40" x14ac:dyDescent="0.2">
      <c r="D2091" s="89"/>
      <c r="M2091" s="65"/>
      <c r="V2091" s="89"/>
      <c r="AE2091" s="89"/>
      <c r="AN2091" s="89"/>
    </row>
    <row r="2092" spans="4:40" x14ac:dyDescent="0.2">
      <c r="D2092" s="89"/>
      <c r="M2092" s="65"/>
      <c r="V2092" s="89"/>
      <c r="AE2092" s="89"/>
      <c r="AN2092" s="89"/>
    </row>
    <row r="2093" spans="4:40" x14ac:dyDescent="0.2">
      <c r="D2093" s="89"/>
      <c r="M2093" s="65"/>
      <c r="V2093" s="89"/>
      <c r="AE2093" s="89"/>
      <c r="AN2093" s="89"/>
    </row>
    <row r="2094" spans="4:40" x14ac:dyDescent="0.2">
      <c r="D2094" s="89"/>
      <c r="M2094" s="65"/>
      <c r="V2094" s="89"/>
      <c r="AE2094" s="89"/>
      <c r="AN2094" s="89"/>
    </row>
    <row r="2095" spans="4:40" x14ac:dyDescent="0.2">
      <c r="D2095" s="89"/>
      <c r="M2095" s="65"/>
      <c r="V2095" s="89"/>
      <c r="AE2095" s="89"/>
      <c r="AN2095" s="89"/>
    </row>
    <row r="2096" spans="4:40" x14ac:dyDescent="0.2">
      <c r="D2096" s="89"/>
      <c r="M2096" s="65"/>
      <c r="V2096" s="89"/>
      <c r="AE2096" s="89"/>
      <c r="AN2096" s="89"/>
    </row>
    <row r="2097" spans="4:40" x14ac:dyDescent="0.2">
      <c r="D2097" s="89"/>
      <c r="M2097" s="65"/>
      <c r="V2097" s="89"/>
      <c r="AE2097" s="89"/>
      <c r="AN2097" s="89"/>
    </row>
    <row r="2098" spans="4:40" x14ac:dyDescent="0.2">
      <c r="D2098" s="89"/>
      <c r="M2098" s="65"/>
      <c r="V2098" s="89"/>
      <c r="AE2098" s="89"/>
      <c r="AN2098" s="89"/>
    </row>
    <row r="2099" spans="4:40" x14ac:dyDescent="0.2">
      <c r="D2099" s="89"/>
      <c r="M2099" s="65"/>
      <c r="V2099" s="89"/>
      <c r="AE2099" s="89"/>
      <c r="AN2099" s="89"/>
    </row>
    <row r="2100" spans="4:40" x14ac:dyDescent="0.2">
      <c r="D2100" s="89"/>
      <c r="M2100" s="65"/>
      <c r="V2100" s="89"/>
      <c r="AE2100" s="89"/>
      <c r="AN2100" s="89"/>
    </row>
    <row r="2101" spans="4:40" x14ac:dyDescent="0.2">
      <c r="D2101" s="89"/>
      <c r="M2101" s="65"/>
      <c r="V2101" s="89"/>
      <c r="AE2101" s="89"/>
      <c r="AN2101" s="89"/>
    </row>
    <row r="2102" spans="4:40" x14ac:dyDescent="0.2">
      <c r="D2102" s="89"/>
      <c r="M2102" s="65"/>
      <c r="V2102" s="89"/>
      <c r="AE2102" s="89"/>
      <c r="AN2102" s="89"/>
    </row>
    <row r="2103" spans="4:40" x14ac:dyDescent="0.2">
      <c r="D2103" s="89"/>
      <c r="M2103" s="65"/>
      <c r="V2103" s="89"/>
      <c r="AE2103" s="89"/>
      <c r="AN2103" s="89"/>
    </row>
    <row r="2104" spans="4:40" x14ac:dyDescent="0.2">
      <c r="D2104" s="89"/>
      <c r="M2104" s="65"/>
      <c r="V2104" s="89"/>
      <c r="AE2104" s="89"/>
      <c r="AN2104" s="89"/>
    </row>
    <row r="2105" spans="4:40" x14ac:dyDescent="0.2">
      <c r="D2105" s="89"/>
      <c r="M2105" s="65"/>
      <c r="V2105" s="89"/>
      <c r="AE2105" s="89"/>
      <c r="AN2105" s="89"/>
    </row>
    <row r="2106" spans="4:40" x14ac:dyDescent="0.2">
      <c r="D2106" s="89"/>
      <c r="M2106" s="65"/>
      <c r="V2106" s="89"/>
      <c r="AE2106" s="89"/>
      <c r="AN2106" s="89"/>
    </row>
    <row r="2107" spans="4:40" x14ac:dyDescent="0.2">
      <c r="D2107" s="89"/>
      <c r="M2107" s="65"/>
      <c r="V2107" s="89"/>
      <c r="AE2107" s="89"/>
      <c r="AN2107" s="89"/>
    </row>
    <row r="2108" spans="4:40" x14ac:dyDescent="0.2">
      <c r="D2108" s="89"/>
      <c r="M2108" s="65"/>
      <c r="V2108" s="89"/>
      <c r="AE2108" s="89"/>
      <c r="AN2108" s="89"/>
    </row>
    <row r="2109" spans="4:40" x14ac:dyDescent="0.2">
      <c r="D2109" s="89"/>
      <c r="M2109" s="65"/>
      <c r="V2109" s="89"/>
      <c r="AE2109" s="89"/>
      <c r="AN2109" s="89"/>
    </row>
    <row r="2110" spans="4:40" x14ac:dyDescent="0.2">
      <c r="D2110" s="89"/>
      <c r="M2110" s="65"/>
      <c r="V2110" s="89"/>
      <c r="AE2110" s="89"/>
      <c r="AN2110" s="89"/>
    </row>
    <row r="2111" spans="4:40" x14ac:dyDescent="0.2">
      <c r="D2111" s="89"/>
      <c r="M2111" s="65"/>
      <c r="V2111" s="89"/>
      <c r="AE2111" s="89"/>
      <c r="AN2111" s="89"/>
    </row>
    <row r="2112" spans="4:40" x14ac:dyDescent="0.2">
      <c r="D2112" s="89"/>
      <c r="M2112" s="65"/>
      <c r="V2112" s="89"/>
      <c r="AE2112" s="89"/>
      <c r="AN2112" s="89"/>
    </row>
    <row r="2113" spans="4:40" x14ac:dyDescent="0.2">
      <c r="D2113" s="89"/>
      <c r="M2113" s="65"/>
      <c r="V2113" s="89"/>
      <c r="AE2113" s="89"/>
      <c r="AN2113" s="89"/>
    </row>
    <row r="2114" spans="4:40" x14ac:dyDescent="0.2">
      <c r="D2114" s="89"/>
      <c r="M2114" s="65"/>
      <c r="V2114" s="89"/>
      <c r="AE2114" s="89"/>
      <c r="AN2114" s="89"/>
    </row>
    <row r="2115" spans="4:40" x14ac:dyDescent="0.2">
      <c r="D2115" s="89"/>
      <c r="M2115" s="65"/>
      <c r="V2115" s="89"/>
      <c r="AE2115" s="89"/>
      <c r="AN2115" s="89"/>
    </row>
    <row r="2116" spans="4:40" x14ac:dyDescent="0.2">
      <c r="D2116" s="89"/>
      <c r="M2116" s="65"/>
      <c r="V2116" s="89"/>
      <c r="AE2116" s="89"/>
      <c r="AN2116" s="89"/>
    </row>
    <row r="2117" spans="4:40" x14ac:dyDescent="0.2">
      <c r="D2117" s="89"/>
      <c r="M2117" s="65"/>
      <c r="V2117" s="89"/>
      <c r="AE2117" s="89"/>
      <c r="AN2117" s="89"/>
    </row>
    <row r="2118" spans="4:40" x14ac:dyDescent="0.2">
      <c r="D2118" s="89"/>
      <c r="M2118" s="65"/>
      <c r="V2118" s="89"/>
      <c r="AE2118" s="89"/>
      <c r="AN2118" s="89"/>
    </row>
    <row r="2119" spans="4:40" x14ac:dyDescent="0.2">
      <c r="D2119" s="89"/>
      <c r="M2119" s="65"/>
      <c r="V2119" s="89"/>
      <c r="AE2119" s="89"/>
      <c r="AN2119" s="89"/>
    </row>
    <row r="2120" spans="4:40" x14ac:dyDescent="0.2">
      <c r="D2120" s="89"/>
      <c r="M2120" s="65"/>
      <c r="V2120" s="89"/>
      <c r="AE2120" s="89"/>
      <c r="AN2120" s="89"/>
    </row>
    <row r="2121" spans="4:40" x14ac:dyDescent="0.2">
      <c r="D2121" s="89"/>
      <c r="M2121" s="65"/>
      <c r="V2121" s="89"/>
      <c r="AE2121" s="89"/>
      <c r="AN2121" s="89"/>
    </row>
    <row r="2122" spans="4:40" x14ac:dyDescent="0.2">
      <c r="D2122" s="89"/>
      <c r="M2122" s="65"/>
      <c r="V2122" s="89"/>
      <c r="AE2122" s="89"/>
      <c r="AN2122" s="89"/>
    </row>
    <row r="2123" spans="4:40" x14ac:dyDescent="0.2">
      <c r="D2123" s="89"/>
      <c r="M2123" s="65"/>
      <c r="V2123" s="89"/>
      <c r="AE2123" s="89"/>
      <c r="AN2123" s="89"/>
    </row>
    <row r="2124" spans="4:40" x14ac:dyDescent="0.2">
      <c r="D2124" s="89"/>
      <c r="M2124" s="65"/>
      <c r="V2124" s="89"/>
      <c r="AE2124" s="89"/>
      <c r="AN2124" s="89"/>
    </row>
    <row r="2125" spans="4:40" x14ac:dyDescent="0.2">
      <c r="D2125" s="89"/>
      <c r="M2125" s="65"/>
      <c r="V2125" s="89"/>
      <c r="AE2125" s="89"/>
      <c r="AN2125" s="89"/>
    </row>
    <row r="2126" spans="4:40" x14ac:dyDescent="0.2">
      <c r="D2126" s="89"/>
      <c r="M2126" s="65"/>
      <c r="V2126" s="89"/>
      <c r="AE2126" s="89"/>
      <c r="AN2126" s="89"/>
    </row>
    <row r="2127" spans="4:40" x14ac:dyDescent="0.2">
      <c r="D2127" s="89"/>
      <c r="M2127" s="65"/>
      <c r="V2127" s="89"/>
      <c r="AE2127" s="89"/>
      <c r="AN2127" s="89"/>
    </row>
    <row r="2128" spans="4:40" x14ac:dyDescent="0.2">
      <c r="D2128" s="89"/>
      <c r="M2128" s="65"/>
      <c r="V2128" s="89"/>
      <c r="AE2128" s="89"/>
      <c r="AN2128" s="89"/>
    </row>
    <row r="2129" spans="4:40" x14ac:dyDescent="0.2">
      <c r="D2129" s="89"/>
      <c r="M2129" s="65"/>
      <c r="V2129" s="89"/>
      <c r="AE2129" s="89"/>
      <c r="AN2129" s="89"/>
    </row>
    <row r="2130" spans="4:40" x14ac:dyDescent="0.2">
      <c r="D2130" s="89"/>
      <c r="M2130" s="65"/>
      <c r="V2130" s="89"/>
      <c r="AE2130" s="89"/>
      <c r="AN2130" s="89"/>
    </row>
    <row r="2131" spans="4:40" x14ac:dyDescent="0.2">
      <c r="D2131" s="89"/>
      <c r="M2131" s="65"/>
      <c r="V2131" s="89"/>
      <c r="AE2131" s="89"/>
      <c r="AN2131" s="89"/>
    </row>
    <row r="2132" spans="4:40" x14ac:dyDescent="0.2">
      <c r="D2132" s="89"/>
      <c r="M2132" s="65"/>
      <c r="V2132" s="89"/>
      <c r="AE2132" s="89"/>
      <c r="AN2132" s="89"/>
    </row>
    <row r="2133" spans="4:40" x14ac:dyDescent="0.2">
      <c r="D2133" s="89"/>
      <c r="M2133" s="65"/>
      <c r="V2133" s="89"/>
      <c r="AE2133" s="89"/>
      <c r="AN2133" s="89"/>
    </row>
    <row r="2134" spans="4:40" x14ac:dyDescent="0.2">
      <c r="D2134" s="89"/>
      <c r="M2134" s="65"/>
      <c r="V2134" s="89"/>
      <c r="AE2134" s="89"/>
      <c r="AN2134" s="89"/>
    </row>
    <row r="2135" spans="4:40" x14ac:dyDescent="0.2">
      <c r="D2135" s="89"/>
      <c r="M2135" s="65"/>
      <c r="V2135" s="89"/>
      <c r="AE2135" s="89"/>
      <c r="AN2135" s="89"/>
    </row>
    <row r="2136" spans="4:40" x14ac:dyDescent="0.2">
      <c r="D2136" s="89"/>
      <c r="M2136" s="65"/>
      <c r="V2136" s="89"/>
      <c r="AE2136" s="89"/>
      <c r="AN2136" s="89"/>
    </row>
    <row r="2137" spans="4:40" x14ac:dyDescent="0.2">
      <c r="D2137" s="89"/>
      <c r="M2137" s="65"/>
      <c r="V2137" s="89"/>
      <c r="AE2137" s="89"/>
      <c r="AN2137" s="89"/>
    </row>
    <row r="2138" spans="4:40" x14ac:dyDescent="0.2">
      <c r="D2138" s="89"/>
      <c r="M2138" s="65"/>
      <c r="V2138" s="89"/>
      <c r="AE2138" s="89"/>
      <c r="AN2138" s="89"/>
    </row>
    <row r="2139" spans="4:40" x14ac:dyDescent="0.2">
      <c r="D2139" s="89"/>
      <c r="M2139" s="65"/>
      <c r="V2139" s="89"/>
      <c r="AE2139" s="89"/>
      <c r="AN2139" s="89"/>
    </row>
    <row r="2140" spans="4:40" x14ac:dyDescent="0.2">
      <c r="D2140" s="89"/>
      <c r="M2140" s="65"/>
      <c r="V2140" s="89"/>
      <c r="AE2140" s="89"/>
      <c r="AN2140" s="89"/>
    </row>
    <row r="2141" spans="4:40" x14ac:dyDescent="0.2">
      <c r="D2141" s="89"/>
      <c r="M2141" s="65"/>
      <c r="V2141" s="89"/>
      <c r="AE2141" s="89"/>
      <c r="AN2141" s="89"/>
    </row>
    <row r="2142" spans="4:40" x14ac:dyDescent="0.2">
      <c r="D2142" s="89"/>
      <c r="M2142" s="65"/>
      <c r="V2142" s="89"/>
      <c r="AE2142" s="89"/>
      <c r="AN2142" s="89"/>
    </row>
    <row r="2143" spans="4:40" x14ac:dyDescent="0.2">
      <c r="D2143" s="89"/>
      <c r="M2143" s="65"/>
      <c r="V2143" s="89"/>
      <c r="AE2143" s="89"/>
      <c r="AN2143" s="89"/>
    </row>
    <row r="2144" spans="4:40" x14ac:dyDescent="0.2">
      <c r="D2144" s="89"/>
      <c r="M2144" s="65"/>
      <c r="V2144" s="89"/>
      <c r="AE2144" s="89"/>
      <c r="AN2144" s="89"/>
    </row>
    <row r="2145" spans="4:40" x14ac:dyDescent="0.2">
      <c r="D2145" s="89"/>
      <c r="M2145" s="65"/>
      <c r="V2145" s="89"/>
      <c r="AE2145" s="89"/>
      <c r="AN2145" s="89"/>
    </row>
    <row r="2146" spans="4:40" x14ac:dyDescent="0.2">
      <c r="D2146" s="89"/>
      <c r="M2146" s="65"/>
      <c r="V2146" s="89"/>
      <c r="AE2146" s="89"/>
      <c r="AN2146" s="89"/>
    </row>
    <row r="2147" spans="4:40" x14ac:dyDescent="0.2">
      <c r="D2147" s="89"/>
      <c r="M2147" s="65"/>
      <c r="V2147" s="89"/>
      <c r="AE2147" s="89"/>
      <c r="AN2147" s="89"/>
    </row>
    <row r="2148" spans="4:40" x14ac:dyDescent="0.2">
      <c r="D2148" s="89"/>
      <c r="M2148" s="65"/>
      <c r="V2148" s="89"/>
      <c r="AE2148" s="89"/>
      <c r="AN2148" s="89"/>
    </row>
    <row r="2149" spans="4:40" x14ac:dyDescent="0.2">
      <c r="D2149" s="89"/>
      <c r="M2149" s="65"/>
      <c r="V2149" s="89"/>
      <c r="AE2149" s="89"/>
      <c r="AN2149" s="89"/>
    </row>
    <row r="2150" spans="4:40" x14ac:dyDescent="0.2">
      <c r="D2150" s="89"/>
      <c r="M2150" s="65"/>
      <c r="V2150" s="89"/>
      <c r="AE2150" s="89"/>
      <c r="AN2150" s="89"/>
    </row>
    <row r="2151" spans="4:40" x14ac:dyDescent="0.2">
      <c r="D2151" s="89"/>
      <c r="M2151" s="65"/>
      <c r="V2151" s="89"/>
      <c r="AE2151" s="89"/>
      <c r="AN2151" s="89"/>
    </row>
  </sheetData>
  <autoFilter ref="A1:EY226" xr:uid="{BA4D364C-631B-F94D-9516-AB9249CFB733}"/>
  <sortState xmlns:xlrd2="http://schemas.microsoft.com/office/spreadsheetml/2017/richdata2" ref="A2:AV225">
    <sortCondition descending="1" ref="D2:D225"/>
  </sortState>
  <conditionalFormatting sqref="C2:C869">
    <cfRule type="duplicateValues" dxfId="0" priority="9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SAPBW_DOWNLOAD</vt:lpstr>
      <vt:lpstr>Hoja1</vt:lpstr>
      <vt:lpstr>Hoja4</vt:lpstr>
      <vt:lpstr>Hoja2</vt:lpstr>
      <vt:lpstr>SAPBW_DOWNLOAD (2)</vt:lpstr>
      <vt:lpstr>SAPBW_DOWNLOAD!Títulos_a_imprimir</vt:lpstr>
      <vt:lpstr>'SAPBW_DOWNLOAD (2)'!Títulos_a_imprimir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Malpica Herrera</dc:creator>
  <cp:keywords/>
  <dc:description/>
  <cp:lastModifiedBy>JAVIER MALPICA</cp:lastModifiedBy>
  <cp:revision/>
  <dcterms:created xsi:type="dcterms:W3CDTF">2024-08-21T18:57:05Z</dcterms:created>
  <dcterms:modified xsi:type="dcterms:W3CDTF">2024-08-22T21:38:50Z</dcterms:modified>
  <cp:category/>
  <cp:contentStatus/>
</cp:coreProperties>
</file>