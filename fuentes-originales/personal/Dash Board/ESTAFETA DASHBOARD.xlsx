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lpica/Documents/"/>
    </mc:Choice>
  </mc:AlternateContent>
  <xr:revisionPtr revIDLastSave="0" documentId="8_{1A284F8F-37EB-144A-AB83-FB02DE70CBD6}" xr6:coauthVersionLast="47" xr6:coauthVersionMax="47" xr10:uidLastSave="{00000000-0000-0000-0000-000000000000}"/>
  <bookViews>
    <workbookView xWindow="0" yWindow="0" windowWidth="28800" windowHeight="18000" activeTab="1" xr2:uid="{611778D0-387E-DF44-B724-BD0382140D54}"/>
  </bookViews>
  <sheets>
    <sheet name="DATA" sheetId="1" r:id="rId1"/>
    <sheet name="Hoja12" sheetId="12" r:id="rId2"/>
    <sheet name="TABLA DINAMICA" sheetId="13" r:id="rId3"/>
  </sheets>
  <definedNames>
    <definedName name="_xlnm._FilterDatabase" localSheetId="0" hidden="1">DATA!$A$4:$I$16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2" l="1"/>
  <c r="H2" i="12"/>
  <c r="G3" i="12"/>
  <c r="H3" i="12"/>
  <c r="G4" i="12"/>
  <c r="H4" i="12"/>
  <c r="G5" i="12"/>
  <c r="H5" i="12"/>
  <c r="G6" i="12"/>
  <c r="H6" i="12"/>
  <c r="G7" i="12"/>
  <c r="H7" i="12"/>
  <c r="I5" i="1"/>
</calcChain>
</file>

<file path=xl/sharedStrings.xml><?xml version="1.0" encoding="utf-8"?>
<sst xmlns="http://schemas.openxmlformats.org/spreadsheetml/2006/main" count="138" uniqueCount="62">
  <si>
    <t>EJECUTIVO</t>
  </si>
  <si>
    <t>MES</t>
  </si>
  <si>
    <t>PRESUPUESTO MENSUAL</t>
  </si>
  <si>
    <t>PRESUPUESTO REAL</t>
  </si>
  <si>
    <t>FECHA</t>
  </si>
  <si>
    <t>PULL</t>
  </si>
  <si>
    <t>ENERO</t>
  </si>
  <si>
    <t>FEBRERO</t>
  </si>
  <si>
    <t>MARZO</t>
  </si>
  <si>
    <t>ABRIL</t>
  </si>
  <si>
    <t>JUNIO</t>
  </si>
  <si>
    <t>JULIO</t>
  </si>
  <si>
    <t xml:space="preserve">AGOSTO </t>
  </si>
  <si>
    <t>SEPTIEMBRE</t>
  </si>
  <si>
    <t>MAYO</t>
  </si>
  <si>
    <t>OCTUBRE</t>
  </si>
  <si>
    <t>NOVIEMBRE</t>
  </si>
  <si>
    <t>DICIEMBRE</t>
  </si>
  <si>
    <t>LETICIA PEREZ</t>
  </si>
  <si>
    <t>ERIK GARDUÑO</t>
  </si>
  <si>
    <t>EDGAR MAYA</t>
  </si>
  <si>
    <t>FRIDA NUÑEZ</t>
  </si>
  <si>
    <t>LUIS ROSALES</t>
  </si>
  <si>
    <t>MARIA QUINTERO</t>
  </si>
  <si>
    <t>PLAZA</t>
  </si>
  <si>
    <t>CVA</t>
  </si>
  <si>
    <t>TLC</t>
  </si>
  <si>
    <t>ESTATUS</t>
  </si>
  <si>
    <t>COMENTARIOS</t>
  </si>
  <si>
    <t>PROSPECTO</t>
  </si>
  <si>
    <t>PROPUESTA</t>
  </si>
  <si>
    <t>NEGOCIACION</t>
  </si>
  <si>
    <t>ANALISIS</t>
  </si>
  <si>
    <t>CIERRE</t>
  </si>
  <si>
    <t>LEGAL</t>
  </si>
  <si>
    <t xml:space="preserve">GANADO </t>
  </si>
  <si>
    <t>PERDIDO</t>
  </si>
  <si>
    <t>AGOSTO</t>
  </si>
  <si>
    <t>TOP 10 CUSTOMER CENTRIC</t>
  </si>
  <si>
    <t>UP SELLING</t>
  </si>
  <si>
    <t>CUSTOMER RECOVERY</t>
  </si>
  <si>
    <t>SERVICIO</t>
  </si>
  <si>
    <t>PUESTO</t>
  </si>
  <si>
    <t>EJECUTIVO DE VENTAS</t>
  </si>
  <si>
    <t>% PRESUPUESTO</t>
  </si>
  <si>
    <t>GRAN TOTAL MENSUAL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</si>
  <si>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</si>
  <si>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</si>
  <si>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</si>
  <si>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</si>
  <si>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</si>
  <si>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</si>
  <si>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</si>
  <si>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</si>
  <si>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</si>
  <si>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</si>
  <si>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</si>
  <si>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</si>
  <si>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</si>
  <si>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% CUMPLIMIENTO</t>
  </si>
  <si>
    <t>META REAL</t>
  </si>
  <si>
    <t xml:space="preserve">DIFERENCIA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</si>
</sst>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44" fontId="3" fillId="0" borderId="0" xfId="0" applyNumberFormat="1" applyFont="1"/>
    <xf numFmtId="0" fontId="4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44" fontId="0" fillId="0" borderId="1" xfId="1" applyNumberFormat="1" applyFont="1" applyFill="1" applyBorder="1"/>
    <xf numFmtId="0" fontId="0" fillId="0" borderId="1" xfId="0" applyBorder="1"/>
    <xf numFmtId="0" fontId="0" fillId="0" borderId="1" xfId="0" applyFont="1" applyFill="1" applyBorder="1"/>
    <xf numFmtId="9" fontId="0" fillId="0" borderId="4" xfId="0" applyNumberForma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44" fontId="0" fillId="0" borderId="7" xfId="1" applyNumberFormat="1" applyFont="1" applyFill="1" applyBorder="1"/>
    <xf numFmtId="0" fontId="0" fillId="0" borderId="8" xfId="0" applyBorder="1"/>
    <xf numFmtId="0" fontId="4" fillId="2" borderId="9" xfId="0" applyFont="1" applyFill="1" applyBorder="1" applyAlignment="1">
      <alignment horizontal="center" vertical="center" wrapText="1"/>
    </xf>
    <xf numFmtId="0" fontId="0" fillId="0" borderId="7" xfId="0" applyFont="1" applyFill="1" applyBorder="1"/>
    <xf numFmtId="0" fontId="0" fillId="0" borderId="7" xfId="0" applyBorder="1"/>
    <xf numFmtId="9" fontId="0" fillId="0" borderId="7" xfId="1" applyNumberFormat="1" applyFont="1" applyFill="1" applyBorder="1"/>
    <xf numFmtId="9" fontId="0" fillId="0" borderId="10" xfId="0" applyNumberFormat="1" applyBorder="1"/>
  </cellXfs>
  <cellStyles count="3">
    <cellStyle name="Moneda" xfId="1" builtinId="4"/>
    <cellStyle name="Normal" xfId="0" builtinId="0"/>
    <cellStyle name="Porcentaje" xfId="2" builtinId="5"/>
  </cellStyles>
  <dxfs count="43"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B940BB-C7DA-D543-B804-30A66DAE31C4}" name="Tabla2" displayName="Tabla2" ref="A29:M31" totalsRowShown="0" headerRowDxfId="41">
  <autoFilter ref="A29:M31" xr:uid="{85B940BB-C7DA-D543-B804-30A66DAE31C4}"/>
  <tableColumns count="13">
    <tableColumn id="1" xr3:uid="{E1F92206-69EA-B542-865D-031813E9D01D}" name="Columna1"/>
    <tableColumn id="2" xr3:uid="{117D26CC-9D28-114E-992D-1560E436CB35}" name="Columna2"/>
    <tableColumn id="3" xr3:uid="{77959EFE-2D7C-644D-98FA-BC613C9F435D}" name="Columna3"/>
    <tableColumn id="4" xr3:uid="{95E901CE-4263-D343-8BF8-C3DA36120D4F}" name="Columna4"/>
    <tableColumn id="5" xr3:uid="{AF2F4016-1D79-DE47-B395-FDE3C871D3C6}" name="Columna5"/>
    <tableColumn id="6" xr3:uid="{8159226B-79BE-0A4A-A1B6-E586A6032DFD}" name="Columna6"/>
    <tableColumn id="7" xr3:uid="{987FFE2B-BDD5-2547-96ED-0968CFFDE860}" name="Columna7"/>
    <tableColumn id="8" xr3:uid="{99EC2878-4958-EF44-A698-615DA8B1C903}" name="Columna8"/>
    <tableColumn id="9" xr3:uid="{8FE436D8-2F96-BA4D-B91E-222D439F8CB9}" name="Columna9"/>
    <tableColumn id="10" xr3:uid="{B9A29C80-E29F-204C-958C-3177049C6E6D}" name="Columna10"/>
    <tableColumn id="11" xr3:uid="{868C2C02-127A-A34D-A427-5310045B01C9}" name="Columna11"/>
    <tableColumn id="12" xr3:uid="{DE48099E-DF9C-5846-9468-2BE89ADDE809}" name="Columna12"/>
    <tableColumn id="13" xr3:uid="{40A12704-4B8D-3549-959A-C2C46ACDEB6D}" name="Columna13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940D1-598D-D94A-853F-CF2705354A92}" name="Tabla3" displayName="Tabla3" ref="A18:L27" totalsRowShown="0" headerRowDxfId="33" dataDxfId="34">
  <autoFilter ref="A18:L27" xr:uid="{A13940D1-598D-D94A-853F-CF2705354A92}"/>
  <tableColumns count="12">
    <tableColumn id="1" xr3:uid="{12AE0A45-E142-3945-B943-7B96A4454CD6}" name="Columna1"/>
    <tableColumn id="2" xr3:uid="{4CF96D4D-3DD5-DD47-A9D3-CD4EECCD9045}" name="Columna2"/>
    <tableColumn id="3" xr3:uid="{8789E10A-0DDB-4D49-B94D-8ADAF15B5C1E}" name="Columna3"/>
    <tableColumn id="4" xr3:uid="{685EB27D-EB30-CD48-8485-BDC2E81838E9}" name="Columna4"/>
    <tableColumn id="5" xr3:uid="{AD05B668-A95A-5D46-B9A4-64A025574A4D}" name="Columna5"/>
    <tableColumn id="6" xr3:uid="{BC261F18-1725-D949-8B49-A0966410F323}" name="Columna6"/>
    <tableColumn id="7" xr3:uid="{2457CB17-C465-AC44-8867-7C86FBF64E23}" name="Columna7" dataDxfId="40"/>
    <tableColumn id="8" xr3:uid="{D98268B8-C7C3-3B4C-92DC-BFD62FC72BC7}" name="Columna8" dataDxfId="39"/>
    <tableColumn id="9" xr3:uid="{804996DC-4B88-A54B-8BB9-BE573DE3B7E3}" name="Columna9" dataDxfId="38"/>
    <tableColumn id="10" xr3:uid="{44F9949E-FC3D-A844-B159-B09EFDADA4A2}" name="Columna10" dataDxfId="37"/>
    <tableColumn id="11" xr3:uid="{CAB89E75-27CE-8B44-862E-821B25CB3C83}" name="Columna11" dataDxfId="36"/>
    <tableColumn id="12" xr3:uid="{360B4831-B35B-7543-A891-847751483754}" name="Columna12" dataDxfId="35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187B13-2179-0F4A-8419-C04C45BC70EF}" name="Tabla4" displayName="Tabla4" ref="A33:L35" totalsRowShown="0" headerRowDxfId="32">
  <autoFilter ref="A33:L35" xr:uid="{E5187B13-2179-0F4A-8419-C04C45BC70EF}"/>
  <tableColumns count="12">
    <tableColumn id="1" xr3:uid="{A83916EC-F901-D14B-A9F1-B44346523751}" name="Columna1"/>
    <tableColumn id="2" xr3:uid="{945269F8-C3BB-DF4E-BB09-414DA0FA8124}" name="Columna2"/>
    <tableColumn id="3" xr3:uid="{8843DC2C-7C12-3F4D-90B2-EC0CC9840837}" name="Columna3"/>
    <tableColumn id="4" xr3:uid="{688AB5DB-11A2-A047-A0A3-963CCCFA1434}" name="Columna4"/>
    <tableColumn id="5" xr3:uid="{B41CF6FC-B9BA-C147-8272-7DF9F86016D8}" name="Columna5"/>
    <tableColumn id="6" xr3:uid="{FBD51DD5-9D95-8340-9135-E567F40EAA21}" name="Columna6"/>
    <tableColumn id="7" xr3:uid="{4E90F490-1B48-F74B-A840-AF83BF6477DB}" name="Columna7"/>
    <tableColumn id="8" xr3:uid="{9E5C2223-9840-B749-9A8D-B93AA0195F55}" name="Columna8"/>
    <tableColumn id="9" xr3:uid="{F793D839-50D1-924A-9697-42964A92ABDD}" name="Columna9"/>
    <tableColumn id="10" xr3:uid="{27D19087-A8D4-F945-B9C9-0F1BD096CBF2}" name="Columna10"/>
    <tableColumn id="11" xr3:uid="{5BD7E3C4-CC41-A04C-BBE5-B5601F70C450}" name="Columna11"/>
    <tableColumn id="12" xr3:uid="{F531DBC4-2CB5-884A-B657-3507CA25B026}" name="Columna12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B55B4-FC6E-B64B-9D33-1791D14D88DF}" name="Tabla1" displayName="Tabla1" ref="A3:I16" totalsRowShown="0" headerRowDxfId="30" headerRowBorderDxfId="31" tableBorderDxfId="42">
  <autoFilter ref="A3:I16" xr:uid="{741B55B4-FC6E-B64B-9D33-1791D14D88DF}"/>
  <tableColumns count="9">
    <tableColumn id="1" xr3:uid="{8BCD48AD-99EA-3B40-873B-59E13F315B8E}" name="EJECUTIVO"/>
    <tableColumn id="2" xr3:uid="{13EE4240-7280-4C45-9CB2-C6542C869E88}" name="PUESTO"/>
    <tableColumn id="3" xr3:uid="{85970B81-FD21-834D-97DB-03ED6AE2E6E2}" name="PLAZA"/>
    <tableColumn id="4" xr3:uid="{9240A58B-C317-FF4B-9372-CBF1BA9A5470}" name="MES"/>
    <tableColumn id="5" xr3:uid="{177CA9C2-6E38-F249-BCFA-2806E92A32E0}" name="PULL"/>
    <tableColumn id="6" xr3:uid="{648AEEBB-FA9D-D446-A077-AA14A31C8142}" name="PRESUPUESTO MENSUAL"/>
    <tableColumn id="7" xr3:uid="{C3AE2E7B-0D89-9046-BF87-E37652E7E96A}" name="PRESUPUESTO REAL"/>
    <tableColumn id="8" xr3:uid="{FC9CF0C3-4A88-1E44-87D7-B5FB8DB47446}" name="% PRESUPUESTO"/>
    <tableColumn id="9" xr3:uid="{4BFF3EDC-68AB-064C-975F-D97D61165479}" name="GRAN TOTAL MENSU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304E57-7F01-2C44-875A-F27CAC1CE8C7}" name="PRESUPUESTOVTA" displayName="PRESUPUESTOVTA" ref="A1:H7" totalsRowShown="0" headerRowDxfId="12" dataDxfId="11" headerRowBorderDxfId="9" tableBorderDxfId="10" totalsRowBorderDxfId="8" dataCellStyle="Moneda">
  <autoFilter ref="A1:H7" xr:uid="{DE304E57-7F01-2C44-875A-F27CAC1CE8C7}"/>
  <tableColumns count="8">
    <tableColumn id="1" xr3:uid="{6748B41A-95A3-E24C-9D37-4D8B356609BF}" name="MES" dataDxfId="7"/>
    <tableColumn id="2" xr3:uid="{114C24A7-7A12-B94E-AAEE-B0FB1652894D}" name="PLAZA" dataDxfId="6"/>
    <tableColumn id="3" xr3:uid="{5BA017F2-728E-6744-B4F2-AE4A4C44224E}" name="EJECUTIVO" dataDxfId="5"/>
    <tableColumn id="4" xr3:uid="{56252BA4-5F56-EC42-AF67-5A832BFBE867}" name="PULL" dataDxfId="4"/>
    <tableColumn id="5" xr3:uid="{2E4B3D3D-1F48-FC46-B3AA-62819BAFEAFC}" name="PRESUPUESTO MENSUAL" dataDxfId="3" dataCellStyle="Moneda"/>
    <tableColumn id="6" xr3:uid="{1E8D49F1-98AB-E147-9AAA-18550F604B20}" name="META REAL" dataDxfId="2" dataCellStyle="Moneda"/>
    <tableColumn id="7" xr3:uid="{BCC5528A-2AA2-D641-9522-75D44EDB1A8D}" name="DIFERENCIA " dataDxfId="1" dataCellStyle="Moneda">
      <calculatedColumnFormula>E2-F2</calculatedColumnFormula>
    </tableColumn>
    <tableColumn id="8" xr3:uid="{78FE00E1-C9CF-3542-9D23-16D6A1CC5229}" name="% CUMPLIMIENTO" dataDxfId="0">
      <calculatedColumnFormula>F2/E2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F9DE-C6D9-4643-B9B6-0BB8C877247D}">
  <dimension ref="A3:M35"/>
  <sheetViews>
    <sheetView workbookViewId="0">
      <pane ySplit="2" topLeftCell="A3" activePane="bottomLeft" state="frozen"/>
      <selection pane="bottomLeft" activeCell="G5" sqref="G5:G10"/>
    </sheetView>
  </sheetViews>
  <sheetFormatPr baseColWidth="10" defaultRowHeight="16" x14ac:dyDescent="0.2"/>
  <cols>
    <col min="1" max="1" width="16" customWidth="1"/>
    <col min="2" max="2" width="21.83203125" customWidth="1"/>
    <col min="3" max="3" width="16.33203125" customWidth="1"/>
    <col min="4" max="4" width="16.1640625" customWidth="1"/>
    <col min="5" max="5" width="17.33203125" customWidth="1"/>
    <col min="6" max="7" width="16.6640625" customWidth="1"/>
    <col min="8" max="8" width="16.5" customWidth="1"/>
    <col min="9" max="9" width="16.33203125" customWidth="1"/>
    <col min="10" max="13" width="13" customWidth="1"/>
  </cols>
  <sheetData>
    <row r="3" spans="1:9" s="2" customFormat="1" ht="34" x14ac:dyDescent="0.2">
      <c r="A3" s="11" t="s">
        <v>0</v>
      </c>
      <c r="B3" s="3" t="s">
        <v>42</v>
      </c>
      <c r="C3" s="3" t="s">
        <v>24</v>
      </c>
      <c r="D3" s="3" t="s">
        <v>1</v>
      </c>
      <c r="E3" s="3" t="s">
        <v>5</v>
      </c>
      <c r="F3" s="3" t="s">
        <v>2</v>
      </c>
      <c r="G3" s="3" t="s">
        <v>3</v>
      </c>
      <c r="H3" s="3" t="s">
        <v>44</v>
      </c>
      <c r="I3" s="3" t="s">
        <v>45</v>
      </c>
    </row>
    <row r="4" spans="1:9" x14ac:dyDescent="0.2">
      <c r="A4" s="11"/>
      <c r="B4" s="3"/>
      <c r="C4" s="3"/>
      <c r="D4" s="3"/>
      <c r="E4" s="3"/>
      <c r="F4" s="3"/>
      <c r="G4" s="3"/>
      <c r="H4" s="3"/>
      <c r="I4" s="3"/>
    </row>
    <row r="5" spans="1:9" x14ac:dyDescent="0.2">
      <c r="A5" t="s">
        <v>18</v>
      </c>
      <c r="B5" t="s">
        <v>43</v>
      </c>
      <c r="C5" t="s">
        <v>25</v>
      </c>
      <c r="D5" t="s">
        <v>6</v>
      </c>
      <c r="F5" s="6">
        <v>1202000</v>
      </c>
      <c r="G5" s="6">
        <v>761000</v>
      </c>
      <c r="H5" s="8"/>
      <c r="I5" s="9">
        <f>SUM(G5:G10)</f>
        <v>7213678.129999999</v>
      </c>
    </row>
    <row r="6" spans="1:9" x14ac:dyDescent="0.2">
      <c r="A6" t="s">
        <v>19</v>
      </c>
      <c r="B6" t="s">
        <v>43</v>
      </c>
      <c r="C6" t="s">
        <v>26</v>
      </c>
      <c r="D6" t="s">
        <v>7</v>
      </c>
      <c r="F6" s="6">
        <v>1190000</v>
      </c>
      <c r="G6" s="6">
        <v>1900744</v>
      </c>
      <c r="H6" s="8"/>
    </row>
    <row r="7" spans="1:9" x14ac:dyDescent="0.2">
      <c r="A7" t="s">
        <v>20</v>
      </c>
      <c r="B7" t="s">
        <v>43</v>
      </c>
      <c r="C7" t="s">
        <v>26</v>
      </c>
      <c r="D7" t="s">
        <v>8</v>
      </c>
      <c r="F7" s="6">
        <v>741000</v>
      </c>
      <c r="G7" s="6">
        <v>1011835.63</v>
      </c>
      <c r="H7" s="8"/>
    </row>
    <row r="8" spans="1:9" x14ac:dyDescent="0.2">
      <c r="A8" t="s">
        <v>21</v>
      </c>
      <c r="B8" t="s">
        <v>43</v>
      </c>
      <c r="C8" t="s">
        <v>26</v>
      </c>
      <c r="D8" t="s">
        <v>9</v>
      </c>
      <c r="F8" s="6">
        <v>1789000</v>
      </c>
      <c r="G8" s="6">
        <v>1602433.64</v>
      </c>
      <c r="H8" s="8"/>
    </row>
    <row r="9" spans="1:9" x14ac:dyDescent="0.2">
      <c r="A9" t="s">
        <v>22</v>
      </c>
      <c r="B9" t="s">
        <v>43</v>
      </c>
      <c r="C9" t="s">
        <v>26</v>
      </c>
      <c r="D9" t="s">
        <v>14</v>
      </c>
      <c r="F9" s="6">
        <v>250000</v>
      </c>
      <c r="G9" s="6">
        <v>134000.64000000001</v>
      </c>
      <c r="H9" s="8"/>
    </row>
    <row r="10" spans="1:9" x14ac:dyDescent="0.2">
      <c r="A10" t="s">
        <v>23</v>
      </c>
      <c r="B10" t="s">
        <v>43</v>
      </c>
      <c r="C10" t="s">
        <v>25</v>
      </c>
      <c r="D10" t="s">
        <v>10</v>
      </c>
      <c r="F10" s="6">
        <v>1873000</v>
      </c>
      <c r="G10" s="6">
        <v>1803664.22</v>
      </c>
      <c r="H10" s="8"/>
    </row>
    <row r="11" spans="1:9" x14ac:dyDescent="0.2">
      <c r="D11" t="s">
        <v>11</v>
      </c>
    </row>
    <row r="12" spans="1:9" x14ac:dyDescent="0.2">
      <c r="D12" t="s">
        <v>12</v>
      </c>
    </row>
    <row r="13" spans="1:9" x14ac:dyDescent="0.2">
      <c r="D13" t="s">
        <v>13</v>
      </c>
    </row>
    <row r="14" spans="1:9" x14ac:dyDescent="0.2">
      <c r="D14" t="s">
        <v>15</v>
      </c>
    </row>
    <row r="15" spans="1:9" x14ac:dyDescent="0.2">
      <c r="D15" t="s">
        <v>16</v>
      </c>
    </row>
    <row r="16" spans="1:9" x14ac:dyDescent="0.2">
      <c r="D16" t="s">
        <v>17</v>
      </c>
    </row>
    <row r="18" spans="1:13" s="4" customFormat="1" ht="17" x14ac:dyDescent="0.2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13" t="s">
        <v>52</v>
      </c>
      <c r="H18" s="14" t="s">
        <v>53</v>
      </c>
      <c r="I18" s="14" t="s">
        <v>54</v>
      </c>
      <c r="J18" s="14" t="s">
        <v>55</v>
      </c>
      <c r="K18" s="14" t="s">
        <v>56</v>
      </c>
      <c r="L18" s="14" t="s">
        <v>57</v>
      </c>
    </row>
    <row r="19" spans="1:13" ht="51" x14ac:dyDescent="0.2">
      <c r="A19" s="3" t="s">
        <v>0</v>
      </c>
      <c r="B19" s="3" t="s">
        <v>24</v>
      </c>
      <c r="C19" s="3" t="s">
        <v>4</v>
      </c>
      <c r="D19" s="3" t="s">
        <v>38</v>
      </c>
      <c r="E19" s="3" t="s">
        <v>41</v>
      </c>
      <c r="F19" s="3" t="s">
        <v>27</v>
      </c>
      <c r="G19" s="13" t="s">
        <v>28</v>
      </c>
      <c r="H19" s="14"/>
      <c r="I19" s="14"/>
      <c r="J19" s="14"/>
      <c r="K19" s="14"/>
      <c r="L19" s="14"/>
    </row>
    <row r="20" spans="1:13" x14ac:dyDescent="0.2">
      <c r="A20" t="s">
        <v>18</v>
      </c>
      <c r="B20" t="s">
        <v>25</v>
      </c>
      <c r="C20" s="5">
        <v>45509</v>
      </c>
      <c r="F20" t="s">
        <v>32</v>
      </c>
      <c r="G20" s="1"/>
      <c r="H20" s="1"/>
      <c r="I20" s="1"/>
      <c r="J20" s="1"/>
      <c r="K20" s="1"/>
      <c r="L20" s="1"/>
    </row>
    <row r="21" spans="1:13" x14ac:dyDescent="0.2">
      <c r="F21" t="s">
        <v>29</v>
      </c>
      <c r="G21" s="1"/>
      <c r="H21" s="1"/>
      <c r="I21" s="1"/>
      <c r="J21" s="1"/>
      <c r="K21" s="1"/>
      <c r="L21" s="1"/>
    </row>
    <row r="22" spans="1:13" x14ac:dyDescent="0.2">
      <c r="F22" t="s">
        <v>30</v>
      </c>
      <c r="G22" s="1"/>
      <c r="H22" s="1"/>
      <c r="I22" s="1"/>
      <c r="J22" s="1"/>
      <c r="K22" s="1"/>
      <c r="L22" s="1"/>
    </row>
    <row r="23" spans="1:13" x14ac:dyDescent="0.2">
      <c r="F23" t="s">
        <v>31</v>
      </c>
      <c r="G23" s="1"/>
      <c r="H23" s="1"/>
      <c r="I23" s="1"/>
      <c r="J23" s="1"/>
      <c r="K23" s="1"/>
      <c r="L23" s="1"/>
    </row>
    <row r="24" spans="1:13" x14ac:dyDescent="0.2">
      <c r="F24" t="s">
        <v>33</v>
      </c>
      <c r="G24" s="1"/>
      <c r="H24" s="1"/>
      <c r="I24" s="1"/>
      <c r="J24" s="1"/>
      <c r="K24" s="1"/>
      <c r="L24" s="1"/>
    </row>
    <row r="25" spans="1:13" x14ac:dyDescent="0.2">
      <c r="F25" t="s">
        <v>34</v>
      </c>
      <c r="G25" s="1"/>
      <c r="H25" s="1"/>
      <c r="I25" s="1"/>
      <c r="J25" s="1"/>
      <c r="K25" s="1"/>
      <c r="L25" s="1"/>
    </row>
    <row r="26" spans="1:13" x14ac:dyDescent="0.2">
      <c r="F26" t="s">
        <v>35</v>
      </c>
      <c r="G26" s="1"/>
      <c r="H26" s="1"/>
      <c r="I26" s="1"/>
      <c r="J26" s="1"/>
      <c r="K26" s="1"/>
      <c r="L26" s="1"/>
    </row>
    <row r="27" spans="1:13" x14ac:dyDescent="0.2">
      <c r="F27" t="s">
        <v>36</v>
      </c>
      <c r="G27" s="1"/>
      <c r="H27" s="1"/>
      <c r="I27" s="1"/>
      <c r="J27" s="1"/>
      <c r="K27" s="1"/>
      <c r="L27" s="1"/>
    </row>
    <row r="28" spans="1:13" x14ac:dyDescent="0.2">
      <c r="G28" s="1"/>
      <c r="H28" s="1"/>
      <c r="I28" s="1"/>
      <c r="J28" s="1"/>
      <c r="K28" s="1"/>
      <c r="L28" s="1"/>
    </row>
    <row r="29" spans="1:13" ht="17" x14ac:dyDescent="0.2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52</v>
      </c>
      <c r="H29" s="13" t="s">
        <v>53</v>
      </c>
      <c r="I29" s="14" t="s">
        <v>54</v>
      </c>
      <c r="J29" s="14" t="s">
        <v>55</v>
      </c>
      <c r="K29" s="14" t="s">
        <v>56</v>
      </c>
      <c r="L29" s="14" t="s">
        <v>57</v>
      </c>
      <c r="M29" s="14" t="s">
        <v>58</v>
      </c>
    </row>
    <row r="30" spans="1:13" ht="17" x14ac:dyDescent="0.2">
      <c r="A30" s="3" t="s">
        <v>0</v>
      </c>
      <c r="B30" s="3" t="s">
        <v>24</v>
      </c>
      <c r="C30" s="3" t="s">
        <v>4</v>
      </c>
      <c r="D30" s="3" t="s">
        <v>39</v>
      </c>
      <c r="E30" s="3"/>
      <c r="F30" s="3" t="s">
        <v>41</v>
      </c>
      <c r="G30" s="3" t="s">
        <v>27</v>
      </c>
      <c r="H30" s="13" t="s">
        <v>28</v>
      </c>
      <c r="I30" s="14"/>
      <c r="J30" s="14"/>
      <c r="K30" s="14"/>
      <c r="L30" s="14"/>
      <c r="M30" s="14"/>
    </row>
    <row r="31" spans="1:13" x14ac:dyDescent="0.2">
      <c r="A31" t="s">
        <v>18</v>
      </c>
      <c r="B31" t="s">
        <v>25</v>
      </c>
      <c r="C31" s="5">
        <v>45509</v>
      </c>
    </row>
    <row r="32" spans="1:13" x14ac:dyDescent="0.2">
      <c r="C32" s="5"/>
    </row>
    <row r="33" spans="1:12" ht="17" x14ac:dyDescent="0.2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13" t="s">
        <v>52</v>
      </c>
      <c r="H33" s="14" t="s">
        <v>53</v>
      </c>
      <c r="I33" s="14" t="s">
        <v>54</v>
      </c>
      <c r="J33" s="14" t="s">
        <v>55</v>
      </c>
      <c r="K33" s="14" t="s">
        <v>56</v>
      </c>
      <c r="L33" s="14" t="s">
        <v>57</v>
      </c>
    </row>
    <row r="34" spans="1:12" ht="34" x14ac:dyDescent="0.2">
      <c r="A34" s="3" t="s">
        <v>0</v>
      </c>
      <c r="B34" s="3" t="s">
        <v>24</v>
      </c>
      <c r="C34" s="3" t="s">
        <v>4</v>
      </c>
      <c r="D34" s="3" t="s">
        <v>40</v>
      </c>
      <c r="E34" s="3" t="s">
        <v>41</v>
      </c>
      <c r="F34" s="3" t="s">
        <v>27</v>
      </c>
      <c r="G34" s="13" t="s">
        <v>28</v>
      </c>
      <c r="H34" s="14"/>
      <c r="I34" s="14"/>
      <c r="J34" s="14"/>
      <c r="K34" s="14"/>
      <c r="L34" s="14"/>
    </row>
    <row r="35" spans="1:12" x14ac:dyDescent="0.2">
      <c r="A35" t="s">
        <v>18</v>
      </c>
      <c r="B35" t="s">
        <v>25</v>
      </c>
      <c r="C35" s="5">
        <v>45509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E1558A8-F3C1-2C49-9FC3-AD8A0367385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E29:E31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3B93-4F46-E246-B896-205381729FEC}">
  <dimension ref="A1:I8"/>
  <sheetViews>
    <sheetView tabSelected="1" zoomScale="110" zoomScaleNormal="110" workbookViewId="0">
      <selection activeCell="A8" sqref="A8"/>
    </sheetView>
  </sheetViews>
  <sheetFormatPr baseColWidth="10" defaultRowHeight="16" x14ac:dyDescent="0.2"/>
  <cols>
    <col min="2" max="2" width="10.83203125" customWidth="1"/>
    <col min="3" max="3" width="21.5" customWidth="1"/>
    <col min="4" max="4" width="16.33203125" customWidth="1"/>
    <col min="5" max="5" width="23.6640625" customWidth="1"/>
    <col min="6" max="7" width="15.83203125" customWidth="1"/>
    <col min="8" max="8" width="18.1640625" customWidth="1"/>
    <col min="9" max="9" width="12.5" customWidth="1"/>
  </cols>
  <sheetData>
    <row r="1" spans="1:9" s="2" customFormat="1" ht="17" x14ac:dyDescent="0.2">
      <c r="A1" s="23" t="s">
        <v>1</v>
      </c>
      <c r="B1" s="10" t="s">
        <v>24</v>
      </c>
      <c r="C1" s="10" t="s">
        <v>0</v>
      </c>
      <c r="D1" s="10" t="s">
        <v>5</v>
      </c>
      <c r="E1" s="10" t="s">
        <v>2</v>
      </c>
      <c r="F1" s="10" t="s">
        <v>60</v>
      </c>
      <c r="G1" s="12" t="s">
        <v>61</v>
      </c>
      <c r="H1" s="19" t="s">
        <v>59</v>
      </c>
    </row>
    <row r="2" spans="1:9" x14ac:dyDescent="0.2">
      <c r="A2" s="22" t="s">
        <v>11</v>
      </c>
      <c r="B2" s="17" t="s">
        <v>25</v>
      </c>
      <c r="C2" s="17" t="s">
        <v>18</v>
      </c>
      <c r="D2" s="16"/>
      <c r="E2" s="15">
        <v>1202000</v>
      </c>
      <c r="F2" s="15">
        <v>761000</v>
      </c>
      <c r="G2" s="15">
        <f>E2-F2</f>
        <v>441000</v>
      </c>
      <c r="H2" s="18">
        <f>F2/E2</f>
        <v>0.63311148086522462</v>
      </c>
      <c r="I2" s="7"/>
    </row>
    <row r="3" spans="1:9" x14ac:dyDescent="0.2">
      <c r="A3" s="22" t="s">
        <v>11</v>
      </c>
      <c r="B3" s="17" t="s">
        <v>26</v>
      </c>
      <c r="C3" s="17" t="s">
        <v>19</v>
      </c>
      <c r="D3" s="16"/>
      <c r="E3" s="15">
        <v>1190000</v>
      </c>
      <c r="F3" s="15">
        <v>1900744</v>
      </c>
      <c r="G3" s="15">
        <f t="shared" ref="G3:G7" si="0">E3-F3</f>
        <v>-710744</v>
      </c>
      <c r="H3" s="18">
        <f>F3/E3</f>
        <v>1.5972638655462186</v>
      </c>
    </row>
    <row r="4" spans="1:9" x14ac:dyDescent="0.2">
      <c r="A4" s="22" t="s">
        <v>11</v>
      </c>
      <c r="B4" s="17" t="s">
        <v>26</v>
      </c>
      <c r="C4" s="17" t="s">
        <v>20</v>
      </c>
      <c r="D4" s="16"/>
      <c r="E4" s="15">
        <v>741000</v>
      </c>
      <c r="F4" s="15">
        <v>1011835.63</v>
      </c>
      <c r="G4" s="15">
        <f t="shared" si="0"/>
        <v>-270835.63</v>
      </c>
      <c r="H4" s="18">
        <f>F4/E4</f>
        <v>1.3655001754385965</v>
      </c>
    </row>
    <row r="5" spans="1:9" x14ac:dyDescent="0.2">
      <c r="A5" s="22" t="s">
        <v>11</v>
      </c>
      <c r="B5" s="17" t="s">
        <v>26</v>
      </c>
      <c r="C5" s="17" t="s">
        <v>21</v>
      </c>
      <c r="D5" s="16"/>
      <c r="E5" s="15">
        <v>1789000</v>
      </c>
      <c r="F5" s="15">
        <v>1602433.64</v>
      </c>
      <c r="G5" s="15">
        <f t="shared" si="0"/>
        <v>186566.3600000001</v>
      </c>
      <c r="H5" s="18">
        <f>F5/E5</f>
        <v>0.89571472330911117</v>
      </c>
    </row>
    <row r="6" spans="1:9" x14ac:dyDescent="0.2">
      <c r="A6" s="22" t="s">
        <v>11</v>
      </c>
      <c r="B6" s="17" t="s">
        <v>26</v>
      </c>
      <c r="C6" s="17" t="s">
        <v>22</v>
      </c>
      <c r="D6" s="16"/>
      <c r="E6" s="15">
        <v>250000</v>
      </c>
      <c r="F6" s="15">
        <v>134000.64000000001</v>
      </c>
      <c r="G6" s="15">
        <f t="shared" si="0"/>
        <v>115999.35999999999</v>
      </c>
      <c r="H6" s="18">
        <f t="shared" ref="H6:H7" si="1">F6/E6</f>
        <v>0.53600256000000002</v>
      </c>
    </row>
    <row r="7" spans="1:9" x14ac:dyDescent="0.2">
      <c r="A7" s="20" t="s">
        <v>11</v>
      </c>
      <c r="B7" s="24" t="s">
        <v>25</v>
      </c>
      <c r="C7" s="24" t="s">
        <v>23</v>
      </c>
      <c r="D7" s="25"/>
      <c r="E7" s="21">
        <v>1873000</v>
      </c>
      <c r="F7" s="26">
        <v>1803664.22</v>
      </c>
      <c r="G7" s="21">
        <f t="shared" si="0"/>
        <v>69335.780000000028</v>
      </c>
      <c r="H7" s="27">
        <f t="shared" si="1"/>
        <v>0.96298143085958354</v>
      </c>
    </row>
    <row r="8" spans="1:9" x14ac:dyDescent="0.2">
      <c r="A8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4D76-163F-7346-92D6-ACCCEE34DAB7}">
  <dimension ref="A1"/>
  <sheetViews>
    <sheetView workbookViewId="0">
      <selection sqref="A1:B1048576"/>
    </sheetView>
  </sheetViews>
  <sheetFormatPr baseColWidth="10" defaultRowHeight="16" x14ac:dyDescent="0.2"/>
  <cols>
    <col min="1" max="3" width="19.33203125" bestFit="1" customWidth="1"/>
    <col min="4" max="5" width="12.6640625" bestFit="1" customWidth="1"/>
    <col min="6" max="6" width="29.5" bestFit="1" customWidth="1"/>
    <col min="7" max="9" width="12.6640625" bestFit="1" customWidth="1"/>
    <col min="10" max="10" width="11.1640625" bestFit="1" customWidth="1"/>
    <col min="11" max="11" width="12.6640625" bestFit="1" customWidth="1"/>
    <col min="12" max="12" width="14.1640625" bestFit="1" customWidth="1"/>
    <col min="13" max="15" width="4.6640625" bestFit="1" customWidth="1"/>
    <col min="16" max="17" width="5.6640625" bestFit="1" customWidth="1"/>
    <col min="18" max="18" width="19.33203125" bestFit="1" customWidth="1"/>
    <col min="19" max="20" width="11.1640625" bestFit="1" customWidth="1"/>
    <col min="21" max="21" width="10.1640625" bestFit="1" customWidth="1"/>
    <col min="22" max="23" width="11.83203125" bestFit="1" customWidth="1"/>
    <col min="24" max="24" width="22.33203125" bestFit="1" customWidth="1"/>
    <col min="25" max="25" width="34" bestFit="1" customWidth="1"/>
    <col min="26" max="26" width="18.6640625" bestFit="1" customWidth="1"/>
    <col min="27" max="27" width="23.832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Hoja12</vt:lpstr>
      <vt:lpstr>TABLA 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MALPICA</dc:creator>
  <cp:lastModifiedBy>JAVIER MALPICA</cp:lastModifiedBy>
  <dcterms:created xsi:type="dcterms:W3CDTF">2024-08-04T19:05:35Z</dcterms:created>
  <dcterms:modified xsi:type="dcterms:W3CDTF">2024-08-04T22:10:16Z</dcterms:modified>
</cp:coreProperties>
</file>